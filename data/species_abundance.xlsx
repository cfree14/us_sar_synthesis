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cfree/Dropbox/Chris/UCSB/projects/marine_mammals/us_sar_synthesis/data/"/>
    </mc:Choice>
  </mc:AlternateContent>
  <xr:revisionPtr revIDLastSave="0" documentId="13_ncr:1_{C9D0AC16-61C6-3E48-8C7D-9901601C1A7F}" xr6:coauthVersionLast="47" xr6:coauthVersionMax="47" xr10:uidLastSave="{00000000-0000-0000-0000-000000000000}"/>
  <bookViews>
    <workbookView xWindow="0" yWindow="500" windowWidth="35840" windowHeight="20200" xr2:uid="{00000000-000D-0000-FFFF-FFFF00000000}"/>
  </bookViews>
  <sheets>
    <sheet name="SAR" sheetId="1" r:id="rId1"/>
    <sheet name="metadata" sheetId="2" r:id="rId2"/>
    <sheet name="U.S." sheetId="3" r:id="rId3"/>
    <sheet name="U.S. growth rates" sheetId="4" r:id="rId4"/>
    <sheet name="Australia" sheetId="5" r:id="rId5"/>
    <sheet name="Canada" sheetId="6" r:id="rId6"/>
    <sheet name="Antarctica" sheetId="7" r:id="rId7"/>
    <sheet name="Species Count Data" sheetId="8" r:id="rId8"/>
    <sheet name="Species Check List" sheetId="9" r:id="rId9"/>
  </sheets>
  <definedNames>
    <definedName name="_xlnm._FilterDatabase" localSheetId="5" hidden="1">Canada!$A$1:$A$982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80" i="4" l="1"/>
  <c r="J1880" i="4" s="1"/>
  <c r="K1880" i="4" s="1"/>
  <c r="H1880" i="4"/>
  <c r="I1879" i="4"/>
  <c r="J1879" i="4" s="1"/>
  <c r="K1879" i="4" s="1"/>
  <c r="H1879" i="4"/>
  <c r="K1878" i="4"/>
  <c r="J1878" i="4"/>
  <c r="I1878" i="4"/>
  <c r="H1878" i="4"/>
  <c r="I1877" i="4"/>
  <c r="J1877" i="4" s="1"/>
  <c r="K1877" i="4" s="1"/>
  <c r="H1877" i="4"/>
  <c r="I1876" i="4"/>
  <c r="J1876" i="4" s="1"/>
  <c r="K1876" i="4" s="1"/>
  <c r="H1876" i="4"/>
  <c r="I1874" i="4"/>
  <c r="J1874" i="4" s="1"/>
  <c r="K1874" i="4" s="1"/>
  <c r="H1874" i="4"/>
  <c r="J1873" i="4"/>
  <c r="K1873" i="4" s="1"/>
  <c r="I1873" i="4"/>
  <c r="H1873" i="4"/>
  <c r="I1871" i="4"/>
  <c r="J1871" i="4" s="1"/>
  <c r="K1871" i="4" s="1"/>
  <c r="H1871" i="4"/>
  <c r="J1870" i="4"/>
  <c r="K1870" i="4" s="1"/>
  <c r="I1870" i="4"/>
  <c r="H1870" i="4"/>
  <c r="I1868" i="4"/>
  <c r="J1868" i="4" s="1"/>
  <c r="H1868" i="4"/>
  <c r="J1867" i="4"/>
  <c r="K1867" i="4" s="1"/>
  <c r="I1867" i="4"/>
  <c r="H1867" i="4"/>
  <c r="I1866" i="4"/>
  <c r="J1866" i="4" s="1"/>
  <c r="K1866" i="4" s="1"/>
  <c r="H1866" i="4"/>
  <c r="I1865" i="4"/>
  <c r="J1865" i="4" s="1"/>
  <c r="K1865" i="4" s="1"/>
  <c r="H1865" i="4"/>
  <c r="I1864" i="4"/>
  <c r="J1864" i="4" s="1"/>
  <c r="K1864" i="4" s="1"/>
  <c r="H1864" i="4"/>
  <c r="K1863" i="4"/>
  <c r="J1863" i="4"/>
  <c r="I1863" i="4"/>
  <c r="H1863" i="4"/>
  <c r="I1543" i="4"/>
  <c r="J1543" i="4" s="1"/>
  <c r="K1543" i="4" s="1"/>
  <c r="H1543" i="4"/>
  <c r="I1542" i="4"/>
  <c r="J1542" i="4" s="1"/>
  <c r="K1542" i="4" s="1"/>
  <c r="H1542" i="4"/>
  <c r="J1541" i="4"/>
  <c r="K1541" i="4" s="1"/>
  <c r="I1541" i="4"/>
  <c r="H1541" i="4"/>
  <c r="J1540" i="4"/>
  <c r="K1540" i="4" s="1"/>
  <c r="I1540" i="4"/>
  <c r="H1540" i="4"/>
  <c r="I1539" i="4"/>
  <c r="J1539" i="4" s="1"/>
  <c r="K1539" i="4" s="1"/>
  <c r="H1539" i="4"/>
  <c r="I1538" i="4"/>
  <c r="J1538" i="4" s="1"/>
  <c r="K1538" i="4" s="1"/>
  <c r="H1538" i="4"/>
  <c r="J1537" i="4"/>
  <c r="K1537" i="4" s="1"/>
  <c r="I1537" i="4"/>
  <c r="H1537" i="4"/>
  <c r="J1536" i="4"/>
  <c r="K1536" i="4" s="1"/>
  <c r="I1536" i="4"/>
  <c r="H1536" i="4"/>
  <c r="I1535" i="4"/>
  <c r="J1535" i="4" s="1"/>
  <c r="K1535" i="4" s="1"/>
  <c r="H1535" i="4"/>
  <c r="I1534" i="4"/>
  <c r="J1534" i="4" s="1"/>
  <c r="K1534" i="4" s="1"/>
  <c r="H1534" i="4"/>
  <c r="I1533" i="4"/>
  <c r="J1533" i="4" s="1"/>
  <c r="K1533" i="4" s="1"/>
  <c r="H1533" i="4"/>
  <c r="J1532" i="4"/>
  <c r="K1532" i="4" s="1"/>
  <c r="I1532" i="4"/>
  <c r="H1532" i="4"/>
  <c r="I1531" i="4"/>
  <c r="J1531" i="4" s="1"/>
  <c r="K1531" i="4" s="1"/>
  <c r="H1531" i="4"/>
  <c r="I1530" i="4"/>
  <c r="J1530" i="4" s="1"/>
  <c r="K1530" i="4" s="1"/>
  <c r="H1530" i="4"/>
  <c r="I1529" i="4"/>
  <c r="J1529" i="4" s="1"/>
  <c r="K1529" i="4" s="1"/>
  <c r="H1529" i="4"/>
  <c r="J1528" i="4"/>
  <c r="I1528" i="4"/>
  <c r="H1528" i="4"/>
  <c r="K1528" i="4" s="1"/>
  <c r="I1527" i="4"/>
  <c r="J1527" i="4" s="1"/>
  <c r="K1527" i="4" s="1"/>
  <c r="H1527" i="4"/>
  <c r="I1526" i="4"/>
  <c r="J1526" i="4" s="1"/>
  <c r="K1526" i="4" s="1"/>
  <c r="H1526" i="4"/>
  <c r="I1525" i="4"/>
  <c r="J1525" i="4" s="1"/>
  <c r="K1525" i="4" s="1"/>
  <c r="H1525" i="4"/>
  <c r="K1524" i="4"/>
  <c r="J1524" i="4"/>
  <c r="I1524" i="4"/>
  <c r="H1524" i="4"/>
  <c r="J1523" i="4"/>
  <c r="K1523" i="4" s="1"/>
  <c r="I1523" i="4"/>
  <c r="H1523" i="4"/>
  <c r="I1522" i="4"/>
  <c r="J1522" i="4" s="1"/>
  <c r="K1522" i="4" s="1"/>
  <c r="H1522" i="4"/>
  <c r="I1521" i="4"/>
  <c r="J1521" i="4" s="1"/>
  <c r="K1521" i="4" s="1"/>
  <c r="H1521" i="4"/>
  <c r="J1520" i="4"/>
  <c r="K1520" i="4" s="1"/>
  <c r="I1520" i="4"/>
  <c r="H1520" i="4"/>
  <c r="I1519" i="4"/>
  <c r="J1519" i="4" s="1"/>
  <c r="K1519" i="4" s="1"/>
  <c r="H1519" i="4"/>
  <c r="I1518" i="4"/>
  <c r="J1518" i="4" s="1"/>
  <c r="K1518" i="4" s="1"/>
  <c r="H1518" i="4"/>
  <c r="I1517" i="4"/>
  <c r="J1517" i="4" s="1"/>
  <c r="K1517" i="4" s="1"/>
  <c r="H1517" i="4"/>
  <c r="J1516" i="4"/>
  <c r="K1516" i="4" s="1"/>
  <c r="I1516" i="4"/>
  <c r="H1516" i="4"/>
  <c r="I1515" i="4"/>
  <c r="J1515" i="4" s="1"/>
  <c r="K1515" i="4" s="1"/>
  <c r="H1515" i="4"/>
  <c r="I1514" i="4"/>
  <c r="J1514" i="4" s="1"/>
  <c r="K1514" i="4" s="1"/>
  <c r="H1514" i="4"/>
  <c r="I1513" i="4"/>
  <c r="J1513" i="4" s="1"/>
  <c r="K1513" i="4" s="1"/>
  <c r="H1513" i="4"/>
  <c r="J1512" i="4"/>
  <c r="K1512" i="4" s="1"/>
  <c r="I1512" i="4"/>
  <c r="H1512" i="4"/>
  <c r="I1511" i="4"/>
  <c r="J1511" i="4" s="1"/>
  <c r="K1511" i="4" s="1"/>
  <c r="H1511" i="4"/>
  <c r="K1510" i="4"/>
  <c r="I1510" i="4"/>
  <c r="J1510" i="4" s="1"/>
  <c r="H1510" i="4"/>
  <c r="I1509" i="4"/>
  <c r="J1509" i="4" s="1"/>
  <c r="K1509" i="4" s="1"/>
  <c r="H1509" i="4"/>
  <c r="J1508" i="4"/>
  <c r="K1508" i="4" s="1"/>
  <c r="I1508" i="4"/>
  <c r="H1508" i="4"/>
  <c r="K1507" i="4"/>
  <c r="J1507" i="4"/>
  <c r="I1507" i="4"/>
  <c r="H1507" i="4"/>
  <c r="J1506" i="4"/>
  <c r="K1506" i="4" s="1"/>
  <c r="I1506" i="4"/>
  <c r="H1506" i="4"/>
  <c r="I1505" i="4"/>
  <c r="J1505" i="4" s="1"/>
  <c r="K1505" i="4" s="1"/>
  <c r="H1505" i="4"/>
  <c r="J1504" i="4"/>
  <c r="K1504" i="4" s="1"/>
  <c r="I1504" i="4"/>
  <c r="H1504" i="4"/>
  <c r="J1503" i="4"/>
  <c r="K1503" i="4" s="1"/>
  <c r="I1503" i="4"/>
  <c r="H1503" i="4"/>
  <c r="I1501" i="4"/>
  <c r="J1501" i="4" s="1"/>
  <c r="K1501" i="4" s="1"/>
  <c r="H1501" i="4"/>
  <c r="I1500" i="4"/>
  <c r="J1500" i="4" s="1"/>
  <c r="K1500" i="4" s="1"/>
  <c r="H1500" i="4"/>
  <c r="J1499" i="4"/>
  <c r="I1499" i="4"/>
  <c r="H1499" i="4"/>
  <c r="K1499" i="4" s="1"/>
  <c r="I1498" i="4"/>
  <c r="J1498" i="4" s="1"/>
  <c r="K1498" i="4" s="1"/>
  <c r="H1498" i="4"/>
  <c r="I1497" i="4"/>
  <c r="J1497" i="4" s="1"/>
  <c r="K1497" i="4" s="1"/>
  <c r="H1497" i="4"/>
  <c r="I1496" i="4"/>
  <c r="J1496" i="4" s="1"/>
  <c r="K1496" i="4" s="1"/>
  <c r="H1496" i="4"/>
  <c r="J1495" i="4"/>
  <c r="K1495" i="4" s="1"/>
  <c r="I1495" i="4"/>
  <c r="H1495" i="4"/>
  <c r="I1494" i="4"/>
  <c r="J1494" i="4" s="1"/>
  <c r="K1494" i="4" s="1"/>
  <c r="H1494" i="4"/>
  <c r="I1493" i="4"/>
  <c r="J1493" i="4" s="1"/>
  <c r="K1493" i="4" s="1"/>
  <c r="H1493" i="4"/>
  <c r="J1492" i="4"/>
  <c r="K1492" i="4" s="1"/>
  <c r="I1492" i="4"/>
  <c r="H1492" i="4"/>
  <c r="J1491" i="4"/>
  <c r="K1491" i="4" s="1"/>
  <c r="I1491" i="4"/>
  <c r="H1491" i="4"/>
  <c r="I1490" i="4"/>
  <c r="J1490" i="4" s="1"/>
  <c r="K1490" i="4" s="1"/>
  <c r="H1490" i="4"/>
  <c r="K1489" i="4"/>
  <c r="J1489" i="4"/>
  <c r="I1489" i="4"/>
  <c r="H1489" i="4"/>
  <c r="I1488" i="4"/>
  <c r="J1488" i="4" s="1"/>
  <c r="K1488" i="4" s="1"/>
  <c r="H1488" i="4"/>
  <c r="J1487" i="4"/>
  <c r="K1487" i="4" s="1"/>
  <c r="I1487" i="4"/>
  <c r="H1487" i="4"/>
  <c r="I1486" i="4"/>
  <c r="J1486" i="4" s="1"/>
  <c r="K1486" i="4" s="1"/>
  <c r="H1486" i="4"/>
  <c r="J1485" i="4"/>
  <c r="K1485" i="4" s="1"/>
  <c r="I1485" i="4"/>
  <c r="H1485" i="4"/>
  <c r="I1484" i="4"/>
  <c r="J1484" i="4" s="1"/>
  <c r="H1484" i="4"/>
  <c r="J1483" i="4"/>
  <c r="K1483" i="4" s="1"/>
  <c r="I1483" i="4"/>
  <c r="H1483" i="4"/>
  <c r="I1482" i="4"/>
  <c r="J1482" i="4" s="1"/>
  <c r="K1482" i="4" s="1"/>
  <c r="H1482" i="4"/>
  <c r="I1481" i="4"/>
  <c r="J1481" i="4" s="1"/>
  <c r="K1481" i="4" s="1"/>
  <c r="H1481" i="4"/>
  <c r="I1480" i="4"/>
  <c r="J1480" i="4" s="1"/>
  <c r="K1480" i="4" s="1"/>
  <c r="H1480" i="4"/>
  <c r="K1479" i="4"/>
  <c r="J1479" i="4"/>
  <c r="I1479" i="4"/>
  <c r="H1479" i="4"/>
  <c r="J1478" i="4"/>
  <c r="K1478" i="4" s="1"/>
  <c r="I1478" i="4"/>
  <c r="H1478" i="4"/>
  <c r="I1477" i="4"/>
  <c r="J1477" i="4" s="1"/>
  <c r="K1477" i="4" s="1"/>
  <c r="H1477" i="4"/>
  <c r="J1476" i="4"/>
  <c r="K1476" i="4" s="1"/>
  <c r="I1476" i="4"/>
  <c r="H1476" i="4"/>
  <c r="J1475" i="4"/>
  <c r="K1475" i="4" s="1"/>
  <c r="I1475" i="4"/>
  <c r="H1475" i="4"/>
  <c r="I1474" i="4"/>
  <c r="J1474" i="4" s="1"/>
  <c r="K1474" i="4" s="1"/>
  <c r="H1474" i="4"/>
  <c r="I1473" i="4"/>
  <c r="J1473" i="4" s="1"/>
  <c r="K1473" i="4" s="1"/>
  <c r="H1473" i="4"/>
  <c r="J1472" i="4"/>
  <c r="K1472" i="4" s="1"/>
  <c r="I1472" i="4"/>
  <c r="H1472" i="4"/>
  <c r="J1471" i="4"/>
  <c r="K1471" i="4" s="1"/>
  <c r="I1471" i="4"/>
  <c r="H1471" i="4"/>
  <c r="I1470" i="4"/>
  <c r="J1470" i="4" s="1"/>
  <c r="K1470" i="4" s="1"/>
  <c r="H1470" i="4"/>
  <c r="I1469" i="4"/>
  <c r="J1469" i="4" s="1"/>
  <c r="K1469" i="4" s="1"/>
  <c r="H1469" i="4"/>
  <c r="I1468" i="4"/>
  <c r="J1468" i="4" s="1"/>
  <c r="K1468" i="4" s="1"/>
  <c r="H1468" i="4"/>
  <c r="J1467" i="4"/>
  <c r="K1467" i="4" s="1"/>
  <c r="I1467" i="4"/>
  <c r="H1467" i="4"/>
  <c r="I1466" i="4"/>
  <c r="J1466" i="4" s="1"/>
  <c r="K1466" i="4" s="1"/>
  <c r="H1466" i="4"/>
  <c r="I1465" i="4"/>
  <c r="J1465" i="4" s="1"/>
  <c r="K1465" i="4" s="1"/>
  <c r="H1465" i="4"/>
  <c r="I1464" i="4"/>
  <c r="J1464" i="4" s="1"/>
  <c r="K1464" i="4" s="1"/>
  <c r="H1464" i="4"/>
  <c r="J1463" i="4"/>
  <c r="I1463" i="4"/>
  <c r="H1463" i="4"/>
  <c r="K1463" i="4" s="1"/>
  <c r="I1462" i="4"/>
  <c r="J1462" i="4" s="1"/>
  <c r="K1462" i="4" s="1"/>
  <c r="H1462" i="4"/>
  <c r="J1461" i="4"/>
  <c r="K1461" i="4" s="1"/>
  <c r="I1461" i="4"/>
  <c r="H1461" i="4"/>
  <c r="I1460" i="4"/>
  <c r="J1460" i="4" s="1"/>
  <c r="K1460" i="4" s="1"/>
  <c r="H1460" i="4"/>
  <c r="K1459" i="4"/>
  <c r="J1459" i="4"/>
  <c r="I1459" i="4"/>
  <c r="H1459" i="4"/>
  <c r="J1458" i="4"/>
  <c r="K1458" i="4" s="1"/>
  <c r="I1458" i="4"/>
  <c r="H1458" i="4"/>
  <c r="I1457" i="4"/>
  <c r="J1457" i="4" s="1"/>
  <c r="K1457" i="4" s="1"/>
  <c r="H1457" i="4"/>
  <c r="I1456" i="4"/>
  <c r="J1456" i="4" s="1"/>
  <c r="K1456" i="4" s="1"/>
  <c r="H1456" i="4"/>
  <c r="J1366" i="4"/>
  <c r="K1366" i="4" s="1"/>
  <c r="I1366" i="4"/>
  <c r="H1366" i="4"/>
  <c r="I1365" i="4"/>
  <c r="J1365" i="4" s="1"/>
  <c r="K1365" i="4" s="1"/>
  <c r="H1365" i="4"/>
  <c r="I1364" i="4"/>
  <c r="J1364" i="4" s="1"/>
  <c r="K1364" i="4" s="1"/>
  <c r="H1364" i="4"/>
  <c r="I1363" i="4"/>
  <c r="J1363" i="4" s="1"/>
  <c r="K1363" i="4" s="1"/>
  <c r="H1363" i="4"/>
  <c r="J1362" i="4"/>
  <c r="K1362" i="4" s="1"/>
  <c r="I1362" i="4"/>
  <c r="H1362" i="4"/>
  <c r="I1361" i="4"/>
  <c r="J1361" i="4" s="1"/>
  <c r="K1361" i="4" s="1"/>
  <c r="H1361" i="4"/>
  <c r="I1360" i="4"/>
  <c r="J1360" i="4" s="1"/>
  <c r="K1360" i="4" s="1"/>
  <c r="H1360" i="4"/>
  <c r="J1359" i="4"/>
  <c r="K1359" i="4" s="1"/>
  <c r="I1359" i="4"/>
  <c r="H1359" i="4"/>
  <c r="J1358" i="4"/>
  <c r="K1358" i="4" s="1"/>
  <c r="I1358" i="4"/>
  <c r="H1358" i="4"/>
  <c r="I1357" i="4"/>
  <c r="J1357" i="4" s="1"/>
  <c r="K1357" i="4" s="1"/>
  <c r="H1357" i="4"/>
  <c r="I1356" i="4"/>
  <c r="J1356" i="4" s="1"/>
  <c r="K1356" i="4" s="1"/>
  <c r="H1356" i="4"/>
  <c r="I1355" i="4"/>
  <c r="J1355" i="4" s="1"/>
  <c r="K1355" i="4" s="1"/>
  <c r="H1355" i="4"/>
  <c r="J1354" i="4"/>
  <c r="K1354" i="4" s="1"/>
  <c r="I1354" i="4"/>
  <c r="H1354" i="4"/>
  <c r="K1353" i="4"/>
  <c r="J1353" i="4"/>
  <c r="I1353" i="4"/>
  <c r="H1353" i="4"/>
  <c r="J1352" i="4"/>
  <c r="K1352" i="4" s="1"/>
  <c r="I1352" i="4"/>
  <c r="H1352" i="4"/>
  <c r="I1351" i="4"/>
  <c r="J1351" i="4" s="1"/>
  <c r="K1351" i="4" s="1"/>
  <c r="H1351" i="4"/>
  <c r="J1350" i="4"/>
  <c r="K1350" i="4" s="1"/>
  <c r="I1350" i="4"/>
  <c r="H1350" i="4"/>
  <c r="J1349" i="4"/>
  <c r="K1349" i="4" s="1"/>
  <c r="I1349" i="4"/>
  <c r="H1349" i="4"/>
  <c r="I1348" i="4"/>
  <c r="J1348" i="4" s="1"/>
  <c r="K1348" i="4" s="1"/>
  <c r="H1348" i="4"/>
  <c r="I1347" i="4"/>
  <c r="J1347" i="4" s="1"/>
  <c r="K1347" i="4" s="1"/>
  <c r="H1347" i="4"/>
  <c r="J1346" i="4"/>
  <c r="I1346" i="4"/>
  <c r="H1346" i="4"/>
  <c r="K1346" i="4" s="1"/>
  <c r="I1345" i="4"/>
  <c r="J1345" i="4" s="1"/>
  <c r="K1345" i="4" s="1"/>
  <c r="H1345" i="4"/>
  <c r="I1344" i="4"/>
  <c r="J1344" i="4" s="1"/>
  <c r="H1344" i="4"/>
  <c r="I1343" i="4"/>
  <c r="J1343" i="4" s="1"/>
  <c r="K1343" i="4" s="1"/>
  <c r="H1343" i="4"/>
  <c r="J1342" i="4"/>
  <c r="K1342" i="4" s="1"/>
  <c r="I1342" i="4"/>
  <c r="H1342" i="4"/>
  <c r="I1341" i="4"/>
  <c r="J1341" i="4" s="1"/>
  <c r="K1341" i="4" s="1"/>
  <c r="H1341" i="4"/>
  <c r="I1340" i="4"/>
  <c r="J1340" i="4" s="1"/>
  <c r="K1340" i="4" s="1"/>
  <c r="H1340" i="4"/>
  <c r="J1339" i="4"/>
  <c r="K1339" i="4" s="1"/>
  <c r="I1339" i="4"/>
  <c r="H1339" i="4"/>
  <c r="I1338" i="4"/>
  <c r="J1338" i="4" s="1"/>
  <c r="K1338" i="4" s="1"/>
  <c r="H1338" i="4"/>
  <c r="I1337" i="4"/>
  <c r="J1337" i="4" s="1"/>
  <c r="K1337" i="4" s="1"/>
  <c r="H1337" i="4"/>
  <c r="K1335" i="4"/>
  <c r="J1335" i="4"/>
  <c r="I1335" i="4"/>
  <c r="H1335" i="4"/>
  <c r="I1334" i="4"/>
  <c r="J1334" i="4" s="1"/>
  <c r="K1334" i="4" s="1"/>
  <c r="H1334" i="4"/>
  <c r="I1333" i="4"/>
  <c r="J1333" i="4" s="1"/>
  <c r="K1333" i="4" s="1"/>
  <c r="H1333" i="4"/>
  <c r="I1332" i="4"/>
  <c r="J1332" i="4" s="1"/>
  <c r="K1332" i="4" s="1"/>
  <c r="H1332" i="4"/>
  <c r="J1331" i="4"/>
  <c r="K1331" i="4" s="1"/>
  <c r="I1331" i="4"/>
  <c r="H1331" i="4"/>
  <c r="I1330" i="4"/>
  <c r="J1330" i="4" s="1"/>
  <c r="H1330" i="4"/>
  <c r="I1328" i="4"/>
  <c r="J1328" i="4" s="1"/>
  <c r="K1328" i="4" s="1"/>
  <c r="H1328" i="4"/>
  <c r="I1327" i="4"/>
  <c r="J1327" i="4" s="1"/>
  <c r="K1327" i="4" s="1"/>
  <c r="H1327" i="4"/>
  <c r="I1326" i="4"/>
  <c r="J1326" i="4" s="1"/>
  <c r="K1326" i="4" s="1"/>
  <c r="H1326" i="4"/>
  <c r="I1325" i="4"/>
  <c r="J1325" i="4" s="1"/>
  <c r="H1325" i="4"/>
  <c r="I1324" i="4"/>
  <c r="J1324" i="4" s="1"/>
  <c r="K1324" i="4" s="1"/>
  <c r="H1324" i="4"/>
  <c r="J1323" i="4"/>
  <c r="K1323" i="4" s="1"/>
  <c r="I1323" i="4"/>
  <c r="H1323" i="4"/>
  <c r="I1322" i="4"/>
  <c r="J1322" i="4" s="1"/>
  <c r="H1322" i="4"/>
  <c r="J1321" i="4"/>
  <c r="K1321" i="4" s="1"/>
  <c r="I1321" i="4"/>
  <c r="H1321" i="4"/>
  <c r="J1320" i="4"/>
  <c r="K1320" i="4" s="1"/>
  <c r="I1320" i="4"/>
  <c r="H1320" i="4"/>
  <c r="I1319" i="4"/>
  <c r="J1319" i="4" s="1"/>
  <c r="K1319" i="4" s="1"/>
  <c r="H1319" i="4"/>
  <c r="I1318" i="4"/>
  <c r="J1318" i="4" s="1"/>
  <c r="K1318" i="4" s="1"/>
  <c r="H1318" i="4"/>
  <c r="J1317" i="4"/>
  <c r="K1317" i="4" s="1"/>
  <c r="I1317" i="4"/>
  <c r="H1317" i="4"/>
  <c r="I1316" i="4"/>
  <c r="J1316" i="4" s="1"/>
  <c r="K1316" i="4" s="1"/>
  <c r="H1316" i="4"/>
  <c r="I1315" i="4"/>
  <c r="J1315" i="4" s="1"/>
  <c r="K1315" i="4" s="1"/>
  <c r="H1315" i="4"/>
  <c r="I1314" i="4"/>
  <c r="J1314" i="4" s="1"/>
  <c r="K1314" i="4" s="1"/>
  <c r="H1314" i="4"/>
  <c r="I1313" i="4"/>
  <c r="J1313" i="4" s="1"/>
  <c r="H1313" i="4"/>
  <c r="I1312" i="4"/>
  <c r="J1312" i="4" s="1"/>
  <c r="K1312" i="4" s="1"/>
  <c r="H1312" i="4"/>
  <c r="I1311" i="4"/>
  <c r="J1311" i="4" s="1"/>
  <c r="K1311" i="4" s="1"/>
  <c r="H1311" i="4"/>
  <c r="I1310" i="4"/>
  <c r="J1310" i="4" s="1"/>
  <c r="K1310" i="4" s="1"/>
  <c r="H1310" i="4"/>
  <c r="I1309" i="4"/>
  <c r="J1309" i="4" s="1"/>
  <c r="H1309" i="4"/>
  <c r="I1308" i="4"/>
  <c r="J1308" i="4" s="1"/>
  <c r="H1308" i="4"/>
  <c r="K1308" i="4" s="1"/>
  <c r="I1307" i="4"/>
  <c r="J1307" i="4" s="1"/>
  <c r="K1307" i="4" s="1"/>
  <c r="H1307" i="4"/>
  <c r="J1306" i="4"/>
  <c r="K1306" i="4" s="1"/>
  <c r="I1306" i="4"/>
  <c r="H1306" i="4"/>
  <c r="I1305" i="4"/>
  <c r="J1305" i="4" s="1"/>
  <c r="K1305" i="4" s="1"/>
  <c r="H1305" i="4"/>
  <c r="J1304" i="4"/>
  <c r="K1304" i="4" s="1"/>
  <c r="I1304" i="4"/>
  <c r="H1304" i="4"/>
  <c r="J1303" i="4"/>
  <c r="K1303" i="4" s="1"/>
  <c r="I1303" i="4"/>
  <c r="H1303" i="4"/>
  <c r="I1302" i="4"/>
  <c r="J1302" i="4" s="1"/>
  <c r="K1302" i="4" s="1"/>
  <c r="H1302" i="4"/>
  <c r="I1301" i="4"/>
  <c r="J1301" i="4" s="1"/>
  <c r="K1301" i="4" s="1"/>
  <c r="H1301" i="4"/>
  <c r="I1300" i="4"/>
  <c r="J1300" i="4" s="1"/>
  <c r="K1300" i="4" s="1"/>
  <c r="H1300" i="4"/>
  <c r="I1299" i="4"/>
  <c r="J1299" i="4" s="1"/>
  <c r="K1299" i="4" s="1"/>
  <c r="H1299" i="4"/>
  <c r="I1298" i="4"/>
  <c r="J1298" i="4" s="1"/>
  <c r="K1298" i="4" s="1"/>
  <c r="H1298" i="4"/>
  <c r="I1297" i="4"/>
  <c r="J1297" i="4" s="1"/>
  <c r="K1297" i="4" s="1"/>
  <c r="H1297" i="4"/>
  <c r="I1296" i="4"/>
  <c r="J1296" i="4" s="1"/>
  <c r="H1296" i="4"/>
  <c r="I1295" i="4"/>
  <c r="J1295" i="4" s="1"/>
  <c r="K1295" i="4" s="1"/>
  <c r="H1295" i="4"/>
  <c r="I1294" i="4"/>
  <c r="J1294" i="4" s="1"/>
  <c r="K1294" i="4" s="1"/>
  <c r="H1294" i="4"/>
  <c r="J1292" i="4"/>
  <c r="K1292" i="4" s="1"/>
  <c r="I1292" i="4"/>
  <c r="H1292" i="4"/>
  <c r="I1291" i="4"/>
  <c r="J1291" i="4" s="1"/>
  <c r="H1291" i="4"/>
  <c r="I1289" i="4"/>
  <c r="J1289" i="4" s="1"/>
  <c r="K1289" i="4" s="1"/>
  <c r="H1289" i="4"/>
  <c r="I1288" i="4"/>
  <c r="J1288" i="4" s="1"/>
  <c r="K1288" i="4" s="1"/>
  <c r="H1288" i="4"/>
  <c r="I1286" i="4"/>
  <c r="J1286" i="4" s="1"/>
  <c r="K1286" i="4" s="1"/>
  <c r="H1286" i="4"/>
  <c r="I1285" i="4"/>
  <c r="J1285" i="4" s="1"/>
  <c r="K1285" i="4" s="1"/>
  <c r="H1285" i="4"/>
  <c r="J1284" i="4"/>
  <c r="K1284" i="4" s="1"/>
  <c r="I1284" i="4"/>
  <c r="H1284" i="4"/>
  <c r="J1283" i="4"/>
  <c r="K1283" i="4" s="1"/>
  <c r="I1283" i="4"/>
  <c r="H1283" i="4"/>
  <c r="I1282" i="4"/>
  <c r="J1282" i="4" s="1"/>
  <c r="K1282" i="4" s="1"/>
  <c r="H1282" i="4"/>
  <c r="I1280" i="4"/>
  <c r="J1280" i="4" s="1"/>
  <c r="K1280" i="4" s="1"/>
  <c r="H1280" i="4"/>
  <c r="I1279" i="4"/>
  <c r="J1279" i="4" s="1"/>
  <c r="K1279" i="4" s="1"/>
  <c r="H1279" i="4"/>
  <c r="I1278" i="4"/>
  <c r="J1278" i="4" s="1"/>
  <c r="K1278" i="4" s="1"/>
  <c r="H1278" i="4"/>
  <c r="I1277" i="4"/>
  <c r="J1277" i="4" s="1"/>
  <c r="K1277" i="4" s="1"/>
  <c r="H1277" i="4"/>
  <c r="I1276" i="4"/>
  <c r="J1276" i="4" s="1"/>
  <c r="K1276" i="4" s="1"/>
  <c r="H1276" i="4"/>
  <c r="I1275" i="4"/>
  <c r="J1275" i="4" s="1"/>
  <c r="K1275" i="4" s="1"/>
  <c r="H1275" i="4"/>
  <c r="I1273" i="4"/>
  <c r="J1273" i="4" s="1"/>
  <c r="H1273" i="4"/>
  <c r="I1272" i="4"/>
  <c r="J1272" i="4" s="1"/>
  <c r="K1272" i="4" s="1"/>
  <c r="H1272" i="4"/>
  <c r="J1270" i="4"/>
  <c r="K1270" i="4" s="1"/>
  <c r="I1270" i="4"/>
  <c r="H1270" i="4"/>
  <c r="I1269" i="4"/>
  <c r="J1269" i="4" s="1"/>
  <c r="K1269" i="4" s="1"/>
  <c r="H1269" i="4"/>
  <c r="I1267" i="4"/>
  <c r="J1267" i="4" s="1"/>
  <c r="K1267" i="4" s="1"/>
  <c r="H1267" i="4"/>
  <c r="J1266" i="4"/>
  <c r="K1266" i="4" s="1"/>
  <c r="I1266" i="4"/>
  <c r="H1266" i="4"/>
  <c r="I1265" i="4"/>
  <c r="J1265" i="4" s="1"/>
  <c r="K1265" i="4" s="1"/>
  <c r="H1265" i="4"/>
  <c r="I1264" i="4"/>
  <c r="J1264" i="4" s="1"/>
  <c r="K1264" i="4" s="1"/>
  <c r="H1264" i="4"/>
  <c r="J1263" i="4"/>
  <c r="I1263" i="4"/>
  <c r="H1263" i="4"/>
  <c r="J1261" i="4"/>
  <c r="K1261" i="4" s="1"/>
  <c r="I1261" i="4"/>
  <c r="H1261" i="4"/>
  <c r="I1260" i="4"/>
  <c r="J1260" i="4" s="1"/>
  <c r="K1260" i="4" s="1"/>
  <c r="H1260" i="4"/>
  <c r="I1259" i="4"/>
  <c r="J1259" i="4" s="1"/>
  <c r="K1259" i="4" s="1"/>
  <c r="H1259" i="4"/>
  <c r="I1258" i="4"/>
  <c r="J1258" i="4" s="1"/>
  <c r="K1258" i="4" s="1"/>
  <c r="H1258" i="4"/>
  <c r="I1257" i="4"/>
  <c r="J1257" i="4" s="1"/>
  <c r="K1257" i="4" s="1"/>
  <c r="H1257" i="4"/>
  <c r="I1256" i="4"/>
  <c r="J1256" i="4" s="1"/>
  <c r="K1256" i="4" s="1"/>
  <c r="H1256" i="4"/>
  <c r="I1254" i="4"/>
  <c r="J1254" i="4" s="1"/>
  <c r="K1254" i="4" s="1"/>
  <c r="H1254" i="4"/>
  <c r="I1253" i="4"/>
  <c r="J1253" i="4" s="1"/>
  <c r="K1253" i="4" s="1"/>
  <c r="H1253" i="4"/>
  <c r="I1252" i="4"/>
  <c r="J1252" i="4" s="1"/>
  <c r="K1252" i="4" s="1"/>
  <c r="H1252" i="4"/>
  <c r="I1251" i="4"/>
  <c r="J1251" i="4" s="1"/>
  <c r="K1251" i="4" s="1"/>
  <c r="H1251" i="4"/>
  <c r="J1250" i="4"/>
  <c r="K1250" i="4" s="1"/>
  <c r="I1250" i="4"/>
  <c r="H1250" i="4"/>
  <c r="I1249" i="4"/>
  <c r="J1249" i="4" s="1"/>
  <c r="K1249" i="4" s="1"/>
  <c r="H1249" i="4"/>
  <c r="I1248" i="4"/>
  <c r="J1248" i="4" s="1"/>
  <c r="H1248" i="4"/>
  <c r="J1247" i="4"/>
  <c r="K1247" i="4" s="1"/>
  <c r="I1247" i="4"/>
  <c r="H1247" i="4"/>
  <c r="I1246" i="4"/>
  <c r="J1246" i="4" s="1"/>
  <c r="K1246" i="4" s="1"/>
  <c r="H1246" i="4"/>
  <c r="I1245" i="4"/>
  <c r="J1245" i="4" s="1"/>
  <c r="K1245" i="4" s="1"/>
  <c r="H1245" i="4"/>
  <c r="J1244" i="4"/>
  <c r="I1244" i="4"/>
  <c r="H1244" i="4"/>
  <c r="I1243" i="4"/>
  <c r="J1243" i="4" s="1"/>
  <c r="K1243" i="4" s="1"/>
  <c r="H1243" i="4"/>
  <c r="I1242" i="4"/>
  <c r="J1242" i="4" s="1"/>
  <c r="K1242" i="4" s="1"/>
  <c r="H1242" i="4"/>
  <c r="I1241" i="4"/>
  <c r="J1241" i="4" s="1"/>
  <c r="K1241" i="4" s="1"/>
  <c r="H1241" i="4"/>
  <c r="I1240" i="4"/>
  <c r="J1240" i="4" s="1"/>
  <c r="K1240" i="4" s="1"/>
  <c r="H1240" i="4"/>
  <c r="J1239" i="4"/>
  <c r="K1239" i="4" s="1"/>
  <c r="I1239" i="4"/>
  <c r="H1239" i="4"/>
  <c r="I1238" i="4"/>
  <c r="J1238" i="4" s="1"/>
  <c r="K1238" i="4" s="1"/>
  <c r="H1238" i="4"/>
  <c r="I1237" i="4"/>
  <c r="J1237" i="4" s="1"/>
  <c r="K1237" i="4" s="1"/>
  <c r="H1237" i="4"/>
  <c r="I1236" i="4"/>
  <c r="J1236" i="4" s="1"/>
  <c r="K1236" i="4" s="1"/>
  <c r="H1236" i="4"/>
  <c r="I1235" i="4"/>
  <c r="J1235" i="4" s="1"/>
  <c r="K1235" i="4" s="1"/>
  <c r="H1235" i="4"/>
  <c r="K1234" i="4"/>
  <c r="I1234" i="4"/>
  <c r="J1234" i="4" s="1"/>
  <c r="H1234" i="4"/>
  <c r="J1233" i="4"/>
  <c r="K1233" i="4" s="1"/>
  <c r="I1233" i="4"/>
  <c r="H1233" i="4"/>
  <c r="I1232" i="4"/>
  <c r="J1232" i="4" s="1"/>
  <c r="H1232" i="4"/>
  <c r="I1231" i="4"/>
  <c r="J1231" i="4" s="1"/>
  <c r="K1231" i="4" s="1"/>
  <c r="H1231" i="4"/>
  <c r="J1230" i="4"/>
  <c r="K1230" i="4" s="1"/>
  <c r="I1230" i="4"/>
  <c r="H1230" i="4"/>
  <c r="I1229" i="4"/>
  <c r="J1229" i="4" s="1"/>
  <c r="K1229" i="4" s="1"/>
  <c r="H1229" i="4"/>
  <c r="I1228" i="4"/>
  <c r="J1228" i="4" s="1"/>
  <c r="K1228" i="4" s="1"/>
  <c r="H1228" i="4"/>
  <c r="J1226" i="4"/>
  <c r="K1226" i="4" s="1"/>
  <c r="I1226" i="4"/>
  <c r="H1226" i="4"/>
  <c r="I1225" i="4"/>
  <c r="J1225" i="4" s="1"/>
  <c r="K1225" i="4" s="1"/>
  <c r="H1225" i="4"/>
  <c r="I1224" i="4"/>
  <c r="J1224" i="4" s="1"/>
  <c r="K1224" i="4" s="1"/>
  <c r="H1224" i="4"/>
  <c r="I1223" i="4"/>
  <c r="J1223" i="4" s="1"/>
  <c r="K1223" i="4" s="1"/>
  <c r="H1223" i="4"/>
  <c r="J1222" i="4"/>
  <c r="K1222" i="4" s="1"/>
  <c r="I1222" i="4"/>
  <c r="H1222" i="4"/>
  <c r="I1220" i="4"/>
  <c r="J1220" i="4" s="1"/>
  <c r="K1220" i="4" s="1"/>
  <c r="H1220" i="4"/>
  <c r="I1219" i="4"/>
  <c r="J1219" i="4" s="1"/>
  <c r="K1219" i="4" s="1"/>
  <c r="H1219" i="4"/>
  <c r="J1218" i="4"/>
  <c r="K1218" i="4" s="1"/>
  <c r="I1218" i="4"/>
  <c r="H1218" i="4"/>
  <c r="I1217" i="4"/>
  <c r="J1217" i="4" s="1"/>
  <c r="H1217" i="4"/>
  <c r="J1216" i="4"/>
  <c r="K1216" i="4" s="1"/>
  <c r="I1216" i="4"/>
  <c r="H1216" i="4"/>
  <c r="I1215" i="4"/>
  <c r="J1215" i="4" s="1"/>
  <c r="K1215" i="4" s="1"/>
  <c r="H1215" i="4"/>
  <c r="I1213" i="4"/>
  <c r="J1213" i="4" s="1"/>
  <c r="K1213" i="4" s="1"/>
  <c r="H1213" i="4"/>
  <c r="I1212" i="4"/>
  <c r="J1212" i="4" s="1"/>
  <c r="H1212" i="4"/>
  <c r="J1211" i="4"/>
  <c r="K1211" i="4" s="1"/>
  <c r="I1211" i="4"/>
  <c r="H1211" i="4"/>
  <c r="K1210" i="4"/>
  <c r="J1210" i="4"/>
  <c r="I1210" i="4"/>
  <c r="H1210" i="4"/>
  <c r="I1209" i="4"/>
  <c r="J1209" i="4" s="1"/>
  <c r="K1209" i="4" s="1"/>
  <c r="H1209" i="4"/>
  <c r="I1208" i="4"/>
  <c r="J1208" i="4" s="1"/>
  <c r="K1208" i="4" s="1"/>
  <c r="H1208" i="4"/>
  <c r="I1207" i="4"/>
  <c r="J1207" i="4" s="1"/>
  <c r="K1207" i="4" s="1"/>
  <c r="H1207" i="4"/>
  <c r="J1206" i="4"/>
  <c r="K1206" i="4" s="1"/>
  <c r="I1206" i="4"/>
  <c r="H1206" i="4"/>
  <c r="I1205" i="4"/>
  <c r="J1205" i="4" s="1"/>
  <c r="K1205" i="4" s="1"/>
  <c r="H1205" i="4"/>
  <c r="I1204" i="4"/>
  <c r="J1204" i="4" s="1"/>
  <c r="K1204" i="4" s="1"/>
  <c r="H1204" i="4"/>
  <c r="I1203" i="4"/>
  <c r="J1203" i="4" s="1"/>
  <c r="K1203" i="4" s="1"/>
  <c r="H1203" i="4"/>
  <c r="J1202" i="4"/>
  <c r="K1202" i="4" s="1"/>
  <c r="I1202" i="4"/>
  <c r="H1202" i="4"/>
  <c r="I1201" i="4"/>
  <c r="J1201" i="4" s="1"/>
  <c r="K1201" i="4" s="1"/>
  <c r="H1201" i="4"/>
  <c r="J1200" i="4"/>
  <c r="K1200" i="4" s="1"/>
  <c r="I1200" i="4"/>
  <c r="H1200" i="4"/>
  <c r="I1199" i="4"/>
  <c r="J1199" i="4" s="1"/>
  <c r="K1199" i="4" s="1"/>
  <c r="H1199" i="4"/>
  <c r="J1198" i="4"/>
  <c r="K1198" i="4" s="1"/>
  <c r="I1198" i="4"/>
  <c r="H1198" i="4"/>
  <c r="J1197" i="4"/>
  <c r="K1197" i="4" s="1"/>
  <c r="I1197" i="4"/>
  <c r="H1197" i="4"/>
  <c r="I1196" i="4"/>
  <c r="J1196" i="4" s="1"/>
  <c r="K1196" i="4" s="1"/>
  <c r="H1196" i="4"/>
  <c r="I1195" i="4"/>
  <c r="J1195" i="4" s="1"/>
  <c r="K1195" i="4" s="1"/>
  <c r="H1195" i="4"/>
  <c r="I1194" i="4"/>
  <c r="J1194" i="4" s="1"/>
  <c r="H1194" i="4"/>
  <c r="I1193" i="4"/>
  <c r="J1193" i="4" s="1"/>
  <c r="K1193" i="4" s="1"/>
  <c r="H1193" i="4"/>
  <c r="I1192" i="4"/>
  <c r="J1192" i="4" s="1"/>
  <c r="K1192" i="4" s="1"/>
  <c r="H1192" i="4"/>
  <c r="I1191" i="4"/>
  <c r="J1191" i="4" s="1"/>
  <c r="K1191" i="4" s="1"/>
  <c r="H1191" i="4"/>
  <c r="I1127" i="4"/>
  <c r="J1127" i="4" s="1"/>
  <c r="K1127" i="4" s="1"/>
  <c r="H1127" i="4"/>
  <c r="I1126" i="4"/>
  <c r="J1126" i="4" s="1"/>
  <c r="K1126" i="4" s="1"/>
  <c r="H1126" i="4"/>
  <c r="I1125" i="4"/>
  <c r="J1125" i="4" s="1"/>
  <c r="K1125" i="4" s="1"/>
  <c r="H1125" i="4"/>
  <c r="I1124" i="4"/>
  <c r="J1124" i="4" s="1"/>
  <c r="K1124" i="4" s="1"/>
  <c r="H1124" i="4"/>
  <c r="J1123" i="4"/>
  <c r="K1123" i="4" s="1"/>
  <c r="I1123" i="4"/>
  <c r="H1123" i="4"/>
  <c r="J1122" i="4"/>
  <c r="I1122" i="4"/>
  <c r="H1122" i="4"/>
  <c r="I1121" i="4"/>
  <c r="J1121" i="4" s="1"/>
  <c r="K1121" i="4" s="1"/>
  <c r="H1121" i="4"/>
  <c r="J1120" i="4"/>
  <c r="K1120" i="4" s="1"/>
  <c r="I1120" i="4"/>
  <c r="H1120" i="4"/>
  <c r="I1119" i="4"/>
  <c r="J1119" i="4" s="1"/>
  <c r="K1119" i="4" s="1"/>
  <c r="H1119" i="4"/>
  <c r="I1118" i="4"/>
  <c r="J1118" i="4" s="1"/>
  <c r="K1118" i="4" s="1"/>
  <c r="H1118" i="4"/>
  <c r="J1117" i="4"/>
  <c r="K1117" i="4" s="1"/>
  <c r="I1117" i="4"/>
  <c r="H1117" i="4"/>
  <c r="I1116" i="4"/>
  <c r="J1116" i="4" s="1"/>
  <c r="K1116" i="4" s="1"/>
  <c r="H1116" i="4"/>
  <c r="I1115" i="4"/>
  <c r="J1115" i="4" s="1"/>
  <c r="H1115" i="4"/>
  <c r="I1114" i="4"/>
  <c r="J1114" i="4" s="1"/>
  <c r="K1114" i="4" s="1"/>
  <c r="H1114" i="4"/>
  <c r="I1113" i="4"/>
  <c r="J1113" i="4" s="1"/>
  <c r="K1113" i="4" s="1"/>
  <c r="H1113" i="4"/>
  <c r="I1112" i="4"/>
  <c r="J1112" i="4" s="1"/>
  <c r="K1112" i="4" s="1"/>
  <c r="H1112" i="4"/>
  <c r="I1111" i="4"/>
  <c r="J1111" i="4" s="1"/>
  <c r="K1111" i="4" s="1"/>
  <c r="H1111" i="4"/>
  <c r="I1110" i="4"/>
  <c r="J1110" i="4" s="1"/>
  <c r="K1110" i="4" s="1"/>
  <c r="H1110" i="4"/>
  <c r="J1109" i="4"/>
  <c r="K1109" i="4" s="1"/>
  <c r="I1109" i="4"/>
  <c r="H1109" i="4"/>
  <c r="I1108" i="4"/>
  <c r="J1108" i="4" s="1"/>
  <c r="K1108" i="4" s="1"/>
  <c r="H1108" i="4"/>
  <c r="I1107" i="4"/>
  <c r="J1107" i="4" s="1"/>
  <c r="K1107" i="4" s="1"/>
  <c r="H1107" i="4"/>
  <c r="I1106" i="4"/>
  <c r="J1106" i="4" s="1"/>
  <c r="H1106" i="4"/>
  <c r="I1105" i="4"/>
  <c r="J1105" i="4" s="1"/>
  <c r="K1105" i="4" s="1"/>
  <c r="H1105" i="4"/>
  <c r="K1104" i="4"/>
  <c r="I1104" i="4"/>
  <c r="J1104" i="4" s="1"/>
  <c r="H1104" i="4"/>
  <c r="J1103" i="4"/>
  <c r="K1103" i="4" s="1"/>
  <c r="I1103" i="4"/>
  <c r="H1103" i="4"/>
  <c r="I1102" i="4"/>
  <c r="J1102" i="4" s="1"/>
  <c r="H1102" i="4"/>
  <c r="J994" i="4"/>
  <c r="K994" i="4" s="1"/>
  <c r="I994" i="4"/>
  <c r="H994" i="4"/>
  <c r="J993" i="4"/>
  <c r="K993" i="4" s="1"/>
  <c r="I993" i="4"/>
  <c r="H993" i="4"/>
  <c r="I992" i="4"/>
  <c r="J992" i="4" s="1"/>
  <c r="K992" i="4" s="1"/>
  <c r="H992" i="4"/>
  <c r="I991" i="4"/>
  <c r="J991" i="4" s="1"/>
  <c r="K991" i="4" s="1"/>
  <c r="H991" i="4"/>
  <c r="I990" i="4"/>
  <c r="J990" i="4" s="1"/>
  <c r="K990" i="4" s="1"/>
  <c r="H990" i="4"/>
  <c r="J989" i="4"/>
  <c r="K989" i="4" s="1"/>
  <c r="I989" i="4"/>
  <c r="H989" i="4"/>
  <c r="I988" i="4"/>
  <c r="J988" i="4" s="1"/>
  <c r="K988" i="4" s="1"/>
  <c r="H988" i="4"/>
  <c r="I987" i="4"/>
  <c r="J987" i="4" s="1"/>
  <c r="K987" i="4" s="1"/>
  <c r="H987" i="4"/>
  <c r="J986" i="4"/>
  <c r="I986" i="4"/>
  <c r="H986" i="4"/>
  <c r="I985" i="4"/>
  <c r="J985" i="4" s="1"/>
  <c r="K985" i="4" s="1"/>
  <c r="H985" i="4"/>
  <c r="I984" i="4"/>
  <c r="J984" i="4" s="1"/>
  <c r="K984" i="4" s="1"/>
  <c r="H984" i="4"/>
  <c r="J983" i="4"/>
  <c r="K983" i="4" s="1"/>
  <c r="I983" i="4"/>
  <c r="H983" i="4"/>
  <c r="I982" i="4"/>
  <c r="J982" i="4" s="1"/>
  <c r="H982" i="4"/>
  <c r="I981" i="4"/>
  <c r="J981" i="4" s="1"/>
  <c r="K981" i="4" s="1"/>
  <c r="H981" i="4"/>
  <c r="I980" i="4"/>
  <c r="J980" i="4" s="1"/>
  <c r="K980" i="4" s="1"/>
  <c r="H980" i="4"/>
  <c r="I979" i="4"/>
  <c r="J979" i="4" s="1"/>
  <c r="K979" i="4" s="1"/>
  <c r="H979" i="4"/>
  <c r="I978" i="4"/>
  <c r="J978" i="4" s="1"/>
  <c r="H978" i="4"/>
  <c r="I977" i="4"/>
  <c r="J977" i="4" s="1"/>
  <c r="K977" i="4" s="1"/>
  <c r="H977" i="4"/>
  <c r="J976" i="4"/>
  <c r="K976" i="4" s="1"/>
  <c r="I976" i="4"/>
  <c r="H976" i="4"/>
  <c r="I975" i="4"/>
  <c r="J975" i="4" s="1"/>
  <c r="K975" i="4" s="1"/>
  <c r="H975" i="4"/>
  <c r="I974" i="4"/>
  <c r="J974" i="4" s="1"/>
  <c r="K974" i="4" s="1"/>
  <c r="H974" i="4"/>
  <c r="I973" i="4"/>
  <c r="J973" i="4" s="1"/>
  <c r="K973" i="4" s="1"/>
  <c r="H973" i="4"/>
  <c r="I972" i="4"/>
  <c r="J972" i="4" s="1"/>
  <c r="K972" i="4" s="1"/>
  <c r="H972" i="4"/>
  <c r="I971" i="4"/>
  <c r="J971" i="4" s="1"/>
  <c r="K971" i="4" s="1"/>
  <c r="H971" i="4"/>
  <c r="I970" i="4"/>
  <c r="J970" i="4" s="1"/>
  <c r="H970" i="4"/>
  <c r="I969" i="4"/>
  <c r="J969" i="4" s="1"/>
  <c r="K969" i="4" s="1"/>
  <c r="H969" i="4"/>
  <c r="I968" i="4"/>
  <c r="J968" i="4" s="1"/>
  <c r="H968" i="4"/>
  <c r="I967" i="4"/>
  <c r="J967" i="4" s="1"/>
  <c r="K967" i="4" s="1"/>
  <c r="H967" i="4"/>
  <c r="J966" i="4"/>
  <c r="K966" i="4" s="1"/>
  <c r="I966" i="4"/>
  <c r="H966" i="4"/>
  <c r="I965" i="4"/>
  <c r="J965" i="4" s="1"/>
  <c r="K965" i="4" s="1"/>
  <c r="H965" i="4"/>
  <c r="J901" i="4"/>
  <c r="K901" i="4" s="1"/>
  <c r="I901" i="4"/>
  <c r="H901" i="4"/>
  <c r="J900" i="4"/>
  <c r="K900" i="4" s="1"/>
  <c r="I900" i="4"/>
  <c r="H900" i="4"/>
  <c r="I899" i="4"/>
  <c r="J899" i="4" s="1"/>
  <c r="K899" i="4" s="1"/>
  <c r="H899" i="4"/>
  <c r="J898" i="4"/>
  <c r="K898" i="4" s="1"/>
  <c r="I898" i="4"/>
  <c r="H898" i="4"/>
  <c r="I897" i="4"/>
  <c r="J897" i="4" s="1"/>
  <c r="K897" i="4" s="1"/>
  <c r="H897" i="4"/>
  <c r="I895" i="4"/>
  <c r="J895" i="4" s="1"/>
  <c r="K895" i="4" s="1"/>
  <c r="H895" i="4"/>
  <c r="I894" i="4"/>
  <c r="J894" i="4" s="1"/>
  <c r="K894" i="4" s="1"/>
  <c r="H894" i="4"/>
  <c r="I893" i="4"/>
  <c r="J893" i="4" s="1"/>
  <c r="K893" i="4" s="1"/>
  <c r="H893" i="4"/>
  <c r="I892" i="4"/>
  <c r="J892" i="4" s="1"/>
  <c r="K892" i="4" s="1"/>
  <c r="H892" i="4"/>
  <c r="I891" i="4"/>
  <c r="J891" i="4" s="1"/>
  <c r="K891" i="4" s="1"/>
  <c r="H891" i="4"/>
  <c r="I889" i="4"/>
  <c r="J889" i="4" s="1"/>
  <c r="K889" i="4" s="1"/>
  <c r="H889" i="4"/>
  <c r="I888" i="4"/>
  <c r="J888" i="4" s="1"/>
  <c r="K888" i="4" s="1"/>
  <c r="H888" i="4"/>
  <c r="J887" i="4"/>
  <c r="I887" i="4"/>
  <c r="H887" i="4"/>
  <c r="I886" i="4"/>
  <c r="J886" i="4" s="1"/>
  <c r="K886" i="4" s="1"/>
  <c r="H886" i="4"/>
  <c r="K885" i="4"/>
  <c r="I885" i="4"/>
  <c r="J885" i="4" s="1"/>
  <c r="H885" i="4"/>
  <c r="J884" i="4"/>
  <c r="K884" i="4" s="1"/>
  <c r="I884" i="4"/>
  <c r="H884" i="4"/>
  <c r="I882" i="4"/>
  <c r="J882" i="4" s="1"/>
  <c r="K882" i="4" s="1"/>
  <c r="H882" i="4"/>
  <c r="I881" i="4"/>
  <c r="J881" i="4" s="1"/>
  <c r="H881" i="4"/>
  <c r="J880" i="4"/>
  <c r="K880" i="4" s="1"/>
  <c r="I880" i="4"/>
  <c r="H880" i="4"/>
  <c r="I879" i="4"/>
  <c r="J879" i="4" s="1"/>
  <c r="K879" i="4" s="1"/>
  <c r="H879" i="4"/>
  <c r="J878" i="4"/>
  <c r="I878" i="4"/>
  <c r="H878" i="4"/>
  <c r="I876" i="4"/>
  <c r="J876" i="4" s="1"/>
  <c r="K876" i="4" s="1"/>
  <c r="H876" i="4"/>
  <c r="J875" i="4"/>
  <c r="K875" i="4" s="1"/>
  <c r="I875" i="4"/>
  <c r="H875" i="4"/>
  <c r="I874" i="4"/>
  <c r="J874" i="4" s="1"/>
  <c r="K874" i="4" s="1"/>
  <c r="H874" i="4"/>
  <c r="J873" i="4"/>
  <c r="K873" i="4" s="1"/>
  <c r="I873" i="4"/>
  <c r="H873" i="4"/>
  <c r="I872" i="4"/>
  <c r="J872" i="4" s="1"/>
  <c r="K872" i="4" s="1"/>
  <c r="H872" i="4"/>
  <c r="J871" i="4"/>
  <c r="K871" i="4" s="1"/>
  <c r="I871" i="4"/>
  <c r="H871" i="4"/>
  <c r="I869" i="4"/>
  <c r="J869" i="4" s="1"/>
  <c r="K869" i="4" s="1"/>
  <c r="H869" i="4"/>
  <c r="I868" i="4"/>
  <c r="J868" i="4" s="1"/>
  <c r="K868" i="4" s="1"/>
  <c r="H868" i="4"/>
  <c r="I867" i="4"/>
  <c r="J867" i="4" s="1"/>
  <c r="K867" i="4" s="1"/>
  <c r="H867" i="4"/>
  <c r="J866" i="4"/>
  <c r="K866" i="4" s="1"/>
  <c r="I866" i="4"/>
  <c r="H866" i="4"/>
  <c r="I865" i="4"/>
  <c r="J865" i="4" s="1"/>
  <c r="K865" i="4" s="1"/>
  <c r="H865" i="4"/>
  <c r="I864" i="4"/>
  <c r="J864" i="4" s="1"/>
  <c r="K864" i="4" s="1"/>
  <c r="H864" i="4"/>
  <c r="J863" i="4"/>
  <c r="K863" i="4" s="1"/>
  <c r="I863" i="4"/>
  <c r="H863" i="4"/>
  <c r="J862" i="4"/>
  <c r="K862" i="4" s="1"/>
  <c r="I862" i="4"/>
  <c r="H862" i="4"/>
  <c r="I861" i="4"/>
  <c r="J861" i="4" s="1"/>
  <c r="K861" i="4" s="1"/>
  <c r="H861" i="4"/>
  <c r="I860" i="4"/>
  <c r="J860" i="4" s="1"/>
  <c r="K860" i="4" s="1"/>
  <c r="H860" i="4"/>
  <c r="I859" i="4"/>
  <c r="J859" i="4" s="1"/>
  <c r="H859" i="4"/>
  <c r="J858" i="4"/>
  <c r="K858" i="4" s="1"/>
  <c r="I858" i="4"/>
  <c r="H858" i="4"/>
  <c r="I857" i="4"/>
  <c r="J857" i="4" s="1"/>
  <c r="K857" i="4" s="1"/>
  <c r="H857" i="4"/>
  <c r="I856" i="4"/>
  <c r="J856" i="4" s="1"/>
  <c r="K856" i="4" s="1"/>
  <c r="H856" i="4"/>
  <c r="J855" i="4"/>
  <c r="K855" i="4" s="1"/>
  <c r="I855" i="4"/>
  <c r="H855" i="4"/>
  <c r="J854" i="4"/>
  <c r="K854" i="4" s="1"/>
  <c r="I854" i="4"/>
  <c r="H854" i="4"/>
  <c r="I853" i="4"/>
  <c r="J853" i="4" s="1"/>
  <c r="K853" i="4" s="1"/>
  <c r="H853" i="4"/>
  <c r="I852" i="4"/>
  <c r="J852" i="4" s="1"/>
  <c r="K852" i="4" s="1"/>
  <c r="H852" i="4"/>
  <c r="J851" i="4"/>
  <c r="K851" i="4" s="1"/>
  <c r="I851" i="4"/>
  <c r="H851" i="4"/>
  <c r="K850" i="4"/>
  <c r="J850" i="4"/>
  <c r="I850" i="4"/>
  <c r="H850" i="4"/>
  <c r="I849" i="4"/>
  <c r="J849" i="4" s="1"/>
  <c r="K849" i="4" s="1"/>
  <c r="H849" i="4"/>
  <c r="J848" i="4"/>
  <c r="I848" i="4"/>
  <c r="H848" i="4"/>
  <c r="I847" i="4"/>
  <c r="J847" i="4" s="1"/>
  <c r="K847" i="4" s="1"/>
  <c r="H847" i="4"/>
  <c r="K846" i="4"/>
  <c r="J846" i="4"/>
  <c r="I846" i="4"/>
  <c r="H846" i="4"/>
  <c r="I845" i="4"/>
  <c r="J845" i="4" s="1"/>
  <c r="K845" i="4" s="1"/>
  <c r="H845" i="4"/>
  <c r="I844" i="4"/>
  <c r="J844" i="4" s="1"/>
  <c r="H844" i="4"/>
  <c r="I843" i="4"/>
  <c r="J843" i="4" s="1"/>
  <c r="K843" i="4" s="1"/>
  <c r="H843" i="4"/>
  <c r="J842" i="4"/>
  <c r="K842" i="4" s="1"/>
  <c r="I842" i="4"/>
  <c r="H842" i="4"/>
  <c r="I841" i="4"/>
  <c r="J841" i="4" s="1"/>
  <c r="K841" i="4" s="1"/>
  <c r="H841" i="4"/>
  <c r="J840" i="4"/>
  <c r="K840" i="4" s="1"/>
  <c r="I840" i="4"/>
  <c r="H840" i="4"/>
  <c r="I839" i="4"/>
  <c r="J839" i="4" s="1"/>
  <c r="K839" i="4" s="1"/>
  <c r="H839" i="4"/>
  <c r="K838" i="4"/>
  <c r="J838" i="4"/>
  <c r="I838" i="4"/>
  <c r="H838" i="4"/>
  <c r="I837" i="4"/>
  <c r="J837" i="4" s="1"/>
  <c r="K837" i="4" s="1"/>
  <c r="H837" i="4"/>
  <c r="J836" i="4"/>
  <c r="K836" i="4" s="1"/>
  <c r="I836" i="4"/>
  <c r="H836" i="4"/>
  <c r="I835" i="4"/>
  <c r="J835" i="4" s="1"/>
  <c r="K835" i="4" s="1"/>
  <c r="H835" i="4"/>
  <c r="J834" i="4"/>
  <c r="K834" i="4" s="1"/>
  <c r="I834" i="4"/>
  <c r="H834" i="4"/>
  <c r="I833" i="4"/>
  <c r="J833" i="4" s="1"/>
  <c r="K833" i="4" s="1"/>
  <c r="H833" i="4"/>
  <c r="I832" i="4"/>
  <c r="J832" i="4" s="1"/>
  <c r="K832" i="4" s="1"/>
  <c r="H832" i="4"/>
  <c r="I831" i="4"/>
  <c r="J831" i="4" s="1"/>
  <c r="H831" i="4"/>
  <c r="J830" i="4"/>
  <c r="K830" i="4" s="1"/>
  <c r="I830" i="4"/>
  <c r="H830" i="4"/>
  <c r="I829" i="4"/>
  <c r="J829" i="4" s="1"/>
  <c r="K829" i="4" s="1"/>
  <c r="H829" i="4"/>
  <c r="I828" i="4"/>
  <c r="J828" i="4" s="1"/>
  <c r="K828" i="4" s="1"/>
  <c r="H828" i="4"/>
  <c r="J827" i="4"/>
  <c r="K827" i="4" s="1"/>
  <c r="I827" i="4"/>
  <c r="H827" i="4"/>
  <c r="J826" i="4"/>
  <c r="K826" i="4" s="1"/>
  <c r="I826" i="4"/>
  <c r="H826" i="4"/>
  <c r="I825" i="4"/>
  <c r="J825" i="4" s="1"/>
  <c r="K825" i="4" s="1"/>
  <c r="H825" i="4"/>
  <c r="I824" i="4"/>
  <c r="J824" i="4" s="1"/>
  <c r="K824" i="4" s="1"/>
  <c r="H824" i="4"/>
  <c r="J823" i="4"/>
  <c r="K823" i="4" s="1"/>
  <c r="I823" i="4"/>
  <c r="H823" i="4"/>
  <c r="K821" i="4"/>
  <c r="J821" i="4"/>
  <c r="I821" i="4"/>
  <c r="H821" i="4"/>
  <c r="I820" i="4"/>
  <c r="J820" i="4" s="1"/>
  <c r="K820" i="4" s="1"/>
  <c r="H820" i="4"/>
  <c r="I819" i="4"/>
  <c r="J819" i="4" s="1"/>
  <c r="H819" i="4"/>
  <c r="I818" i="4"/>
  <c r="J818" i="4" s="1"/>
  <c r="K818" i="4" s="1"/>
  <c r="H818" i="4"/>
  <c r="K817" i="4"/>
  <c r="J817" i="4"/>
  <c r="I817" i="4"/>
  <c r="H817" i="4"/>
  <c r="I815" i="4"/>
  <c r="J815" i="4" s="1"/>
  <c r="K815" i="4" s="1"/>
  <c r="H815" i="4"/>
  <c r="I814" i="4"/>
  <c r="J814" i="4" s="1"/>
  <c r="K814" i="4" s="1"/>
  <c r="H814" i="4"/>
  <c r="J813" i="4"/>
  <c r="K813" i="4" s="1"/>
  <c r="I813" i="4"/>
  <c r="H813" i="4"/>
  <c r="J812" i="4"/>
  <c r="K812" i="4" s="1"/>
  <c r="I812" i="4"/>
  <c r="H812" i="4"/>
  <c r="I811" i="4"/>
  <c r="J811" i="4" s="1"/>
  <c r="K811" i="4" s="1"/>
  <c r="H811" i="4"/>
  <c r="J810" i="4"/>
  <c r="I810" i="4"/>
  <c r="H810" i="4"/>
  <c r="I809" i="4"/>
  <c r="J809" i="4" s="1"/>
  <c r="K809" i="4" s="1"/>
  <c r="H809" i="4"/>
  <c r="J808" i="4"/>
  <c r="K808" i="4" s="1"/>
  <c r="I808" i="4"/>
  <c r="H808" i="4"/>
  <c r="I807" i="4"/>
  <c r="J807" i="4" s="1"/>
  <c r="K807" i="4" s="1"/>
  <c r="H807" i="4"/>
  <c r="J806" i="4"/>
  <c r="K806" i="4" s="1"/>
  <c r="I806" i="4"/>
  <c r="H806" i="4"/>
  <c r="I805" i="4"/>
  <c r="J805" i="4" s="1"/>
  <c r="K805" i="4" s="1"/>
  <c r="H805" i="4"/>
  <c r="J804" i="4"/>
  <c r="K804" i="4" s="1"/>
  <c r="I804" i="4"/>
  <c r="H804" i="4"/>
  <c r="I803" i="4"/>
  <c r="J803" i="4" s="1"/>
  <c r="K803" i="4" s="1"/>
  <c r="H803" i="4"/>
  <c r="I802" i="4"/>
  <c r="J802" i="4" s="1"/>
  <c r="K802" i="4" s="1"/>
  <c r="H802" i="4"/>
  <c r="I801" i="4"/>
  <c r="J801" i="4" s="1"/>
  <c r="K801" i="4" s="1"/>
  <c r="H801" i="4"/>
  <c r="J800" i="4"/>
  <c r="K800" i="4" s="1"/>
  <c r="I800" i="4"/>
  <c r="H800" i="4"/>
  <c r="I764" i="4"/>
  <c r="J764" i="4" s="1"/>
  <c r="K764" i="4" s="1"/>
  <c r="H764" i="4"/>
  <c r="I763" i="4"/>
  <c r="J763" i="4" s="1"/>
  <c r="K763" i="4" s="1"/>
  <c r="H763" i="4"/>
  <c r="I762" i="4"/>
  <c r="J762" i="4" s="1"/>
  <c r="K762" i="4" s="1"/>
  <c r="H762" i="4"/>
  <c r="J761" i="4"/>
  <c r="K761" i="4" s="1"/>
  <c r="I761" i="4"/>
  <c r="H761" i="4"/>
  <c r="I760" i="4"/>
  <c r="J760" i="4" s="1"/>
  <c r="K760" i="4" s="1"/>
  <c r="H760" i="4"/>
  <c r="I759" i="4"/>
  <c r="J759" i="4" s="1"/>
  <c r="K759" i="4" s="1"/>
  <c r="H759" i="4"/>
  <c r="I758" i="4"/>
  <c r="J758" i="4" s="1"/>
  <c r="K758" i="4" s="1"/>
  <c r="H758" i="4"/>
  <c r="J757" i="4"/>
  <c r="K757" i="4" s="1"/>
  <c r="I757" i="4"/>
  <c r="H757" i="4"/>
  <c r="I756" i="4"/>
  <c r="J756" i="4" s="1"/>
  <c r="H756" i="4"/>
  <c r="I755" i="4"/>
  <c r="J755" i="4" s="1"/>
  <c r="K755" i="4" s="1"/>
  <c r="H755" i="4"/>
  <c r="J754" i="4"/>
  <c r="I754" i="4"/>
  <c r="H754" i="4"/>
  <c r="J753" i="4"/>
  <c r="K753" i="4" s="1"/>
  <c r="I753" i="4"/>
  <c r="H753" i="4"/>
  <c r="I752" i="4"/>
  <c r="J752" i="4" s="1"/>
  <c r="K752" i="4" s="1"/>
  <c r="H752" i="4"/>
  <c r="I751" i="4"/>
  <c r="J751" i="4" s="1"/>
  <c r="K751" i="4" s="1"/>
  <c r="H751" i="4"/>
  <c r="J750" i="4"/>
  <c r="K750" i="4" s="1"/>
  <c r="I750" i="4"/>
  <c r="H750" i="4"/>
  <c r="K749" i="4"/>
  <c r="J749" i="4"/>
  <c r="I749" i="4"/>
  <c r="H749" i="4"/>
  <c r="I748" i="4"/>
  <c r="J748" i="4" s="1"/>
  <c r="H748" i="4"/>
  <c r="I747" i="4"/>
  <c r="J747" i="4" s="1"/>
  <c r="K747" i="4" s="1"/>
  <c r="H747" i="4"/>
  <c r="I746" i="4"/>
  <c r="J746" i="4" s="1"/>
  <c r="K746" i="4" s="1"/>
  <c r="H746" i="4"/>
  <c r="K745" i="4"/>
  <c r="J745" i="4"/>
  <c r="I745" i="4"/>
  <c r="H745" i="4"/>
  <c r="I744" i="4"/>
  <c r="J744" i="4" s="1"/>
  <c r="K744" i="4" s="1"/>
  <c r="H744" i="4"/>
  <c r="I743" i="4"/>
  <c r="J743" i="4" s="1"/>
  <c r="K743" i="4" s="1"/>
  <c r="H743" i="4"/>
  <c r="J742" i="4"/>
  <c r="K742" i="4" s="1"/>
  <c r="I742" i="4"/>
  <c r="H742" i="4"/>
  <c r="K741" i="4"/>
  <c r="J741" i="4"/>
  <c r="I741" i="4"/>
  <c r="H741" i="4"/>
  <c r="I740" i="4"/>
  <c r="J740" i="4" s="1"/>
  <c r="H740" i="4"/>
  <c r="K739" i="4"/>
  <c r="J739" i="4"/>
  <c r="I739" i="4"/>
  <c r="H739" i="4"/>
  <c r="I738" i="4"/>
  <c r="J738" i="4" s="1"/>
  <c r="K738" i="4" s="1"/>
  <c r="H738" i="4"/>
  <c r="J737" i="4"/>
  <c r="K737" i="4" s="1"/>
  <c r="I737" i="4"/>
  <c r="H737" i="4"/>
  <c r="I736" i="4"/>
  <c r="J736" i="4" s="1"/>
  <c r="K736" i="4" s="1"/>
  <c r="H736" i="4"/>
  <c r="J734" i="4"/>
  <c r="K734" i="4" s="1"/>
  <c r="I734" i="4"/>
  <c r="H734" i="4"/>
  <c r="I733" i="4"/>
  <c r="J733" i="4" s="1"/>
  <c r="K733" i="4" s="1"/>
  <c r="H733" i="4"/>
  <c r="J732" i="4"/>
  <c r="K732" i="4" s="1"/>
  <c r="I732" i="4"/>
  <c r="H732" i="4"/>
  <c r="I731" i="4"/>
  <c r="J731" i="4" s="1"/>
  <c r="K731" i="4" s="1"/>
  <c r="H731" i="4"/>
  <c r="I730" i="4"/>
  <c r="J730" i="4" s="1"/>
  <c r="K730" i="4" s="1"/>
  <c r="H730" i="4"/>
  <c r="I729" i="4"/>
  <c r="J729" i="4" s="1"/>
  <c r="K729" i="4" s="1"/>
  <c r="H729" i="4"/>
  <c r="J727" i="4"/>
  <c r="K727" i="4" s="1"/>
  <c r="I727" i="4"/>
  <c r="H727" i="4"/>
  <c r="I726" i="4"/>
  <c r="J726" i="4" s="1"/>
  <c r="H726" i="4"/>
  <c r="I725" i="4"/>
  <c r="J725" i="4" s="1"/>
  <c r="K725" i="4" s="1"/>
  <c r="H725" i="4"/>
  <c r="I724" i="4"/>
  <c r="J724" i="4" s="1"/>
  <c r="K724" i="4" s="1"/>
  <c r="H724" i="4"/>
  <c r="J723" i="4"/>
  <c r="K723" i="4" s="1"/>
  <c r="I723" i="4"/>
  <c r="H723" i="4"/>
  <c r="I722" i="4"/>
  <c r="J722" i="4" s="1"/>
  <c r="H722" i="4"/>
  <c r="I721" i="4"/>
  <c r="J721" i="4" s="1"/>
  <c r="K721" i="4" s="1"/>
  <c r="H721" i="4"/>
  <c r="I700" i="4"/>
  <c r="J700" i="4" s="1"/>
  <c r="K700" i="4" s="1"/>
  <c r="H700" i="4"/>
  <c r="J699" i="4"/>
  <c r="K699" i="4" s="1"/>
  <c r="I699" i="4"/>
  <c r="H699" i="4"/>
  <c r="I698" i="4"/>
  <c r="J698" i="4" s="1"/>
  <c r="H698" i="4"/>
  <c r="J697" i="4"/>
  <c r="K697" i="4" s="1"/>
  <c r="I697" i="4"/>
  <c r="H697" i="4"/>
  <c r="I696" i="4"/>
  <c r="J696" i="4" s="1"/>
  <c r="K696" i="4" s="1"/>
  <c r="H696" i="4"/>
  <c r="J695" i="4"/>
  <c r="K695" i="4" s="1"/>
  <c r="I695" i="4"/>
  <c r="H695" i="4"/>
  <c r="I694" i="4"/>
  <c r="J694" i="4" s="1"/>
  <c r="H694" i="4"/>
  <c r="I693" i="4"/>
  <c r="J693" i="4" s="1"/>
  <c r="K693" i="4" s="1"/>
  <c r="H693" i="4"/>
  <c r="I692" i="4"/>
  <c r="J692" i="4" s="1"/>
  <c r="K692" i="4" s="1"/>
  <c r="H692" i="4"/>
  <c r="K676" i="4"/>
  <c r="J676" i="4"/>
  <c r="I676" i="4"/>
  <c r="H676" i="4"/>
  <c r="I675" i="4"/>
  <c r="J675" i="4" s="1"/>
  <c r="H675" i="4"/>
  <c r="I674" i="4"/>
  <c r="J674" i="4" s="1"/>
  <c r="H674" i="4"/>
  <c r="J673" i="4"/>
  <c r="K673" i="4" s="1"/>
  <c r="I673" i="4"/>
  <c r="H673" i="4"/>
  <c r="K672" i="4"/>
  <c r="J672" i="4"/>
  <c r="I672" i="4"/>
  <c r="H672" i="4"/>
  <c r="I671" i="4"/>
  <c r="J671" i="4" s="1"/>
  <c r="H671" i="4"/>
  <c r="I670" i="4"/>
  <c r="J670" i="4" s="1"/>
  <c r="H670" i="4"/>
  <c r="I669" i="4"/>
  <c r="J669" i="4" s="1"/>
  <c r="K669" i="4" s="1"/>
  <c r="H669" i="4"/>
  <c r="J668" i="4"/>
  <c r="K668" i="4" s="1"/>
  <c r="I668" i="4"/>
  <c r="H668" i="4"/>
  <c r="I667" i="4"/>
  <c r="J667" i="4" s="1"/>
  <c r="K667" i="4" s="1"/>
  <c r="H667" i="4"/>
  <c r="I666" i="4"/>
  <c r="J666" i="4" s="1"/>
  <c r="K666" i="4" s="1"/>
  <c r="H666" i="4"/>
  <c r="I665" i="4"/>
  <c r="J665" i="4" s="1"/>
  <c r="H665" i="4"/>
  <c r="K664" i="4"/>
  <c r="J664" i="4"/>
  <c r="I664" i="4"/>
  <c r="H664" i="4"/>
  <c r="I663" i="4"/>
  <c r="J663" i="4" s="1"/>
  <c r="K663" i="4" s="1"/>
  <c r="H663" i="4"/>
  <c r="K662" i="4"/>
  <c r="I662" i="4"/>
  <c r="J662" i="4" s="1"/>
  <c r="H662" i="4"/>
  <c r="J624" i="4"/>
  <c r="K624" i="4" s="1"/>
  <c r="I624" i="4"/>
  <c r="H624" i="4"/>
  <c r="J623" i="4"/>
  <c r="K623" i="4" s="1"/>
  <c r="I623" i="4"/>
  <c r="H623" i="4"/>
  <c r="I622" i="4"/>
  <c r="J622" i="4" s="1"/>
  <c r="K622" i="4" s="1"/>
  <c r="H622" i="4"/>
  <c r="J621" i="4"/>
  <c r="I621" i="4"/>
  <c r="H621" i="4"/>
  <c r="K620" i="4"/>
  <c r="J620" i="4"/>
  <c r="I620" i="4"/>
  <c r="H620" i="4"/>
  <c r="J619" i="4"/>
  <c r="I619" i="4"/>
  <c r="H619" i="4"/>
  <c r="K619" i="4" s="1"/>
  <c r="J618" i="4"/>
  <c r="K618" i="4" s="1"/>
  <c r="I618" i="4"/>
  <c r="H618" i="4"/>
  <c r="I617" i="4"/>
  <c r="J617" i="4" s="1"/>
  <c r="K617" i="4" s="1"/>
  <c r="H617" i="4"/>
  <c r="I616" i="4"/>
  <c r="J616" i="4" s="1"/>
  <c r="K616" i="4" s="1"/>
  <c r="H616" i="4"/>
  <c r="J615" i="4"/>
  <c r="I615" i="4"/>
  <c r="H615" i="4"/>
  <c r="K615" i="4" s="1"/>
  <c r="I614" i="4"/>
  <c r="J614" i="4" s="1"/>
  <c r="K614" i="4" s="1"/>
  <c r="H614" i="4"/>
  <c r="J613" i="4"/>
  <c r="I613" i="4"/>
  <c r="H613" i="4"/>
  <c r="I612" i="4"/>
  <c r="J612" i="4" s="1"/>
  <c r="K612" i="4" s="1"/>
  <c r="H612" i="4"/>
  <c r="J611" i="4"/>
  <c r="K611" i="4" s="1"/>
  <c r="I611" i="4"/>
  <c r="H611" i="4"/>
  <c r="I610" i="4"/>
  <c r="J610" i="4" s="1"/>
  <c r="K610" i="4" s="1"/>
  <c r="H610" i="4"/>
  <c r="I609" i="4"/>
  <c r="J609" i="4" s="1"/>
  <c r="K609" i="4" s="1"/>
  <c r="H609" i="4"/>
  <c r="I608" i="4"/>
  <c r="J608" i="4" s="1"/>
  <c r="H608" i="4"/>
  <c r="J607" i="4"/>
  <c r="K607" i="4" s="1"/>
  <c r="I607" i="4"/>
  <c r="H607" i="4"/>
  <c r="I606" i="4"/>
  <c r="J606" i="4" s="1"/>
  <c r="K606" i="4" s="1"/>
  <c r="H606" i="4"/>
  <c r="K605" i="4"/>
  <c r="I605" i="4"/>
  <c r="J605" i="4" s="1"/>
  <c r="H605" i="4"/>
  <c r="J604" i="4"/>
  <c r="I604" i="4"/>
  <c r="H604" i="4"/>
  <c r="J603" i="4"/>
  <c r="I603" i="4"/>
  <c r="H603" i="4"/>
  <c r="I601" i="4"/>
  <c r="J601" i="4" s="1"/>
  <c r="K601" i="4" s="1"/>
  <c r="H601" i="4"/>
  <c r="J600" i="4"/>
  <c r="K600" i="4" s="1"/>
  <c r="I600" i="4"/>
  <c r="H600" i="4"/>
  <c r="I599" i="4"/>
  <c r="J599" i="4" s="1"/>
  <c r="K599" i="4" s="1"/>
  <c r="H599" i="4"/>
  <c r="J598" i="4"/>
  <c r="I598" i="4"/>
  <c r="H598" i="4"/>
  <c r="K598" i="4" s="1"/>
  <c r="I597" i="4"/>
  <c r="J597" i="4" s="1"/>
  <c r="K597" i="4" s="1"/>
  <c r="H597" i="4"/>
  <c r="I596" i="4"/>
  <c r="J596" i="4" s="1"/>
  <c r="K596" i="4" s="1"/>
  <c r="H596" i="4"/>
  <c r="J595" i="4"/>
  <c r="K595" i="4" s="1"/>
  <c r="I595" i="4"/>
  <c r="H595" i="4"/>
  <c r="J594" i="4"/>
  <c r="I594" i="4"/>
  <c r="H594" i="4"/>
  <c r="I593" i="4"/>
  <c r="J593" i="4" s="1"/>
  <c r="K593" i="4" s="1"/>
  <c r="H593" i="4"/>
  <c r="I592" i="4"/>
  <c r="J592" i="4" s="1"/>
  <c r="K592" i="4" s="1"/>
  <c r="H592" i="4"/>
  <c r="I591" i="4"/>
  <c r="J591" i="4" s="1"/>
  <c r="K591" i="4" s="1"/>
  <c r="H591" i="4"/>
  <c r="K590" i="4"/>
  <c r="J590" i="4"/>
  <c r="I590" i="4"/>
  <c r="H590" i="4"/>
  <c r="I589" i="4"/>
  <c r="J589" i="4" s="1"/>
  <c r="K589" i="4" s="1"/>
  <c r="H589" i="4"/>
  <c r="I588" i="4"/>
  <c r="J588" i="4" s="1"/>
  <c r="K588" i="4" s="1"/>
  <c r="H588" i="4"/>
  <c r="I587" i="4"/>
  <c r="J587" i="4" s="1"/>
  <c r="K587" i="4" s="1"/>
  <c r="H587" i="4"/>
  <c r="J586" i="4"/>
  <c r="I586" i="4"/>
  <c r="H586" i="4"/>
  <c r="J585" i="4"/>
  <c r="K585" i="4" s="1"/>
  <c r="I585" i="4"/>
  <c r="H585" i="4"/>
  <c r="I584" i="4"/>
  <c r="J584" i="4" s="1"/>
  <c r="K584" i="4" s="1"/>
  <c r="H584" i="4"/>
  <c r="J583" i="4"/>
  <c r="K583" i="4" s="1"/>
  <c r="I583" i="4"/>
  <c r="H583" i="4"/>
  <c r="K582" i="4"/>
  <c r="J582" i="4"/>
  <c r="I582" i="4"/>
  <c r="H582" i="4"/>
  <c r="I581" i="4"/>
  <c r="J581" i="4" s="1"/>
  <c r="K581" i="4" s="1"/>
  <c r="H581" i="4"/>
  <c r="I580" i="4"/>
  <c r="J580" i="4" s="1"/>
  <c r="K580" i="4" s="1"/>
  <c r="H580" i="4"/>
  <c r="I578" i="4"/>
  <c r="J578" i="4" s="1"/>
  <c r="K578" i="4" s="1"/>
  <c r="H578" i="4"/>
  <c r="J577" i="4"/>
  <c r="I577" i="4"/>
  <c r="H577" i="4"/>
  <c r="I576" i="4"/>
  <c r="J576" i="4" s="1"/>
  <c r="H576" i="4"/>
  <c r="I575" i="4"/>
  <c r="J575" i="4" s="1"/>
  <c r="K575" i="4" s="1"/>
  <c r="H575" i="4"/>
  <c r="I574" i="4"/>
  <c r="J574" i="4" s="1"/>
  <c r="K574" i="4" s="1"/>
  <c r="H574" i="4"/>
  <c r="J573" i="4"/>
  <c r="K573" i="4" s="1"/>
  <c r="I573" i="4"/>
  <c r="H573" i="4"/>
  <c r="J572" i="4"/>
  <c r="I572" i="4"/>
  <c r="H572" i="4"/>
  <c r="I571" i="4"/>
  <c r="J571" i="4" s="1"/>
  <c r="K571" i="4" s="1"/>
  <c r="H571" i="4"/>
  <c r="K570" i="4"/>
  <c r="J570" i="4"/>
  <c r="I570" i="4"/>
  <c r="H570" i="4"/>
  <c r="K569" i="4"/>
  <c r="J569" i="4"/>
  <c r="I569" i="4"/>
  <c r="H569" i="4"/>
  <c r="I568" i="4"/>
  <c r="J568" i="4" s="1"/>
  <c r="K568" i="4" s="1"/>
  <c r="H568" i="4"/>
  <c r="I567" i="4"/>
  <c r="J567" i="4" s="1"/>
  <c r="K567" i="4" s="1"/>
  <c r="H567" i="4"/>
  <c r="I566" i="4"/>
  <c r="J566" i="4" s="1"/>
  <c r="K566" i="4" s="1"/>
  <c r="H566" i="4"/>
  <c r="J565" i="4"/>
  <c r="K565" i="4" s="1"/>
  <c r="I565" i="4"/>
  <c r="H565" i="4"/>
  <c r="I564" i="4"/>
  <c r="J564" i="4" s="1"/>
  <c r="H564" i="4"/>
  <c r="I563" i="4"/>
  <c r="J563" i="4" s="1"/>
  <c r="K563" i="4" s="1"/>
  <c r="H563" i="4"/>
  <c r="I562" i="4"/>
  <c r="J562" i="4" s="1"/>
  <c r="K562" i="4" s="1"/>
  <c r="H562" i="4"/>
  <c r="J561" i="4"/>
  <c r="K561" i="4" s="1"/>
  <c r="I561" i="4"/>
  <c r="H561" i="4"/>
  <c r="I560" i="4"/>
  <c r="J560" i="4" s="1"/>
  <c r="H560" i="4"/>
  <c r="I559" i="4"/>
  <c r="J559" i="4" s="1"/>
  <c r="K559" i="4" s="1"/>
  <c r="H559" i="4"/>
  <c r="I558" i="4"/>
  <c r="J558" i="4" s="1"/>
  <c r="K558" i="4" s="1"/>
  <c r="H558" i="4"/>
  <c r="J557" i="4"/>
  <c r="K557" i="4" s="1"/>
  <c r="I557" i="4"/>
  <c r="H557" i="4"/>
  <c r="I555" i="4"/>
  <c r="J555" i="4" s="1"/>
  <c r="K555" i="4" s="1"/>
  <c r="H555" i="4"/>
  <c r="I554" i="4"/>
  <c r="J554" i="4" s="1"/>
  <c r="K554" i="4" s="1"/>
  <c r="H554" i="4"/>
  <c r="I553" i="4"/>
  <c r="J553" i="4" s="1"/>
  <c r="H553" i="4"/>
  <c r="J552" i="4"/>
  <c r="K552" i="4" s="1"/>
  <c r="I552" i="4"/>
  <c r="H552" i="4"/>
  <c r="I551" i="4"/>
  <c r="J551" i="4" s="1"/>
  <c r="K551" i="4" s="1"/>
  <c r="H551" i="4"/>
  <c r="I550" i="4"/>
  <c r="J550" i="4" s="1"/>
  <c r="K550" i="4" s="1"/>
  <c r="H550" i="4"/>
  <c r="I549" i="4"/>
  <c r="J549" i="4" s="1"/>
  <c r="K549" i="4" s="1"/>
  <c r="H549" i="4"/>
  <c r="J548" i="4"/>
  <c r="K548" i="4" s="1"/>
  <c r="I548" i="4"/>
  <c r="H548" i="4"/>
  <c r="I547" i="4"/>
  <c r="J547" i="4" s="1"/>
  <c r="H547" i="4"/>
  <c r="I546" i="4"/>
  <c r="J546" i="4" s="1"/>
  <c r="K546" i="4" s="1"/>
  <c r="H546" i="4"/>
  <c r="J545" i="4"/>
  <c r="K545" i="4" s="1"/>
  <c r="I545" i="4"/>
  <c r="H545" i="4"/>
  <c r="J544" i="4"/>
  <c r="K544" i="4" s="1"/>
  <c r="I544" i="4"/>
  <c r="H544" i="4"/>
  <c r="I543" i="4"/>
  <c r="J543" i="4" s="1"/>
  <c r="H543" i="4"/>
  <c r="J542" i="4"/>
  <c r="K542" i="4" s="1"/>
  <c r="I542" i="4"/>
  <c r="H542" i="4"/>
  <c r="I541" i="4"/>
  <c r="J541" i="4" s="1"/>
  <c r="K541" i="4" s="1"/>
  <c r="H541" i="4"/>
  <c r="K540" i="4"/>
  <c r="J540" i="4"/>
  <c r="I540" i="4"/>
  <c r="H540" i="4"/>
  <c r="I539" i="4"/>
  <c r="J539" i="4" s="1"/>
  <c r="K539" i="4" s="1"/>
  <c r="H539" i="4"/>
  <c r="I538" i="4"/>
  <c r="J538" i="4" s="1"/>
  <c r="H538" i="4"/>
  <c r="J537" i="4"/>
  <c r="K537" i="4" s="1"/>
  <c r="I537" i="4"/>
  <c r="H537" i="4"/>
  <c r="K536" i="4"/>
  <c r="J536" i="4"/>
  <c r="I536" i="4"/>
  <c r="H536" i="4"/>
  <c r="I535" i="4"/>
  <c r="J535" i="4" s="1"/>
  <c r="K535" i="4" s="1"/>
  <c r="H535" i="4"/>
  <c r="I534" i="4"/>
  <c r="J534" i="4" s="1"/>
  <c r="K534" i="4" s="1"/>
  <c r="H534" i="4"/>
  <c r="I532" i="4"/>
  <c r="J532" i="4" s="1"/>
  <c r="H532" i="4"/>
  <c r="J531" i="4"/>
  <c r="K531" i="4" s="1"/>
  <c r="I531" i="4"/>
  <c r="H531" i="4"/>
  <c r="I530" i="4"/>
  <c r="J530" i="4" s="1"/>
  <c r="K530" i="4" s="1"/>
  <c r="H530" i="4"/>
  <c r="J529" i="4"/>
  <c r="I529" i="4"/>
  <c r="H529" i="4"/>
  <c r="I528" i="4"/>
  <c r="J528" i="4" s="1"/>
  <c r="K528" i="4" s="1"/>
  <c r="H528" i="4"/>
  <c r="I527" i="4"/>
  <c r="J527" i="4" s="1"/>
  <c r="K527" i="4" s="1"/>
  <c r="H527" i="4"/>
  <c r="I526" i="4"/>
  <c r="J526" i="4" s="1"/>
  <c r="K526" i="4" s="1"/>
  <c r="H526" i="4"/>
  <c r="K525" i="4"/>
  <c r="J525" i="4"/>
  <c r="I525" i="4"/>
  <c r="H525" i="4"/>
  <c r="J524" i="4"/>
  <c r="K524" i="4" s="1"/>
  <c r="I524" i="4"/>
  <c r="H524" i="4"/>
  <c r="I523" i="4"/>
  <c r="J523" i="4" s="1"/>
  <c r="K523" i="4" s="1"/>
  <c r="H523" i="4"/>
  <c r="I522" i="4"/>
  <c r="J522" i="4" s="1"/>
  <c r="K522" i="4" s="1"/>
  <c r="H522" i="4"/>
  <c r="I521" i="4"/>
  <c r="J521" i="4" s="1"/>
  <c r="K521" i="4" s="1"/>
  <c r="H521" i="4"/>
  <c r="I520" i="4"/>
  <c r="J520" i="4" s="1"/>
  <c r="K520" i="4" s="1"/>
  <c r="H520" i="4"/>
  <c r="J519" i="4"/>
  <c r="K519" i="4" s="1"/>
  <c r="I519" i="4"/>
  <c r="H519" i="4"/>
  <c r="I518" i="4"/>
  <c r="J518" i="4" s="1"/>
  <c r="K518" i="4" s="1"/>
  <c r="H518" i="4"/>
  <c r="I517" i="4"/>
  <c r="J517" i="4" s="1"/>
  <c r="K517" i="4" s="1"/>
  <c r="H517" i="4"/>
  <c r="I516" i="4"/>
  <c r="J516" i="4" s="1"/>
  <c r="K516" i="4" s="1"/>
  <c r="H516" i="4"/>
  <c r="I515" i="4"/>
  <c r="J515" i="4" s="1"/>
  <c r="K515" i="4" s="1"/>
  <c r="H515" i="4"/>
  <c r="I514" i="4"/>
  <c r="J514" i="4" s="1"/>
  <c r="K514" i="4" s="1"/>
  <c r="H514" i="4"/>
  <c r="I513" i="4"/>
  <c r="J513" i="4" s="1"/>
  <c r="K513" i="4" s="1"/>
  <c r="H513" i="4"/>
  <c r="K512" i="4"/>
  <c r="J512" i="4"/>
  <c r="I512" i="4"/>
  <c r="H512" i="4"/>
  <c r="I511" i="4"/>
  <c r="J511" i="4" s="1"/>
  <c r="K511" i="4" s="1"/>
  <c r="H511" i="4"/>
  <c r="I509" i="4"/>
  <c r="J509" i="4" s="1"/>
  <c r="K509" i="4" s="1"/>
  <c r="H509" i="4"/>
  <c r="J508" i="4"/>
  <c r="K508" i="4" s="1"/>
  <c r="I508" i="4"/>
  <c r="H508" i="4"/>
  <c r="J507" i="4"/>
  <c r="K507" i="4" s="1"/>
  <c r="I507" i="4"/>
  <c r="H507" i="4"/>
  <c r="J506" i="4"/>
  <c r="K506" i="4" s="1"/>
  <c r="I506" i="4"/>
  <c r="H506" i="4"/>
  <c r="I505" i="4"/>
  <c r="J505" i="4" s="1"/>
  <c r="K505" i="4" s="1"/>
  <c r="H505" i="4"/>
  <c r="I504" i="4"/>
  <c r="J504" i="4" s="1"/>
  <c r="K504" i="4" s="1"/>
  <c r="H504" i="4"/>
  <c r="I503" i="4"/>
  <c r="J503" i="4" s="1"/>
  <c r="K503" i="4" s="1"/>
  <c r="H503" i="4"/>
  <c r="I502" i="4"/>
  <c r="J502" i="4" s="1"/>
  <c r="K502" i="4" s="1"/>
  <c r="H502" i="4"/>
  <c r="I501" i="4"/>
  <c r="J501" i="4" s="1"/>
  <c r="K501" i="4" s="1"/>
  <c r="H501" i="4"/>
  <c r="I500" i="4"/>
  <c r="J500" i="4" s="1"/>
  <c r="K500" i="4" s="1"/>
  <c r="H500" i="4"/>
  <c r="I499" i="4"/>
  <c r="J499" i="4" s="1"/>
  <c r="K499" i="4" s="1"/>
  <c r="H499" i="4"/>
  <c r="I498" i="4"/>
  <c r="J498" i="4" s="1"/>
  <c r="K498" i="4" s="1"/>
  <c r="H498" i="4"/>
  <c r="I497" i="4"/>
  <c r="J497" i="4" s="1"/>
  <c r="H497" i="4"/>
  <c r="I496" i="4"/>
  <c r="J496" i="4" s="1"/>
  <c r="K496" i="4" s="1"/>
  <c r="H496" i="4"/>
  <c r="I495" i="4"/>
  <c r="J495" i="4" s="1"/>
  <c r="K495" i="4" s="1"/>
  <c r="H495" i="4"/>
  <c r="K494" i="4"/>
  <c r="J494" i="4"/>
  <c r="I494" i="4"/>
  <c r="H494" i="4"/>
  <c r="J493" i="4"/>
  <c r="I493" i="4"/>
  <c r="H493" i="4"/>
  <c r="I492" i="4"/>
  <c r="J492" i="4" s="1"/>
  <c r="K492" i="4" s="1"/>
  <c r="H492" i="4"/>
  <c r="I491" i="4"/>
  <c r="J491" i="4" s="1"/>
  <c r="K491" i="4" s="1"/>
  <c r="H491" i="4"/>
  <c r="K490" i="4"/>
  <c r="J490" i="4"/>
  <c r="I490" i="4"/>
  <c r="H490" i="4"/>
  <c r="I489" i="4"/>
  <c r="J489" i="4" s="1"/>
  <c r="K489" i="4" s="1"/>
  <c r="H489" i="4"/>
  <c r="I488" i="4"/>
  <c r="J488" i="4" s="1"/>
  <c r="K488" i="4" s="1"/>
  <c r="H488" i="4"/>
  <c r="I486" i="4"/>
  <c r="J486" i="4" s="1"/>
  <c r="K486" i="4" s="1"/>
  <c r="H486" i="4"/>
  <c r="I485" i="4"/>
  <c r="J485" i="4" s="1"/>
  <c r="K485" i="4" s="1"/>
  <c r="H485" i="4"/>
  <c r="I484" i="4"/>
  <c r="J484" i="4" s="1"/>
  <c r="K484" i="4" s="1"/>
  <c r="H484" i="4"/>
  <c r="I483" i="4"/>
  <c r="J483" i="4" s="1"/>
  <c r="K483" i="4" s="1"/>
  <c r="H483" i="4"/>
  <c r="J482" i="4"/>
  <c r="K482" i="4" s="1"/>
  <c r="I482" i="4"/>
  <c r="H482" i="4"/>
  <c r="I481" i="4"/>
  <c r="J481" i="4" s="1"/>
  <c r="K481" i="4" s="1"/>
  <c r="H481" i="4"/>
  <c r="J480" i="4"/>
  <c r="I480" i="4"/>
  <c r="H480" i="4"/>
  <c r="I479" i="4"/>
  <c r="J479" i="4" s="1"/>
  <c r="H479" i="4"/>
  <c r="I478" i="4"/>
  <c r="J478" i="4" s="1"/>
  <c r="K478" i="4" s="1"/>
  <c r="H478" i="4"/>
  <c r="I477" i="4"/>
  <c r="J477" i="4" s="1"/>
  <c r="K477" i="4" s="1"/>
  <c r="H477" i="4"/>
  <c r="J476" i="4"/>
  <c r="K476" i="4" s="1"/>
  <c r="I476" i="4"/>
  <c r="H476" i="4"/>
  <c r="J475" i="4"/>
  <c r="K475" i="4" s="1"/>
  <c r="I475" i="4"/>
  <c r="H475" i="4"/>
  <c r="J474" i="4"/>
  <c r="K474" i="4" s="1"/>
  <c r="I474" i="4"/>
  <c r="H474" i="4"/>
  <c r="I473" i="4"/>
  <c r="J473" i="4" s="1"/>
  <c r="K473" i="4" s="1"/>
  <c r="H473" i="4"/>
  <c r="I472" i="4"/>
  <c r="J472" i="4" s="1"/>
  <c r="K472" i="4" s="1"/>
  <c r="H472" i="4"/>
  <c r="I471" i="4"/>
  <c r="J471" i="4" s="1"/>
  <c r="K471" i="4" s="1"/>
  <c r="H471" i="4"/>
  <c r="J470" i="4"/>
  <c r="K470" i="4" s="1"/>
  <c r="I470" i="4"/>
  <c r="H470" i="4"/>
  <c r="I469" i="4"/>
  <c r="J469" i="4" s="1"/>
  <c r="K469" i="4" s="1"/>
  <c r="H469" i="4"/>
  <c r="I468" i="4"/>
  <c r="J468" i="4" s="1"/>
  <c r="K468" i="4" s="1"/>
  <c r="H468" i="4"/>
  <c r="I467" i="4"/>
  <c r="J467" i="4" s="1"/>
  <c r="K467" i="4" s="1"/>
  <c r="H467" i="4"/>
  <c r="I466" i="4"/>
  <c r="J466" i="4" s="1"/>
  <c r="K466" i="4" s="1"/>
  <c r="H466" i="4"/>
  <c r="J465" i="4"/>
  <c r="K465" i="4" s="1"/>
  <c r="I465" i="4"/>
  <c r="H465" i="4"/>
  <c r="J463" i="4"/>
  <c r="K463" i="4" s="1"/>
  <c r="I463" i="4"/>
  <c r="H463" i="4"/>
  <c r="K462" i="4"/>
  <c r="J462" i="4"/>
  <c r="I462" i="4"/>
  <c r="H462" i="4"/>
  <c r="I461" i="4"/>
  <c r="J461" i="4" s="1"/>
  <c r="K461" i="4" s="1"/>
  <c r="H461" i="4"/>
  <c r="I460" i="4"/>
  <c r="J460" i="4" s="1"/>
  <c r="K460" i="4" s="1"/>
  <c r="H460" i="4"/>
  <c r="J459" i="4"/>
  <c r="K459" i="4" s="1"/>
  <c r="I459" i="4"/>
  <c r="H459" i="4"/>
  <c r="K458" i="4"/>
  <c r="J458" i="4"/>
  <c r="I458" i="4"/>
  <c r="H458" i="4"/>
  <c r="J457" i="4"/>
  <c r="I457" i="4"/>
  <c r="H457" i="4"/>
  <c r="I456" i="4"/>
  <c r="J456" i="4" s="1"/>
  <c r="K456" i="4" s="1"/>
  <c r="H456" i="4"/>
  <c r="I455" i="4"/>
  <c r="J455" i="4" s="1"/>
  <c r="K455" i="4" s="1"/>
  <c r="H455" i="4"/>
  <c r="I454" i="4"/>
  <c r="J454" i="4" s="1"/>
  <c r="K454" i="4" s="1"/>
  <c r="H454" i="4"/>
  <c r="I453" i="4"/>
  <c r="J453" i="4" s="1"/>
  <c r="K453" i="4" s="1"/>
  <c r="H453" i="4"/>
  <c r="I452" i="4"/>
  <c r="J452" i="4" s="1"/>
  <c r="K452" i="4" s="1"/>
  <c r="H452" i="4"/>
  <c r="I451" i="4"/>
  <c r="J451" i="4" s="1"/>
  <c r="K451" i="4" s="1"/>
  <c r="H451" i="4"/>
  <c r="I450" i="4"/>
  <c r="J450" i="4" s="1"/>
  <c r="K450" i="4" s="1"/>
  <c r="H450" i="4"/>
  <c r="I449" i="4"/>
  <c r="J449" i="4" s="1"/>
  <c r="K449" i="4" s="1"/>
  <c r="H449" i="4"/>
  <c r="I448" i="4"/>
  <c r="J448" i="4" s="1"/>
  <c r="K448" i="4" s="1"/>
  <c r="H448" i="4"/>
  <c r="I447" i="4"/>
  <c r="J447" i="4" s="1"/>
  <c r="K447" i="4" s="1"/>
  <c r="H447" i="4"/>
  <c r="I446" i="4"/>
  <c r="J446" i="4" s="1"/>
  <c r="K446" i="4" s="1"/>
  <c r="H446" i="4"/>
  <c r="K445" i="4"/>
  <c r="J445" i="4"/>
  <c r="I445" i="4"/>
  <c r="H445" i="4"/>
  <c r="I444" i="4"/>
  <c r="J444" i="4" s="1"/>
  <c r="K444" i="4" s="1"/>
  <c r="H444" i="4"/>
  <c r="I443" i="4"/>
  <c r="J443" i="4" s="1"/>
  <c r="K443" i="4" s="1"/>
  <c r="H443" i="4"/>
  <c r="I442" i="4"/>
  <c r="J442" i="4" s="1"/>
  <c r="K442" i="4" s="1"/>
  <c r="H442" i="4"/>
  <c r="J440" i="4"/>
  <c r="K440" i="4" s="1"/>
  <c r="I440" i="4"/>
  <c r="H440" i="4"/>
  <c r="J439" i="4"/>
  <c r="K439" i="4" s="1"/>
  <c r="I439" i="4"/>
  <c r="H439" i="4"/>
  <c r="I438" i="4"/>
  <c r="J438" i="4" s="1"/>
  <c r="K438" i="4" s="1"/>
  <c r="H438" i="4"/>
  <c r="I437" i="4"/>
  <c r="J437" i="4" s="1"/>
  <c r="K437" i="4" s="1"/>
  <c r="H437" i="4"/>
  <c r="J436" i="4"/>
  <c r="K436" i="4" s="1"/>
  <c r="I436" i="4"/>
  <c r="H436" i="4"/>
  <c r="I435" i="4"/>
  <c r="J435" i="4" s="1"/>
  <c r="K435" i="4" s="1"/>
  <c r="H435" i="4"/>
  <c r="I434" i="4"/>
  <c r="J434" i="4" s="1"/>
  <c r="K434" i="4" s="1"/>
  <c r="H434" i="4"/>
  <c r="J433" i="4"/>
  <c r="K433" i="4" s="1"/>
  <c r="I433" i="4"/>
  <c r="H433" i="4"/>
  <c r="I432" i="4"/>
  <c r="J432" i="4" s="1"/>
  <c r="K432" i="4" s="1"/>
  <c r="H432" i="4"/>
  <c r="I431" i="4"/>
  <c r="J431" i="4" s="1"/>
  <c r="K431" i="4" s="1"/>
  <c r="H431" i="4"/>
  <c r="I430" i="4"/>
  <c r="J430" i="4" s="1"/>
  <c r="H430" i="4"/>
  <c r="I429" i="4"/>
  <c r="J429" i="4" s="1"/>
  <c r="K429" i="4" s="1"/>
  <c r="H429" i="4"/>
  <c r="J428" i="4"/>
  <c r="K428" i="4" s="1"/>
  <c r="I428" i="4"/>
  <c r="H428" i="4"/>
  <c r="K427" i="4"/>
  <c r="J427" i="4"/>
  <c r="I427" i="4"/>
  <c r="H427" i="4"/>
  <c r="J426" i="4"/>
  <c r="I426" i="4"/>
  <c r="H426" i="4"/>
  <c r="I425" i="4"/>
  <c r="J425" i="4" s="1"/>
  <c r="K425" i="4" s="1"/>
  <c r="H425" i="4"/>
  <c r="I424" i="4"/>
  <c r="J424" i="4" s="1"/>
  <c r="K424" i="4" s="1"/>
  <c r="H424" i="4"/>
  <c r="J423" i="4"/>
  <c r="K423" i="4" s="1"/>
  <c r="I423" i="4"/>
  <c r="H423" i="4"/>
  <c r="I422" i="4"/>
  <c r="J422" i="4" s="1"/>
  <c r="K422" i="4" s="1"/>
  <c r="H422" i="4"/>
  <c r="I421" i="4"/>
  <c r="J421" i="4" s="1"/>
  <c r="K421" i="4" s="1"/>
  <c r="H421" i="4"/>
  <c r="J420" i="4"/>
  <c r="K420" i="4" s="1"/>
  <c r="I420" i="4"/>
  <c r="H420" i="4"/>
  <c r="I419" i="4"/>
  <c r="J419" i="4" s="1"/>
  <c r="K419" i="4" s="1"/>
  <c r="H419" i="4"/>
  <c r="I417" i="4"/>
  <c r="J417" i="4" s="1"/>
  <c r="K417" i="4" s="1"/>
  <c r="H417" i="4"/>
  <c r="I416" i="4"/>
  <c r="J416" i="4" s="1"/>
  <c r="K416" i="4" s="1"/>
  <c r="H416" i="4"/>
  <c r="I415" i="4"/>
  <c r="J415" i="4" s="1"/>
  <c r="K415" i="4" s="1"/>
  <c r="H415" i="4"/>
  <c r="I414" i="4"/>
  <c r="J414" i="4" s="1"/>
  <c r="K414" i="4" s="1"/>
  <c r="H414" i="4"/>
  <c r="J413" i="4"/>
  <c r="I413" i="4"/>
  <c r="H413" i="4"/>
  <c r="I412" i="4"/>
  <c r="J412" i="4" s="1"/>
  <c r="H412" i="4"/>
  <c r="J411" i="4"/>
  <c r="K411" i="4" s="1"/>
  <c r="I411" i="4"/>
  <c r="H411" i="4"/>
  <c r="I410" i="4"/>
  <c r="J410" i="4" s="1"/>
  <c r="K410" i="4" s="1"/>
  <c r="H410" i="4"/>
  <c r="J409" i="4"/>
  <c r="K409" i="4" s="1"/>
  <c r="I409" i="4"/>
  <c r="H409" i="4"/>
  <c r="J408" i="4"/>
  <c r="I408" i="4"/>
  <c r="H408" i="4"/>
  <c r="I407" i="4"/>
  <c r="J407" i="4" s="1"/>
  <c r="K407" i="4" s="1"/>
  <c r="H407" i="4"/>
  <c r="I406" i="4"/>
  <c r="J406" i="4" s="1"/>
  <c r="K406" i="4" s="1"/>
  <c r="H406" i="4"/>
  <c r="I405" i="4"/>
  <c r="J405" i="4" s="1"/>
  <c r="K405" i="4" s="1"/>
  <c r="H405" i="4"/>
  <c r="I404" i="4"/>
  <c r="J404" i="4" s="1"/>
  <c r="K404" i="4" s="1"/>
  <c r="H404" i="4"/>
  <c r="I403" i="4"/>
  <c r="J403" i="4" s="1"/>
  <c r="K403" i="4" s="1"/>
  <c r="H403" i="4"/>
  <c r="I402" i="4"/>
  <c r="J402" i="4" s="1"/>
  <c r="K402" i="4" s="1"/>
  <c r="H402" i="4"/>
  <c r="I401" i="4"/>
  <c r="J401" i="4" s="1"/>
  <c r="K401" i="4" s="1"/>
  <c r="H401" i="4"/>
  <c r="I400" i="4"/>
  <c r="J400" i="4" s="1"/>
  <c r="K400" i="4" s="1"/>
  <c r="H400" i="4"/>
  <c r="I399" i="4"/>
  <c r="J399" i="4" s="1"/>
  <c r="K399" i="4" s="1"/>
  <c r="H399" i="4"/>
  <c r="I398" i="4"/>
  <c r="J398" i="4" s="1"/>
  <c r="K398" i="4" s="1"/>
  <c r="H398" i="4"/>
  <c r="I397" i="4"/>
  <c r="J397" i="4" s="1"/>
  <c r="K397" i="4" s="1"/>
  <c r="H397" i="4"/>
  <c r="K396" i="4"/>
  <c r="J396" i="4"/>
  <c r="I396" i="4"/>
  <c r="H396" i="4"/>
  <c r="I394" i="4"/>
  <c r="J394" i="4" s="1"/>
  <c r="H394" i="4"/>
  <c r="I393" i="4"/>
  <c r="J393" i="4" s="1"/>
  <c r="K393" i="4" s="1"/>
  <c r="H393" i="4"/>
  <c r="I392" i="4"/>
  <c r="J392" i="4" s="1"/>
  <c r="K392" i="4" s="1"/>
  <c r="H392" i="4"/>
  <c r="J391" i="4"/>
  <c r="K391" i="4" s="1"/>
  <c r="I391" i="4"/>
  <c r="H391" i="4"/>
  <c r="J390" i="4"/>
  <c r="I390" i="4"/>
  <c r="H390" i="4"/>
  <c r="J389" i="4"/>
  <c r="K389" i="4" s="1"/>
  <c r="I389" i="4"/>
  <c r="H389" i="4"/>
  <c r="J388" i="4"/>
  <c r="K388" i="4" s="1"/>
  <c r="I388" i="4"/>
  <c r="H388" i="4"/>
  <c r="I387" i="4"/>
  <c r="J387" i="4" s="1"/>
  <c r="K387" i="4" s="1"/>
  <c r="H387" i="4"/>
  <c r="I386" i="4"/>
  <c r="J386" i="4" s="1"/>
  <c r="K386" i="4" s="1"/>
  <c r="H386" i="4"/>
  <c r="I385" i="4"/>
  <c r="J385" i="4" s="1"/>
  <c r="K385" i="4" s="1"/>
  <c r="H385" i="4"/>
  <c r="J384" i="4"/>
  <c r="K384" i="4" s="1"/>
  <c r="I384" i="4"/>
  <c r="H384" i="4"/>
  <c r="I383" i="4"/>
  <c r="J383" i="4" s="1"/>
  <c r="K383" i="4" s="1"/>
  <c r="H383" i="4"/>
  <c r="I382" i="4"/>
  <c r="J382" i="4" s="1"/>
  <c r="K382" i="4" s="1"/>
  <c r="H382" i="4"/>
  <c r="I381" i="4"/>
  <c r="J381" i="4" s="1"/>
  <c r="K381" i="4" s="1"/>
  <c r="H381" i="4"/>
  <c r="I380" i="4"/>
  <c r="J380" i="4" s="1"/>
  <c r="K380" i="4" s="1"/>
  <c r="H380" i="4"/>
  <c r="J379" i="4"/>
  <c r="K379" i="4" s="1"/>
  <c r="I379" i="4"/>
  <c r="H379" i="4"/>
  <c r="K378" i="4"/>
  <c r="J378" i="4"/>
  <c r="I378" i="4"/>
  <c r="H378" i="4"/>
  <c r="I377" i="4"/>
  <c r="J377" i="4" s="1"/>
  <c r="K377" i="4" s="1"/>
  <c r="H377" i="4"/>
  <c r="I376" i="4"/>
  <c r="J376" i="4" s="1"/>
  <c r="K376" i="4" s="1"/>
  <c r="H376" i="4"/>
  <c r="I375" i="4"/>
  <c r="J375" i="4" s="1"/>
  <c r="K375" i="4" s="1"/>
  <c r="H375" i="4"/>
  <c r="K374" i="4"/>
  <c r="J374" i="4"/>
  <c r="I374" i="4"/>
  <c r="H374" i="4"/>
  <c r="J373" i="4"/>
  <c r="K373" i="4" s="1"/>
  <c r="I373" i="4"/>
  <c r="H373" i="4"/>
  <c r="I371" i="4"/>
  <c r="J371" i="4" s="1"/>
  <c r="K371" i="4" s="1"/>
  <c r="H371" i="4"/>
  <c r="I370" i="4"/>
  <c r="J370" i="4" s="1"/>
  <c r="K370" i="4" s="1"/>
  <c r="H370" i="4"/>
  <c r="I369" i="4"/>
  <c r="J369" i="4" s="1"/>
  <c r="K369" i="4" s="1"/>
  <c r="H369" i="4"/>
  <c r="I368" i="4"/>
  <c r="J368" i="4" s="1"/>
  <c r="K368" i="4" s="1"/>
  <c r="H368" i="4"/>
  <c r="I367" i="4"/>
  <c r="J367" i="4" s="1"/>
  <c r="K367" i="4" s="1"/>
  <c r="H367" i="4"/>
  <c r="I366" i="4"/>
  <c r="J366" i="4" s="1"/>
  <c r="K366" i="4" s="1"/>
  <c r="H366" i="4"/>
  <c r="I365" i="4"/>
  <c r="J365" i="4" s="1"/>
  <c r="K365" i="4" s="1"/>
  <c r="H365" i="4"/>
  <c r="I364" i="4"/>
  <c r="J364" i="4" s="1"/>
  <c r="K364" i="4" s="1"/>
  <c r="H364" i="4"/>
  <c r="I363" i="4"/>
  <c r="J363" i="4" s="1"/>
  <c r="H363" i="4"/>
  <c r="I362" i="4"/>
  <c r="J362" i="4" s="1"/>
  <c r="K362" i="4" s="1"/>
  <c r="H362" i="4"/>
  <c r="I361" i="4"/>
  <c r="J361" i="4" s="1"/>
  <c r="K361" i="4" s="1"/>
  <c r="H361" i="4"/>
  <c r="K360" i="4"/>
  <c r="J360" i="4"/>
  <c r="I360" i="4"/>
  <c r="H360" i="4"/>
  <c r="J359" i="4"/>
  <c r="I359" i="4"/>
  <c r="H359" i="4"/>
  <c r="J358" i="4"/>
  <c r="K358" i="4" s="1"/>
  <c r="I358" i="4"/>
  <c r="H358" i="4"/>
  <c r="I357" i="4"/>
  <c r="J357" i="4" s="1"/>
  <c r="K357" i="4" s="1"/>
  <c r="H357" i="4"/>
  <c r="K356" i="4"/>
  <c r="J356" i="4"/>
  <c r="I356" i="4"/>
  <c r="H356" i="4"/>
  <c r="I355" i="4"/>
  <c r="J355" i="4" s="1"/>
  <c r="K355" i="4" s="1"/>
  <c r="H355" i="4"/>
  <c r="I354" i="4"/>
  <c r="J354" i="4" s="1"/>
  <c r="K354" i="4" s="1"/>
  <c r="H354" i="4"/>
  <c r="I353" i="4"/>
  <c r="J353" i="4" s="1"/>
  <c r="K353" i="4" s="1"/>
  <c r="H353" i="4"/>
  <c r="I352" i="4"/>
  <c r="J352" i="4" s="1"/>
  <c r="K352" i="4" s="1"/>
  <c r="H352" i="4"/>
  <c r="I351" i="4"/>
  <c r="J351" i="4" s="1"/>
  <c r="K351" i="4" s="1"/>
  <c r="H351" i="4"/>
  <c r="I350" i="4"/>
  <c r="J350" i="4" s="1"/>
  <c r="K350" i="4" s="1"/>
  <c r="H350" i="4"/>
  <c r="I349" i="4"/>
  <c r="J349" i="4" s="1"/>
  <c r="K349" i="4" s="1"/>
  <c r="H349" i="4"/>
  <c r="I348" i="4"/>
  <c r="J348" i="4" s="1"/>
  <c r="K348" i="4" s="1"/>
  <c r="H348" i="4"/>
  <c r="J347" i="4"/>
  <c r="I347" i="4"/>
  <c r="H347" i="4"/>
  <c r="I346" i="4"/>
  <c r="J346" i="4" s="1"/>
  <c r="H346" i="4"/>
  <c r="I345" i="4"/>
  <c r="J345" i="4" s="1"/>
  <c r="K345" i="4" s="1"/>
  <c r="H345" i="4"/>
  <c r="J343" i="4"/>
  <c r="K343" i="4" s="1"/>
  <c r="I343" i="4"/>
  <c r="H343" i="4"/>
  <c r="J342" i="4"/>
  <c r="K342" i="4" s="1"/>
  <c r="I342" i="4"/>
  <c r="H342" i="4"/>
  <c r="J341" i="4"/>
  <c r="I341" i="4"/>
  <c r="H341" i="4"/>
  <c r="I340" i="4"/>
  <c r="J340" i="4" s="1"/>
  <c r="K340" i="4" s="1"/>
  <c r="H340" i="4"/>
  <c r="I339" i="4"/>
  <c r="J339" i="4" s="1"/>
  <c r="K339" i="4" s="1"/>
  <c r="H339" i="4"/>
  <c r="I338" i="4"/>
  <c r="J338" i="4" s="1"/>
  <c r="K338" i="4" s="1"/>
  <c r="H338" i="4"/>
  <c r="I337" i="4"/>
  <c r="J337" i="4" s="1"/>
  <c r="K337" i="4" s="1"/>
  <c r="H337" i="4"/>
  <c r="J336" i="4"/>
  <c r="K336" i="4" s="1"/>
  <c r="I336" i="4"/>
  <c r="H336" i="4"/>
  <c r="I335" i="4"/>
  <c r="J335" i="4" s="1"/>
  <c r="K335" i="4" s="1"/>
  <c r="H335" i="4"/>
  <c r="I334" i="4"/>
  <c r="J334" i="4" s="1"/>
  <c r="K334" i="4" s="1"/>
  <c r="H334" i="4"/>
  <c r="I333" i="4"/>
  <c r="J333" i="4" s="1"/>
  <c r="K333" i="4" s="1"/>
  <c r="H333" i="4"/>
  <c r="I332" i="4"/>
  <c r="J332" i="4" s="1"/>
  <c r="K332" i="4" s="1"/>
  <c r="H332" i="4"/>
  <c r="J331" i="4"/>
  <c r="K331" i="4" s="1"/>
  <c r="I331" i="4"/>
  <c r="H331" i="4"/>
  <c r="I330" i="4"/>
  <c r="J330" i="4" s="1"/>
  <c r="K330" i="4" s="1"/>
  <c r="H330" i="4"/>
  <c r="K329" i="4"/>
  <c r="J329" i="4"/>
  <c r="I329" i="4"/>
  <c r="H329" i="4"/>
  <c r="I328" i="4"/>
  <c r="J328" i="4" s="1"/>
  <c r="H328" i="4"/>
  <c r="I327" i="4"/>
  <c r="J327" i="4" s="1"/>
  <c r="K327" i="4" s="1"/>
  <c r="H327" i="4"/>
  <c r="J326" i="4"/>
  <c r="I326" i="4"/>
  <c r="H326" i="4"/>
  <c r="J325" i="4"/>
  <c r="K325" i="4" s="1"/>
  <c r="I325" i="4"/>
  <c r="H325" i="4"/>
  <c r="J324" i="4"/>
  <c r="I324" i="4"/>
  <c r="H324" i="4"/>
  <c r="I323" i="4"/>
  <c r="J323" i="4" s="1"/>
  <c r="K323" i="4" s="1"/>
  <c r="H323" i="4"/>
  <c r="I322" i="4"/>
  <c r="J322" i="4" s="1"/>
  <c r="K322" i="4" s="1"/>
  <c r="H322" i="4"/>
  <c r="I321" i="4"/>
  <c r="J321" i="4" s="1"/>
  <c r="K321" i="4" s="1"/>
  <c r="H321" i="4"/>
  <c r="I320" i="4"/>
  <c r="J320" i="4" s="1"/>
  <c r="K320" i="4" s="1"/>
  <c r="H320" i="4"/>
  <c r="I319" i="4"/>
  <c r="J319" i="4" s="1"/>
  <c r="K319" i="4" s="1"/>
  <c r="H319" i="4"/>
  <c r="I318" i="4"/>
  <c r="J318" i="4" s="1"/>
  <c r="K318" i="4" s="1"/>
  <c r="H318" i="4"/>
  <c r="I317" i="4"/>
  <c r="J317" i="4" s="1"/>
  <c r="K317" i="4" s="1"/>
  <c r="H317" i="4"/>
  <c r="I315" i="4"/>
  <c r="J315" i="4" s="1"/>
  <c r="H315" i="4"/>
  <c r="I314" i="4"/>
  <c r="J314" i="4" s="1"/>
  <c r="K314" i="4" s="1"/>
  <c r="H314" i="4"/>
  <c r="I313" i="4"/>
  <c r="J313" i="4" s="1"/>
  <c r="K313" i="4" s="1"/>
  <c r="H313" i="4"/>
  <c r="I312" i="4"/>
  <c r="J312" i="4" s="1"/>
  <c r="K312" i="4" s="1"/>
  <c r="H312" i="4"/>
  <c r="K311" i="4"/>
  <c r="J311" i="4"/>
  <c r="I311" i="4"/>
  <c r="H311" i="4"/>
  <c r="I310" i="4"/>
  <c r="J310" i="4" s="1"/>
  <c r="K310" i="4" s="1"/>
  <c r="H310" i="4"/>
  <c r="I309" i="4"/>
  <c r="J309" i="4" s="1"/>
  <c r="K309" i="4" s="1"/>
  <c r="H309" i="4"/>
  <c r="J308" i="4"/>
  <c r="K308" i="4" s="1"/>
  <c r="I308" i="4"/>
  <c r="H308" i="4"/>
  <c r="J307" i="4"/>
  <c r="K307" i="4" s="1"/>
  <c r="I307" i="4"/>
  <c r="H307" i="4"/>
  <c r="J306" i="4"/>
  <c r="K306" i="4" s="1"/>
  <c r="I306" i="4"/>
  <c r="H306" i="4"/>
  <c r="I305" i="4"/>
  <c r="J305" i="4" s="1"/>
  <c r="K305" i="4" s="1"/>
  <c r="H305" i="4"/>
  <c r="I304" i="4"/>
  <c r="J304" i="4" s="1"/>
  <c r="K304" i="4" s="1"/>
  <c r="H304" i="4"/>
  <c r="I303" i="4"/>
  <c r="J303" i="4" s="1"/>
  <c r="K303" i="4" s="1"/>
  <c r="H303" i="4"/>
  <c r="I302" i="4"/>
  <c r="J302" i="4" s="1"/>
  <c r="K302" i="4" s="1"/>
  <c r="H302" i="4"/>
  <c r="J301" i="4"/>
  <c r="I301" i="4"/>
  <c r="H301" i="4"/>
  <c r="I300" i="4"/>
  <c r="J300" i="4" s="1"/>
  <c r="K300" i="4" s="1"/>
  <c r="H300" i="4"/>
  <c r="I299" i="4"/>
  <c r="J299" i="4" s="1"/>
  <c r="K299" i="4" s="1"/>
  <c r="H299" i="4"/>
  <c r="I298" i="4"/>
  <c r="J298" i="4" s="1"/>
  <c r="K298" i="4" s="1"/>
  <c r="H298" i="4"/>
  <c r="I297" i="4"/>
  <c r="J297" i="4" s="1"/>
  <c r="K297" i="4" s="1"/>
  <c r="H297" i="4"/>
  <c r="I296" i="4"/>
  <c r="J296" i="4" s="1"/>
  <c r="K296" i="4" s="1"/>
  <c r="H296" i="4"/>
  <c r="I295" i="4"/>
  <c r="J295" i="4" s="1"/>
  <c r="K295" i="4" s="1"/>
  <c r="H295" i="4"/>
  <c r="I294" i="4"/>
  <c r="J294" i="4" s="1"/>
  <c r="K294" i="4" s="1"/>
  <c r="H294" i="4"/>
  <c r="I293" i="4"/>
  <c r="J293" i="4" s="1"/>
  <c r="K293" i="4" s="1"/>
  <c r="H293" i="4"/>
  <c r="J292" i="4"/>
  <c r="K292" i="4" s="1"/>
  <c r="I292" i="4"/>
  <c r="H292" i="4"/>
  <c r="I291" i="4"/>
  <c r="J291" i="4" s="1"/>
  <c r="K291" i="4" s="1"/>
  <c r="H291" i="4"/>
  <c r="I289" i="4"/>
  <c r="J289" i="4" s="1"/>
  <c r="K289" i="4" s="1"/>
  <c r="H289" i="4"/>
  <c r="I288" i="4"/>
  <c r="J288" i="4" s="1"/>
  <c r="K288" i="4" s="1"/>
  <c r="H288" i="4"/>
  <c r="I287" i="4"/>
  <c r="J287" i="4" s="1"/>
  <c r="K287" i="4" s="1"/>
  <c r="H287" i="4"/>
  <c r="I286" i="4"/>
  <c r="J286" i="4" s="1"/>
  <c r="K286" i="4" s="1"/>
  <c r="H286" i="4"/>
  <c r="I285" i="4"/>
  <c r="J285" i="4" s="1"/>
  <c r="K285" i="4" s="1"/>
  <c r="H285" i="4"/>
  <c r="I284" i="4"/>
  <c r="J284" i="4" s="1"/>
  <c r="K284" i="4" s="1"/>
  <c r="H284" i="4"/>
  <c r="I283" i="4"/>
  <c r="J283" i="4" s="1"/>
  <c r="K283" i="4" s="1"/>
  <c r="H283" i="4"/>
  <c r="I282" i="4"/>
  <c r="J282" i="4" s="1"/>
  <c r="K282" i="4" s="1"/>
  <c r="H282" i="4"/>
  <c r="I281" i="4"/>
  <c r="J281" i="4" s="1"/>
  <c r="K281" i="4" s="1"/>
  <c r="H281" i="4"/>
  <c r="I280" i="4"/>
  <c r="J280" i="4" s="1"/>
  <c r="K280" i="4" s="1"/>
  <c r="H280" i="4"/>
  <c r="I279" i="4"/>
  <c r="J279" i="4" s="1"/>
  <c r="K279" i="4" s="1"/>
  <c r="H279" i="4"/>
  <c r="J278" i="4"/>
  <c r="K278" i="4" s="1"/>
  <c r="I278" i="4"/>
  <c r="H278" i="4"/>
  <c r="I277" i="4"/>
  <c r="J277" i="4" s="1"/>
  <c r="K277" i="4" s="1"/>
  <c r="H277" i="4"/>
  <c r="J276" i="4"/>
  <c r="I276" i="4"/>
  <c r="H276" i="4"/>
  <c r="I275" i="4"/>
  <c r="J275" i="4" s="1"/>
  <c r="K275" i="4" s="1"/>
  <c r="H275" i="4"/>
  <c r="J274" i="4"/>
  <c r="K274" i="4" s="1"/>
  <c r="I274" i="4"/>
  <c r="H274" i="4"/>
  <c r="I273" i="4"/>
  <c r="J273" i="4" s="1"/>
  <c r="K273" i="4" s="1"/>
  <c r="H273" i="4"/>
  <c r="I272" i="4"/>
  <c r="J272" i="4" s="1"/>
  <c r="K272" i="4" s="1"/>
  <c r="H272" i="4"/>
  <c r="I271" i="4"/>
  <c r="J271" i="4" s="1"/>
  <c r="K271" i="4" s="1"/>
  <c r="H271" i="4"/>
  <c r="I270" i="4"/>
  <c r="J270" i="4" s="1"/>
  <c r="K270" i="4" s="1"/>
  <c r="H270" i="4"/>
  <c r="I269" i="4"/>
  <c r="J269" i="4" s="1"/>
  <c r="K269" i="4" s="1"/>
  <c r="H269" i="4"/>
  <c r="I268" i="4"/>
  <c r="J268" i="4" s="1"/>
  <c r="K268" i="4" s="1"/>
  <c r="H268" i="4"/>
  <c r="I267" i="4"/>
  <c r="J267" i="4" s="1"/>
  <c r="K267" i="4" s="1"/>
  <c r="H267" i="4"/>
  <c r="J266" i="4"/>
  <c r="K266" i="4" s="1"/>
  <c r="I266" i="4"/>
  <c r="H266" i="4"/>
  <c r="I265" i="4"/>
  <c r="J265" i="4" s="1"/>
  <c r="K265" i="4" s="1"/>
  <c r="H265" i="4"/>
  <c r="I264" i="4"/>
  <c r="J264" i="4" s="1"/>
  <c r="K264" i="4" s="1"/>
  <c r="H264" i="4"/>
  <c r="J263" i="4"/>
  <c r="K263" i="4" s="1"/>
  <c r="I263" i="4"/>
  <c r="H263" i="4"/>
  <c r="I262" i="4"/>
  <c r="J262" i="4" s="1"/>
  <c r="K262" i="4" s="1"/>
  <c r="H262" i="4"/>
  <c r="I261" i="4"/>
  <c r="J261" i="4" s="1"/>
  <c r="K261" i="4" s="1"/>
  <c r="H261" i="4"/>
  <c r="I260" i="4"/>
  <c r="J260" i="4" s="1"/>
  <c r="K260" i="4" s="1"/>
  <c r="H260" i="4"/>
  <c r="J259" i="4"/>
  <c r="K259" i="4" s="1"/>
  <c r="I259" i="4"/>
  <c r="H259" i="4"/>
  <c r="I257" i="4"/>
  <c r="J257" i="4" s="1"/>
  <c r="K257" i="4" s="1"/>
  <c r="H257" i="4"/>
  <c r="I256" i="4"/>
  <c r="J256" i="4" s="1"/>
  <c r="K256" i="4" s="1"/>
  <c r="H256" i="4"/>
  <c r="I255" i="4"/>
  <c r="J255" i="4" s="1"/>
  <c r="K255" i="4" s="1"/>
  <c r="H255" i="4"/>
  <c r="I254" i="4"/>
  <c r="J254" i="4" s="1"/>
  <c r="K254" i="4" s="1"/>
  <c r="H254" i="4"/>
  <c r="I253" i="4"/>
  <c r="J253" i="4" s="1"/>
  <c r="K253" i="4" s="1"/>
  <c r="H253" i="4"/>
  <c r="I252" i="4"/>
  <c r="J252" i="4" s="1"/>
  <c r="K252" i="4" s="1"/>
  <c r="H252" i="4"/>
  <c r="I251" i="4"/>
  <c r="J251" i="4" s="1"/>
  <c r="K251" i="4" s="1"/>
  <c r="H251" i="4"/>
  <c r="J250" i="4"/>
  <c r="K250" i="4" s="1"/>
  <c r="I250" i="4"/>
  <c r="H250" i="4"/>
  <c r="I249" i="4"/>
  <c r="J249" i="4" s="1"/>
  <c r="K249" i="4" s="1"/>
  <c r="H249" i="4"/>
  <c r="I248" i="4"/>
  <c r="J248" i="4" s="1"/>
  <c r="H248" i="4"/>
  <c r="J247" i="4"/>
  <c r="I247" i="4"/>
  <c r="H247" i="4"/>
  <c r="I246" i="4"/>
  <c r="J246" i="4" s="1"/>
  <c r="K246" i="4" s="1"/>
  <c r="H246" i="4"/>
  <c r="I245" i="4"/>
  <c r="J245" i="4" s="1"/>
  <c r="K245" i="4" s="1"/>
  <c r="H245" i="4"/>
  <c r="I244" i="4"/>
  <c r="J244" i="4" s="1"/>
  <c r="H244" i="4"/>
  <c r="J243" i="4"/>
  <c r="K243" i="4" s="1"/>
  <c r="I243" i="4"/>
  <c r="H243" i="4"/>
  <c r="I242" i="4"/>
  <c r="J242" i="4" s="1"/>
  <c r="K242" i="4" s="1"/>
  <c r="H242" i="4"/>
  <c r="I241" i="4"/>
  <c r="J241" i="4" s="1"/>
  <c r="K241" i="4" s="1"/>
  <c r="H241" i="4"/>
  <c r="I240" i="4"/>
  <c r="J240" i="4" s="1"/>
  <c r="H240" i="4"/>
  <c r="I239" i="4"/>
  <c r="J239" i="4" s="1"/>
  <c r="K239" i="4" s="1"/>
  <c r="H239" i="4"/>
  <c r="I238" i="4"/>
  <c r="J238" i="4" s="1"/>
  <c r="K238" i="4" s="1"/>
  <c r="H238" i="4"/>
  <c r="I237" i="4"/>
  <c r="J237" i="4" s="1"/>
  <c r="K237" i="4" s="1"/>
  <c r="H237" i="4"/>
  <c r="I236" i="4"/>
  <c r="J236" i="4" s="1"/>
  <c r="K236" i="4" s="1"/>
  <c r="H236" i="4"/>
  <c r="J235" i="4"/>
  <c r="I235" i="4"/>
  <c r="H235" i="4"/>
  <c r="I234" i="4"/>
  <c r="J234" i="4" s="1"/>
  <c r="K234" i="4" s="1"/>
  <c r="H234" i="4"/>
  <c r="I233" i="4"/>
  <c r="J233" i="4" s="1"/>
  <c r="K233" i="4" s="1"/>
  <c r="H233" i="4"/>
  <c r="I232" i="4"/>
  <c r="J232" i="4" s="1"/>
  <c r="H232" i="4"/>
  <c r="I231" i="4"/>
  <c r="J231" i="4" s="1"/>
  <c r="K231" i="4" s="1"/>
  <c r="H231" i="4"/>
  <c r="I229" i="4"/>
  <c r="J229" i="4" s="1"/>
  <c r="K229" i="4" s="1"/>
  <c r="H229" i="4"/>
  <c r="I228" i="4"/>
  <c r="J228" i="4" s="1"/>
  <c r="K228" i="4" s="1"/>
  <c r="H228" i="4"/>
  <c r="I227" i="4"/>
  <c r="J227" i="4" s="1"/>
  <c r="H227" i="4"/>
  <c r="I226" i="4"/>
  <c r="J226" i="4" s="1"/>
  <c r="K226" i="4" s="1"/>
  <c r="H226" i="4"/>
  <c r="I225" i="4"/>
  <c r="J225" i="4" s="1"/>
  <c r="K225" i="4" s="1"/>
  <c r="H225" i="4"/>
  <c r="I223" i="4"/>
  <c r="J223" i="4" s="1"/>
  <c r="K223" i="4" s="1"/>
  <c r="H223" i="4"/>
  <c r="I222" i="4"/>
  <c r="J222" i="4" s="1"/>
  <c r="H222" i="4"/>
  <c r="I221" i="4"/>
  <c r="J221" i="4" s="1"/>
  <c r="K221" i="4" s="1"/>
  <c r="H221" i="4"/>
  <c r="I220" i="4"/>
  <c r="J220" i="4" s="1"/>
  <c r="K220" i="4" s="1"/>
  <c r="H220" i="4"/>
  <c r="I219" i="4"/>
  <c r="J219" i="4" s="1"/>
  <c r="K219" i="4" s="1"/>
  <c r="H219" i="4"/>
  <c r="I218" i="4"/>
  <c r="J218" i="4" s="1"/>
  <c r="H218" i="4"/>
  <c r="I216" i="4"/>
  <c r="J216" i="4" s="1"/>
  <c r="K216" i="4" s="1"/>
  <c r="H216" i="4"/>
  <c r="I215" i="4"/>
  <c r="J215" i="4" s="1"/>
  <c r="K215" i="4" s="1"/>
  <c r="H215" i="4"/>
  <c r="J214" i="4"/>
  <c r="K214" i="4" s="1"/>
  <c r="I214" i="4"/>
  <c r="H214" i="4"/>
  <c r="I213" i="4"/>
  <c r="J213" i="4" s="1"/>
  <c r="H213" i="4"/>
  <c r="I212" i="4"/>
  <c r="J212" i="4" s="1"/>
  <c r="K212" i="4" s="1"/>
  <c r="H212" i="4"/>
  <c r="I211" i="4"/>
  <c r="J211" i="4" s="1"/>
  <c r="K211" i="4" s="1"/>
  <c r="H211" i="4"/>
  <c r="J209" i="4"/>
  <c r="K209" i="4" s="1"/>
  <c r="I209" i="4"/>
  <c r="H209" i="4"/>
  <c r="I208" i="4"/>
  <c r="J208" i="4" s="1"/>
  <c r="K208" i="4" s="1"/>
  <c r="H208" i="4"/>
  <c r="I206" i="4"/>
  <c r="J206" i="4" s="1"/>
  <c r="K206" i="4" s="1"/>
  <c r="H206" i="4"/>
  <c r="I205" i="4"/>
  <c r="J205" i="4" s="1"/>
  <c r="K205" i="4" s="1"/>
  <c r="H205" i="4"/>
  <c r="J203" i="4"/>
  <c r="K203" i="4" s="1"/>
  <c r="I203" i="4"/>
  <c r="H203" i="4"/>
  <c r="I202" i="4"/>
  <c r="J202" i="4" s="1"/>
  <c r="K202" i="4" s="1"/>
  <c r="H202" i="4"/>
  <c r="I201" i="4"/>
  <c r="J201" i="4" s="1"/>
  <c r="K201" i="4" s="1"/>
  <c r="H201" i="4"/>
  <c r="I200" i="4"/>
  <c r="J200" i="4" s="1"/>
  <c r="K200" i="4" s="1"/>
  <c r="H200" i="4"/>
  <c r="I199" i="4"/>
  <c r="J199" i="4" s="1"/>
  <c r="K199" i="4" s="1"/>
  <c r="H199" i="4"/>
  <c r="I197" i="4"/>
  <c r="J197" i="4" s="1"/>
  <c r="K197" i="4" s="1"/>
  <c r="H197" i="4"/>
  <c r="I196" i="4"/>
  <c r="J196" i="4" s="1"/>
  <c r="K196" i="4" s="1"/>
  <c r="H196" i="4"/>
  <c r="I195" i="4"/>
  <c r="J195" i="4" s="1"/>
  <c r="K195" i="4" s="1"/>
  <c r="H195" i="4"/>
  <c r="I193" i="4"/>
  <c r="J193" i="4" s="1"/>
  <c r="K193" i="4" s="1"/>
  <c r="H193" i="4"/>
  <c r="I192" i="4"/>
  <c r="J192" i="4" s="1"/>
  <c r="H192" i="4"/>
  <c r="I191" i="4"/>
  <c r="J191" i="4" s="1"/>
  <c r="K191" i="4" s="1"/>
  <c r="H191" i="4"/>
  <c r="J190" i="4"/>
  <c r="K190" i="4" s="1"/>
  <c r="I190" i="4"/>
  <c r="H190" i="4"/>
  <c r="I189" i="4"/>
  <c r="J189" i="4" s="1"/>
  <c r="K189" i="4" s="1"/>
  <c r="H189" i="4"/>
  <c r="I188" i="4"/>
  <c r="J188" i="4" s="1"/>
  <c r="K188" i="4" s="1"/>
  <c r="H188" i="4"/>
  <c r="I186" i="4"/>
  <c r="J186" i="4" s="1"/>
  <c r="K186" i="4" s="1"/>
  <c r="H186" i="4"/>
  <c r="J185" i="4"/>
  <c r="K185" i="4" s="1"/>
  <c r="I185" i="4"/>
  <c r="H185" i="4"/>
  <c r="I184" i="4"/>
  <c r="J184" i="4" s="1"/>
  <c r="K184" i="4" s="1"/>
  <c r="H184" i="4"/>
  <c r="I183" i="4"/>
  <c r="J183" i="4" s="1"/>
  <c r="H183" i="4"/>
  <c r="I182" i="4"/>
  <c r="J182" i="4" s="1"/>
  <c r="K182" i="4" s="1"/>
  <c r="H182" i="4"/>
  <c r="I181" i="4"/>
  <c r="J181" i="4" s="1"/>
  <c r="K181" i="4" s="1"/>
  <c r="H181" i="4"/>
  <c r="I180" i="4"/>
  <c r="J180" i="4" s="1"/>
  <c r="K180" i="4" s="1"/>
  <c r="H180" i="4"/>
  <c r="I178" i="4"/>
  <c r="J178" i="4" s="1"/>
  <c r="H178" i="4"/>
  <c r="I177" i="4"/>
  <c r="J177" i="4" s="1"/>
  <c r="K177" i="4" s="1"/>
  <c r="H177" i="4"/>
  <c r="I176" i="4"/>
  <c r="J176" i="4" s="1"/>
  <c r="K176" i="4" s="1"/>
  <c r="H176" i="4"/>
  <c r="I175" i="4"/>
  <c r="J175" i="4" s="1"/>
  <c r="K175" i="4" s="1"/>
  <c r="H175" i="4"/>
  <c r="I174" i="4"/>
  <c r="J174" i="4" s="1"/>
  <c r="H174" i="4"/>
  <c r="J173" i="4"/>
  <c r="I173" i="4"/>
  <c r="H173" i="4"/>
  <c r="I172" i="4"/>
  <c r="J172" i="4" s="1"/>
  <c r="K172" i="4" s="1"/>
  <c r="H172" i="4"/>
  <c r="I171" i="4"/>
  <c r="J171" i="4" s="1"/>
  <c r="K171" i="4" s="1"/>
  <c r="H171" i="4"/>
  <c r="I170" i="4"/>
  <c r="J170" i="4" s="1"/>
  <c r="H170" i="4"/>
  <c r="J169" i="4"/>
  <c r="K169" i="4" s="1"/>
  <c r="I169" i="4"/>
  <c r="H169" i="4"/>
  <c r="I168" i="4"/>
  <c r="J168" i="4" s="1"/>
  <c r="K168" i="4" s="1"/>
  <c r="H168" i="4"/>
  <c r="I167" i="4"/>
  <c r="J167" i="4" s="1"/>
  <c r="K167" i="4" s="1"/>
  <c r="H167" i="4"/>
  <c r="I166" i="4"/>
  <c r="J166" i="4" s="1"/>
  <c r="H166" i="4"/>
  <c r="I165" i="4"/>
  <c r="J165" i="4" s="1"/>
  <c r="K165" i="4" s="1"/>
  <c r="H165" i="4"/>
  <c r="I164" i="4"/>
  <c r="J164" i="4" s="1"/>
  <c r="K164" i="4" s="1"/>
  <c r="H164" i="4"/>
  <c r="I163" i="4"/>
  <c r="J163" i="4" s="1"/>
  <c r="K163" i="4" s="1"/>
  <c r="H163" i="4"/>
  <c r="I162" i="4"/>
  <c r="J162" i="4" s="1"/>
  <c r="K162" i="4" s="1"/>
  <c r="H162" i="4"/>
  <c r="I161" i="4"/>
  <c r="J161" i="4" s="1"/>
  <c r="K161" i="4" s="1"/>
  <c r="H161" i="4"/>
  <c r="I160" i="4"/>
  <c r="J160" i="4" s="1"/>
  <c r="K160" i="4" s="1"/>
  <c r="H160" i="4"/>
  <c r="I159" i="4"/>
  <c r="J159" i="4" s="1"/>
  <c r="K159" i="4" s="1"/>
  <c r="H159" i="4"/>
  <c r="I158" i="4"/>
  <c r="J158" i="4" s="1"/>
  <c r="H158" i="4"/>
  <c r="I157" i="4"/>
  <c r="J157" i="4" s="1"/>
  <c r="K157" i="4" s="1"/>
  <c r="H157" i="4"/>
  <c r="I156" i="4"/>
  <c r="J156" i="4" s="1"/>
  <c r="K156" i="4" s="1"/>
  <c r="H156" i="4"/>
  <c r="I155" i="4"/>
  <c r="J155" i="4" s="1"/>
  <c r="K155" i="4" s="1"/>
  <c r="H155" i="4"/>
  <c r="I154" i="4"/>
  <c r="J154" i="4" s="1"/>
  <c r="H154" i="4"/>
  <c r="I153" i="4"/>
  <c r="J153" i="4" s="1"/>
  <c r="K153" i="4" s="1"/>
  <c r="H153" i="4"/>
  <c r="J152" i="4"/>
  <c r="K152" i="4" s="1"/>
  <c r="I152" i="4"/>
  <c r="H152" i="4"/>
  <c r="I151" i="4"/>
  <c r="J151" i="4" s="1"/>
  <c r="K151" i="4" s="1"/>
  <c r="H151" i="4"/>
  <c r="I150" i="4"/>
  <c r="J150" i="4" s="1"/>
  <c r="H150" i="4"/>
  <c r="I149" i="4"/>
  <c r="J149" i="4" s="1"/>
  <c r="K149" i="4" s="1"/>
  <c r="H149" i="4"/>
  <c r="I148" i="4"/>
  <c r="J148" i="4" s="1"/>
  <c r="K148" i="4" s="1"/>
  <c r="H148" i="4"/>
  <c r="I147" i="4"/>
  <c r="J147" i="4" s="1"/>
  <c r="K147" i="4" s="1"/>
  <c r="H147" i="4"/>
  <c r="I146" i="4"/>
  <c r="J146" i="4" s="1"/>
  <c r="H146" i="4"/>
  <c r="I145" i="4"/>
  <c r="J145" i="4" s="1"/>
  <c r="K145" i="4" s="1"/>
  <c r="H145" i="4"/>
  <c r="I144" i="4"/>
  <c r="J144" i="4" s="1"/>
  <c r="K144" i="4" s="1"/>
  <c r="H144" i="4"/>
  <c r="I143" i="4"/>
  <c r="J143" i="4" s="1"/>
  <c r="K143" i="4" s="1"/>
  <c r="H143" i="4"/>
  <c r="I142" i="4"/>
  <c r="J142" i="4" s="1"/>
  <c r="H142" i="4"/>
  <c r="I141" i="4"/>
  <c r="J141" i="4" s="1"/>
  <c r="K141" i="4" s="1"/>
  <c r="H141" i="4"/>
  <c r="I140" i="4"/>
  <c r="J140" i="4" s="1"/>
  <c r="K140" i="4" s="1"/>
  <c r="H140" i="4"/>
  <c r="J138" i="4"/>
  <c r="K138" i="4" s="1"/>
  <c r="I138" i="4"/>
  <c r="H138" i="4"/>
  <c r="I137" i="4"/>
  <c r="J137" i="4" s="1"/>
  <c r="H137" i="4"/>
  <c r="J136" i="4"/>
  <c r="I136" i="4"/>
  <c r="H136" i="4"/>
  <c r="I135" i="4"/>
  <c r="J135" i="4" s="1"/>
  <c r="K135" i="4" s="1"/>
  <c r="H135" i="4"/>
  <c r="J134" i="4"/>
  <c r="K134" i="4" s="1"/>
  <c r="I134" i="4"/>
  <c r="H134" i="4"/>
  <c r="I133" i="4"/>
  <c r="J133" i="4" s="1"/>
  <c r="K133" i="4" s="1"/>
  <c r="H133" i="4"/>
  <c r="I132" i="4"/>
  <c r="J132" i="4" s="1"/>
  <c r="K132" i="4" s="1"/>
  <c r="H132" i="4"/>
  <c r="I131" i="4"/>
  <c r="J131" i="4" s="1"/>
  <c r="K131" i="4" s="1"/>
  <c r="H131" i="4"/>
  <c r="I130" i="4"/>
  <c r="J130" i="4" s="1"/>
  <c r="K130" i="4" s="1"/>
  <c r="H130" i="4"/>
  <c r="I129" i="4"/>
  <c r="J129" i="4" s="1"/>
  <c r="K129" i="4" s="1"/>
  <c r="H129" i="4"/>
  <c r="I128" i="4"/>
  <c r="J128" i="4" s="1"/>
  <c r="K128" i="4" s="1"/>
  <c r="H128" i="4"/>
  <c r="I127" i="4"/>
  <c r="J127" i="4" s="1"/>
  <c r="K127" i="4" s="1"/>
  <c r="H127" i="4"/>
  <c r="I126" i="4"/>
  <c r="J126" i="4" s="1"/>
  <c r="K126" i="4" s="1"/>
  <c r="H126" i="4"/>
  <c r="I125" i="4"/>
  <c r="J125" i="4" s="1"/>
  <c r="H125" i="4"/>
  <c r="I124" i="4"/>
  <c r="J124" i="4" s="1"/>
  <c r="K124" i="4" s="1"/>
  <c r="H124" i="4"/>
  <c r="J123" i="4"/>
  <c r="K123" i="4" s="1"/>
  <c r="I123" i="4"/>
  <c r="H123" i="4"/>
  <c r="I122" i="4"/>
  <c r="J122" i="4" s="1"/>
  <c r="K122" i="4" s="1"/>
  <c r="H122" i="4"/>
  <c r="I121" i="4"/>
  <c r="J121" i="4" s="1"/>
  <c r="K121" i="4" s="1"/>
  <c r="H121" i="4"/>
  <c r="I120" i="4"/>
  <c r="J120" i="4" s="1"/>
  <c r="K120" i="4" s="1"/>
  <c r="H120" i="4"/>
  <c r="I119" i="4"/>
  <c r="J119" i="4" s="1"/>
  <c r="K119" i="4" s="1"/>
  <c r="H119" i="4"/>
  <c r="I118" i="4"/>
  <c r="J118" i="4" s="1"/>
  <c r="K118" i="4" s="1"/>
  <c r="H118" i="4"/>
  <c r="I117" i="4"/>
  <c r="J117" i="4" s="1"/>
  <c r="K117" i="4" s="1"/>
  <c r="H117" i="4"/>
  <c r="I116" i="4"/>
  <c r="J116" i="4" s="1"/>
  <c r="K116" i="4" s="1"/>
  <c r="H116" i="4"/>
  <c r="I115" i="4"/>
  <c r="J115" i="4" s="1"/>
  <c r="K115" i="4" s="1"/>
  <c r="H115" i="4"/>
  <c r="J114" i="4"/>
  <c r="K114" i="4" s="1"/>
  <c r="I114" i="4"/>
  <c r="H114" i="4"/>
  <c r="I113" i="4"/>
  <c r="J113" i="4" s="1"/>
  <c r="H113" i="4"/>
  <c r="I112" i="4"/>
  <c r="J112" i="4" s="1"/>
  <c r="K112" i="4" s="1"/>
  <c r="H112" i="4"/>
  <c r="I111" i="4"/>
  <c r="J111" i="4" s="1"/>
  <c r="K111" i="4" s="1"/>
  <c r="H111" i="4"/>
  <c r="I110" i="4"/>
  <c r="J110" i="4" s="1"/>
  <c r="K110" i="4" s="1"/>
  <c r="H110" i="4"/>
  <c r="I109" i="4"/>
  <c r="J109" i="4" s="1"/>
  <c r="H109" i="4"/>
  <c r="I108" i="4"/>
  <c r="J108" i="4" s="1"/>
  <c r="K108" i="4" s="1"/>
  <c r="H108" i="4"/>
  <c r="I107" i="4"/>
  <c r="J107" i="4" s="1"/>
  <c r="K107" i="4" s="1"/>
  <c r="H107" i="4"/>
  <c r="I106" i="4"/>
  <c r="J106" i="4" s="1"/>
  <c r="K106" i="4" s="1"/>
  <c r="H106" i="4"/>
  <c r="I105" i="4"/>
  <c r="J105" i="4" s="1"/>
  <c r="H105" i="4"/>
  <c r="I104" i="4"/>
  <c r="J104" i="4" s="1"/>
  <c r="K104" i="4" s="1"/>
  <c r="H104" i="4"/>
  <c r="I103" i="4"/>
  <c r="J103" i="4" s="1"/>
  <c r="K103" i="4" s="1"/>
  <c r="H103" i="4"/>
  <c r="I102" i="4"/>
  <c r="J102" i="4" s="1"/>
  <c r="K102" i="4" s="1"/>
  <c r="H102" i="4"/>
  <c r="I101" i="4"/>
  <c r="J101" i="4" s="1"/>
  <c r="K101" i="4" s="1"/>
  <c r="H101" i="4"/>
  <c r="J100" i="4"/>
  <c r="K100" i="4" s="1"/>
  <c r="I100" i="4"/>
  <c r="H100" i="4"/>
  <c r="I98" i="4"/>
  <c r="J98" i="4" s="1"/>
  <c r="K98" i="4" s="1"/>
  <c r="H98" i="4"/>
  <c r="I97" i="4"/>
  <c r="J97" i="4" s="1"/>
  <c r="K97" i="4" s="1"/>
  <c r="H97" i="4"/>
  <c r="I96" i="4"/>
  <c r="J96" i="4" s="1"/>
  <c r="H96" i="4"/>
  <c r="I95" i="4"/>
  <c r="J95" i="4" s="1"/>
  <c r="K95" i="4" s="1"/>
  <c r="H95" i="4"/>
  <c r="I94" i="4"/>
  <c r="J94" i="4" s="1"/>
  <c r="K94" i="4" s="1"/>
  <c r="H94" i="4"/>
  <c r="I93" i="4"/>
  <c r="J93" i="4" s="1"/>
  <c r="K93" i="4" s="1"/>
  <c r="H93" i="4"/>
  <c r="I92" i="4"/>
  <c r="J92" i="4" s="1"/>
  <c r="H92" i="4"/>
  <c r="I91" i="4"/>
  <c r="J91" i="4" s="1"/>
  <c r="K91" i="4" s="1"/>
  <c r="H91" i="4"/>
  <c r="J90" i="4"/>
  <c r="K90" i="4" s="1"/>
  <c r="I90" i="4"/>
  <c r="H90" i="4"/>
  <c r="I89" i="4"/>
  <c r="J89" i="4" s="1"/>
  <c r="K89" i="4" s="1"/>
  <c r="H89" i="4"/>
  <c r="I88" i="4"/>
  <c r="J88" i="4" s="1"/>
  <c r="K88" i="4" s="1"/>
  <c r="H88" i="4"/>
  <c r="I87" i="4"/>
  <c r="J87" i="4" s="1"/>
  <c r="K87" i="4" s="1"/>
  <c r="H87" i="4"/>
  <c r="I86" i="4"/>
  <c r="J86" i="4" s="1"/>
  <c r="K86" i="4" s="1"/>
  <c r="H86" i="4"/>
  <c r="I84" i="4"/>
  <c r="J84" i="4" s="1"/>
  <c r="K84" i="4" s="1"/>
  <c r="H84" i="4"/>
  <c r="I83" i="4"/>
  <c r="J83" i="4" s="1"/>
  <c r="H83" i="4"/>
  <c r="I82" i="4"/>
  <c r="J82" i="4" s="1"/>
  <c r="K82" i="4" s="1"/>
  <c r="H82" i="4"/>
  <c r="I81" i="4"/>
  <c r="J81" i="4" s="1"/>
  <c r="K81" i="4" s="1"/>
  <c r="H81" i="4"/>
  <c r="I80" i="4"/>
  <c r="J80" i="4" s="1"/>
  <c r="K80" i="4" s="1"/>
  <c r="H80" i="4"/>
  <c r="I79" i="4"/>
  <c r="J79" i="4" s="1"/>
  <c r="H79" i="4"/>
  <c r="I78" i="4"/>
  <c r="J78" i="4" s="1"/>
  <c r="K78" i="4" s="1"/>
  <c r="H78" i="4"/>
  <c r="I77" i="4"/>
  <c r="J77" i="4" s="1"/>
  <c r="K77" i="4" s="1"/>
  <c r="H77" i="4"/>
  <c r="I76" i="4"/>
  <c r="J76" i="4" s="1"/>
  <c r="K76" i="4" s="1"/>
  <c r="H76" i="4"/>
  <c r="I75" i="4"/>
  <c r="J75" i="4" s="1"/>
  <c r="H75" i="4"/>
  <c r="I74" i="4"/>
  <c r="J74" i="4" s="1"/>
  <c r="K74" i="4" s="1"/>
  <c r="H74" i="4"/>
  <c r="I73" i="4"/>
  <c r="J73" i="4" s="1"/>
  <c r="K73" i="4" s="1"/>
  <c r="H73" i="4"/>
  <c r="I72" i="4"/>
  <c r="J72" i="4" s="1"/>
  <c r="K72" i="4" s="1"/>
  <c r="H72" i="4"/>
  <c r="I71" i="4"/>
  <c r="J71" i="4" s="1"/>
  <c r="H71" i="4"/>
  <c r="I70" i="4"/>
  <c r="J70" i="4" s="1"/>
  <c r="K70" i="4" s="1"/>
  <c r="H70" i="4"/>
  <c r="I69" i="4"/>
  <c r="J69" i="4" s="1"/>
  <c r="K69" i="4" s="1"/>
  <c r="H69" i="4"/>
  <c r="I68" i="4"/>
  <c r="J68" i="4" s="1"/>
  <c r="K68" i="4" s="1"/>
  <c r="H68" i="4"/>
  <c r="I67" i="4"/>
  <c r="J67" i="4" s="1"/>
  <c r="K67" i="4" s="1"/>
  <c r="H67" i="4"/>
  <c r="I66" i="4"/>
  <c r="J66" i="4" s="1"/>
  <c r="K66" i="4" s="1"/>
  <c r="H66" i="4"/>
  <c r="I65" i="4"/>
  <c r="J65" i="4" s="1"/>
  <c r="K65" i="4" s="1"/>
  <c r="H65" i="4"/>
  <c r="I64" i="4"/>
  <c r="J64" i="4" s="1"/>
  <c r="K64" i="4" s="1"/>
  <c r="H64" i="4"/>
  <c r="I63" i="4"/>
  <c r="J63" i="4" s="1"/>
  <c r="H63" i="4"/>
  <c r="I62" i="4"/>
  <c r="J62" i="4" s="1"/>
  <c r="K62" i="4" s="1"/>
  <c r="H62" i="4"/>
  <c r="I61" i="4"/>
  <c r="J61" i="4" s="1"/>
  <c r="K61" i="4" s="1"/>
  <c r="H61" i="4"/>
  <c r="I60" i="4"/>
  <c r="J60" i="4" s="1"/>
  <c r="K60" i="4" s="1"/>
  <c r="H60" i="4"/>
  <c r="I59" i="4"/>
  <c r="J59" i="4" s="1"/>
  <c r="H59" i="4"/>
  <c r="I58" i="4"/>
  <c r="J58" i="4" s="1"/>
  <c r="K58" i="4" s="1"/>
  <c r="H58" i="4"/>
  <c r="I57" i="4"/>
  <c r="J57" i="4" s="1"/>
  <c r="K57" i="4" s="1"/>
  <c r="H57" i="4"/>
  <c r="I56" i="4"/>
  <c r="J56" i="4" s="1"/>
  <c r="K56" i="4" s="1"/>
  <c r="H56" i="4"/>
  <c r="I51" i="4"/>
  <c r="J51" i="4" s="1"/>
  <c r="K51" i="4" s="1"/>
  <c r="H51" i="4"/>
  <c r="I50" i="4"/>
  <c r="J50" i="4" s="1"/>
  <c r="K50" i="4" s="1"/>
  <c r="H50" i="4"/>
  <c r="I49" i="4"/>
  <c r="J49" i="4" s="1"/>
  <c r="K49" i="4" s="1"/>
  <c r="H49" i="4"/>
  <c r="I48" i="4"/>
  <c r="J48" i="4" s="1"/>
  <c r="K48" i="4" s="1"/>
  <c r="H48" i="4"/>
  <c r="I47" i="4"/>
  <c r="J47" i="4" s="1"/>
  <c r="H47" i="4"/>
  <c r="I45" i="4"/>
  <c r="J45" i="4" s="1"/>
  <c r="K45" i="4" s="1"/>
  <c r="H45" i="4"/>
  <c r="I44" i="4"/>
  <c r="J44" i="4" s="1"/>
  <c r="K44" i="4" s="1"/>
  <c r="H44" i="4"/>
  <c r="I43" i="4"/>
  <c r="J43" i="4" s="1"/>
  <c r="K43" i="4" s="1"/>
  <c r="H43" i="4"/>
  <c r="I42" i="4"/>
  <c r="J42" i="4" s="1"/>
  <c r="H42" i="4"/>
  <c r="I41" i="4"/>
  <c r="J41" i="4" s="1"/>
  <c r="K41" i="4" s="1"/>
  <c r="H41" i="4"/>
  <c r="I40" i="4"/>
  <c r="J40" i="4" s="1"/>
  <c r="K40" i="4" s="1"/>
  <c r="H40" i="4"/>
  <c r="I38" i="4"/>
  <c r="J38" i="4" s="1"/>
  <c r="K38" i="4" s="1"/>
  <c r="H38" i="4"/>
  <c r="I37" i="4"/>
  <c r="J37" i="4" s="1"/>
  <c r="H37" i="4"/>
  <c r="I36" i="4"/>
  <c r="J36" i="4" s="1"/>
  <c r="K36" i="4" s="1"/>
  <c r="H36" i="4"/>
  <c r="I35" i="4"/>
  <c r="J35" i="4" s="1"/>
  <c r="K35" i="4" s="1"/>
  <c r="H35" i="4"/>
  <c r="I34" i="4"/>
  <c r="J34" i="4" s="1"/>
  <c r="K34" i="4" s="1"/>
  <c r="H34" i="4"/>
  <c r="I33" i="4"/>
  <c r="J33" i="4" s="1"/>
  <c r="H33" i="4"/>
  <c r="I32" i="4"/>
  <c r="J32" i="4" s="1"/>
  <c r="K32" i="4" s="1"/>
  <c r="H32" i="4"/>
  <c r="I31" i="4"/>
  <c r="J31" i="4" s="1"/>
  <c r="K31" i="4" s="1"/>
  <c r="H31" i="4"/>
  <c r="I30" i="4"/>
  <c r="J30" i="4" s="1"/>
  <c r="K30" i="4" s="1"/>
  <c r="H30" i="4"/>
  <c r="I29" i="4"/>
  <c r="J29" i="4" s="1"/>
  <c r="K29" i="4" s="1"/>
  <c r="H29" i="4"/>
  <c r="I28" i="4"/>
  <c r="J28" i="4" s="1"/>
  <c r="K28" i="4" s="1"/>
  <c r="H28" i="4"/>
  <c r="I27" i="4"/>
  <c r="J27" i="4" s="1"/>
  <c r="K27" i="4" s="1"/>
  <c r="H27" i="4"/>
  <c r="I26" i="4"/>
  <c r="J26" i="4" s="1"/>
  <c r="K26" i="4" s="1"/>
  <c r="H26" i="4"/>
  <c r="I25" i="4"/>
  <c r="J25" i="4" s="1"/>
  <c r="H25" i="4"/>
  <c r="I24" i="4"/>
  <c r="J24" i="4" s="1"/>
  <c r="K24" i="4" s="1"/>
  <c r="H24" i="4"/>
  <c r="I23" i="4"/>
  <c r="J23" i="4" s="1"/>
  <c r="K23" i="4" s="1"/>
  <c r="H23" i="4"/>
  <c r="I22" i="4"/>
  <c r="J22" i="4" s="1"/>
  <c r="K22" i="4" s="1"/>
  <c r="H22" i="4"/>
  <c r="I21" i="4"/>
  <c r="J21" i="4" s="1"/>
  <c r="K21" i="4" s="1"/>
  <c r="H21" i="4"/>
  <c r="J20" i="4"/>
  <c r="K20" i="4" s="1"/>
  <c r="I20" i="4"/>
  <c r="H20" i="4"/>
  <c r="I19" i="4"/>
  <c r="J19" i="4" s="1"/>
  <c r="K19" i="4" s="1"/>
  <c r="H19" i="4"/>
  <c r="I18" i="4"/>
  <c r="J18" i="4" s="1"/>
  <c r="K18" i="4" s="1"/>
  <c r="H18" i="4"/>
  <c r="I17" i="4"/>
  <c r="J17" i="4" s="1"/>
  <c r="K17" i="4" s="1"/>
  <c r="H17" i="4"/>
  <c r="I16" i="4"/>
  <c r="J16" i="4" s="1"/>
  <c r="K16" i="4" s="1"/>
  <c r="H16" i="4"/>
  <c r="I14" i="4"/>
  <c r="J14" i="4" s="1"/>
  <c r="K14" i="4" s="1"/>
  <c r="H14" i="4"/>
  <c r="I13" i="4"/>
  <c r="J13" i="4" s="1"/>
  <c r="K13" i="4" s="1"/>
  <c r="H13" i="4"/>
  <c r="I12" i="4"/>
  <c r="J12" i="4" s="1"/>
  <c r="K12" i="4" s="1"/>
  <c r="H12" i="4"/>
  <c r="I11" i="4"/>
  <c r="J11" i="4" s="1"/>
  <c r="K11" i="4" s="1"/>
  <c r="H11" i="4"/>
  <c r="I10" i="4"/>
  <c r="J10" i="4" s="1"/>
  <c r="K10" i="4" s="1"/>
  <c r="H10" i="4"/>
  <c r="I8" i="4"/>
  <c r="J8" i="4" s="1"/>
  <c r="K8" i="4" s="1"/>
  <c r="H8" i="4"/>
  <c r="I7" i="4"/>
  <c r="J7" i="4" s="1"/>
  <c r="K7" i="4" s="1"/>
  <c r="H7" i="4"/>
  <c r="I6" i="4"/>
  <c r="J6" i="4" s="1"/>
  <c r="K6" i="4" s="1"/>
  <c r="H6" i="4"/>
  <c r="I5" i="4"/>
  <c r="J5" i="4" s="1"/>
  <c r="K5" i="4" s="1"/>
  <c r="H5" i="4"/>
  <c r="I4" i="4"/>
  <c r="J4" i="4" s="1"/>
  <c r="K4" i="4" s="1"/>
  <c r="H4" i="4"/>
  <c r="I3" i="4"/>
  <c r="J3" i="4" s="1"/>
  <c r="K3" i="4" s="1"/>
  <c r="H3" i="4"/>
  <c r="K665" i="4" l="1"/>
  <c r="K166" i="4"/>
  <c r="K240" i="4"/>
  <c r="K532" i="4"/>
  <c r="K577" i="4"/>
  <c r="K96" i="4"/>
  <c r="K235" i="4"/>
  <c r="K301" i="4"/>
  <c r="K326" i="4"/>
  <c r="K125" i="4"/>
  <c r="K315" i="4"/>
  <c r="K390" i="4"/>
  <c r="K142" i="4"/>
  <c r="K213" i="4"/>
  <c r="K341" i="4"/>
  <c r="K572" i="4"/>
  <c r="K613" i="4"/>
  <c r="K844" i="4"/>
  <c r="K346" i="4"/>
  <c r="K83" i="4"/>
  <c r="K276" i="4"/>
  <c r="K1263" i="4"/>
  <c r="K170" i="4"/>
  <c r="K92" i="4"/>
  <c r="K218" i="4"/>
  <c r="K136" i="4"/>
  <c r="K183" i="4"/>
  <c r="K412" i="4"/>
  <c r="K457" i="4"/>
  <c r="K497" i="4"/>
  <c r="K608" i="4"/>
  <c r="K244" i="4"/>
  <c r="K576" i="4"/>
  <c r="K538" i="4"/>
  <c r="K47" i="4"/>
  <c r="K603" i="4"/>
  <c r="K113" i="4"/>
  <c r="K158" i="4"/>
  <c r="K232" i="4"/>
  <c r="K586" i="4"/>
  <c r="K674" i="4"/>
  <c r="K394" i="4"/>
  <c r="K968" i="4"/>
  <c r="K1325" i="4"/>
  <c r="K192" i="4"/>
  <c r="K430" i="4"/>
  <c r="K75" i="4"/>
  <c r="K109" i="4"/>
  <c r="K178" i="4"/>
  <c r="K328" i="4"/>
  <c r="K408" i="4"/>
  <c r="K25" i="4"/>
  <c r="K59" i="4"/>
  <c r="K146" i="4"/>
  <c r="K698" i="4"/>
  <c r="K42" i="4"/>
  <c r="K150" i="4"/>
  <c r="K222" i="4"/>
  <c r="K63" i="4"/>
  <c r="K137" i="4"/>
  <c r="K247" i="4"/>
  <c r="K33" i="4"/>
  <c r="K105" i="4"/>
  <c r="K154" i="4"/>
  <c r="K227" i="4"/>
  <c r="K479" i="4"/>
  <c r="K547" i="4"/>
  <c r="K553" i="4"/>
  <c r="K79" i="4"/>
  <c r="K37" i="4"/>
  <c r="K173" i="4"/>
  <c r="K71" i="4"/>
  <c r="K174" i="4"/>
  <c r="K248" i="4"/>
  <c r="K324" i="4"/>
  <c r="K363" i="4"/>
  <c r="K621" i="4"/>
  <c r="K670" i="4"/>
  <c r="K1313" i="4"/>
  <c r="K1248" i="4"/>
  <c r="K694" i="4"/>
  <c r="K1194" i="4"/>
  <c r="K543" i="4"/>
  <c r="K859" i="4"/>
  <c r="K564" i="4"/>
  <c r="K978" i="4"/>
  <c r="K675" i="4"/>
  <c r="K748" i="4"/>
  <c r="K887" i="4"/>
  <c r="K359" i="4"/>
  <c r="K426" i="4"/>
  <c r="K493" i="4"/>
  <c r="K604" i="4"/>
  <c r="K848" i="4"/>
  <c r="K560" i="4"/>
  <c r="K671" i="4"/>
  <c r="K754" i="4"/>
  <c r="K831" i="4"/>
  <c r="K881" i="4"/>
  <c r="K1106" i="4"/>
  <c r="K594" i="4"/>
  <c r="K722" i="4"/>
  <c r="K819" i="4"/>
  <c r="K347" i="4"/>
  <c r="K413" i="4"/>
  <c r="K480" i="4"/>
  <c r="K529" i="4"/>
  <c r="K1217" i="4"/>
  <c r="K1102" i="4"/>
  <c r="K1296" i="4"/>
  <c r="K740" i="4"/>
  <c r="K1115" i="4"/>
  <c r="K1212" i="4"/>
  <c r="K1322" i="4"/>
  <c r="K1330" i="4"/>
  <c r="K1344" i="4"/>
  <c r="K1868" i="4"/>
  <c r="K1232" i="4"/>
  <c r="K1273" i="4"/>
  <c r="K1309" i="4"/>
  <c r="K1484" i="4"/>
  <c r="K986" i="4"/>
  <c r="K1244" i="4"/>
  <c r="K970" i="4"/>
  <c r="K810" i="4"/>
  <c r="K878" i="4"/>
  <c r="K1122" i="4"/>
  <c r="K756" i="4"/>
  <c r="K1291" i="4"/>
  <c r="K726" i="4"/>
  <c r="K98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tc={b20d5c72-1c6a-461a-8297-a89edd71fe51}</author>
    <author>tc={92c8dd2d-4104-4ff8-8c31-b68aeb239053}</author>
  </authors>
  <commentList>
    <comment ref="D1" authorId="0" shapeId="0" xr:uid="{B20D5C72-1C6A-461A-8297-A89EDD71FE51}">
      <text>
        <t>[Threaded comment]
Your version of Excel allows you to read this threaded comment; however, any edits to it will get removed if the file is opened in a newer version of Excel. Learn more: https://go.microsoft.com/fwlink/?linkid=870924
Comment:
    This year is the year of Nmin?</t>
      </text>
    </comment>
    <comment ref="O38" authorId="1" shapeId="0" xr:uid="{92C8DD2D-4104-4FF8-8C31-B68AEB239053}">
      <text>
        <t>[Threaded comment]
Your version of Excel allows you to read this threaded comment; however, any edits to it will get removed if the file is opened in a newer version of Excel. Learn more: https://go.microsoft.com/fwlink/?linkid=870924
Comment:
    This is complicated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tc={3a513da6-db17-448e-8b0f-1601e1df5615}</author>
    <author>tc={f2cb5f98-c74e-41b2-82fe-0bf635e9d854}</author>
    <author>tc={1126f78a-7917-453a-8ee2-f9ad0de80d5d}</author>
    <author>tc={23b414ec-5bcb-4911-ba59-89f934386745}</author>
  </authors>
  <commentList>
    <comment ref="K39" authorId="0" shapeId="0" xr:uid="{3A513DA6-DB17-448E-8B0F-1601E1DF5615}">
      <text>
        <t>[Threaded comment]
Your version of Excel allows you to read this threaded comment; however, any edits to it will get removed if the file is opened in a newer version of Excel. Learn more: https://go.microsoft.com/fwlink/?linkid=870924
Comment:
    N/A?, ranged between 6000 and 9500</t>
      </text>
    </comment>
    <comment ref="F217" authorId="1" shapeId="0" xr:uid="{F2CB5F98-C74E-41B2-82FE-0BF635E9D854}">
      <text>
        <t>[Threaded comment]
Your version of Excel allows you to read this threaded comment; however, any edits to it will get removed if the file is opened in a newer version of Excel. Learn more: https://go.microsoft.com/fwlink/?linkid=870924
Comment:
    Line-transect?</t>
      </text>
    </comment>
    <comment ref="F995" authorId="2" shapeId="0" xr:uid="{1126F78A-7917-453A-8EE2-F9AD0DE80D5D}">
      <text>
        <t>[Threaded comment]
Your version of Excel allows you to read this threaded comment; however, any edits to it will get removed if the file is opened in a newer version of Excel. Learn more: https://go.microsoft.com/fwlink/?linkid=870924
Comment:
    the author estimates the total pups from the combined survey types</t>
      </text>
    </comment>
    <comment ref="A1336" authorId="3" shapeId="0" xr:uid="{23B414EC-5BCB-4911-BA59-89F934386745}">
      <text>
        <t>[Threaded comment]
Your version of Excel allows you to read this threaded comment; however, any edits to it will get removed if the file is opened in a newer version of Excel. Learn more: https://go.microsoft.com/fwlink/?linkid=870924
Comment:
    data is counted but falls within the predicted range - not sure what to do</t>
      </text>
    </comment>
  </commentList>
</comments>
</file>

<file path=xl/sharedStrings.xml><?xml version="1.0" encoding="utf-8"?>
<sst xmlns="http://schemas.openxmlformats.org/spreadsheetml/2006/main" count="49535" uniqueCount="1347">
  <si>
    <t>Region</t>
  </si>
  <si>
    <t>SAR Revised date</t>
  </si>
  <si>
    <t>Stock</t>
  </si>
  <si>
    <t>Year</t>
  </si>
  <si>
    <t>Nmin numbers</t>
  </si>
  <si>
    <t>Nmin method</t>
  </si>
  <si>
    <t>R(max)</t>
  </si>
  <si>
    <t>Recovery Factor (RF)</t>
  </si>
  <si>
    <t>PBR</t>
  </si>
  <si>
    <t>Trend</t>
  </si>
  <si>
    <t>Strategic?</t>
  </si>
  <si>
    <t>MNPL</t>
  </si>
  <si>
    <t>Within OSP?</t>
  </si>
  <si>
    <t>Year range (SM/I)</t>
  </si>
  <si>
    <t># of sources (SM/I)</t>
  </si>
  <si>
    <t># of SM/I</t>
  </si>
  <si>
    <t>MMPA Stock status</t>
  </si>
  <si>
    <t>ESA stock status</t>
  </si>
  <si>
    <t>Note</t>
  </si>
  <si>
    <t>Pacific</t>
  </si>
  <si>
    <t>California sea lion (U.S.)</t>
  </si>
  <si>
    <t>logistic growth model</t>
  </si>
  <si>
    <t>12%-default (7% Laake et al., 2018)</t>
  </si>
  <si>
    <t>Increasing</t>
  </si>
  <si>
    <t>No</t>
  </si>
  <si>
    <t>Yes</t>
  </si>
  <si>
    <t>2004-2016</t>
  </si>
  <si>
    <t>7 (5 observer + 2 stranding)</t>
  </si>
  <si>
    <t>197 (mean)</t>
  </si>
  <si>
    <t>Non-depleted</t>
  </si>
  <si>
    <t>Not listed</t>
  </si>
  <si>
    <t>Harbor seal (California)</t>
  </si>
  <si>
    <t>Haul out count</t>
  </si>
  <si>
    <t>12%-default</t>
  </si>
  <si>
    <t>NA</t>
  </si>
  <si>
    <t>Unknown</t>
  </si>
  <si>
    <t>2005-2012</t>
  </si>
  <si>
    <t>4 (3 observer + 1 stranding)</t>
  </si>
  <si>
    <t>30 (mean)</t>
  </si>
  <si>
    <t>Harbor seal (Oregon Coast)</t>
  </si>
  <si>
    <t>12%-default (6.4%-10.1% Brown et al., 2005)</t>
  </si>
  <si>
    <t xml:space="preserve">Unknown, reaching to carrying capacity </t>
  </si>
  <si>
    <t>Unknown (previously reported within OSP)</t>
  </si>
  <si>
    <t>1990-2011</t>
  </si>
  <si>
    <t>8 (6 observer + 1 fisher self-report + 1 stranding)</t>
  </si>
  <si>
    <t>10.6 (mean)</t>
  </si>
  <si>
    <t>Harbor seal (Washington Coast)</t>
  </si>
  <si>
    <t>12%-default (18.5% Jeffries et al., 2003)</t>
  </si>
  <si>
    <t>Unknown, reaching to carrying capacity</t>
  </si>
  <si>
    <t>* The latest abundacne information of this stock is updated by other study</t>
  </si>
  <si>
    <t>Harbor seal (Washington Inland Water)</t>
  </si>
  <si>
    <t>12%-default (12.6% Jeffries et al., 2003)</t>
  </si>
  <si>
    <t>1993-2011</t>
  </si>
  <si>
    <t>10 (5 observer + 2 fisher self-report + 3 stranding)</t>
  </si>
  <si>
    <t>9.8 (mean)</t>
  </si>
  <si>
    <t>* The latest abundance information of this stock is updated by other study</t>
  </si>
  <si>
    <t>Northern elephant seal (California breeding)</t>
  </si>
  <si>
    <t xml:space="preserve">Haul out count </t>
  </si>
  <si>
    <t>2012-2019</t>
  </si>
  <si>
    <t>5 (5 observer)</t>
  </si>
  <si>
    <t>5.3 (mean)</t>
  </si>
  <si>
    <t>Guadalupe fur seal (Mexico)</t>
  </si>
  <si>
    <t>13.7%-species (Gallo 1994)</t>
  </si>
  <si>
    <t>1062 (Mexico)</t>
  </si>
  <si>
    <t>2013-2017</t>
  </si>
  <si>
    <t>3.8 (mean-US water)</t>
  </si>
  <si>
    <t xml:space="preserve">Depleted </t>
  </si>
  <si>
    <t>Threatened</t>
  </si>
  <si>
    <t>* This stock primarily breed outside U.S.</t>
  </si>
  <si>
    <t>Northern fur seal (California)</t>
  </si>
  <si>
    <t>12%-default (20% derived from linear regression)</t>
  </si>
  <si>
    <t>Increasing (San Miguel Island); Unknown (Farallon Island)</t>
  </si>
  <si>
    <t>2009-2013</t>
  </si>
  <si>
    <t>1 (stranding)</t>
  </si>
  <si>
    <t>1.8 (mean)</t>
  </si>
  <si>
    <t>Hawaiian monk seal</t>
  </si>
  <si>
    <t>Multiple depnding on each site - discovery curve analysis; total enumeration; capture-recapture; counts corrected for the proportion of seals at sea; minimum tally</t>
  </si>
  <si>
    <t>7%-species (Johanos 2023a)</t>
  </si>
  <si>
    <t xml:space="preserve">Increasing </t>
  </si>
  <si>
    <t>2017-2021</t>
  </si>
  <si>
    <t>4 (hunting + fishery entanglement + marine debris + disease)</t>
  </si>
  <si>
    <t>5.4 (mean)</t>
  </si>
  <si>
    <t>Endangered</t>
  </si>
  <si>
    <t>Harbor porpoise (Morro Bay)</t>
  </si>
  <si>
    <t>Aerial survey</t>
  </si>
  <si>
    <t>9.6%-stock (Forney et al., 2020)</t>
  </si>
  <si>
    <t>2015-2019</t>
  </si>
  <si>
    <t>Harbor porpoise (Monterey Bay)</t>
  </si>
  <si>
    <t>5.8%-stock (Forney et al., 2020)</t>
  </si>
  <si>
    <t>1(stranding)</t>
  </si>
  <si>
    <t>0.2 (mean)</t>
  </si>
  <si>
    <t>Harbor porpoise (San Francisco-Russian River)</t>
  </si>
  <si>
    <t>6.1%-stock (Forney et al., 2020)</t>
  </si>
  <si>
    <t>0.4 (mean)</t>
  </si>
  <si>
    <t>Harbor porpoise (Northern California/Southern Oregon coast)</t>
  </si>
  <si>
    <t>4%-default</t>
  </si>
  <si>
    <t>Harbor porpoise (Central Oregon)</t>
  </si>
  <si>
    <t>Harbor porpoise (Northern Oregon/Washington Coast)</t>
  </si>
  <si>
    <t>2007-2021</t>
  </si>
  <si>
    <t>3 (1 fisher self-report + 2 stranding)</t>
  </si>
  <si>
    <t>3.2 (mean)</t>
  </si>
  <si>
    <t>Harbor porpoise (Washington Inland water)</t>
  </si>
  <si>
    <t>1993-2014</t>
  </si>
  <si>
    <t>6 (5 observer + 1 stranding)</t>
  </si>
  <si>
    <t>7.2 (mean)</t>
  </si>
  <si>
    <t>Dall's porpoise (California/Oregon/Washington)</t>
  </si>
  <si>
    <t>Species distribution model</t>
  </si>
  <si>
    <t>3 (2 observer + 1 stranding)</t>
  </si>
  <si>
    <t>0.66 (mean)</t>
  </si>
  <si>
    <t>Pacific white-sided dolphin (California/Oregon/Washington, Northern and Southern stock)</t>
  </si>
  <si>
    <t>7 (mean)</t>
  </si>
  <si>
    <t>Risso's dolphin (California/Oregon/Washington)</t>
  </si>
  <si>
    <t>Line-transect survey</t>
  </si>
  <si>
    <t>2004-2014</t>
  </si>
  <si>
    <t>5 (4 observer + 1 stranding)</t>
  </si>
  <si>
    <t>3.7 (mean)</t>
  </si>
  <si>
    <t>Common bottlenose dolphin (California coast)</t>
  </si>
  <si>
    <t>Photo ID mark-recapture</t>
  </si>
  <si>
    <t>2010-2014</t>
  </si>
  <si>
    <t>2 (1 observer + 1 stranding)</t>
  </si>
  <si>
    <t>2 (mean)</t>
  </si>
  <si>
    <t>Common bottlenose dolphin (California/Oregon/Washington Offshore)</t>
  </si>
  <si>
    <t>3 (3 observer)</t>
  </si>
  <si>
    <t>0.82 (mean)</t>
  </si>
  <si>
    <t>Striped dolphin (California/Oregon/Washington)</t>
  </si>
  <si>
    <t>4 (mean)</t>
  </si>
  <si>
    <t>Short-beaked common dolphin (California/Oregon/Washington)</t>
  </si>
  <si>
    <t>Increasing (migration)</t>
  </si>
  <si>
    <t>30.5 (mean)</t>
  </si>
  <si>
    <t>Long-beaked common dolphin (California)</t>
  </si>
  <si>
    <t>4 (1 observer + 4 stranding)</t>
  </si>
  <si>
    <t>26.5 (mean)</t>
  </si>
  <si>
    <t>Northern right-whale dolphin (California/Oregon/Washington)</t>
  </si>
  <si>
    <t>6.6 (mean)</t>
  </si>
  <si>
    <t>Killer whale (Eastern North Pacific offshore)</t>
  </si>
  <si>
    <t>4%-default (2 % Ford et al., 2014)</t>
  </si>
  <si>
    <t>Stable</t>
  </si>
  <si>
    <t>2012-2016</t>
  </si>
  <si>
    <t>Killer whale (Eastern North Pacific resident)</t>
  </si>
  <si>
    <t>Direct count</t>
  </si>
  <si>
    <t xml:space="preserve">3.5%-species </t>
  </si>
  <si>
    <t>Decreasing</t>
  </si>
  <si>
    <t>2015-2020</t>
  </si>
  <si>
    <t>Short-finned pilot whale (California/Oregon/Washington)</t>
  </si>
  <si>
    <t>2 (observer)</t>
  </si>
  <si>
    <t>1.2 (mean)</t>
  </si>
  <si>
    <t>Baird's beaked whale (California/Oregon/Washington)</t>
  </si>
  <si>
    <t>Mesoplodont beaked whale (California/Oregon/Washington)</t>
  </si>
  <si>
    <t>2011-2015</t>
  </si>
  <si>
    <t>1 (observer)</t>
  </si>
  <si>
    <t>0.1 (mean)</t>
  </si>
  <si>
    <t>* This stock is composed of several species, and it's unclear which one is driving the increasing trend</t>
  </si>
  <si>
    <t>Cuvier's beaked whale (California/Oregon/Washington)</t>
  </si>
  <si>
    <t>Passive acoustic data</t>
  </si>
  <si>
    <t>2016-2020</t>
  </si>
  <si>
    <t>0.06 (mean)</t>
  </si>
  <si>
    <t>Pygmy sperm whale (California/Oregon/Washington)</t>
  </si>
  <si>
    <t>Dwarf sperm whale (California/Oregon/Washington)</t>
  </si>
  <si>
    <t>Sperm whale (California/Oregon/Washington)</t>
  </si>
  <si>
    <t>2015-2021</t>
  </si>
  <si>
    <t>0.52 (mean)</t>
  </si>
  <si>
    <t>Gray whale (Eastern north pacific)</t>
  </si>
  <si>
    <t>Shore-based count</t>
  </si>
  <si>
    <t>6.2%-stock</t>
  </si>
  <si>
    <t>2014-2018</t>
  </si>
  <si>
    <t>5 (subsistence harvest + commercial fisheries + marine debris + vessel strike + illegal hunt)</t>
  </si>
  <si>
    <t>131 (mean)</t>
  </si>
  <si>
    <t>* The endangered status of this stock was removed in 1994</t>
  </si>
  <si>
    <t>Gray whale (Western north pacific)</t>
  </si>
  <si>
    <t>6.2%-species</t>
  </si>
  <si>
    <t>Increasing (from 2015-2016)</t>
  </si>
  <si>
    <t>Humpback whale (Central America/Southern Mexico-California/Oregon/Washington)</t>
  </si>
  <si>
    <t>8.2%-stock</t>
  </si>
  <si>
    <t>3 (commercial-fishery + vessel strikes + non-commercial sources)</t>
  </si>
  <si>
    <t>14.9 (mean)</t>
  </si>
  <si>
    <t>Humpback whale (Mainland Mexico-California/Oregon/Washington)</t>
  </si>
  <si>
    <t>3 (commercial fishery + vessel strikes + non-commercial sources)</t>
  </si>
  <si>
    <t>22 (mean)</t>
  </si>
  <si>
    <t>Blue whale (Eastern North Pacific)</t>
  </si>
  <si>
    <t>2 (commercial fishery + vessel strike)</t>
  </si>
  <si>
    <t>18.6 (mean)</t>
  </si>
  <si>
    <t>Fin whale (California/Oregon/Washington)</t>
  </si>
  <si>
    <t>43.4 (mean)</t>
  </si>
  <si>
    <t>Sei whale (Eastern North Pacific)</t>
  </si>
  <si>
    <t>Minke whale (California/Oregon/Washington)</t>
  </si>
  <si>
    <t>3 (commercial fishery + shooting + vessel strikes)</t>
  </si>
  <si>
    <t>0.37 (mean)</t>
  </si>
  <si>
    <t>Bryde's whale (Eastern tropical Pacific)</t>
  </si>
  <si>
    <t>2001-2013</t>
  </si>
  <si>
    <t>Rough-toothed dolphin (Hawaii)</t>
  </si>
  <si>
    <t>Rough-toothed dolphin (American Samoa)</t>
  </si>
  <si>
    <t>NA (426-2731)</t>
  </si>
  <si>
    <t>NA (3.4-22)</t>
  </si>
  <si>
    <t>2006-2008</t>
  </si>
  <si>
    <t>3.6 (mean)</t>
  </si>
  <si>
    <t>Risso's dolphin (Hawaii)</t>
  </si>
  <si>
    <t>Common bottlenose dolphin (Kanua'i/Ni'ihau)</t>
  </si>
  <si>
    <t>Unknown (Van Cise et al., 2021 suggests declining)</t>
  </si>
  <si>
    <t>0 (undetermined)</t>
  </si>
  <si>
    <t>Common bottlenose dolphin (O'ahu)</t>
  </si>
  <si>
    <t>Common bottlenose dolphin (Maui Nui)</t>
  </si>
  <si>
    <t>2017-2022</t>
  </si>
  <si>
    <t>Common bottlenose dolphin (Hawaii Island stock)</t>
  </si>
  <si>
    <t>Unknown (Van Cise et al., 2021 suggests increasing)</t>
  </si>
  <si>
    <t>Common bottlenose dolphin (Hawaii pelagic stock)</t>
  </si>
  <si>
    <t>Pantropical spotted dolphin (O'ahu)</t>
  </si>
  <si>
    <t>Pantropical spotted dolphin (Maui Nui)</t>
  </si>
  <si>
    <t>Pantropical spotted dolphin (Hawaii Island)</t>
  </si>
  <si>
    <t>Pantropical spotted dolphin (Hawaii pelagic)</t>
  </si>
  <si>
    <t>Spinner dolphin (Hawaii Island)</t>
  </si>
  <si>
    <t>Spinner dolphin (Oahu-4 islands)</t>
  </si>
  <si>
    <t>Spinner dolphin (Kauai/Niihau)</t>
  </si>
  <si>
    <t>Spinner dolphin (Pearl &amp; Hermes reef)</t>
  </si>
  <si>
    <t>Spinner dolphin (Midway atoll/Kure)</t>
  </si>
  <si>
    <t>Spinner dolphin (Hawaii pelagic)</t>
  </si>
  <si>
    <t>Spinner dolphin (American Samoa)</t>
  </si>
  <si>
    <t>NA (317-41483)</t>
  </si>
  <si>
    <t>NA (3.2-415)</t>
  </si>
  <si>
    <t>Striped dolphin (Hawaii)</t>
  </si>
  <si>
    <t>Fraser's dolphin (Hawaii)</t>
  </si>
  <si>
    <t>Melon-headed whale (Kohala Resident)</t>
  </si>
  <si>
    <t>Melon-headed whale (Hawaiian Island)</t>
  </si>
  <si>
    <t>Pygmy killer whale (Hawaii)</t>
  </si>
  <si>
    <t>False killer whale (Main Hawaiian Island Insular)</t>
  </si>
  <si>
    <t>Encounter data (mark-recapture)</t>
  </si>
  <si>
    <t>False killer whale (Hawaii pelagic)</t>
  </si>
  <si>
    <t>False killer whale (Northwestern Hawaiian Island)</t>
  </si>
  <si>
    <t>False killer whale (Palmyra Atoll)</t>
  </si>
  <si>
    <t>2006-2010</t>
  </si>
  <si>
    <t>False killer whale (American Samoa)</t>
  </si>
  <si>
    <t>NA (45-936)</t>
  </si>
  <si>
    <t>NA (0.4-7.5)</t>
  </si>
  <si>
    <t>Killer whale (Hawaii)</t>
  </si>
  <si>
    <t>Short-finned pilot whale (Hawaii)</t>
  </si>
  <si>
    <t>Blainville's beaked whale (Hawaii)</t>
  </si>
  <si>
    <t>Longman's beaked whale (Hawaii)</t>
  </si>
  <si>
    <t>Cuvier's beaked whale (Hawaii)</t>
  </si>
  <si>
    <t>Pygmy sperm whale (Hawaii)</t>
  </si>
  <si>
    <t>Dawrf sperm whale (Hawaii)</t>
  </si>
  <si>
    <t>Sperm whale (Hawaii)</t>
  </si>
  <si>
    <t>Blue whale (Central North Pacific)</t>
  </si>
  <si>
    <t>Fin whale (Hawaii)</t>
  </si>
  <si>
    <t>Bryde's whale (Hawaii)</t>
  </si>
  <si>
    <t>Sei whale (Hawaii)</t>
  </si>
  <si>
    <t>Minke whale (Hawaii)</t>
  </si>
  <si>
    <t>Humpback whale (IUCN Oceania subpopulation - American Samoa)</t>
  </si>
  <si>
    <t>Fluke photo identification</t>
  </si>
  <si>
    <t>10.6%-species</t>
  </si>
  <si>
    <t>reference</t>
  </si>
  <si>
    <t>country</t>
  </si>
  <si>
    <t>region</t>
  </si>
  <si>
    <t>common_name</t>
  </si>
  <si>
    <t>species</t>
  </si>
  <si>
    <t>growth_rate</t>
  </si>
  <si>
    <t xml:space="preserve">recovery factor </t>
  </si>
  <si>
    <t>pbr</t>
  </si>
  <si>
    <t>ref_link</t>
  </si>
  <si>
    <t>citation</t>
  </si>
  <si>
    <t>notes</t>
  </si>
  <si>
    <r>
      <rPr>
        <b/>
        <sz val="10"/>
        <color theme="1"/>
        <rFont val="Arial"/>
        <family val="2"/>
      </rPr>
      <t xml:space="preserve">Example: </t>
    </r>
    <r>
      <rPr>
        <sz val="10"/>
        <color theme="1"/>
        <rFont val="Arial"/>
        <family val="2"/>
      </rPr>
      <t>Laake et al. (2018)</t>
    </r>
  </si>
  <si>
    <t>USA</t>
  </si>
  <si>
    <t>US West Coast</t>
  </si>
  <si>
    <t>California sea lion</t>
  </si>
  <si>
    <t>Zalophus californianus</t>
  </si>
  <si>
    <t>https://wildlife.onlinelibrary.wiley.com/doi/10.1002/jwmg.21405</t>
  </si>
  <si>
    <t>Laake, J.L., Lowry, M.S., DeLong, R.L., Melin, S.R. and Carretta, J.V., 2018. Population growth and status of California sea lions. The Journal of Wildlife Management, 82(3), pp.583-595.</t>
  </si>
  <si>
    <t>(NOAA Fisheries, 2021)</t>
  </si>
  <si>
    <t xml:space="preserve">Eastern North Pacific </t>
  </si>
  <si>
    <t>Blue whale</t>
  </si>
  <si>
    <t>Balaenoptera musculus musculus</t>
  </si>
  <si>
    <t>https://media.fisheries.noaa.gov/2022-08/2021-PacBluewhale-Eastern%20North%20Pacific%20Stock.pdf</t>
  </si>
  <si>
    <t>NOAA Fisheries. (2021). BLUE WHALE (Balaenoptera musculus musculus): Eastern North Pacific Stock. https://media.fisheries.noaa.gov/2022-08/2021-PacBluewhale-Eastern%20North%20Pacific%20Stock.pdf</t>
  </si>
  <si>
    <t>(NOAA Fisheries, 2022)</t>
  </si>
  <si>
    <t xml:space="preserve">Western Arctic </t>
  </si>
  <si>
    <t>Bowhead whale</t>
  </si>
  <si>
    <t>Balaena mysticetus</t>
  </si>
  <si>
    <t>https://www.fisheries.noaa.gov/s3/2023-08/Bowhead-Whale-WAS-2022.pdf</t>
  </si>
  <si>
    <t>NOAA Fisheries. (2022). BOWHEAD WHALE (Balaena mysticetus): Western Arctic Stock. 03/15/2022. https://www.fisheries.noaa.gov/s3/2023-08/Bowhead-Whale-WAS-2022.pdf</t>
  </si>
  <si>
    <t>California/Oregon/Washington</t>
  </si>
  <si>
    <t>Fin whale</t>
  </si>
  <si>
    <t>Balaenoptera physalus velifera</t>
  </si>
  <si>
    <t>https://media.fisheries.noaa.gov/2022-08/2021-PACfinwhale-CaliforniaOregonWashington%20Stock.pdf</t>
  </si>
  <si>
    <t>NOAA Fisheries. (2021). FIN WHALE (Balaenoptera physalus velifera ): California/Oregon/Washington Stock. https://media.fisheries.noaa.gov/2022-08/2021-PACfinwhale-CaliforniaOregonWashington%20Stock.pdf</t>
  </si>
  <si>
    <t>(NOAA Fisheries, 2020)</t>
  </si>
  <si>
    <t xml:space="preserve">Northeast Pacific Stock </t>
  </si>
  <si>
    <t>Balaenoptera physalus</t>
  </si>
  <si>
    <t>https://media.fisheries.noaa.gov/2021-08/FIN-WHALE-Balaenoptera-physalus-Northeast-Pacific-Stock.pdf</t>
  </si>
  <si>
    <t>NOAA Fisheries. (2020). FIN WHALE (Balaenoptera physalus): Northeast Pacific Stock. https://media.fisheries.noaa.gov/2021-08/FIN-WHALE-Balaenoptera-physalus-Northeast-Pacific-Stock.pdf</t>
  </si>
  <si>
    <t>Gray whale</t>
  </si>
  <si>
    <t>Eschrichtius robustus</t>
  </si>
  <si>
    <t>https://www.fisheries.noaa.gov/s3/2021-08/2020-Pacific-SARS-Eastern-GrayWhale-dragged-.pdf</t>
  </si>
  <si>
    <t>NOAA Fisheries. (2020). GRAY WHALE (Eschrichtius robustus): Eastern North Pacific Stock. https://www.fisheries.noaa.gov/s3/2021-08/2020-Pacific-SARS-Eastern-GrayWhale-dragged-.pdf</t>
  </si>
  <si>
    <t>Humpback whale</t>
  </si>
  <si>
    <t>Megaptera novaeangliae</t>
  </si>
  <si>
    <t>https://media.fisheries.noaa.gov/2022-08/2021-HumpbackWhale-CaliforniaOregonWashington%20Stock.pdf</t>
  </si>
  <si>
    <t>NOAA Fisheries. (2021). HUMPBACK WHALE (Megaptera novaeangliae): California/Oregon/Washington Stock. https://media.fisheries.noaa.gov/2022-08/2021-HumpbackWhale-CaliforniaOregonWashington%20Stock.pdf</t>
  </si>
  <si>
    <t>(NOAA Fisheries, 2019)</t>
  </si>
  <si>
    <t>Gulf of Maine</t>
  </si>
  <si>
    <t>https://s3.amazonaws.com/media.fisheries.noaa.gov/2020-10/2019%20humpback%20whale%20gulf%20of%20Maine%20508.pdf?null</t>
  </si>
  <si>
    <t>NOAA Fisheries. (2019). HUMPBACK WHALE (Megaptera novaeangliae): Gulf of Maine Stock. https://s3.amazonaws.com/media.fisheries.noaa.gov/2020-10/2019%20humpback%20whale%20gulf%20of%20Maine%20508.pdf?null</t>
  </si>
  <si>
    <t xml:space="preserve">Western Atlantic </t>
  </si>
  <si>
    <t>North Atlantic right whale</t>
  </si>
  <si>
    <t>Eubalaena glacialis</t>
  </si>
  <si>
    <t>https://www.fisheries.noaa.gov/s3/2023-08/North-Atlantic-Right-Whale-Western-Atlantic-2022.pdf</t>
  </si>
  <si>
    <t>NOAA Fisheries. (2022). North Atlantic right whale (Eubalaena glacialis): Western Atlantic Stock. https://www.fisheries.noaa.gov/s3/2023-08/North-Atlantic-Right-Whale-Western-Atlantic-2022.pdf</t>
  </si>
  <si>
    <t>Sperm whale</t>
  </si>
  <si>
    <t>Physeter macrocephalus</t>
  </si>
  <si>
    <t>https://media.fisheries.noaa.gov/dam-migration/2019_sars_spermwhale_caorwa.pdf</t>
  </si>
  <si>
    <t>NOAA Fisheries. (2019). SPERM WHALE (Physeter macrocephalus): California/Oregon/Washington Stock. https://media.fisheries.noaa.gov/dam-migration/2019_sars_spermwhale_caorwa.pdf</t>
  </si>
  <si>
    <t>Cuvier's whale</t>
  </si>
  <si>
    <t>Ziphius cavirostris</t>
  </si>
  <si>
    <t>https://www.fisheries.noaa.gov/s3/2023-08/Cuviers-CAORWA-2022.pdf</t>
  </si>
  <si>
    <t>NOAA Fisheries. (2022). CUVIER’S BEAKED WHALE (Ziphius cavirostris): California/Oregon/Washington Stock. https://www.fisheries.noaa.gov/s3/2023-08/Cuviers-CAORWA-2022.pdf</t>
  </si>
  <si>
    <t xml:space="preserve">Cook Inlet </t>
  </si>
  <si>
    <t>Beluga whale</t>
  </si>
  <si>
    <t>Delphinapterus leucas</t>
  </si>
  <si>
    <t>https://www.fisheries.noaa.gov/s3/2023-05/2021BELUGA-WHALE-Delphinapterus-leucas-Cook-Inlet-Stock.pdf</t>
  </si>
  <si>
    <t>NOAA Fisheries. (2021). BELUGA WHALE (Delphinapterus leucas): Cook Inlet Stock. https://www.fisheries.noaa.gov/s3/2023-05/2021BELUGA-WHALE-Delphinapterus-leucas-Cook-Inlet-Stock.pdf</t>
  </si>
  <si>
    <t>Hawaii Islands</t>
  </si>
  <si>
    <t>False killer whale</t>
  </si>
  <si>
    <t>Pseudorca crassidens</t>
  </si>
  <si>
    <t>https://media.fisheries.noaa.gov/2022-08/2021-FALSE%20KILLER%20WHALE-Hawaiian%20Islands%20Stock%20Complex.pdf</t>
  </si>
  <si>
    <t>NOAA Fisheries. (2021). FALSE KILLER WHALE (Pseudorca crassidens): Hawaiian Islands Stock Complex – Main Hawaiian Islands Insular, Northwestern Hawaiian Islands, and Hawaii Pelagic Stocks. https://media.fisheries.noaa.gov/2022-08/2021-FALSE%20KILLER%20WHALE-Hawaiian%20Islands%20Stock%20Complex.pdf</t>
  </si>
  <si>
    <t xml:space="preserve">Eastern North Pacific (Southern Resident) </t>
  </si>
  <si>
    <t>Killer whale</t>
  </si>
  <si>
    <t>Orcinus orca</t>
  </si>
  <si>
    <t>https://www.fisheries.noaa.gov/s3/2023-08/Killer-Whale-Eastern-North-Pacific-2022.pdf</t>
  </si>
  <si>
    <t>NOAA Fisheries. (2022). KILLER WHALE (Orcinus orca): Eastern North Pacific Southern Resident Stock. https://www.fisheries.noaa.gov/s3/2023-08/Killer-Whale-Eastern-North-Pacific-2022.pdf</t>
  </si>
  <si>
    <t xml:space="preserve">California </t>
  </si>
  <si>
    <t>Northern elephant seal</t>
  </si>
  <si>
    <t>Mirounga angustirostris</t>
  </si>
  <si>
    <t>3.1% or 12%</t>
  </si>
  <si>
    <t>https://media.fisheries.noaa.gov/2022-08/2021-NorthernElephant-California%20Breeding%20Stock.pdf</t>
  </si>
  <si>
    <t>NOAA Fisheries. (2021). NORTHERN ELEPHANT SEAL (Mirounga angustirostris): California Breeding Stock. https://media.fisheries.noaa.gov/2022-08/2021-NorthernElephant-California%20Breeding%20Stock.pdf</t>
  </si>
  <si>
    <t>Eastern Pacific</t>
  </si>
  <si>
    <t>Northern fur seal</t>
  </si>
  <si>
    <t>Callorhinus ursinus</t>
  </si>
  <si>
    <t>https://www.fisheries.noaa.gov/s3/2022-08/2021-NORTHERN-FUR-SEAL-Callorhinus-ursinus-Eastern-Pacific-Stock.pdf</t>
  </si>
  <si>
    <t>NOAA Fisheries. (2021). NORTHERN FUR SEAL (Callorhinus ursinus): Eastern Pacific Stock. https://www.fisheries.noaa.gov/s3/2022-08/2021-NORTHERN-FUR-SEAL-Callorhinus-ursinus-Eastern-Pacific-Stock.pdf</t>
  </si>
  <si>
    <t>(NOAA Fisheries, 2018)</t>
  </si>
  <si>
    <t>U.S. West Coast</t>
  </si>
  <si>
    <t>https://media.fisheries.noaa.gov/dam-migration/ca_sea_lion_final_2018_sar.pdf</t>
  </si>
  <si>
    <t>NOAA Fisheries. (2018). CALIFORNIA SEA LION (Zalophus californianus): U.S. Stock. https://media.fisheries.noaa.gov/dam-migration/ca_sea_lion_final_2018_sar.pdf</t>
  </si>
  <si>
    <t>USA/Canada</t>
  </si>
  <si>
    <t>Eastern U.S.</t>
  </si>
  <si>
    <t>Steller sea lion</t>
  </si>
  <si>
    <t>Eumetopias jubatus</t>
  </si>
  <si>
    <t>4.25% pups, 3.22% non-pups</t>
  </si>
  <si>
    <t>https://media.fisheries.noaa.gov/dam-migration/2019_sars_alaska_steller_sea_lion_-_eastern_us.pdf</t>
  </si>
  <si>
    <t>NOAA Fisheries. (2019). Steller sea lion (Eumetopias jubatus): Eastern U.S. Stock.</t>
  </si>
  <si>
    <t xml:space="preserve">Western U.S. </t>
  </si>
  <si>
    <t>https://www.fisheries.noaa.gov/s3/2023-06/STELLERSEALIONEumetopiasjubatusWesternU.S.Stock-.pdf</t>
  </si>
  <si>
    <t>NOAA Fisheries. (2020). Steller sea lion (Eumetopias jubatus): Western U.S. Stock. https://www.fisheries.noaa.gov/s3/2023-06/STELLERSEALIONEumetopiasjubatusWesternU.S.Stock-.pdf</t>
  </si>
  <si>
    <t xml:space="preserve"> 1.63% y-1
and 1.82% growth rates in Alaska - more details in (Sweeney et al., 2019)</t>
  </si>
  <si>
    <t>Morro Bay</t>
  </si>
  <si>
    <t>Harbor porpoise</t>
  </si>
  <si>
    <t>Phocoena phocoena</t>
  </si>
  <si>
    <t>https://media.fisheries.noaa.gov/2022-08/2021-HARBOR%20PORPOISE-Morro%20Bay%20Stock.pdf</t>
  </si>
  <si>
    <t>NOAA Fisheries. (2021). HARBOR PORPOISE (Phocoena phocoena): Morro Bay Stock. https://media.fisheries.noaa.gov/2022-08/2021-HARBOR%20PORPOISE-Morro%20Bay%20Stock.pdf</t>
  </si>
  <si>
    <t xml:space="preserve">Monterey Bay </t>
  </si>
  <si>
    <t>https://media.fisheries.noaa.gov/2022-08/2021-HARBOR%20PORPOISE-Monterey%20Bay%20Stock.pdf</t>
  </si>
  <si>
    <t>NOAA Fisheries. (2021). HARBOR PORPOISE (Phocoena phocoena): Monterey Bay Stock. https://media.fisheries.noaa.gov/2022-08/2021-HARBOR%20PORPOISE-Monterey%20Bay%20Stock.pdf</t>
  </si>
  <si>
    <t xml:space="preserve">**also used citations from (Forney et al., 2021) </t>
  </si>
  <si>
    <t>San Francisco-Russian River</t>
  </si>
  <si>
    <t>Habor porpoise</t>
  </si>
  <si>
    <t>https://media.fisheries.noaa.gov/2022-08/2021-HARBOR%20PORPOISE-San%20Francisco-Russian%20River%20Stock.pdf</t>
  </si>
  <si>
    <t>NOAA Fisheries. (2021). HARBOR PORPOISE (Phocoena phocoena): San Francisco-Russian River Stock. https://media.fisheries.noaa.gov/2022-08/2021-HARBOR%20PORPOISE-San%20Francisco-Russian%20River%20Stock.pdf</t>
  </si>
  <si>
    <t>Northern California/Southern Oregon</t>
  </si>
  <si>
    <t>https://media.fisheries.noaa.gov/2022-08/2021-HARBOR%20PORPOISE%20-Northern%20CaliforniaSouthern%20Oregon%20Stock.pdf</t>
  </si>
  <si>
    <t>NOAA Fisheries. (2021). HARBOR PORPOISE (Phocoena phocoena): Northern California/Southern Oregon Stock. https://media.fisheries.noaa.gov/2022-08/2021-HARBOR%20PORPOISE%20-Northern%20CaliforniaSouthern%20Oregon%20Stock.pdf</t>
  </si>
  <si>
    <t>(Carretta et al., 2017)</t>
  </si>
  <si>
    <t>California-Oregon-Washington</t>
  </si>
  <si>
    <t>Mesoplodont beaked whale</t>
  </si>
  <si>
    <r>
      <rPr>
        <i/>
        <sz val="10"/>
        <color theme="1"/>
        <rFont val="Arial"/>
        <family val="2"/>
      </rPr>
      <t>Mesoplodon</t>
    </r>
    <r>
      <rPr>
        <i/>
        <sz val="10"/>
        <color theme="1"/>
        <rFont val="Arial"/>
        <family val="2"/>
      </rPr>
      <t xml:space="preserve"> spp.</t>
    </r>
  </si>
  <si>
    <t>https://media.fisheries.noaa.gov/dam-migration/pacific-2017-mes_beaked_whales-caorwa-508.pdf</t>
  </si>
  <si>
    <t>Carretta, J. V., Forney, K. A., Oleson, E. M., Weller, D. W., Lang, A. R., Baker, J., Muto, M. M., Hanson, B., Orr, A. J., Huber, H., Lowry, M. S., Barlow, J., &amp; Moore, J. E. (2017). MESOPLODONT BEAKED WHALES (Mesoplodon spp.): 2017 California/Oregon/Washington Stocks.</t>
  </si>
  <si>
    <t>Hawaii islands</t>
  </si>
  <si>
    <t>Neomonachus schauinslandi</t>
  </si>
  <si>
    <t>https://www.fisheries.noaa.gov/s3/2023-08/Monk-Seal-2022.pdf</t>
  </si>
  <si>
    <t>NOAA Fisheries. (2022). HAWAIIAN MONK SEAL (Neomonachus schauinslandi). https://www.fisheries.noaa.gov/s3/2023-08/Monk-Seal-2022.pdf</t>
  </si>
  <si>
    <t>Alaska - Aleutians</t>
  </si>
  <si>
    <t>Harbor seal</t>
  </si>
  <si>
    <t>Phoca vitulina richardii</t>
  </si>
  <si>
    <t>https://media.fisheries.noaa.gov/dam-migration/2019_sars_alaska_harbor_seal.pdf</t>
  </si>
  <si>
    <t>NOAA Fisheries. (2020). HARBOR SEAL (Phoca vitulina richardii). https://media.fisheries.noaa.gov/dam-migration/2019_sars_alaska_harbor_seal.pdf</t>
  </si>
  <si>
    <t xml:space="preserve">growth rate, recovery factor, and PBR are for Alaska in general </t>
  </si>
  <si>
    <t>Alaska - Bristol Bay</t>
  </si>
  <si>
    <t>Alaska - North Kodiak</t>
  </si>
  <si>
    <t>Alaska - South Kodiak</t>
  </si>
  <si>
    <t>Alaska - Prince William Sound</t>
  </si>
  <si>
    <t>Alaska - Cook Inlet/Shelikof Strait</t>
  </si>
  <si>
    <t>Alaska - Glacier Bay/Icy Strait</t>
  </si>
  <si>
    <t>Alaska - Lynn Canal/Stephens Passage</t>
  </si>
  <si>
    <t>Alaska - Sitka/Chatham Strait</t>
  </si>
  <si>
    <t>Alaska - Dixon/Cape Decision</t>
  </si>
  <si>
    <t>Alaska - Clarence Strait</t>
  </si>
  <si>
    <t xml:space="preserve">Western North Atlantic </t>
  </si>
  <si>
    <t>Phoca vitulina vitulina</t>
  </si>
  <si>
    <t>https://media.fisheries.noaa.gov/2022-08/Harb%20Seal-W%20North%20Atl%20Stock_SAR%202021.pdf</t>
  </si>
  <si>
    <t>NOAA Fisheries. (2021). HARBOR SEAL (Phoca vitulina vitulina): Western North Atlantic Stock. https://media.fisheries.noaa.gov/2022-08/Harb%20Seal-W%20North%20Atl%20Stock_SAR%202021.pdf</t>
  </si>
  <si>
    <t>(NOAA Fisheries, 2013)</t>
  </si>
  <si>
    <t>Oregon/Washington Coast</t>
  </si>
  <si>
    <t>-</t>
  </si>
  <si>
    <t>https://media.fisheries.noaa.gov/dam-migration/po2013sehr-owco_508.pdf</t>
  </si>
  <si>
    <t>NOAA Fisheries. (2013). HARBOR SEAL (Phoca vitulina richardii): Oregon/Washington Coast Stock. https://media.fisheries.noaa.gov/dam-migration/po2013sehr-owco_508.pdf</t>
  </si>
  <si>
    <t>PBR cannot be calculated due to insufficient data</t>
  </si>
  <si>
    <t>(NOAA Fisheries, 2014)</t>
  </si>
  <si>
    <t>California</t>
  </si>
  <si>
    <t>https://media.fisheries.noaa.gov/dam-migration/po2014sehr-ca_508.pdf</t>
  </si>
  <si>
    <t>NOAA Fisheries. (2014). HARBOR SEAL (Phoca vitulina richardii): California Stock. https://media.fisheries.noaa.gov/dam-migration/po2014sehr-ca_508.pdf</t>
  </si>
  <si>
    <t>(DFO, 2022)</t>
  </si>
  <si>
    <t>CAN</t>
  </si>
  <si>
    <t xml:space="preserve">South Hudson Bay, East Hudson Bay </t>
  </si>
  <si>
    <t>Atlantic walrus</t>
  </si>
  <si>
    <t>Odobenus rosmarus rosmarus</t>
  </si>
  <si>
    <t>https://www.dfo-mpo.gc.ca/csas-sccs/Publications/SAR-AS/2024/2024_035-eng.pdf</t>
  </si>
  <si>
    <t>DFO. (2022). Assessment of the South and East Hudson Bay Atlantic Walrus (Odobenus rosmarus rosmarus) Stock in 2022. https://www.dfo-mpo.gc.ca/csas-sccs/Publications/SAR-AS/2024/2024_035-eng.pdf</t>
  </si>
  <si>
    <t>(DFO, 2023)</t>
  </si>
  <si>
    <t>Hudson Bay-Davis Strait</t>
  </si>
  <si>
    <t>https://publications.gc.ca/collections/collection_2023/mpo-dfo/fs70-6/Fs70-6-2023-030-eng.pdf</t>
  </si>
  <si>
    <t>DFO. 2023. Estimates of abundance and total allowable removals for the Hudson Bay-Davis Strait Atlantic Walrus (Odobenus rosmarus rosmarus) stock. DFO Can. Sci. Advis. Sec. Sci. Advis. Rep. 2023/030.</t>
  </si>
  <si>
    <t>(DFO, 2020)</t>
  </si>
  <si>
    <t xml:space="preserve">Northwest Atlantic/Newfoundland, Labrador, and Quebec Region </t>
  </si>
  <si>
    <t>Harp seal</t>
  </si>
  <si>
    <t>Pagophilus groenlandicus</t>
  </si>
  <si>
    <t>https://waves-vagues.dfo-mpo.gc.ca/library-bibliotheque/40878478.pdf</t>
  </si>
  <si>
    <t>DFO. (2020). 2019 Status of Northwest Atlantic Harp Seals, Pagophilus groenlandicus. https://waves-vagues.dfo-mpo.gc.ca/library-bibliotheque/40878478.pdf</t>
  </si>
  <si>
    <t>(COSEWIC, 2022)</t>
  </si>
  <si>
    <t>Pacific Ocean, British Columbia</t>
  </si>
  <si>
    <t>Sea otter</t>
  </si>
  <si>
    <t>Enhydra lutris</t>
  </si>
  <si>
    <t>https://wildlife-species.az.ec.gc.ca/species-risk-registry/virtual_sara/files//cosewic/sr%20Sea%20Otter%202022_e.pdf</t>
  </si>
  <si>
    <t>COSEWIC. 2022. COSEWIC assessment and status report on the Sea Otter Enhydra lutris in Canada. Committee on the Status of Endangered Wildlife in Canada. Ottawa. xii + 69 pp. (https://www.canada.ca/en/environment-climate-change/services/species-risk-public-registry.html).</t>
  </si>
  <si>
    <t>(DFO, 2021)</t>
  </si>
  <si>
    <t xml:space="preserve">Northwest Atlantic </t>
  </si>
  <si>
    <t xml:space="preserve">Grey seal </t>
  </si>
  <si>
    <t>Halichoerus grypus</t>
  </si>
  <si>
    <t>https://waves-vagues.dfo-mpo.gc.ca/library-bibliotheque/41063648.pdf</t>
  </si>
  <si>
    <t>DFO. 2022. Stock assessment of Northwest Atlantic grey seals (Halichoerus grypus) in Canada in 2021. DFO Can. Sci. Advis. Sec. Sci. Advis. Rep. 2022/018.</t>
  </si>
  <si>
    <t>(DFO, 2019)</t>
  </si>
  <si>
    <t xml:space="preserve">Central and Arctic Region </t>
  </si>
  <si>
    <t xml:space="preserve">Beluga whale </t>
  </si>
  <si>
    <t>https://waves-vagues.dfo-mpo.gc.ca/library-bibliotheque/4081841x.pdf</t>
  </si>
  <si>
    <t>DFO. 2019. Sustainable harvest advice for Cumberland Sound beluga based on the 2017 aerial survey and modelled abundance estimates. DFO Can. Sci. Advis. Sec. Sci. Advis. Rep. 2019/024.</t>
  </si>
  <si>
    <t>Pacific Region</t>
  </si>
  <si>
    <t>https://waves-vagues.dfo-mpo.gc.ca/library-bibliotheque/41003925.pdf</t>
  </si>
  <si>
    <t>DFO. 2021. Trends in Abundance and Distribution of Steller sea lions (Eumetopias Jubatus) in Canada. DFO Can. Sci. Advis. Sec. Sci. Advis. Rep. 2021/035.</t>
  </si>
  <si>
    <t>(Watt et al., 2019)</t>
  </si>
  <si>
    <t xml:space="preserve">Central and Arctic Region (Eastern Canada and West Greenland)/Baffin Bay </t>
  </si>
  <si>
    <t xml:space="preserve">Narwhal </t>
  </si>
  <si>
    <t>Monodon monoceros</t>
  </si>
  <si>
    <t>https://waves-vagues.dfo-mpo.gc.ca/library-bibliotheque/4080382x.pdf</t>
  </si>
  <si>
    <t>Watt, C.A., Witting, L., Marcoux, M., Doniol-Valcroze, T., Guldborg Hansen, R., Hobbs, R., Lee, D.S., Ferguson, S.H., and Heide-Jørgensen, M.P. 2019. Harvest allocation modelling for narwhal (Monodon Monoceros) stocks shared between eastern Canada and West Greenland. DFO Can. Sci. Advis. Sec. Res. Doc. 2019/031. iv + 27 p.</t>
  </si>
  <si>
    <t xml:space="preserve">includes Smith Sound, Jones Sound, Inglefield Bredning, Melville Bay, Somerset Island, Admiralty Inlet, Eclipse Sound, East Baffin Island </t>
  </si>
  <si>
    <t>National Capital Region - St. Lawrence Estuary</t>
  </si>
  <si>
    <t>https://waves-vagues.dfo-mpo.gc.ca/library-bibliotheque/41194093.pdf</t>
  </si>
  <si>
    <t>DFO. 2023. Abundance and population trajectory of St. Lawrence beluga. DFO Can. Sci. Advis. Sec. Sci. Advis. Rep. 2023/024.</t>
  </si>
  <si>
    <t>https://waves-vagues.dfo-mpo.gc.ca/library-bibliotheque/41111151.pdf</t>
  </si>
  <si>
    <t>DFO. 2023. California Sea Lion Abundance Estimation in Canada, 2020–21. DFO Can. Sci. Advis. Sec. Sci. Advis. Rep. 2023/016.</t>
  </si>
  <si>
    <t>California, Alaska</t>
  </si>
  <si>
    <t>https://wildlife-species.az.ec.gc.ca/species-risk-registry/virtual_sara/files//cosewic/Sas-NorthernFurSeal-v00-2022-eng.pdf</t>
  </si>
  <si>
    <t>COSEWIC. 2022. COSEWIC status appraisal summary on the Northern Fur Seal Callorhinus ursinus in Canada. Committee on the Status of Endangered Wildlife in Canada. Ottawa. xxi pp. (https://www.canada.ca/en/environment-climate-change/services/species-risk-public-registry.html).</t>
  </si>
  <si>
    <t>(Chandler et al., 2017)</t>
  </si>
  <si>
    <t>British Columbia/Strait of Georgia</t>
  </si>
  <si>
    <t>Pacific harbor seal</t>
  </si>
  <si>
    <t>https://waves-vagues.dfo-mpo.gc.ca/library-bibliotheque/40617944.pdf</t>
  </si>
  <si>
    <t>Chandler, P.C., King, S.A., and Boldt, J. (Eds.). 2017. State of the physical, biological and selected fishery resources of Pacific Canadian marine ecosystems in 2016. Can. Tech. Rep. Fish. Aquat. Sci. 3225: 243 + vi p.</t>
  </si>
  <si>
    <t>British Columbia</t>
  </si>
  <si>
    <t>similar data to earlier Canada Steller sea lion graphs</t>
  </si>
  <si>
    <t>(COSEWIC, 2017)</t>
  </si>
  <si>
    <t>Northern Pacific</t>
  </si>
  <si>
    <t>https://wildlife-species.az.ec.gc.ca/species-risk-registry/virtual_sara/files//cosewic/srGreyWhale2017e.pdf</t>
  </si>
  <si>
    <t>COSEWIC. 2017. COSEWIC assessment and status report on the Grey Whale Eschrichtius robustus, Northern Pacific Migratory population, Pacific Coast Feeding Group population and the Western Pacific population, in Canada. Committee on the Status of Endangered Wildlife in Canada. Ottawa. xxi + 74 pp. (http://www.registrelepsararegistry.gc.ca/default.asp?lang=en&amp;n=24F7211B-1).</t>
  </si>
  <si>
    <t>called DU1 - the same graph as NOAA ENP Grey Whales, did not digitalize a second time because same graph from NOAA by Durban et al. 2013 and Laake et al. 2012</t>
  </si>
  <si>
    <t xml:space="preserve">Pacific Coast </t>
  </si>
  <si>
    <t xml:space="preserve">DU2 population </t>
  </si>
  <si>
    <t>Western Pacific and Sakhalin Island</t>
  </si>
  <si>
    <t xml:space="preserve">DU3 population - includes Sakhalin Island population </t>
  </si>
  <si>
    <t>(COSEWIC, 2008)</t>
  </si>
  <si>
    <t>Pacific Ocean</t>
  </si>
  <si>
    <t xml:space="preserve">Killer whale </t>
  </si>
  <si>
    <t xml:space="preserve">5.8% (N. Resident), </t>
  </si>
  <si>
    <t>https://wildlife-species.az.ec.gc.ca/species-risk-registry/virtual_sara/files//cosewic/sr_killer_whale_0809_e.pdf</t>
  </si>
  <si>
    <t>COSEWIC. 2008. COSEWIC assessment and update status report on the Killer Whale Orcinus orca, Southern Resident population, Northern Resident population, West Coast Transient population, Offshore population and Northwest Atlantic / Eastern Arctic population, in Canada. Committee on the Status of Endangered Wildlife in Canada. Ottawa. viii + 65 pp. (www.sararegistry.gc.ca/status/status_e.cfm).</t>
  </si>
  <si>
    <t>(George et al., 2004)</t>
  </si>
  <si>
    <t xml:space="preserve">Bowhead whale </t>
  </si>
  <si>
    <t>Balaenu mysticetus</t>
  </si>
  <si>
    <t>https://onlinelibrary.wiley.com/doi/10.1111/j.1748-7692.2004.tb01191.x</t>
  </si>
  <si>
    <t>George, J. C. “Craig,” Zeh, J., Suydam, R., &amp; Clark, C. (2004). Abundance and Population Trend (1978-2001) of Western Arctic Bowhead Whales Surveyed Near Barrow, Alaska. Marine Mammal Science, 20(4), 755–773. https://doi.org/10.1111/j.1748-7692.2004.tb01191.x</t>
  </si>
  <si>
    <t>(COSEWIC, 2006)</t>
  </si>
  <si>
    <t xml:space="preserve">Harbor porpoise </t>
  </si>
  <si>
    <t xml:space="preserve">Phocoena phocoena </t>
  </si>
  <si>
    <t>https://wildlife-species.az.ec.gc.ca/species-risk-registry/virtual_sara/files//cosewic/sr_harbour_porpoise_e2.pdf</t>
  </si>
  <si>
    <t>COSEWIC 2006. COSEWIC assessment and update status report on the harbour porpoise Phocoena phocoena (Northwest Atlantic population) in Canada. Committee on the Status of Endangered Wildlife in Canada. Ottawa. vii + 32 pp. (www.sararegistry.gc.ca/status/status_e.cfm).</t>
  </si>
  <si>
    <t>PBR from (Waring et al., 2015), abundance data from (Waring et al., 2001)</t>
  </si>
  <si>
    <t>(Noad et al., 2019)</t>
  </si>
  <si>
    <t>AUS</t>
  </si>
  <si>
    <t>Eastern</t>
  </si>
  <si>
    <t xml:space="preserve">Humpback whale </t>
  </si>
  <si>
    <t>https://esj-journals.onlinelibrary.wiley.com/doi/epdf/10.1002/1438-390X.1014</t>
  </si>
  <si>
    <t>Noad, M. J., Kniest, E., &amp; Dunlop, R. A. (2019). Boom to bust? Implications for the continued rapid growth of the eastern Australian humpback whale population despite recovery. Population Ecology, 61(2), 198–209. https://doi.org/10.1002/1438-390X.1014</t>
  </si>
  <si>
    <r>
      <t xml:space="preserve">article cited in </t>
    </r>
    <r>
      <rPr>
        <u/>
        <sz val="10"/>
        <color rgb="FF1155CC"/>
        <rFont val="Arial"/>
        <family val="2"/>
      </rPr>
      <t>https://soe.dcceew.gov.au/marine/environment/marine-species</t>
    </r>
  </si>
  <si>
    <t>(Stamation et al., 2020)</t>
  </si>
  <si>
    <t>Southeastern</t>
  </si>
  <si>
    <t>Southern right whale</t>
  </si>
  <si>
    <t>Eubalaena australis</t>
  </si>
  <si>
    <t>https://www.int-res.com/articles/esr2020/41/n041p373.pdf</t>
  </si>
  <si>
    <t>Stamation, K., Watson, M., Moloney, P., Charlton, C., &amp; Bannister, J. (2020). Population estimate and rate of increase of southern right whales Eubalaena australis in southeastern Australia. Endangered Species Research, 41, 373–383. https://doi.org/10.3354/esr01031</t>
  </si>
  <si>
    <r>
      <t xml:space="preserve">article cited in </t>
    </r>
    <r>
      <rPr>
        <u/>
        <sz val="10"/>
        <color rgb="FF1155CC"/>
        <rFont val="Arial"/>
        <family val="2"/>
      </rPr>
      <t>https://soe.dcceew.gov.au/marine/environment/marine-species</t>
    </r>
  </si>
  <si>
    <t>(Constantine et al., 2012)</t>
  </si>
  <si>
    <t>Oceania</t>
  </si>
  <si>
    <t xml:space="preserve">South Pacific </t>
  </si>
  <si>
    <t>https://nora.nerc.ac.uk/id/eprint/500569/1/m453p249.pdf</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</si>
  <si>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https://doi.org/10.3354/meps09613</t>
  </si>
  <si>
    <t>(Goldsworthy et al., 2020)</t>
  </si>
  <si>
    <t>South Australia</t>
  </si>
  <si>
    <t>Australian sea lion</t>
  </si>
  <si>
    <t>Neophoca cinerea</t>
  </si>
  <si>
    <t>1.86 (?)</t>
  </si>
  <si>
    <t xml:space="preserve">0.01 (?) </t>
  </si>
  <si>
    <t>https://pir.sa.gov.au/__data/assets/pdf_file/0004/358285/Australian_sea_lion_investigations_2018-19.pdf</t>
  </si>
  <si>
    <t>Goldsworthy, S. D., Hodgson, J., &amp; Holman, D. (2020). Australian sea lion investigations: 2018-19 (1051). South Australian Research and Development Institute (Aquatic Sciences). https://pir.sa.gov.au/__data/assets/pdf_file/0004/358285/Australian_sea_lion_investigations_2018-19.pdf</t>
  </si>
  <si>
    <t>Paper notes a 5% increase in pup abundance, and a recovery rate of 1%</t>
  </si>
  <si>
    <t>Great Sandy Strait, Queensland</t>
  </si>
  <si>
    <t>Indo-Pacific humpback dolphin</t>
  </si>
  <si>
    <t xml:space="preserve">Sousa chinensis </t>
  </si>
  <si>
    <t>https://onlinelibrary.wiley.com/doi/10.1111/j.1748-7692.2009.00296.x</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</si>
  <si>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https://doi.org/10.3354/meps09619</t>
  </si>
  <si>
    <t>(Palmer et al., 2014)</t>
  </si>
  <si>
    <t xml:space="preserve">Northern Territory </t>
  </si>
  <si>
    <t xml:space="preserve">Snubfin dolphin </t>
  </si>
  <si>
    <t>Orcaella heinsohni</t>
  </si>
  <si>
    <t>https://www.publish.csiro.au/wr/pdf/WR14031</t>
  </si>
  <si>
    <t>Palmer, C., Brooks, L., Parra, G. J., Rogers, T., Glasgow, D., &amp; Woinarski, J. C. Z. (2014). Estimates of abundance and apparent survival of coastal dolphins in Port Essington harbour, Northern Territory, Australia. Wildlife Research, 41(1), 35. https://doi.org/10.1071/WR14031</t>
  </si>
  <si>
    <t xml:space="preserve">Humpback dolphin </t>
  </si>
  <si>
    <t>Sousa sp.</t>
  </si>
  <si>
    <t>https://www.publish.csiro.au/wr/pdf/WR14032</t>
  </si>
  <si>
    <t>Palmer, C., Brooks, L., Parra, G. J., Rogers, T., Glasgow, D., &amp; Woinarski, J. C. Z. (2014). Estimates of abundance and apparent survival of coastal dolphins in Port Essington harbour, Northern Territory, Australia. Wildlife Research, 41(1), 35. https://doi.org/10.1071/WR14032</t>
  </si>
  <si>
    <t xml:space="preserve">Bottlenose dolphin </t>
  </si>
  <si>
    <t>Tursiops sp.</t>
  </si>
  <si>
    <t>https://www.publish.csiro.au/wr/pdf/WR14033</t>
  </si>
  <si>
    <t>Palmer, C., Brooks, L., Parra, G. J., Rogers, T., Glasgow, D., &amp; Woinarski, J. C. Z. (2014). Estimates of abundance and apparent survival of coastal dolphins in Port Essington harbour, Northern Territory, Australia. Wildlife Research, 41(1), 35. https://doi.org/10.1071/WR14033</t>
  </si>
  <si>
    <t>(B. Pitcher, 2018)</t>
  </si>
  <si>
    <t xml:space="preserve">Western Australia, Southern Australia </t>
  </si>
  <si>
    <t xml:space="preserve">Australian sea lion </t>
  </si>
  <si>
    <t>https://www.dcceew.gov.au/sites/default/files/documents/australian-sea-lion-monitoring-framework-background-document-2018.pdf</t>
  </si>
  <si>
    <t>B. Pitcher. (2018). Australian Sea Lion Monitoring Framework: Background document. https://www.dcceew.gov.au/sites/default/files/documents/australian-sea-lion-monitoring-framework-background-document-2018.pdf</t>
  </si>
  <si>
    <t>(Lowry et al., 2014)</t>
  </si>
  <si>
    <t xml:space="preserve">Southen California, Central California </t>
  </si>
  <si>
    <t>http://ctfs.si.edu/Public/pdfs/LowryConditEtAl_AqMamm2014.pdf</t>
  </si>
  <si>
    <t>Lowry, M. S., Condit, R., Hatfield, B., Allen, S. G., Berger, R., Morris, P. A., Boeuf, B. J. L., &amp; Reiter, J. (2014). Abundance, Distribution, and Population Growth of the Northern Elephant Seal (Mirounga angustirostris) in the United States from 1991 to 2010. Aquatic Mammals. http://ctfs.si.edu/Public/pdfs/LowryConditEtAl_AqMamm2014.pdf</t>
  </si>
  <si>
    <t xml:space="preserve">(Becker et al., 2020) </t>
  </si>
  <si>
    <t xml:space="preserve">California Current Ecosystem </t>
  </si>
  <si>
    <t xml:space="preserve">Blue whale </t>
  </si>
  <si>
    <t>Balaenoptera musculus</t>
  </si>
  <si>
    <t>https://repository.library.noaa.gov/view/noaa/27826</t>
  </si>
  <si>
    <t xml:space="preserve">Becker, Elizabeth A. et al. (2020). Habitat-based density estimates for cetaceans in the California Current Ecosystem based on 1991-2018 survey data. </t>
  </si>
  <si>
    <t>(Calambokidis &amp; Barlow, 2020)</t>
  </si>
  <si>
    <t xml:space="preserve">US West Coast </t>
  </si>
  <si>
    <t>https://repository.library.noaa.gov/view/noaa/27104</t>
  </si>
  <si>
    <t>Calambokidis, J., &amp; Barlow, J. (2020). Updated abundance estimates for blue and humpback whales along the U.S. West Coast using data through 2018.</t>
  </si>
  <si>
    <t>Long-beaked common dolphin</t>
  </si>
  <si>
    <t>Delphinus delphis bairdii)</t>
  </si>
  <si>
    <t xml:space="preserve">Short-beaked common dolphin </t>
  </si>
  <si>
    <t>Delphinus delphis delphis</t>
  </si>
  <si>
    <t>Risso's dolphin</t>
  </si>
  <si>
    <t>Grampus griseus</t>
  </si>
  <si>
    <t>Pacific white-sided dolphin</t>
  </si>
  <si>
    <t>Lagenorhynchus obliquidens</t>
  </si>
  <si>
    <t xml:space="preserve">Northern right whale dolphin </t>
  </si>
  <si>
    <t>Lissodelphis boreali</t>
  </si>
  <si>
    <t>Striped dolphin</t>
  </si>
  <si>
    <t>Stenella coeruleoalba</t>
  </si>
  <si>
    <t xml:space="preserve">Common bottlenose dolphin </t>
  </si>
  <si>
    <t>Tursiops truncatus</t>
  </si>
  <si>
    <t xml:space="preserve">Dall's porpoise </t>
  </si>
  <si>
    <t>Phocoenoides dalli</t>
  </si>
  <si>
    <t>Minke whale</t>
  </si>
  <si>
    <t>Balaenoptera acutostrata</t>
  </si>
  <si>
    <t xml:space="preserve">Fin whale </t>
  </si>
  <si>
    <t xml:space="preserve">Megaptera novaeangliae </t>
  </si>
  <si>
    <t xml:space="preserve">Baird's beaked whale </t>
  </si>
  <si>
    <t>Berardius bairdii</t>
  </si>
  <si>
    <t>(Punt et al., 2023)</t>
  </si>
  <si>
    <t>ANT</t>
  </si>
  <si>
    <t xml:space="preserve">Antarctic Areas III–E to VI–W. </t>
  </si>
  <si>
    <t xml:space="preserve">Minke whale </t>
  </si>
  <si>
    <t>Balaenoptera  bonaerensis</t>
  </si>
  <si>
    <t>https://journal.iwc.int/index.php/jcrm/article/view/527/253</t>
  </si>
  <si>
    <t>Punt, A. E., Hakamada, T., &amp; Bando, T. (2023). Assessment of Antarctic minke whales using statistical catch-at-age analysis (SCAA). J. Cetacean Res. Manage., 14(1), 93–116. https://doi.org/10.47536/jcrm.v14i1.527</t>
  </si>
  <si>
    <t>(Hagihara et al., 2016)</t>
  </si>
  <si>
    <t xml:space="preserve">Torres Strait </t>
  </si>
  <si>
    <t>Dugong</t>
  </si>
  <si>
    <t>Dugong dugon</t>
  </si>
  <si>
    <t>0.5 or 1</t>
  </si>
  <si>
    <t>https://nesptropical.edu.au/wp-content/uploads/2016/06/NESP-TWQ-3.2-FINAL-REPORT-2.pdf</t>
  </si>
  <si>
    <t>Hagihara, R., Cleguer, C., Preston, S., Sobtzick, S., Hamann, M., Shimada, T. and Marsh, H. (2016) Improving the estimates of abundance of dugongs and large immature and adult-sized green turtles in Western and Central Torres Strait. Report to the National Environmental Science Programme. Reef and Rainforest Research Centre Limited, Cairns (53pp.).</t>
  </si>
  <si>
    <t>(Van Waerebeek et al., 2023)</t>
  </si>
  <si>
    <t>Southern Ocean</t>
  </si>
  <si>
    <t>area</t>
  </si>
  <si>
    <t>stock_id</t>
  </si>
  <si>
    <t>survey_method</t>
  </si>
  <si>
    <t>abundance_units</t>
  </si>
  <si>
    <t>year</t>
  </si>
  <si>
    <t>abundance</t>
  </si>
  <si>
    <t>abundance_low</t>
  </si>
  <si>
    <t>abundance_hi</t>
  </si>
  <si>
    <t>source_type (digitize/actual)</t>
  </si>
  <si>
    <t>Baird's beaked whale</t>
  </si>
  <si>
    <t>BABEWHALE-CA/OR/WA</t>
  </si>
  <si>
    <t>Bayesian Line-transect</t>
  </si>
  <si>
    <t>Total Number</t>
  </si>
  <si>
    <t>actual</t>
  </si>
  <si>
    <t>https://media.fisheries.noaa.gov/2022-08/pacific-2021-beaked-whale-mesoplodont.pdf</t>
  </si>
  <si>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</si>
  <si>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</si>
  <si>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</si>
  <si>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</si>
  <si>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</si>
  <si>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</si>
  <si>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</si>
  <si>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t xml:space="preserve">Species distribution model </t>
  </si>
  <si>
    <t xml:space="preserve">Total Number </t>
  </si>
  <si>
    <t xml:space="preserve">actual </t>
  </si>
  <si>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</si>
  <si>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</si>
  <si>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</si>
  <si>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</si>
  <si>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</si>
  <si>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r>
      <rPr>
        <sz val="10"/>
        <color rgb="FF000000"/>
        <rFont val="Arial"/>
        <family val="2"/>
      </rPr>
      <t xml:space="preserve">NOAA Fisheries. (2021). BAIRD’S BEAKED WHALE (Berardius bairdii): California/Oregon/Washington Stock. </t>
    </r>
    <r>
      <rPr>
        <u/>
        <sz val="10"/>
        <color rgb="FF1155CC"/>
        <rFont val="Arial"/>
        <family val="2"/>
      </rPr>
      <t>https://media.fisheries.noaa.gov/2022-08/pacific-2021-beaked-whale-mesoplodont.pdf</t>
    </r>
  </si>
  <si>
    <t xml:space="preserve">Beluga </t>
  </si>
  <si>
    <t>BGWHALE-COINLET</t>
  </si>
  <si>
    <t>Aerial Survey</t>
  </si>
  <si>
    <t>**95% data, did not digitalize error margin because presented as line (not error bars/points)</t>
  </si>
  <si>
    <t>Eastern North Pacific</t>
  </si>
  <si>
    <t>BLWHALE-ENPACIFIC</t>
  </si>
  <si>
    <t>Line-transect</t>
  </si>
  <si>
    <t xml:space="preserve">digitized </t>
  </si>
  <si>
    <r>
      <rPr>
        <sz val="10"/>
        <color rgb="FF000000"/>
        <rFont val="Arial"/>
        <family val="2"/>
      </rPr>
      <t xml:space="preserve">NOAA Fisheries. (2021). BLUE WHALE (Balaenoptera musculus musculus): Eastern North Pacific Stock. </t>
    </r>
    <r>
      <rPr>
        <u/>
        <sz val="10"/>
        <color rgb="FF1155CC"/>
        <rFont val="Arial"/>
        <family val="2"/>
      </rPr>
      <t>https://media.fisheries.noaa.gov/2022-08/2021-PacBluewhale-Eastern%20North%20Pacific%20Stock.pdf</t>
    </r>
  </si>
  <si>
    <t xml:space="preserve">this data exceeded the bounds of the graph, so this was the uppermost point of digitalization </t>
  </si>
  <si>
    <t>Photo Mark-Recapture</t>
  </si>
  <si>
    <t>Western Arctic</t>
  </si>
  <si>
    <t>BOWHALE-WARCTC</t>
  </si>
  <si>
    <t>Iced-based count, Acoustic</t>
  </si>
  <si>
    <t xml:space="preserve">Givens (2021) abundance estimates but NOAA information </t>
  </si>
  <si>
    <t>CASEALION-U.S.</t>
  </si>
  <si>
    <t>Population reconstruction model</t>
  </si>
  <si>
    <t xml:space="preserve">Non-pups </t>
  </si>
  <si>
    <t>Laake, J. L., Lowry, M. S., DeLong, R. L., Melin, S. R., &amp; Carretta, J. V. (2018). Population growth and status of california sea lions. The Journal of Wildlife Management, 82(3), 583–595. https://doi.org/10.1002/jwmg.21405</t>
  </si>
  <si>
    <t xml:space="preserve">Found the Laake data in the NOAA data page </t>
  </si>
  <si>
    <t>Laake, J. L., Lowry, M. S., DeLong, R. L., Melin, S. R., &amp; Carretta, J. V. (2018). Population growth and status of california sea lions. The Journal of Wildlife Management, 82(3), 583–595. https://doi.org/10.1002/jwmg.21406</t>
  </si>
  <si>
    <t>Laake, J. L., Lowry, M. S., DeLong, R. L., Melin, S. R., &amp; Carretta, J. V. (2018). Population growth and status of california sea lions. The Journal of Wildlife Management, 82(3), 583–595. https://doi.org/10.1002/jwmg.21407</t>
  </si>
  <si>
    <t>Laake, J. L., Lowry, M. S., DeLong, R. L., Melin, S. R., &amp; Carretta, J. V. (2018). Population growth and status of california sea lions. The Journal of Wildlife Management, 82(3), 583–595. https://doi.org/10.1002/jwmg.21408</t>
  </si>
  <si>
    <t>Laake, J. L., Lowry, M. S., DeLong, R. L., Melin, S. R., &amp; Carretta, J. V. (2018). Population growth and status of california sea lions. The Journal of Wildlife Management, 82(3), 583–595. https://doi.org/10.1002/jwmg.21409</t>
  </si>
  <si>
    <t>Laake, J. L., Lowry, M. S., DeLong, R. L., Melin, S. R., &amp; Carretta, J. V. (2018). Population growth and status of california sea lions. The Journal of Wildlife Management, 82(3), 583–595. https://doi.org/10.1002/jwmg.21410</t>
  </si>
  <si>
    <t>Laake, J. L., Lowry, M. S., DeLong, R. L., Melin, S. R., &amp; Carretta, J. V. (2018). Population growth and status of california sea lions. The Journal of Wildlife Management, 82(3), 583–595. https://doi.org/10.1002/jwmg.21411</t>
  </si>
  <si>
    <t>Laake, J. L., Lowry, M. S., DeLong, R. L., Melin, S. R., &amp; Carretta, J. V. (2018). Population growth and status of california sea lions. The Journal of Wildlife Management, 82(3), 583–595. https://doi.org/10.1002/jwmg.21412</t>
  </si>
  <si>
    <t>Laake, J. L., Lowry, M. S., DeLong, R. L., Melin, S. R., &amp; Carretta, J. V. (2018). Population growth and status of california sea lions. The Journal of Wildlife Management, 82(3), 583–595. https://doi.org/10.1002/jwmg.21413</t>
  </si>
  <si>
    <t>Laake, J. L., Lowry, M. S., DeLong, R. L., Melin, S. R., &amp; Carretta, J. V. (2018). Population growth and status of california sea lions. The Journal of Wildlife Management, 82(3), 583–595. https://doi.org/10.1002/jwmg.21414</t>
  </si>
  <si>
    <t>Laake, J. L., Lowry, M. S., DeLong, R. L., Melin, S. R., &amp; Carretta, J. V. (2018). Population growth and status of california sea lions. The Journal of Wildlife Management, 82(3), 583–595. https://doi.org/10.1002/jwmg.21415</t>
  </si>
  <si>
    <t>Laake, J. L., Lowry, M. S., DeLong, R. L., Melin, S. R., &amp; Carretta, J. V. (2018). Population growth and status of california sea lions. The Journal of Wildlife Management, 82(3), 583–595. https://doi.org/10.1002/jwmg.21416</t>
  </si>
  <si>
    <t>Laake, J. L., Lowry, M. S., DeLong, R. L., Melin, S. R., &amp; Carretta, J. V. (2018). Population growth and status of california sea lions. The Journal of Wildlife Management, 82(3), 583–595. https://doi.org/10.1002/jwmg.21417</t>
  </si>
  <si>
    <t>Laake, J. L., Lowry, M. S., DeLong, R. L., Melin, S. R., &amp; Carretta, J. V. (2018). Population growth and status of california sea lions. The Journal of Wildlife Management, 82(3), 583–595. https://doi.org/10.1002/jwmg.21418</t>
  </si>
  <si>
    <t>Laake, J. L., Lowry, M. S., DeLong, R. L., Melin, S. R., &amp; Carretta, J. V. (2018). Population growth and status of california sea lions. The Journal of Wildlife Management, 82(3), 583–595. https://doi.org/10.1002/jwmg.21419</t>
  </si>
  <si>
    <t>Laake, J. L., Lowry, M. S., DeLong, R. L., Melin, S. R., &amp; Carretta, J. V. (2018). Population growth and status of california sea lions. The Journal of Wildlife Management, 82(3), 583–595. https://doi.org/10.1002/jwmg.21420</t>
  </si>
  <si>
    <t>Laake, J. L., Lowry, M. S., DeLong, R. L., Melin, S. R., &amp; Carretta, J. V. (2018). Population growth and status of california sea lions. The Journal of Wildlife Management, 82(3), 583–595. https://doi.org/10.1002/jwmg.21421</t>
  </si>
  <si>
    <t>Laake, J. L., Lowry, M. S., DeLong, R. L., Melin, S. R., &amp; Carretta, J. V. (2018). Population growth and status of california sea lions. The Journal of Wildlife Management, 82(3), 583–595. https://doi.org/10.1002/jwmg.21422</t>
  </si>
  <si>
    <t>Laake, J. L., Lowry, M. S., DeLong, R. L., Melin, S. R., &amp; Carretta, J. V. (2018). Population growth and status of california sea lions. The Journal of Wildlife Management, 82(3), 583–595. https://doi.org/10.1002/jwmg.21423</t>
  </si>
  <si>
    <t>Laake, J. L., Lowry, M. S., DeLong, R. L., Melin, S. R., &amp; Carretta, J. V. (2018). Population growth and status of california sea lions. The Journal of Wildlife Management, 82(3), 583–595. https://doi.org/10.1002/jwmg.21424</t>
  </si>
  <si>
    <t>Laake, J. L., Lowry, M. S., DeLong, R. L., Melin, S. R., &amp; Carretta, J. V. (2018). Population growth and status of california sea lions. The Journal of Wildlife Management, 82(3), 583–595. https://doi.org/10.1002/jwmg.21425</t>
  </si>
  <si>
    <t>Laake, J. L., Lowry, M. S., DeLong, R. L., Melin, S. R., &amp; Carretta, J. V. (2018). Population growth and status of california sea lions. The Journal of Wildlife Management, 82(3), 583–595. https://doi.org/10.1002/jwmg.21426</t>
  </si>
  <si>
    <t>Laake, J. L., Lowry, M. S., DeLong, R. L., Melin, S. R., &amp; Carretta, J. V. (2018). Population growth and status of california sea lions. The Journal of Wildlife Management, 82(3), 583–595. https://doi.org/10.1002/jwmg.21427</t>
  </si>
  <si>
    <t>Laake, J. L., Lowry, M. S., DeLong, R. L., Melin, S. R., &amp; Carretta, J. V. (2018). Population growth and status of california sea lions. The Journal of Wildlife Management, 82(3), 583–595. https://doi.org/10.1002/jwmg.21428</t>
  </si>
  <si>
    <t>Laake, J. L., Lowry, M. S., DeLong, R. L., Melin, S. R., &amp; Carretta, J. V. (2018). Population growth and status of california sea lions. The Journal of Wildlife Management, 82(3), 583–595. https://doi.org/10.1002/jwmg.21429</t>
  </si>
  <si>
    <t>Laake, J. L., Lowry, M. S., DeLong, R. L., Melin, S. R., &amp; Carretta, J. V. (2018). Population growth and status of california sea lions. The Journal of Wildlife Management, 82(3), 583–595. https://doi.org/10.1002/jwmg.21430</t>
  </si>
  <si>
    <t>Laake, J. L., Lowry, M. S., DeLong, R. L., Melin, S. R., &amp; Carretta, J. V. (2018). Population growth and status of california sea lions. The Journal of Wildlife Management, 82(3), 583–595. https://doi.org/10.1002/jwmg.21431</t>
  </si>
  <si>
    <t>Laake, J. L., Lowry, M. S., DeLong, R. L., Melin, S. R., &amp; Carretta, J. V. (2018). Population growth and status of california sea lions. The Journal of Wildlife Management, 82(3), 583–595. https://doi.org/10.1002/jwmg.21432</t>
  </si>
  <si>
    <t>Laake, J. L., Lowry, M. S., DeLong, R. L., Melin, S. R., &amp; Carretta, J. V. (2018). Population growth and status of california sea lions. The Journal of Wildlife Management, 82(3), 583–595. https://doi.org/10.1002/jwmg.21433</t>
  </si>
  <si>
    <t>Laake, J. L., Lowry, M. S., DeLong, R. L., Melin, S. R., &amp; Carretta, J. V. (2018). Population growth and status of california sea lions. The Journal of Wildlife Management, 82(3), 583–595. https://doi.org/10.1002/jwmg.21434</t>
  </si>
  <si>
    <t>Laake, J. L., Lowry, M. S., DeLong, R. L., Melin, S. R., &amp; Carretta, J. V. (2018). Population growth and status of california sea lions. The Journal of Wildlife Management, 82(3), 583–595. https://doi.org/10.1002/jwmg.21435</t>
  </si>
  <si>
    <t>Laake, J. L., Lowry, M. S., DeLong, R. L., Melin, S. R., &amp; Carretta, J. V. (2018). Population growth and status of california sea lions. The Journal of Wildlife Management, 82(3), 583–595. https://doi.org/10.1002/jwmg.21436</t>
  </si>
  <si>
    <t>Laake, J. L., Lowry, M. S., DeLong, R. L., Melin, S. R., &amp; Carretta, J. V. (2018). Population growth and status of california sea lions. The Journal of Wildlife Management, 82(3), 583–595. https://doi.org/10.1002/jwmg.21437</t>
  </si>
  <si>
    <t>Laake, J. L., Lowry, M. S., DeLong, R. L., Melin, S. R., &amp; Carretta, J. V. (2018). Population growth and status of california sea lions. The Journal of Wildlife Management, 82(3), 583–595. https://doi.org/10.1002/jwmg.21438</t>
  </si>
  <si>
    <t>Laake, J. L., Lowry, M. S., DeLong, R. L., Melin, S. R., &amp; Carretta, J. V. (2018). Population growth and status of california sea lions. The Journal of Wildlife Management, 82(3), 583–595. https://doi.org/10.1002/jwmg.21439</t>
  </si>
  <si>
    <t>Laake, J. L., Lowry, M. S., DeLong, R. L., Melin, S. R., &amp; Carretta, J. V. (2018). Population growth and status of california sea lions. The Journal of Wildlife Management, 82(3), 583–595. https://doi.org/10.1002/jwmg.21440</t>
  </si>
  <si>
    <t>Laake, J. L., Lowry, M. S., DeLong, R. L., Melin, S. R., &amp; Carretta, J. V. (2018). Population growth and status of california sea lions. The Journal of Wildlife Management, 82(3), 583–595. https://doi.org/10.1002/jwmg.21441</t>
  </si>
  <si>
    <t>Laake, J. L., Lowry, M. S., DeLong, R. L., Melin, S. R., &amp; Carretta, J. V. (2018). Population growth and status of california sea lions. The Journal of Wildlife Management, 82(3), 583–595. https://doi.org/10.1002/jwmg.21442</t>
  </si>
  <si>
    <t>Laake, J. L., Lowry, M. S., DeLong, R. L., Melin, S. R., &amp; Carretta, J. V. (2018). Population growth and status of california sea lions. The Journal of Wildlife Management, 82(3), 583–595. https://doi.org/10.1002/jwmg.21443</t>
  </si>
  <si>
    <t>Laake, J. L., Lowry, M. S., DeLong, R. L., Melin, S. R., &amp; Carretta, J. V. (2018). Population growth and status of california sea lions. The Journal of Wildlife Management, 82(3), 583–595. https://doi.org/10.1002/jwmg.21444</t>
  </si>
  <si>
    <t>Pup counts</t>
  </si>
  <si>
    <t>Pups</t>
  </si>
  <si>
    <t>Cuvier's beaked whale</t>
  </si>
  <si>
    <t>CUBEWHALE-CA/OR/WA</t>
  </si>
  <si>
    <t xml:space="preserve">mean estimate for Bayesian </t>
  </si>
  <si>
    <r>
      <t xml:space="preserve">NOAA Fisheries. (2022). CUVIER’S BEAKED WHALE (Ziphius cavirostris): California/Oregon/Washington Stock. </t>
    </r>
    <r>
      <rPr>
        <u/>
        <sz val="10"/>
        <color rgb="FF1155CC"/>
        <rFont val="Arial"/>
        <family val="2"/>
      </rPr>
      <t>https://www.fisheries.noaa.gov/s3/2023-08/Cuviers-CAORWA-2022.pdf</t>
    </r>
  </si>
  <si>
    <t>Acoustic Point-Transect</t>
  </si>
  <si>
    <r>
      <t xml:space="preserve">NOAA Fisheries. (2022). CUVIER’S BEAKED WHALE (Ziphius cavirostris): California/Oregon/Washington Stock. </t>
    </r>
    <r>
      <rPr>
        <u/>
        <sz val="10"/>
        <color rgb="FF1155CC"/>
        <rFont val="Arial"/>
        <family val="2"/>
      </rPr>
      <t>https://www.fisheries.noaa.gov/s3/2023-08/Cuviers-CAORWA-2022.pdf</t>
    </r>
  </si>
  <si>
    <t>no information on reproductive rates, median estimate for Acoustic Point Transect data</t>
  </si>
  <si>
    <t>DAPORPOISE-CA/OR/WA</t>
  </si>
  <si>
    <t>https://media.fisheries.noaa.gov/2022-08/2021-DALL'S%20PORPOISE%20-%20CaliforniaOregonWashington%20Stock.pdf</t>
  </si>
  <si>
    <t>Bayesian trend</t>
  </si>
  <si>
    <t>FKIWHALE-HI</t>
  </si>
  <si>
    <t>Design-Based, Encounter on Shipboard Line-transect Surveys</t>
  </si>
  <si>
    <t xml:space="preserve">**no net reproductive rates, also a chart with numeric data, may include whales that are not in Hawaii stock specifically </t>
  </si>
  <si>
    <t>Model-Based, Encounter on Shipboard Line-transect Surveys</t>
  </si>
  <si>
    <t>FIWHALE-CA/OR/WA</t>
  </si>
  <si>
    <t>Bayesian Trend Analysis</t>
  </si>
  <si>
    <t>data from Becker et al (2020)</t>
  </si>
  <si>
    <t xml:space="preserve">Line-transect </t>
  </si>
  <si>
    <t>GRWHALE-ENPACIFIC</t>
  </si>
  <si>
    <t>Shore-Based Count</t>
  </si>
  <si>
    <t>HBPORPOISE-SF/RRIVER</t>
  </si>
  <si>
    <t xml:space="preserve">Aerial Survey, Bayesian Model </t>
  </si>
  <si>
    <t xml:space="preserve">Morro Bay </t>
  </si>
  <si>
    <t>HBPORPOISE-MRBAY</t>
  </si>
  <si>
    <t>Aerial Survey, Bayesian Model</t>
  </si>
  <si>
    <t>table also originall found in (Forney et al, 2021)</t>
  </si>
  <si>
    <t>HBPORPOISE-MTBAY</t>
  </si>
  <si>
    <t>data from NOAA table from Forney et al</t>
  </si>
  <si>
    <t>HBPORPOISE-NCA/SOR</t>
  </si>
  <si>
    <t>HBSEAL-AL</t>
  </si>
  <si>
    <t>HBSEAL-BTBAY</t>
  </si>
  <si>
    <t>HBSEAL-NKOD</t>
  </si>
  <si>
    <t>HBSEAL-SKOD</t>
  </si>
  <si>
    <t>HBSEAL-PWSOUND</t>
  </si>
  <si>
    <t>HBSEAL-COINLET/SHSTRAIT</t>
  </si>
  <si>
    <t>HBSEAL-GLBAY/ICSTRAIT</t>
  </si>
  <si>
    <t>HBSEAL-LYCANNAL/STPASSAGE</t>
  </si>
  <si>
    <t>HBSEAL-SI/CHSTRAIT</t>
  </si>
  <si>
    <t>HBSEAL-DX/CAPEDE</t>
  </si>
  <si>
    <t>HBSEAL-CLSTRAIT</t>
  </si>
  <si>
    <t>California (Channel Islands)</t>
  </si>
  <si>
    <t>HBSEAL-CAISLANDS</t>
  </si>
  <si>
    <t>Haul-out counts</t>
  </si>
  <si>
    <t>digitized</t>
  </si>
  <si>
    <t>California (Mainland)</t>
  </si>
  <si>
    <t>HBSEAL-CAMAIN</t>
  </si>
  <si>
    <t>California (Total)</t>
  </si>
  <si>
    <t>HBSEAL-CA</t>
  </si>
  <si>
    <t>Washington (Coastal)</t>
  </si>
  <si>
    <t>HBSEAL-WACOA</t>
  </si>
  <si>
    <t>Washington (Inland)</t>
  </si>
  <si>
    <t>HBSEAL-WAINLAND</t>
  </si>
  <si>
    <t>https://media.fisheries.noaa.gov/dam-migration/po2013sehr-wain_508.pdf</t>
  </si>
  <si>
    <t>Oregon (Coastal)</t>
  </si>
  <si>
    <t>HBSEAL-ORCOA</t>
  </si>
  <si>
    <t>Non-pup</t>
  </si>
  <si>
    <t>HMSEAL-HI</t>
  </si>
  <si>
    <t xml:space="preserve">Capture-recapture, Field Counts, Trend Analysis </t>
  </si>
  <si>
    <t>HUWHALE-CA/OR/WA</t>
  </si>
  <si>
    <t>data from (Calambokidis &amp; Barlow, 2020)</t>
  </si>
  <si>
    <t>Photo Mark Recapture</t>
  </si>
  <si>
    <t>HUWHALE-GUMAINE</t>
  </si>
  <si>
    <t>Total Number (Females)**</t>
  </si>
  <si>
    <t xml:space="preserve">**GoM humpback whale abundance data includes "some, but not all, calves", methods described in Pace et. al, 2017 </t>
  </si>
  <si>
    <t>Total Number (Males)**</t>
  </si>
  <si>
    <t>Total Number**</t>
  </si>
  <si>
    <t>Eastern North Pacific Southern resident</t>
  </si>
  <si>
    <t>KIWHALE-ENPACIFICSRE</t>
  </si>
  <si>
    <t xml:space="preserve">the growth rate is for specifically Alaska killer whales but applied to Southern Resident stock, count is only the individually identifiable ones, so the Nmin is the same as the abundance (due to this - assumed mark recapture) </t>
  </si>
  <si>
    <t>LBCODOLPHIN-CA</t>
  </si>
  <si>
    <t>Total Numbers</t>
  </si>
  <si>
    <t>https://media.fisheries.noaa.gov/2022-08/2021-LONG-BEAKED%20COMMON%20DOLPHIN-California%20Stock.pdf</t>
  </si>
  <si>
    <t>(NOAA Fisheries, 2017)</t>
  </si>
  <si>
    <t>MEBEWHALE-CA/OR/WA</t>
  </si>
  <si>
    <r>
      <t xml:space="preserve">NOAA Fisheries. (2017). MESOPLODONT BEAKED WHALE (Mesoplodon spp.): California/Oregon/Washington Stock, </t>
    </r>
    <r>
      <rPr>
        <u/>
        <sz val="10"/>
        <color rgb="FF1155CC"/>
        <rFont val="Arial"/>
        <family val="2"/>
      </rPr>
      <t>https://media.fisheries.noaa.gov/dam-migration/pacific-2017-mes_beaked_whales-caorwa-508.pdf</t>
    </r>
  </si>
  <si>
    <r>
      <t xml:space="preserve">NOAA Fisheries. (2017). MESOPLODONT BEAKED WHALE (Mesoplodon spp.): California/Oregon/Washington Stock, </t>
    </r>
    <r>
      <rPr>
        <u/>
        <sz val="10"/>
        <color rgb="FF1155CC"/>
        <rFont val="Arial"/>
        <family val="2"/>
      </rPr>
      <t>https://media.fisheries.noaa.gov/dam-migration/pacific-2017-mes_beaked_whales-caorwa-508.pdf</t>
    </r>
  </si>
  <si>
    <r>
      <t xml:space="preserve">NOAA Fisheries. (2017). MESOPLODONT BEAKED WHALE (Mesoplodon spp.): California/Oregon/Washington Stock, </t>
    </r>
    <r>
      <rPr>
        <u/>
        <sz val="10"/>
        <color rgb="FF1155CC"/>
        <rFont val="Arial"/>
        <family val="2"/>
      </rPr>
      <t>https://media.fisheries.noaa.gov/dam-migration/pacific-2017-mes_beaked_whales-caorwa-508.pdf</t>
    </r>
  </si>
  <si>
    <r>
      <t xml:space="preserve">NOAA Fisheries. (2017). MESOPLODONT BEAKED WHALE (Mesoplodon spp.): California/Oregon/Washington Stock, </t>
    </r>
    <r>
      <rPr>
        <u/>
        <sz val="10"/>
        <color rgb="FF1155CC"/>
        <rFont val="Arial"/>
        <family val="2"/>
      </rPr>
      <t>https://media.fisheries.noaa.gov/dam-migration/pacific-2017-mes_beaked_whales-caorwa-508.pdf</t>
    </r>
  </si>
  <si>
    <r>
      <t xml:space="preserve">NOAA Fisheries. (2017). MESOPLODONT BEAKED WHALE (Mesoplodon spp.): California/Oregon/Washington Stock, </t>
    </r>
    <r>
      <rPr>
        <u/>
        <sz val="10"/>
        <color rgb="FF1155CC"/>
        <rFont val="Arial"/>
        <family val="2"/>
      </rPr>
      <t>https://media.fisheries.noaa.gov/dam-migration/pacific-2017-mes_beaked_whales-caorwa-508.pdf</t>
    </r>
  </si>
  <si>
    <r>
      <t xml:space="preserve">NOAA Fisheries. (2017). MESOPLODONT BEAKED WHALE (Mesoplodon spp.): California/Oregon/Washington Stock, </t>
    </r>
    <r>
      <rPr>
        <u/>
        <sz val="10"/>
        <color rgb="FF1155CC"/>
        <rFont val="Arial"/>
        <family val="2"/>
      </rPr>
      <t>https://media.fisheries.noaa.gov/dam-migration/pacific-2017-mes_beaked_whales-caorwa-508.pdf</t>
    </r>
  </si>
  <si>
    <r>
      <t xml:space="preserve">NOAA Fisheries. (2017). MESOPLODONT BEAKED WHALE (Mesoplodon spp.): California/Oregon/Washington Stock, </t>
    </r>
    <r>
      <rPr>
        <u/>
        <sz val="10"/>
        <color rgb="FF1155CC"/>
        <rFont val="Arial"/>
        <family val="2"/>
      </rPr>
      <t>https://media.fisheries.noaa.gov/dam-migration/pacific-2017-mes_beaked_whales-caorwa-508.pdf</t>
    </r>
  </si>
  <si>
    <t>MIWHALE-CA/OR/WA</t>
  </si>
  <si>
    <t>https://media.fisheries.noaa.gov/2022-08/2021-PACminke-CaliforniaOregonWashington%20Stock.pdf</t>
  </si>
  <si>
    <t>Western Atlantic</t>
  </si>
  <si>
    <t>RTWHALE-WNATLANTIC</t>
  </si>
  <si>
    <t xml:space="preserve">Total Number (Females) </t>
  </si>
  <si>
    <t xml:space="preserve">Total Number (Males) </t>
  </si>
  <si>
    <t>California (Central)</t>
  </si>
  <si>
    <t>NESEAL-CACENTRAL</t>
  </si>
  <si>
    <t>Aerial Survey, Ground Survey</t>
  </si>
  <si>
    <t>Births</t>
  </si>
  <si>
    <t>NESEAL-CAISLANDS</t>
  </si>
  <si>
    <t xml:space="preserve">US Total </t>
  </si>
  <si>
    <t>NESEAL-CABRE</t>
  </si>
  <si>
    <t>* US total is the sum of Central CA births and Channel Islands births</t>
  </si>
  <si>
    <t>Eastern Pacific (Bogoslof)</t>
  </si>
  <si>
    <t>NFSEAL-BO</t>
  </si>
  <si>
    <t>Mark Recapture</t>
  </si>
  <si>
    <t xml:space="preserve">Data chart (without standard errors) in stock report, also call this method "shear-sampling" </t>
  </si>
  <si>
    <t>Eastern Pacific (St. George)</t>
  </si>
  <si>
    <t>NFSEAL-GR</t>
  </si>
  <si>
    <t>Eastern Pacific (St. Paul)</t>
  </si>
  <si>
    <t>NFSEAL-PL</t>
  </si>
  <si>
    <t>Eastern Pacific (Overall)</t>
  </si>
  <si>
    <t>NFSEAL-EPACIFIC</t>
  </si>
  <si>
    <t>California-Oregon-Washignton</t>
  </si>
  <si>
    <t>Northern right whale dolphin</t>
  </si>
  <si>
    <t>NRWDOLPHIN-CA/OR/WA</t>
  </si>
  <si>
    <t>https://media.fisheries.noaa.gov/2022-08/2021-NorthernRWdolphin-CaliforniaOregonWashington%20Stock.pdf</t>
  </si>
  <si>
    <t>*did not include data from Oregon and Washington</t>
  </si>
  <si>
    <t>(U.S. Fish &amp; Wildlife Service, 2019)</t>
  </si>
  <si>
    <t>Washington</t>
  </si>
  <si>
    <t>Northern sea otter</t>
  </si>
  <si>
    <t>NSEAOTTER-WA</t>
  </si>
  <si>
    <t>https://www.fws.gov/sites/default/files/documents/northern-sea-otter-washington-stock-assessment-report-july-2018.pdf</t>
  </si>
  <si>
    <t>(NOAA, Fisheries, 2021)</t>
  </si>
  <si>
    <t>PAWSDOLPHIN-CA/OR/WA</t>
  </si>
  <si>
    <t>https://www.fisheries.noaa.gov/s3/2022-08/2021-PACWHITESIDE-CaliforniaOregonWashington-Northern-and-Southern-Stocks.pdf</t>
  </si>
  <si>
    <t>Hawaii</t>
  </si>
  <si>
    <t>RIDOLPHIN-HI</t>
  </si>
  <si>
    <t>https://media.fisheries.noaa.gov/2021-08/2020-Pacific-SARS-Rissos.pdf</t>
  </si>
  <si>
    <t>Short-beaked common dolphin</t>
  </si>
  <si>
    <t>SBCODOLPHIN-CA/OR/WA</t>
  </si>
  <si>
    <t>https://media.fisheries.noaa.gov/2022-08/2021-shortbeak-common-dolphin-CaliforniaOregonWashington%20Stock.pdf</t>
  </si>
  <si>
    <t>Short-finned pilot whale</t>
  </si>
  <si>
    <t>SFPIWHALE-HI</t>
  </si>
  <si>
    <t>https://media.fisheries.noaa.gov/2021-08/2020-Pacific-SARS-ShortFinPWHI.pdf</t>
  </si>
  <si>
    <t>(U.S. Fish &amp; Wildlife Service, 2021)</t>
  </si>
  <si>
    <t>Southern sea otter</t>
  </si>
  <si>
    <t>SSEAOTTER-CAMAIN</t>
  </si>
  <si>
    <t>Shore-based counts</t>
  </si>
  <si>
    <t>Total Number (raw)</t>
  </si>
  <si>
    <t>https://www.fws.gov/sites/default/files/documents/southern-sea-otter-stock-assessment-report.pdf</t>
  </si>
  <si>
    <t>SPWHALE-CA/OR/WA</t>
  </si>
  <si>
    <t>Ship-Based Line-transect</t>
  </si>
  <si>
    <t>population data from (Moore &amp; Barlow, 2017)</t>
  </si>
  <si>
    <t xml:space="preserve">Eastern U.S. (Eastern Stock) </t>
  </si>
  <si>
    <t>STSEALION-E</t>
  </si>
  <si>
    <t xml:space="preserve">Aerial Survey, Ground Survey, Ship Survey </t>
  </si>
  <si>
    <t xml:space="preserve">graphs and data from (Kathryn M. Sweeney et al., 2017), Non-pups indicates adults and juveniles </t>
  </si>
  <si>
    <t xml:space="preserve">Eastern U.S. (Southeast Alaska) </t>
  </si>
  <si>
    <t>STSEALION-SEAK</t>
  </si>
  <si>
    <t xml:space="preserve">Eastern U.S. (Washington) </t>
  </si>
  <si>
    <t>STSEALION-WA</t>
  </si>
  <si>
    <t xml:space="preserve">Eastern U.S. (California) </t>
  </si>
  <si>
    <t>STSEALION-CA</t>
  </si>
  <si>
    <t xml:space="preserve">Eastern U.S. (Oregon) </t>
  </si>
  <si>
    <t>STSEALION-OR</t>
  </si>
  <si>
    <t xml:space="preserve">Western U.S. (Alaska) </t>
  </si>
  <si>
    <t>STSEALION-W</t>
  </si>
  <si>
    <t xml:space="preserve">Aerial Survey </t>
  </si>
  <si>
    <t>survey method and data from (Sweeney et al., 2019)</t>
  </si>
  <si>
    <t xml:space="preserve">Western U.S. (Eastern Aleutian Islands) </t>
  </si>
  <si>
    <t>STSEALION-EALISLAND</t>
  </si>
  <si>
    <t xml:space="preserve">Ariel Survey, Ship-Based Survey </t>
  </si>
  <si>
    <t xml:space="preserve">data combined from two reports: (Sweeney et al. 2018, 2019), visual regional key located in powerpoint doc </t>
  </si>
  <si>
    <t xml:space="preserve">Western U.S. (Western Aleutian Islands) </t>
  </si>
  <si>
    <t>STSEALION-WALISLAND</t>
  </si>
  <si>
    <t xml:space="preserve">Western U.S. (Central Aleutian Islands) </t>
  </si>
  <si>
    <t>STSEALION-CALISLAND</t>
  </si>
  <si>
    <t xml:space="preserve">Western U.S. (Western Gulf of Alaska) </t>
  </si>
  <si>
    <t>STSEALION-WGUAK</t>
  </si>
  <si>
    <t xml:space="preserve">Western U.S. (Eastern Gulf of Alaska) </t>
  </si>
  <si>
    <t>STSEALION-EGUAK</t>
  </si>
  <si>
    <t xml:space="preserve">Western U.S. (Central Gulf of Alaska) </t>
  </si>
  <si>
    <t>STSEALION-CGUAK</t>
  </si>
  <si>
    <t>STDOLPHIN-CA/OR/WA</t>
  </si>
  <si>
    <t>https://media.fisheries.noaa.gov/2022-08/2021-STRIPED%20DOLPHIN-CaliforniaOregonWashington-Stock.pdf</t>
  </si>
  <si>
    <t>STDOLPHIN-HI</t>
  </si>
  <si>
    <t>https://media.fisheries.noaa.gov/2021-08/2020-Pacific-SARS-stripeddolphin_hawaii.pdf</t>
  </si>
  <si>
    <t>year_diff</t>
  </si>
  <si>
    <t>abundance_diff</t>
  </si>
  <si>
    <t>growth_rates_all</t>
  </si>
  <si>
    <t>growth_rates_annual</t>
  </si>
  <si>
    <t>stock region/ management area</t>
  </si>
  <si>
    <t>definition of stock region/management area</t>
  </si>
  <si>
    <t>Survey/estimation method</t>
  </si>
  <si>
    <t>low estimates</t>
  </si>
  <si>
    <t>high estimates</t>
  </si>
  <si>
    <t>abundance units</t>
  </si>
  <si>
    <t xml:space="preserve">Australia (Eastern Coast) </t>
  </si>
  <si>
    <t>See map for survey area</t>
  </si>
  <si>
    <t xml:space="preserve">Land-Based Spotting, Aerial Survey </t>
  </si>
  <si>
    <r>
      <t xml:space="preserve">Noad MJ, Kniest E, Dunlop RA. Boom to bust? Implications for the continued rapid growth of the eastern Australian humpback whale population despite recovery. Popul Ecol. 2019; 61:198–209. </t>
    </r>
    <r>
      <rPr>
        <u/>
        <sz val="10"/>
        <color rgb="FF1155CC"/>
        <rFont val="Arial"/>
        <family val="2"/>
      </rPr>
      <t>https://doi.org/10.1002/1438-390X.1014</t>
    </r>
  </si>
  <si>
    <t xml:space="preserve">used a graph for data and articel had mutliple models for the same data, report references data from two survey methods, unsure of exact stock area, for unclear dots - estimated locations along the line at visually similar intervals </t>
  </si>
  <si>
    <t>Noad MJ, Kniest E, Dunlop RA. Boom to bust? Implications for the continued rapid growth of the eastern Australian humpback whale population despite recovery. Popul Ecol. 2019; 61:198–209. https://doi.org/10.1002/1438-390X.1015</t>
  </si>
  <si>
    <t>Noad MJ, Kniest E, Dunlop RA. Boom to bust? Implications for the continued rapid growth of the eastern Australian humpback whale population despite recovery. Popul Ecol. 2019; 61:198–209. https://doi.org/10.1002/1438-390X.1016</t>
  </si>
  <si>
    <t>Noad MJ, Kniest E, Dunlop RA. Boom to bust? Implications for the continued rapid growth of the eastern Australian humpback whale population despite recovery. Popul Ecol. 2019; 61:198–209. https://doi.org/10.1002/1438-390X.1017</t>
  </si>
  <si>
    <t>Noad MJ, Kniest E, Dunlop RA. Boom to bust? Implications for the continued rapid growth of the eastern Australian humpback whale population despite recovery. Popul Ecol. 2019; 61:198–209. https://doi.org/10.1002/1438-390X.1018</t>
  </si>
  <si>
    <t>Noad MJ, Kniest E, Dunlop RA. Boom to bust? Implications for the continued rapid growth of the eastern Australian humpback whale population despite recovery. Popul Ecol. 2019; 61:198–209. https://doi.org/10.1002/1438-390X.1019</t>
  </si>
  <si>
    <t>Noad MJ, Kniest E, Dunlop RA. Boom to bust? Implications for the continued rapid growth of the eastern Australian humpback whale population despite recovery. Popul Ecol. 2019; 61:198–209. https://doi.org/10.1002/1438-390X.1020</t>
  </si>
  <si>
    <t>Noad MJ, Kniest E, Dunlop RA. Boom to bust? Implications for the continued rapid growth of the eastern Australian humpback whale population despite recovery. Popul Ecol. 2019; 61:198–209. https://doi.org/10.1002/1438-390X.1021</t>
  </si>
  <si>
    <t>Noad MJ, Kniest E, Dunlop RA. Boom to bust? Implications for the continued rapid growth of the eastern Australian humpback whale population despite recovery. Popul Ecol. 2019; 61:198–209. https://doi.org/10.1002/1438-390X.1022</t>
  </si>
  <si>
    <t>Noad MJ, Kniest E, Dunlop RA. Boom to bust? Implications for the continued rapid growth of the eastern Australian humpback whale population despite recovery. Popul Ecol. 2019; 61:198–209. https://doi.org/10.1002/1438-390X.1023</t>
  </si>
  <si>
    <t>Noad MJ, Kniest E, Dunlop RA. Boom to bust? Implications for the continued rapid growth of the eastern Australian humpback whale population despite recovery. Popul Ecol. 2019; 61:198–209. https://doi.org/10.1002/1438-390X.1024</t>
  </si>
  <si>
    <t>Noad MJ, Kniest E, Dunlop RA. Boom to bust? Implications for the continued rapid growth of the eastern Australian humpback whale population despite recovery. Popul Ecol. 2019; 61:198–209. https://doi.org/10.1002/1438-390X.1025</t>
  </si>
  <si>
    <t xml:space="preserve">Southeastern Australia </t>
  </si>
  <si>
    <t>Tasmania, Victoria and New South Wales</t>
  </si>
  <si>
    <t>Superpopulation Mark-Recapture Model</t>
  </si>
  <si>
    <t>Breeding Females</t>
  </si>
  <si>
    <t>Stamation, K., Watson, M., Moloney, P., Charlton, C., &amp; Bannister, J. (2020). Population estimate and rate of increase of southern right whales Eubalaena australis in southeastern Australia. Endangered Species Research, 41, 373–383. https://doi.org/10.3354/esr01032</t>
  </si>
  <si>
    <t>Stamation, K., Watson, M., Moloney, P., Charlton, C., &amp; Bannister, J. (2020). Population estimate and rate of increase of southern right whales Eubalaena australis in southeastern Australia. Endangered Species Research, 41, 373–383. https://doi.org/10.3354/esr01033</t>
  </si>
  <si>
    <t>Stamation, K., Watson, M., Moloney, P., Charlton, C., &amp; Bannister, J. (2020). Population estimate and rate of increase of southern right whales Eubalaena australis in southeastern Australia. Endangered Species Research, 41, 373–383. https://doi.org/10.3354/esr01034</t>
  </si>
  <si>
    <t>Stamation, K., Watson, M., Moloney, P., Charlton, C., &amp; Bannister, J. (2020). Population estimate and rate of increase of southern right whales Eubalaena australis in southeastern Australia. Endangered Species Research, 41, 373–383. https://doi.org/10.3354/esr01035</t>
  </si>
  <si>
    <t>Stamation, K., Watson, M., Moloney, P., Charlton, C., &amp; Bannister, J. (2020). Population estimate and rate of increase of southern right whales Eubalaena australis in southeastern Australia. Endangered Species Research, 41, 373–383. https://doi.org/10.3354/esr01036</t>
  </si>
  <si>
    <t>Stamation, K., Watson, M., Moloney, P., Charlton, C., &amp; Bannister, J. (2020). Population estimate and rate of increase of southern right whales Eubalaena australis in southeastern Australia. Endangered Species Research, 41, 373–383. https://doi.org/10.3354/esr01037</t>
  </si>
  <si>
    <t>Stamation, K., Watson, M., Moloney, P., Charlton, C., &amp; Bannister, J. (2020). Population estimate and rate of increase of southern right whales Eubalaena australis in southeastern Australia. Endangered Species Research, 41, 373–383. https://doi.org/10.3354/esr01038</t>
  </si>
  <si>
    <t>Stamation, K., Watson, M., Moloney, P., Charlton, C., &amp; Bannister, J. (2020). Population estimate and rate of increase of southern right whales Eubalaena australis in southeastern Australia. Endangered Species Research, 41, 373–383. https://doi.org/10.3354/esr01039</t>
  </si>
  <si>
    <t>Stamation, K., Watson, M., Moloney, P., Charlton, C., &amp; Bannister, J. (2020). Population estimate and rate of increase of southern right whales Eubalaena australis in southeastern Australia. Endangered Species Research, 41, 373–383. https://doi.org/10.3354/esr01040</t>
  </si>
  <si>
    <t>Stamation, K., Watson, M., Moloney, P., Charlton, C., &amp; Bannister, J. (2020). Population estimate and rate of increase of southern right whales Eubalaena australis in southeastern Australia. Endangered Species Research, 41, 373–383. https://doi.org/10.3354/esr01041</t>
  </si>
  <si>
    <t>Stamation, K., Watson, M., Moloney, P., Charlton, C., &amp; Bannister, J. (2020). Population estimate and rate of increase of southern right whales Eubalaena australis in southeastern Australia. Endangered Species Research, 41, 373–383. https://doi.org/10.3354/esr01042</t>
  </si>
  <si>
    <t>Stamation, K., Watson, M., Moloney, P., Charlton, C., &amp; Bannister, J. (2020). Population estimate and rate of increase of southern right whales Eubalaena australis in southeastern Australia. Endangered Species Research, 41, 373–383. https://doi.org/10.3354/esr01043</t>
  </si>
  <si>
    <t>Stamation, K., Watson, M., Moloney, P., Charlton, C., &amp; Bannister, J. (2020). Population estimate and rate of increase of southern right whales Eubalaena australis in southeastern Australia. Endangered Species Research, 41, 373–383. https://doi.org/10.3354/esr01044</t>
  </si>
  <si>
    <t>Stamation, K., Watson, M., Moloney, P., Charlton, C., &amp; Bannister, J. (2020). Population estimate and rate of increase of southern right whales Eubalaena australis in southeastern Australia. Endangered Species Research, 41, 373–383. https://doi.org/10.3354/esr01045</t>
  </si>
  <si>
    <t>Stamation, K., Watson, M., Moloney, P., Charlton, C., &amp; Bannister, J. (2020). Population estimate and rate of increase of southern right whales Eubalaena australis in southeastern Australia. Endangered Species Research, 41, 373–383. https://doi.org/10.3354/esr01046</t>
  </si>
  <si>
    <t>Stamation, K., Watson, M., Moloney, P., Charlton, C., &amp; Bannister, J. (2020). Population estimate and rate of increase of southern right whales Eubalaena australis in southeastern Australia. Endangered Species Research, 41, 373–383. https://doi.org/10.3354/esr01047</t>
  </si>
  <si>
    <t>Stamation, K., Watson, M., Moloney, P., Charlton, C., &amp; Bannister, J. (2020). Population estimate and rate of increase of southern right whales Eubalaena australis in southeastern Australia. Endangered Species Research, 41, 373–383. https://doi.org/10.3354/esr01048</t>
  </si>
  <si>
    <t>Stamation, K., Watson, M., Moloney, P., Charlton, C., &amp; Bannister, J. (2020). Population estimate and rate of increase of southern right whales Eubalaena australis in southeastern Australia. Endangered Species Research, 41, 373–383. https://doi.org/10.3354/esr01049</t>
  </si>
  <si>
    <t>Stamation, K., Watson, M., Moloney, P., Charlton, C., &amp; Bannister, J. (2020). Population estimate and rate of increase of southern right whales Eubalaena australis in southeastern Australia. Endangered Species Research, 41, 373–383. https://doi.org/10.3354/esr01050</t>
  </si>
  <si>
    <t>Stamation, K., Watson, M., Moloney, P., Charlton, C., &amp; Bannister, J. (2020). Population estimate and rate of increase of southern right whales Eubalaena australis in southeastern Australia. Endangered Species Research, 41, 373–383. https://doi.org/10.3354/esr01051</t>
  </si>
  <si>
    <t>Stamation, K., Watson, M., Moloney, P., Charlton, C., &amp; Bannister, J. (2020). Population estimate and rate of increase of southern right whales Eubalaena australis in southeastern Australia. Endangered Species Research, 41, 373–383. https://doi.org/10.3354/esr01052</t>
  </si>
  <si>
    <t>Stamation, K., Watson, M., Moloney, P., Charlton, C., &amp; Bannister, J. (2020). Population estimate and rate of increase of southern right whales Eubalaena australis in southeastern Australia. Endangered Species Research, 41, 373–383. https://doi.org/10.3354/esr01053</t>
  </si>
  <si>
    <t>Stamation, K., Watson, M., Moloney, P., Charlton, C., &amp; Bannister, J. (2020). Population estimate and rate of increase of southern right whales Eubalaena australis in southeastern Australia. Endangered Species Research, 41, 373–383. https://doi.org/10.3354/esr01054</t>
  </si>
  <si>
    <t>Stamation, K., Watson, M., Moloney, P., Charlton, C., &amp; Bannister, J. (2020). Population estimate and rate of increase of southern right whales Eubalaena australis in southeastern Australia. Endangered Species Research, 41, 373–383. https://doi.org/10.3354/esr01055</t>
  </si>
  <si>
    <t>Stamation, K., Watson, M., Moloney, P., Charlton, C., &amp; Bannister, J. (2020). Population estimate and rate of increase of southern right whales Eubalaena australis in southeastern Australia. Endangered Species Research, 41, 373–383. https://doi.org/10.3354/esr01056</t>
  </si>
  <si>
    <t>Stamation, K., Watson, M., Moloney, P., Charlton, C., &amp; Bannister, J. (2020). Population estimate and rate of increase of southern right whales Eubalaena australis in southeastern Australia. Endangered Species Research, 41, 373–383. https://doi.org/10.3354/esr01057</t>
  </si>
  <si>
    <t>Stamation, K., Watson, M., Moloney, P., Charlton, C., &amp; Bannister, J. (2020). Population estimate and rate of increase of southern right whales Eubalaena australis in southeastern Australia. Endangered Species Research, 41, 373–383. https://doi.org/10.3354/esr01058</t>
  </si>
  <si>
    <t>Stamation, K., Watson, M., Moloney, P., Charlton, C., &amp; Bannister, J. (2020). Population estimate and rate of increase of southern right whales Eubalaena australis in southeastern Australia. Endangered Species Research, 41, 373–383. https://doi.org/10.3354/esr01059</t>
  </si>
  <si>
    <t>Stamation, K., Watson, M., Moloney, P., Charlton, C., &amp; Bannister, J. (2020). Population estimate and rate of increase of southern right whales Eubalaena australis in southeastern Australia. Endangered Species Research, 41, 373–383. https://doi.org/10.3354/esr01060</t>
  </si>
  <si>
    <t>Stamation, K., Watson, M., Moloney, P., Charlton, C., &amp; Bannister, J. (2020). Population estimate and rate of increase of southern right whales Eubalaena australis in southeastern Australia. Endangered Species Research, 41, 373–383. https://doi.org/10.3354/esr01061</t>
  </si>
  <si>
    <t>Stamation, K., Watson, M., Moloney, P., Charlton, C., &amp; Bannister, J. (2020). Population estimate and rate of increase of southern right whales Eubalaena australis in southeastern Australia. Endangered Species Research, 41, 373–383. https://doi.org/10.3354/esr01062</t>
  </si>
  <si>
    <t>Stamation, K., Watson, M., Moloney, P., Charlton, C., &amp; Bannister, J. (2020). Population estimate and rate of increase of southern right whales Eubalaena australis in southeastern Australia. Endangered Species Research, 41, 373–383. https://doi.org/10.3354/esr01063</t>
  </si>
  <si>
    <t xml:space="preserve">Oceania </t>
  </si>
  <si>
    <t>New Caledonia, Tonga Islands, Cook Islands and French Polynesia</t>
  </si>
  <si>
    <t>GenotypeSYN</t>
  </si>
  <si>
    <t xml:space="preserve">SYN refers to 4 main regions, while ALL includes 5 secondary regions </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</si>
  <si>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https://doi.org/10.3354/meps09614</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</si>
  <si>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https://doi.org/10.3354/meps09615</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</si>
  <si>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https://doi.org/10.3354/meps09616</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</si>
  <si>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https://doi.org/10.3354/meps09617</t>
  </si>
  <si>
    <t>GenotypeALL</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</si>
  <si>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https://doi.org/10.3354/meps09618</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</si>
  <si>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https://doi.org/10.3354/meps09620</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</si>
  <si>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https://doi.org/10.3354/meps09621</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</si>
  <si>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https://doi.org/10.3354/meps09622</t>
  </si>
  <si>
    <t>GenotypeALLmales</t>
  </si>
  <si>
    <t>Males</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</si>
  <si>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https://doi.org/10.3354/meps09623</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</si>
  <si>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https://doi.org/10.3354/meps09624</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</si>
  <si>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https://doi.org/10.3354/meps09625</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</si>
  <si>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https://doi.org/10.3354/meps09626</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</si>
  <si>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https://doi.org/10.3354/meps09627</t>
  </si>
  <si>
    <t>GenotypeSYNmales</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</si>
  <si>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https://doi.org/10.3354/meps09628</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</si>
  <si>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https://doi.org/10.3354/meps09629</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</si>
  <si>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https://doi.org/10.3354/meps09630</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</si>
  <si>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https://doi.org/10.3354/meps09631</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</si>
  <si>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https://doi.org/10.3354/meps09632</t>
  </si>
  <si>
    <t>GenotypeSYNno2004males</t>
  </si>
  <si>
    <t>Females?</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</si>
  <si>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https://doi.org/10.3354/meps09633</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</si>
  <si>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https://doi.org/10.3354/meps09634</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</si>
  <si>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https://doi.org/10.3354/meps09635</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</si>
  <si>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https://doi.org/10.3354/meps09636</t>
  </si>
  <si>
    <t>PhotoIDSYN</t>
  </si>
  <si>
    <t xml:space="preserve">Tota Number </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</si>
  <si>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https://doi.org/10.3354/meps09637</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</si>
  <si>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https://doi.org/10.3354/meps09638</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</si>
  <si>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https://doi.org/10.3354/meps09639</t>
  </si>
  <si>
    <t xml:space="preserve">South Australia </t>
  </si>
  <si>
    <t xml:space="preserve">Olive Island </t>
  </si>
  <si>
    <t xml:space="preserve">Cumulative Pup Production </t>
  </si>
  <si>
    <t xml:space="preserve">could not accurately read error bars on graphs </t>
  </si>
  <si>
    <t xml:space="preserve">Mark-Recapture </t>
  </si>
  <si>
    <t xml:space="preserve">Pups (including dead pups) </t>
  </si>
  <si>
    <t xml:space="preserve">only noted error bars when sure that the bar matched the data point - Did not record ambiguous error bars </t>
  </si>
  <si>
    <t>Nicholas Baudin Island</t>
  </si>
  <si>
    <t xml:space="preserve">Ground Survey - Comparable </t>
  </si>
  <si>
    <t xml:space="preserve">Pups </t>
  </si>
  <si>
    <t xml:space="preserve">some surveys were marked as comparable (good), while others were marked as questionnable (lower quality data) - digitalized separately </t>
  </si>
  <si>
    <t xml:space="preserve">Ground Survey - Questionnable </t>
  </si>
  <si>
    <t xml:space="preserve">West Waldegrave Island </t>
  </si>
  <si>
    <t>Ground Survey</t>
  </si>
  <si>
    <t>Four Hummocks Island</t>
  </si>
  <si>
    <t>Queensland</t>
  </si>
  <si>
    <t xml:space="preserve">Great Sandy Strait </t>
  </si>
  <si>
    <t>POPAN-5</t>
  </si>
  <si>
    <t xml:space="preserve">Total Number (Seasonal) </t>
  </si>
  <si>
    <t>used the seasonal population data, took these points from mark-recapture surveys, the data is classified into seasons - broke down the seasons into years by what season had the most months in which year</t>
  </si>
  <si>
    <t xml:space="preserve">2005-2006 data </t>
  </si>
  <si>
    <t>MARK</t>
  </si>
  <si>
    <t xml:space="preserve">Port Essington Harbor </t>
  </si>
  <si>
    <t xml:space="preserve">used models to create estimation, different years indicate different periods of time within the same year </t>
  </si>
  <si>
    <t>Palmer, C., Brooks, L., Parra, G. J., Rogers, T., Glasgow, D., &amp; Woinarski, J. C. Z. (2014). Estimates of abundance and apparent survival of coastal dolphins in Port Essington harbour, Northern Territory, Australia. Wildlife Research, 41(1), 35. https://doi.org/10.1071/WR14034</t>
  </si>
  <si>
    <t>Palmer, C., Brooks, L., Parra, G. J., Rogers, T., Glasgow, D., &amp; Woinarski, J. C. Z. (2014). Estimates of abundance and apparent survival of coastal dolphins in Port Essington harbour, Northern Territory, Australia. Wildlife Research, 41(1), 35. https://doi.org/10.1071/WR14035</t>
  </si>
  <si>
    <t>Palmer, C., Brooks, L., Parra, G. J., Rogers, T., Glasgow, D., &amp; Woinarski, J. C. Z. (2014). Estimates of abundance and apparent survival of coastal dolphins in Port Essington harbour, Northern Territory, Australia. Wildlife Research, 41(1), 35. https://doi.org/10.1071/WR14036</t>
  </si>
  <si>
    <t>Palmer, C., Brooks, L., Parra, G. J., Rogers, T., Glasgow, D., &amp; Woinarski, J. C. Z. (2014). Estimates of abundance and apparent survival of coastal dolphins in Port Essington harbour, Northern Territory, Australia. Wildlife Research, 41(1), 35. https://doi.org/10.1071/WR14037</t>
  </si>
  <si>
    <t>Humpback dolphin</t>
  </si>
  <si>
    <t>Palmer, C., Brooks, L., Parra, G. J., Rogers, T., Glasgow, D., &amp; Woinarski, J. C. Z. (2014). Estimates of abundance and apparent survival of coastal dolphins in Port Essington harbour, Northern Territory, Australia. Wildlife Research, 41(1), 35. https://doi.org/10.1071/WR14038</t>
  </si>
  <si>
    <t>Palmer, C., Brooks, L., Parra, G. J., Rogers, T., Glasgow, D., &amp; Woinarski, J. C. Z. (2014). Estimates of abundance and apparent survival of coastal dolphins in Port Essington harbour, Northern Territory, Australia. Wildlife Research, 41(1), 35. https://doi.org/10.1071/WR14039</t>
  </si>
  <si>
    <t>Palmer, C., Brooks, L., Parra, G. J., Rogers, T., Glasgow, D., &amp; Woinarski, J. C. Z. (2014). Estimates of abundance and apparent survival of coastal dolphins in Port Essington harbour, Northern Territory, Australia. Wildlife Research, 41(1), 35. https://doi.org/10.1071/WR14040</t>
  </si>
  <si>
    <t>Palmer, C., Brooks, L., Parra, G. J., Rogers, T., Glasgow, D., &amp; Woinarski, J. C. Z. (2014). Estimates of abundance and apparent survival of coastal dolphins in Port Essington harbour, Northern Territory, Australia. Wildlife Research, 41(1), 35. https://doi.org/10.1071/WR14041</t>
  </si>
  <si>
    <t>Palmer, C., Brooks, L., Parra, G. J., Rogers, T., Glasgow, D., &amp; Woinarski, J. C. Z. (2014). Estimates of abundance and apparent survival of coastal dolphins in Port Essington harbour, Northern Territory, Australia. Wildlife Research, 41(1), 35. https://doi.org/10.1071/WR14042</t>
  </si>
  <si>
    <t>Palmer, C., Brooks, L., Parra, G. J., Rogers, T., Glasgow, D., &amp; Woinarski, J. C. Z. (2014). Estimates of abundance and apparent survival of coastal dolphins in Port Essington harbour, Northern Territory, Australia. Wildlife Research, 41(1), 35. https://doi.org/10.1071/WR14043</t>
  </si>
  <si>
    <t>Palmer, C., Brooks, L., Parra, G. J., Rogers, T., Glasgow, D., &amp; Woinarski, J. C. Z. (2014). Estimates of abundance and apparent survival of coastal dolphins in Port Essington harbour, Northern Territory, Australia. Wildlife Research, 41(1), 35. https://doi.org/10.1071/WR14044</t>
  </si>
  <si>
    <t>Palmer, C., Brooks, L., Parra, G. J., Rogers, T., Glasgow, D., &amp; Woinarski, J. C. Z. (2014). Estimates of abundance and apparent survival of coastal dolphins in Port Essington harbour, Northern Territory, Australia. Wildlife Research, 41(1), 35. https://doi.org/10.1071/WR14045</t>
  </si>
  <si>
    <t>Palmer, C., Brooks, L., Parra, G. J., Rogers, T., Glasgow, D., &amp; Woinarski, J. C. Z. (2014). Estimates of abundance and apparent survival of coastal dolphins in Port Essington harbour, Northern Territory, Australia. Wildlife Research, 41(1), 35. https://doi.org/10.1071/WR14046</t>
  </si>
  <si>
    <t>Palmer, C., Brooks, L., Parra, G. J., Rogers, T., Glasgow, D., &amp; Woinarski, J. C. Z. (2014). Estimates of abundance and apparent survival of coastal dolphins in Port Essington harbour, Northern Territory, Australia. Wildlife Research, 41(1), 35. https://doi.org/10.1071/WR14047</t>
  </si>
  <si>
    <t>Palmer, C., Brooks, L., Parra, G. J., Rogers, T., Glasgow, D., &amp; Woinarski, J. C. Z. (2014). Estimates of abundance and apparent survival of coastal dolphins in Port Essington harbour, Northern Territory, Australia. Wildlife Research, 41(1), 35. https://doi.org/10.1071/WR14048</t>
  </si>
  <si>
    <t>Palmer, C., Brooks, L., Parra, G. J., Rogers, T., Glasgow, D., &amp; Woinarski, J. C. Z. (2014). Estimates of abundance and apparent survival of coastal dolphins in Port Essington harbour, Northern Territory, Australia. Wildlife Research, 41(1), 35. https://doi.org/10.1071/WR14049</t>
  </si>
  <si>
    <t>Palmer, C., Brooks, L., Parra, G. J., Rogers, T., Glasgow, D., &amp; Woinarski, J. C. Z. (2014). Estimates of abundance and apparent survival of coastal dolphins in Port Essington harbour, Northern Territory, Australia. Wildlife Research, 41(1), 35. https://doi.org/10.1071/WR14050</t>
  </si>
  <si>
    <t>Palmer, C., Brooks, L., Parra, G. J., Rogers, T., Glasgow, D., &amp; Woinarski, J. C. Z. (2014). Estimates of abundance and apparent survival of coastal dolphins in Port Essington harbour, Northern Territory, Australia. Wildlife Research, 41(1), 35. https://doi.org/10.1071/WR14051</t>
  </si>
  <si>
    <t xml:space="preserve">Pages Islands </t>
  </si>
  <si>
    <t>Pup Counts</t>
  </si>
  <si>
    <t>Spencer Gulf</t>
  </si>
  <si>
    <t xml:space="preserve">only digitalized error bars that could be clearly seen in graph </t>
  </si>
  <si>
    <t>Seal Bay</t>
  </si>
  <si>
    <t xml:space="preserve">Pup Counts </t>
  </si>
  <si>
    <t>Western and Central Torres Strait</t>
  </si>
  <si>
    <t xml:space="preserve">Hagihara Method </t>
  </si>
  <si>
    <t xml:space="preserve">Pollock Method </t>
  </si>
  <si>
    <t>Northwest Atlantic (Newfoundland-Labrador stratum)</t>
  </si>
  <si>
    <t>waters from the northern tip of Labrador to the southwestern coast of Newfoundland</t>
  </si>
  <si>
    <t>aerial</t>
  </si>
  <si>
    <t>individuals</t>
  </si>
  <si>
    <t>ICES (2023) - NW Atlantic harbor porpoise</t>
  </si>
  <si>
    <t>uncorrected estimates</t>
  </si>
  <si>
    <t>Ottawa Islands south to Ekwan Point, western Hudson Bay</t>
  </si>
  <si>
    <t>growth rate 8%, PBR 4, recovery factor 0.25</t>
  </si>
  <si>
    <t>northern Hudson Bay, southern Foxe Basin, Hudson Strait, and southeastern Baffin Island</t>
  </si>
  <si>
    <t>PBR 360, recovery factor 1, growth rate 8%</t>
  </si>
  <si>
    <t xml:space="preserve">Newfoundland, Labrador, and Quebec Region </t>
  </si>
  <si>
    <t>PBR 425,600, graph of total does not have specific data points</t>
  </si>
  <si>
    <t>Coastal waters of west and north coast of Vancouver Island and central coast of BC</t>
  </si>
  <si>
    <t xml:space="preserve">Aerial Survey, Boat Survey </t>
  </si>
  <si>
    <t>growth rate 2.6%, reintroduced post extripation in 1969-72</t>
  </si>
  <si>
    <t>Grey seal</t>
  </si>
  <si>
    <t xml:space="preserve">Scotian Shelf (Sable Island and Coastal Nova Scotia) </t>
  </si>
  <si>
    <t xml:space="preserve">Aerial Survey, Integrated Population Model </t>
  </si>
  <si>
    <t>Pups (1000s)</t>
  </si>
  <si>
    <t>overall: growth rate 1.5%, dots difficult to see on graph for Shelf_Pups</t>
  </si>
  <si>
    <t xml:space="preserve"> Gulf of St. Lawrence (Gulf)</t>
  </si>
  <si>
    <t xml:space="preserve">Integrated Population Model </t>
  </si>
  <si>
    <t>**data was recorded via aeria survey and predicted with IPM</t>
  </si>
  <si>
    <t xml:space="preserve"> Gulf of St. Lawrence (Gulf), Scotian Shelf (Sable Island and Coastal Nova Scotia) </t>
  </si>
  <si>
    <t>Total Number (1000s)</t>
  </si>
  <si>
    <t xml:space="preserve">Cumberland Sound </t>
  </si>
  <si>
    <t>coast of British Columbia (see map)</t>
  </si>
  <si>
    <t>PBR 2474, growth rate 12%, recovery factor 1</t>
  </si>
  <si>
    <t xml:space="preserve">Non-Pups </t>
  </si>
  <si>
    <t>Narwhal</t>
  </si>
  <si>
    <t>Central and Arctic Region (Eastern Canada and West Greenland)</t>
  </si>
  <si>
    <t xml:space="preserve">Baffin Bay - Smith Sound </t>
  </si>
  <si>
    <t>survey method from (Richard et al., 2010)</t>
  </si>
  <si>
    <t xml:space="preserve">Baffin Bay - Jones Sound </t>
  </si>
  <si>
    <t>Baffin Bay - Inglefield Bredning</t>
  </si>
  <si>
    <t>Baffin Bay - Melville Bay</t>
  </si>
  <si>
    <t>Baffin Bay - Somerset Island</t>
  </si>
  <si>
    <t>Baffin Bay - Admiralty Inlet</t>
  </si>
  <si>
    <t>Baffin Bay - Eclipse Sound</t>
  </si>
  <si>
    <t>Baffin Bay - East Baffin Island</t>
  </si>
  <si>
    <t>National Capital Region</t>
  </si>
  <si>
    <t>St. Lawrence Estuary</t>
  </si>
  <si>
    <t xml:space="preserve">CA sea lions don't breed in Canada, but will migrate and winter on the coast </t>
  </si>
  <si>
    <t xml:space="preserve">Pacific Region </t>
  </si>
  <si>
    <t xml:space="preserve">Strait of Georgia </t>
  </si>
  <si>
    <t xml:space="preserve">from a section of a larger report - does not have any metion of specific methdo </t>
  </si>
  <si>
    <t xml:space="preserve">British Columbia </t>
  </si>
  <si>
    <t>Grey whale</t>
  </si>
  <si>
    <t>Pacific Coast Feeding Group (DU2)</t>
  </si>
  <si>
    <t>British Columbia, Pacific Ocean</t>
  </si>
  <si>
    <t>Mark-Recapture</t>
  </si>
  <si>
    <t>DU1, DU2, DU3 populations - subsets of the NOAA Northern Pacific Data</t>
  </si>
  <si>
    <t>Pacific Coast Feeding Group (DU3)</t>
  </si>
  <si>
    <t xml:space="preserve">Bayesian Model </t>
  </si>
  <si>
    <t xml:space="preserve">Northern Resident </t>
  </si>
  <si>
    <t>Photo-ID</t>
  </si>
  <si>
    <t>Adults</t>
  </si>
  <si>
    <t xml:space="preserve">does not list a specific survey method for the model </t>
  </si>
  <si>
    <t xml:space="preserve">Photo-ID </t>
  </si>
  <si>
    <t xml:space="preserve">Southern Resident </t>
  </si>
  <si>
    <t xml:space="preserve">Bering, Chukchi, and Beaufort Seas </t>
  </si>
  <si>
    <t xml:space="preserve">Visual Survey, Passive Acoustic Survey </t>
  </si>
  <si>
    <t>specifically Bowhead whales in Canadian waters</t>
  </si>
  <si>
    <t>Bay of Fundy, Gulf of Maine</t>
  </si>
  <si>
    <t xml:space="preserve">Shipboard Line-transect Survey, Aerial Line-transect Survey </t>
  </si>
  <si>
    <t>the study specified two methods used concurrently, data from (Waring et al., 2001)</t>
  </si>
  <si>
    <t>Farallon Island</t>
  </si>
  <si>
    <t>San Miguel - Adam's Cove</t>
  </si>
  <si>
    <t>San Miguel - Castle Rock</t>
  </si>
  <si>
    <t xml:space="preserve">source_type (digitized/actual) </t>
  </si>
  <si>
    <t>Antarctica</t>
  </si>
  <si>
    <t>Antarctic Area III–E</t>
  </si>
  <si>
    <t>Statistical catch-at-age analysis, JAPRA program</t>
  </si>
  <si>
    <t>1995-96</t>
  </si>
  <si>
    <t xml:space="preserve">two different programs used - IDCR and JAPRA - there is only two years of data per area for IDCR data so did not include it </t>
  </si>
  <si>
    <t>1997-98</t>
  </si>
  <si>
    <t>Punt, A. E., Hakamada, T., &amp; Bando, T. (2023). Assessment of Antarctic minke whales using statistical catch-at-age analysis (SCAA). J. Cetacean Res. Manage., 14(1), 93–116. https://doi.org/10.47536/jcrm.v14i1.528</t>
  </si>
  <si>
    <t>1999-00</t>
  </si>
  <si>
    <t>Punt, A. E., Hakamada, T., &amp; Bando, T. (2023). Assessment of Antarctic minke whales using statistical catch-at-age analysis (SCAA). J. Cetacean Res. Manage., 14(1), 93–116. https://doi.org/10.47536/jcrm.v14i1.529</t>
  </si>
  <si>
    <t>Punt, A. E., Hakamada, T., &amp; Bando, T. (2023). Assessment of Antarctic minke whales using statistical catch-at-age analysis (SCAA). J. Cetacean Res. Manage., 14(1), 93–116. https://doi.org/10.47536/jcrm.v14i1.530</t>
  </si>
  <si>
    <t>Punt, A. E., Hakamada, T., &amp; Bando, T. (2023). Assessment of Antarctic minke whales using statistical catch-at-age analysis (SCAA). J. Cetacean Res. Manage., 14(1), 93–116. https://doi.org/10.47536/jcrm.v14i1.531</t>
  </si>
  <si>
    <t>Punt, A. E., Hakamada, T., &amp; Bando, T. (2023). Assessment of Antarctic minke whales using statistical catch-at-age analysis (SCAA). J. Cetacean Res. Manage., 14(1), 93–116. https://doi.org/10.47536/jcrm.v14i1.532</t>
  </si>
  <si>
    <t>Punt, A. E., Hakamada, T., &amp; Bando, T. (2023). Assessment of Antarctic minke whales using statistical catch-at-age analysis (SCAA). J. Cetacean Res. Manage., 14(1), 93–116. https://doi.org/10.47536/jcrm.v14i1.533</t>
  </si>
  <si>
    <t xml:space="preserve">Antarctic Area IV </t>
  </si>
  <si>
    <t>1989-90</t>
  </si>
  <si>
    <t>Punt, A. E., Hakamada, T., &amp; Bando, T. (2023). Assessment of Antarctic minke whales using statistical catch-at-age analysis (SCAA). J. Cetacean Res. Manage., 14(1), 93–116. https://doi.org/10.47536/jcrm.v14i1.534</t>
  </si>
  <si>
    <t>1991-92</t>
  </si>
  <si>
    <t>Punt, A. E., Hakamada, T., &amp; Bando, T. (2023). Assessment of Antarctic minke whales using statistical catch-at-age analysis (SCAA). J. Cetacean Res. Manage., 14(1), 93–116. https://doi.org/10.47536/jcrm.v14i1.535</t>
  </si>
  <si>
    <t>1993-94</t>
  </si>
  <si>
    <t>Punt, A. E., Hakamada, T., &amp; Bando, T. (2023). Assessment of Antarctic minke whales using statistical catch-at-age analysis (SCAA). J. Cetacean Res. Manage., 14(1), 93–116. https://doi.org/10.47536/jcrm.v14i1.536</t>
  </si>
  <si>
    <t>Punt, A. E., Hakamada, T., &amp; Bando, T. (2023). Assessment of Antarctic minke whales using statistical catch-at-age analysis (SCAA). J. Cetacean Res. Manage., 14(1), 93–116. https://doi.org/10.47536/jcrm.v14i1.537</t>
  </si>
  <si>
    <t>Punt, A. E., Hakamada, T., &amp; Bando, T. (2023). Assessment of Antarctic minke whales using statistical catch-at-age analysis (SCAA). J. Cetacean Res. Manage., 14(1), 93–116. https://doi.org/10.47536/jcrm.v14i1.538</t>
  </si>
  <si>
    <t xml:space="preserve">*this year only surveyed a small part of Prydz bay compared to other years </t>
  </si>
  <si>
    <t>Punt, A. E., Hakamada, T., &amp; Bando, T. (2023). Assessment of Antarctic minke whales using statistical catch-at-age analysis (SCAA). J. Cetacean Res. Manage., 14(1), 93–116. https://doi.org/10.47536/jcrm.v14i1.539</t>
  </si>
  <si>
    <t>Punt, A. E., Hakamada, T., &amp; Bando, T. (2023). Assessment of Antarctic minke whales using statistical catch-at-age analysis (SCAA). J. Cetacean Res. Manage., 14(1), 93–116. https://doi.org/10.47536/jcrm.v14i1.540</t>
  </si>
  <si>
    <t>Punt, A. E., Hakamada, T., &amp; Bando, T. (2023). Assessment of Antarctic minke whales using statistical catch-at-age analysis (SCAA). J. Cetacean Res. Manage., 14(1), 93–116. https://doi.org/10.47536/jcrm.v14i1.541</t>
  </si>
  <si>
    <t>Punt, A. E., Hakamada, T., &amp; Bando, T. (2023). Assessment of Antarctic minke whales using statistical catch-at-age analysis (SCAA). J. Cetacean Res. Manage., 14(1), 93–116. https://doi.org/10.47536/jcrm.v14i1.542</t>
  </si>
  <si>
    <t>Punt, A. E., Hakamada, T., &amp; Bando, T. (2023). Assessment of Antarctic minke whales using statistical catch-at-age analysis (SCAA). J. Cetacean Res. Manage., 14(1), 93–116. https://doi.org/10.47536/jcrm.v14i1.543</t>
  </si>
  <si>
    <t>Antarctic Area V-W</t>
  </si>
  <si>
    <t>1990-91</t>
  </si>
  <si>
    <t>1992-93</t>
  </si>
  <si>
    <t>Punt, A. E., Hakamada, T., &amp; Bando, T. (2023). Assessment of Antarctic minke whales using statistical catch-at-age analysis (SCAA). J. Cetacean Res. Manage., 14(1), 93–116. https://doi.org/10.47536/jcrm.v14i1.544</t>
  </si>
  <si>
    <t>1994-95</t>
  </si>
  <si>
    <t>Punt, A. E., Hakamada, T., &amp; Bando, T. (2023). Assessment of Antarctic minke whales using statistical catch-at-age analysis (SCAA). J. Cetacean Res. Manage., 14(1), 93–116. https://doi.org/10.47536/jcrm.v14i1.545</t>
  </si>
  <si>
    <t>1996-97</t>
  </si>
  <si>
    <t>Punt, A. E., Hakamada, T., &amp; Bando, T. (2023). Assessment of Antarctic minke whales using statistical catch-at-age analysis (SCAA). J. Cetacean Res. Manage., 14(1), 93–116. https://doi.org/10.47536/jcrm.v14i1.546</t>
  </si>
  <si>
    <t>1998-99</t>
  </si>
  <si>
    <t>Punt, A. E., Hakamada, T., &amp; Bando, T. (2023). Assessment of Antarctic minke whales using statistical catch-at-age analysis (SCAA). J. Cetacean Res. Manage., 14(1), 93–116. https://doi.org/10.47536/jcrm.v14i1.547</t>
  </si>
  <si>
    <t>Punt, A. E., Hakamada, T., &amp; Bando, T. (2023). Assessment of Antarctic minke whales using statistical catch-at-age analysis (SCAA). J. Cetacean Res. Manage., 14(1), 93–116. https://doi.org/10.47536/jcrm.v14i1.548</t>
  </si>
  <si>
    <t>Punt, A. E., Hakamada, T., &amp; Bando, T. (2023). Assessment of Antarctic minke whales using statistical catch-at-age analysis (SCAA). J. Cetacean Res. Manage., 14(1), 93–116. https://doi.org/10.47536/jcrm.v14i1.549</t>
  </si>
  <si>
    <t>Punt, A. E., Hakamada, T., &amp; Bando, T. (2023). Assessment of Antarctic minke whales using statistical catch-at-age analysis (SCAA). J. Cetacean Res. Manage., 14(1), 93–116. https://doi.org/10.47536/jcrm.v14i1.550</t>
  </si>
  <si>
    <t>Punt, A. E., Hakamada, T., &amp; Bando, T. (2023). Assessment of Antarctic minke whales using statistical catch-at-age analysis (SCAA). J. Cetacean Res. Manage., 14(1), 93–116. https://doi.org/10.47536/jcrm.v14i1.551</t>
  </si>
  <si>
    <t>Punt, A. E., Hakamada, T., &amp; Bando, T. (2023). Assessment of Antarctic minke whales using statistical catch-at-age analysis (SCAA). J. Cetacean Res. Manage., 14(1), 93–116. https://doi.org/10.47536/jcrm.v14i1.552</t>
  </si>
  <si>
    <t>Punt, A. E., Hakamada, T., &amp; Bando, T. (2023). Assessment of Antarctic minke whales using statistical catch-at-age analysis (SCAA). J. Cetacean Res. Manage., 14(1), 93–116. https://doi.org/10.47536/jcrm.v14i1.553</t>
  </si>
  <si>
    <t>Punt, A. E., Hakamada, T., &amp; Bando, T. (2023). Assessment of Antarctic minke whales using statistical catch-at-age analysis (SCAA). J. Cetacean Res. Manage., 14(1), 93–116. https://doi.org/10.47536/jcrm.v14i1.554</t>
  </si>
  <si>
    <t xml:space="preserve">Antarctica </t>
  </si>
  <si>
    <t>Antarctic Area V-E</t>
  </si>
  <si>
    <t>Punt, A. E., Hakamada, T., &amp; Bando, T. (2023). Assessment of Antarctic minke whales using statistical catch-at-age analysis (SCAA). J. Cetacean Res. Manage., 14(1), 93–116. https://doi.org/10.47536/jcrm.v14i1.555</t>
  </si>
  <si>
    <t>Punt, A. E., Hakamada, T., &amp; Bando, T. (2023). Assessment of Antarctic minke whales using statistical catch-at-age analysis (SCAA). J. Cetacean Res. Manage., 14(1), 93–116. https://doi.org/10.47536/jcrm.v14i1.556</t>
  </si>
  <si>
    <t>Punt, A. E., Hakamada, T., &amp; Bando, T. (2023). Assessment of Antarctic minke whales using statistical catch-at-age analysis (SCAA). J. Cetacean Res. Manage., 14(1), 93–116. https://doi.org/10.47536/jcrm.v14i1.557</t>
  </si>
  <si>
    <t>Punt, A. E., Hakamada, T., &amp; Bando, T. (2023). Assessment of Antarctic minke whales using statistical catch-at-age analysis (SCAA). J. Cetacean Res. Manage., 14(1), 93–116. https://doi.org/10.47536/jcrm.v14i1.558</t>
  </si>
  <si>
    <t>Punt, A. E., Hakamada, T., &amp; Bando, T. (2023). Assessment of Antarctic minke whales using statistical catch-at-age analysis (SCAA). J. Cetacean Res. Manage., 14(1), 93–116. https://doi.org/10.47536/jcrm.v14i1.559</t>
  </si>
  <si>
    <t>Punt, A. E., Hakamada, T., &amp; Bando, T. (2023). Assessment of Antarctic minke whales using statistical catch-at-age analysis (SCAA). J. Cetacean Res. Manage., 14(1), 93–116. https://doi.org/10.47536/jcrm.v14i1.560</t>
  </si>
  <si>
    <t>Punt, A. E., Hakamada, T., &amp; Bando, T. (2023). Assessment of Antarctic minke whales using statistical catch-at-age analysis (SCAA). J. Cetacean Res. Manage., 14(1), 93–116. https://doi.org/10.47536/jcrm.v14i1.561</t>
  </si>
  <si>
    <t>Punt, A. E., Hakamada, T., &amp; Bando, T. (2023). Assessment of Antarctic minke whales using statistical catch-at-age analysis (SCAA). J. Cetacean Res. Manage., 14(1), 93–116. https://doi.org/10.47536/jcrm.v14i1.562</t>
  </si>
  <si>
    <t>Punt, A. E., Hakamada, T., &amp; Bando, T. (2023). Assessment of Antarctic minke whales using statistical catch-at-age analysis (SCAA). J. Cetacean Res. Manage., 14(1), 93–116. https://doi.org/10.47536/jcrm.v14i1.563</t>
  </si>
  <si>
    <t>Punt, A. E., Hakamada, T., &amp; Bando, T. (2023). Assessment of Antarctic minke whales using statistical catch-at-age analysis (SCAA). J. Cetacean Res. Manage., 14(1), 93–116. https://doi.org/10.47536/jcrm.v14i1.564</t>
  </si>
  <si>
    <t>Antarctic Area VI-W</t>
  </si>
  <si>
    <t>Punt, A. E., Hakamada, T., &amp; Bando, T. (2023). Assessment of Antarctic minke whales using statistical catch-at-age analysis (SCAA). J. Cetacean Res. Manage., 14(1), 93–116. https://doi.org/10.47536/jcrm.v14i1.565</t>
  </si>
  <si>
    <t>Punt, A. E., Hakamada, T., &amp; Bando, T. (2023). Assessment of Antarctic minke whales using statistical catch-at-age analysis (SCAA). J. Cetacean Res. Manage., 14(1), 93–116. https://doi.org/10.47536/jcrm.v14i1.566</t>
  </si>
  <si>
    <t>Punt, A. E., Hakamada, T., &amp; Bando, T. (2023). Assessment of Antarctic minke whales using statistical catch-at-age analysis (SCAA). J. Cetacean Res. Manage., 14(1), 93–116. https://doi.org/10.47536/jcrm.v14i1.567</t>
  </si>
  <si>
    <t>Punt, A. E., Hakamada, T., &amp; Bando, T. (2023). Assessment of Antarctic minke whales using statistical catch-at-age analysis (SCAA). J. Cetacean Res. Manage., 14(1), 93–116. https://doi.org/10.47536/jcrm.v14i1.568</t>
  </si>
  <si>
    <t>Punt, A. E., Hakamada, T., &amp; Bando, T. (2023). Assessment of Antarctic minke whales using statistical catch-at-age analysis (SCAA). J. Cetacean Res. Manage., 14(1), 93–116. https://doi.org/10.47536/jcrm.v14i1.569</t>
  </si>
  <si>
    <t>Punt, A. E., Hakamada, T., &amp; Bando, T. (2023). Assessment of Antarctic minke whales using statistical catch-at-age analysis (SCAA). J. Cetacean Res. Manage., 14(1), 93–116. https://doi.org/10.47536/jcrm.v14i1.570</t>
  </si>
  <si>
    <t>Punt, A. E., Hakamada, T., &amp; Bando, T. (2023). Assessment of Antarctic minke whales using statistical catch-at-age analysis (SCAA). J. Cetacean Res. Manage., 14(1), 93–116. https://doi.org/10.47536/jcrm.v14i1.571</t>
  </si>
  <si>
    <t>Washington Coast</t>
  </si>
  <si>
    <t xml:space="preserve">Aerial survey, Radio Tagging Study </t>
  </si>
  <si>
    <t>Oregon Coast</t>
  </si>
  <si>
    <t>Haul-out Count, Radio Tagging</t>
  </si>
  <si>
    <t>Northern Fur Seal</t>
  </si>
  <si>
    <t>coast of British Columbia</t>
  </si>
  <si>
    <t>US graphs and data from (Kathryn M. Sweeney et al., 2017), Non-pups indicates adults and juveniles, area information from (State of the Physical, Biological and Selected Fishery Resources of Pacific Canadian Marine Ecosystems in 2016, 2017)</t>
  </si>
  <si>
    <t xml:space="preserve">Country </t>
  </si>
  <si>
    <t>common name</t>
  </si>
  <si>
    <t>stock id</t>
  </si>
  <si>
    <t>survey method</t>
  </si>
  <si>
    <t>Figure # on SAR</t>
  </si>
  <si>
    <t>source cite</t>
  </si>
  <si>
    <t>Title</t>
  </si>
  <si>
    <t>actual data found? (Y/N)</t>
  </si>
  <si>
    <t>Species/method checked? (Y/N)</t>
  </si>
  <si>
    <t>ref link</t>
  </si>
  <si>
    <t>* Red means the SAR figure contains less than 5 estimations/survey method</t>
  </si>
  <si>
    <t>Figure 2</t>
  </si>
  <si>
    <t>Barlow, 2016</t>
  </si>
  <si>
    <t>Cetacean abundance in the California Current estimated from ship-based line-transect surveys in 1991-2014</t>
  </si>
  <si>
    <t>N (digitized)</t>
  </si>
  <si>
    <t>Y</t>
  </si>
  <si>
    <t>N/A</t>
  </si>
  <si>
    <t>Becker et al., 2020</t>
  </si>
  <si>
    <t>Habitat-based density estimates for cetaceans in the California Current Ecosystem based on 1991-2018 survey data</t>
  </si>
  <si>
    <t>Y (actual)</t>
  </si>
  <si>
    <t>Photo mark-recapture (Chao Model)</t>
  </si>
  <si>
    <t>Calambokidis and Barlow, 2020</t>
  </si>
  <si>
    <t>Updated abundance estimates for blue and humpback whales along the U.S. West Coast using data through 2018</t>
  </si>
  <si>
    <t>iced-based count, acoustic</t>
  </si>
  <si>
    <t>Givens et al., 2016</t>
  </si>
  <si>
    <t>Horvitz-Thompson whale abundance estimation adjusting for uncertain recapture, temporal availability variation, and intermittent effort</t>
  </si>
  <si>
    <t>https://www.north-slope.org/wp-content/uploads/2022/03/Givens_et_al-2016-Environmetrics.2011_abundance_bowhead_whale_final.pdf</t>
  </si>
  <si>
    <t>Nadeem et al., 2016</t>
  </si>
  <si>
    <t>Integrating population dynamics models and distance sampling data: a spatial hierarchical state-space approach</t>
  </si>
  <si>
    <t>Y(actual), Table S3, 20% percentile estimates</t>
  </si>
  <si>
    <t>https://repository.library.noaa.gov/view/noaa/54171</t>
  </si>
  <si>
    <t>Figure 2 (until 2006), open circles</t>
  </si>
  <si>
    <t>Laake et al., 2012</t>
  </si>
  <si>
    <r>
      <rPr>
        <sz val="10"/>
        <color theme="1"/>
        <rFont val="serif"/>
      </rPr>
      <t xml:space="preserve">Gray whale southbound migration surveys 1967–2006: </t>
    </r>
    <r>
      <rPr>
        <sz val="10"/>
        <color theme="1"/>
        <rFont val="serif"/>
      </rPr>
      <t>an integrated re-analysis</t>
    </r>
  </si>
  <si>
    <t>Y (actual), Eguchi et al., 2023, Table 1</t>
  </si>
  <si>
    <t>https://swfsc-publications.fisheries.noaa.gov/publications/CR/2023/2023Eguchi.pdf</t>
  </si>
  <si>
    <t>Figure 2 (2006-2010), open circles, remove 2006 estimate point due to repetition</t>
  </si>
  <si>
    <t>Durban et al., 2015</t>
  </si>
  <si>
    <t>Estimating gray whale abundance from shore-based counts using a multilevel Bayesian model</t>
  </si>
  <si>
    <t>Figure 2 (2014,2015), closed circles</t>
  </si>
  <si>
    <t>Durban et al., 2017</t>
  </si>
  <si>
    <t>Gray whale abundance estimates from shore-based counts off California in 2014/15 and 2015/16</t>
  </si>
  <si>
    <t>Y (actual), Table 2</t>
  </si>
  <si>
    <t>Humpback whale (Total)</t>
  </si>
  <si>
    <t>Mark-recapture</t>
  </si>
  <si>
    <t>Figure 3 (A)</t>
  </si>
  <si>
    <t>Robbins and Pace, 2018</t>
  </si>
  <si>
    <t>Trends in Abundance of North Atlantic Humpback Whales in the Gulf of Maine</t>
  </si>
  <si>
    <t>https://repository.library.noaa.gov/view/noaa/22947</t>
  </si>
  <si>
    <t>Humpback whale (Males)</t>
  </si>
  <si>
    <t>Humpback whale (Females)</t>
  </si>
  <si>
    <t>Robbins and Pace, 2019</t>
  </si>
  <si>
    <t>North Atlantic right whale (Total)</t>
  </si>
  <si>
    <t>Figure 2 (A)</t>
  </si>
  <si>
    <t>N/A, check Pace 2017 et al., and Pace 2021 et al., no table found</t>
  </si>
  <si>
    <t>North Atlantic right whale (Males)</t>
  </si>
  <si>
    <t>North Atlantic right whale (Females)</t>
  </si>
  <si>
    <t>Moore and Barlow, 2017</t>
  </si>
  <si>
    <t>Population abundance and trend estimates for beaked whales and sperm whales in the California Current based on ship-based visual line-transect survey data, 1991 – 2014</t>
  </si>
  <si>
    <t>Y (actual), Table above figure 1, Median</t>
  </si>
  <si>
    <t>https://swfsc-publications.fisheries.noaa.gov/publications/TM/SWFSC/NOAA-TM-NMFS-SWFSC-585.pdf</t>
  </si>
  <si>
    <t>Y (actual), Table 5, Median</t>
  </si>
  <si>
    <t>Acoustic point-transect</t>
  </si>
  <si>
    <t>Figure 2, orange triangle</t>
  </si>
  <si>
    <t>Barlow et al., 2021</t>
  </si>
  <si>
    <t>Acoustic-based estimates of Cuvier's beaked whale (Ziphius cavirostris) density and abundance along the U.S. West Coast from drifting hydrophone recorders</t>
  </si>
  <si>
    <t>Y (actual), in abstract</t>
  </si>
  <si>
    <t>https://repository.library.noaa.gov/view/noaa/41020</t>
  </si>
  <si>
    <t>Y (actual), Table 6, Median</t>
  </si>
  <si>
    <t>Figure 3</t>
  </si>
  <si>
    <t>Y (actual), Table 7, Median</t>
  </si>
  <si>
    <t>Figure 2, ADF&amp; G survey, 1979</t>
  </si>
  <si>
    <t>Calkins et al., 1989</t>
  </si>
  <si>
    <t>Status of belukha whales in Cook Inlet, p. 109-112. In L. E. Jarvela and L. K. Thorsteinson, (eds.), Proceedings of the Gulf of Alaska, Cook Inlet, and North Aleutian Basin Information Update Meeting, February 7-8, 1989, Anchorage, Alaska</t>
  </si>
  <si>
    <t>Y (actual), population size</t>
  </si>
  <si>
    <t>https://www.adfg.alaska.gov/static/home/library/pdfs/wildlife/research_pdfs/status_belukha_whales_cook_inlet_ch_15_donald_calkins.pdf</t>
  </si>
  <si>
    <t>Figure 2, NMFS survey, 1991</t>
  </si>
  <si>
    <t>Shelden and Mahoney, 2016</t>
  </si>
  <si>
    <t>Aerial surveys of beluga whales in Cook Inlet, Alaska, June 1991</t>
  </si>
  <si>
    <t>Y (actual), abstract</t>
  </si>
  <si>
    <t>https://repository.library.noaa.gov/view/noaa/8690</t>
  </si>
  <si>
    <t>Figure 2, 1994-2012</t>
  </si>
  <si>
    <t>Hobbs et al., 2015a</t>
  </si>
  <si>
    <t>Estimated abundance and trend in aerial counts of beluga whales, Delphinapterus leucas, in Cook Inlet, Alaska, 1994-2012</t>
  </si>
  <si>
    <t>Y (actual), Figure 5</t>
  </si>
  <si>
    <t>https://spo.nmfs.noaa.gov/sites/default/files/pdf-content/MFR/mfr771/mfr7712.pdf</t>
  </si>
  <si>
    <t>Figure 2, 2014, 2016, 2018</t>
  </si>
  <si>
    <t>Wades et al., 2018</t>
  </si>
  <si>
    <t>Aerial surveys, distribution, abundance, and trend of belugas (Delphinapterus leucas) in Cook Inlet, Alaska, June 2018</t>
  </si>
  <si>
    <t>Y (actual), Table 3, Point estimates</t>
  </si>
  <si>
    <t>https://apps-afsc.fisheries.noaa.gov/documents/PR2019-09.pdf</t>
  </si>
  <si>
    <t>Line-transect, design-based</t>
  </si>
  <si>
    <t>Figure 4</t>
  </si>
  <si>
    <t>Bradford et al., 2020</t>
  </si>
  <si>
    <t>Abundance Estimates of False Killer Whales in Hawaiian Waters and the Broader Central Pacific</t>
  </si>
  <si>
    <t>Y (actual), Table 5</t>
  </si>
  <si>
    <t>https://repository.library.noaa.gov/view/noaa/24756#:~:text=The%20design%2Dbased%20estimates%20of,to%204%2C712)%20individuals%2C%20respectively.</t>
  </si>
  <si>
    <t>Line-transect, model-based</t>
  </si>
  <si>
    <t>NOAA 2021</t>
  </si>
  <si>
    <t>False killer whale SAR 2021</t>
  </si>
  <si>
    <t>Y (actual), SAR Table 2</t>
  </si>
  <si>
    <t>CWR, 2024</t>
  </si>
  <si>
    <t>Y (actual), refer to the line graph</t>
  </si>
  <si>
    <t>https://www.mmc.gov/priority-topics/species-of-concern/southern-resident-killer-whale/population/</t>
  </si>
  <si>
    <t>Bradford et al., 2021</t>
  </si>
  <si>
    <t>Line­transect abundance estimates of cetaceans in U.S. waters around the Hawaiian Islands in 2002, 2010, and 2017</t>
  </si>
  <si>
    <t>Y (actual), Table 4</t>
  </si>
  <si>
    <t>https://repository.library.noaa.gov/view/noaa/29004</t>
  </si>
  <si>
    <t>Becker et al., 2021</t>
  </si>
  <si>
    <t>Habitat­ based density models for cetaceans within the U.S Exclusive Economic Zone waters around the Hawaiian Archipelago.</t>
  </si>
  <si>
    <t>https://repository.library.noaa.gov/view/noaa/29276</t>
  </si>
  <si>
    <t>Forney et al., 2020</t>
  </si>
  <si>
    <t>A multi-decadal Bayesian trend analysis of harbor porpoise (Phocoena phocoena) populations off California relative to past fishery bycatch</t>
  </si>
  <si>
    <t>N (digitized), no actual table found</t>
  </si>
  <si>
    <t>https://repository.library.noaa.gov/view/noaa/32061</t>
  </si>
  <si>
    <t>Dall's porpoise</t>
  </si>
  <si>
    <t>Boyd et al., 2018</t>
  </si>
  <si>
    <t>stimation of population size and trends for highly mobile species with dynamic spatial distributions</t>
  </si>
  <si>
    <t>https://onlinelibrary.wiley.com/doi/10.1111/ddi.12663</t>
  </si>
  <si>
    <t>Lowry et al., 2014</t>
  </si>
  <si>
    <t>Abundance, Distribution, and Population Growth of the Northern Elephant Seal (Mirounga angustirostris) in the United States from 1991 to 2010.</t>
  </si>
  <si>
    <t>Y (actual), table 2</t>
  </si>
  <si>
    <t>Lowry et al., 2015</t>
  </si>
  <si>
    <t>U.S. total (California total)</t>
  </si>
  <si>
    <t>NESEAL-TOTAL</t>
  </si>
  <si>
    <t>Lowry et al., 2016</t>
  </si>
  <si>
    <t>Pup survey</t>
  </si>
  <si>
    <t>Figure 5/6</t>
  </si>
  <si>
    <t>unclear, part of the actual data come from Table 1 in SAR</t>
  </si>
  <si>
    <t>Mixed, actual data from Table 1</t>
  </si>
  <si>
    <t>St.Paul</t>
  </si>
  <si>
    <t>Northern fur seal - not separate stock</t>
  </si>
  <si>
    <t>Mixed, actual data from Table 2</t>
  </si>
  <si>
    <t>St.George</t>
  </si>
  <si>
    <t>Mixed, actual data from Table 3</t>
  </si>
  <si>
    <t>Boglosof</t>
  </si>
  <si>
    <t>Mixed, actual data from Table 4</t>
  </si>
  <si>
    <t>U.S. West coast</t>
  </si>
  <si>
    <t>California sea lion (Male, Female, and pups)</t>
  </si>
  <si>
    <t>Pup counts, population model</t>
  </si>
  <si>
    <t>Laake et al., 2018</t>
  </si>
  <si>
    <t>Population growth and status of California sea lions</t>
  </si>
  <si>
    <t>Y (actual), table 1</t>
  </si>
  <si>
    <t>https://repository.library.noaa.gov/view/noaa/62458</t>
  </si>
  <si>
    <t xml:space="preserve">Eastern U.S. </t>
  </si>
  <si>
    <t>Steller sea lion - Total (pup and non pup)</t>
  </si>
  <si>
    <t>N (digitized), "unpublished data"</t>
  </si>
  <si>
    <t>Steller sea lion - Southeast Alaska (pup and non pup) - not separate stock</t>
  </si>
  <si>
    <t>Steller sea lion - California (pup and non pup) - not separate stock</t>
  </si>
  <si>
    <t>Steller sea lion - Oregon (pup and non pup) - not separate stock</t>
  </si>
  <si>
    <t>Steller sea lion - Washington (pup and non pup) - not separate stock</t>
  </si>
  <si>
    <t>Sweeney et al., 2023</t>
  </si>
  <si>
    <t>Results of the Steller Sea Lion (Eumetopias jubatus) Surveys in Alaska, June–July 2023</t>
  </si>
  <si>
    <t>Y (actual), Table 2, realized counts</t>
  </si>
  <si>
    <t>https://www.fisheries.noaa.gov/s3//2023-12/2023-SSLsurveyreport-PR2023-08.pdf</t>
  </si>
  <si>
    <t>Stellar sea lion - Eastern Aleutian Islands (pup and non pup) - not separate stock</t>
  </si>
  <si>
    <t>Sweeney et al., 2024</t>
  </si>
  <si>
    <t>Results of the Steller Sea Lion (Eumetopias jubatus) Surveys in Alaska, June–July 2024</t>
  </si>
  <si>
    <t>Stellar sea lion - Western Aleutian Islands (pup and non pup) - not separate stock</t>
  </si>
  <si>
    <t>Sweeney et al., 2025</t>
  </si>
  <si>
    <t>Results of the Steller Sea Lion (Eumetopias jubatus) Surveys in Alaska, June–July 2025</t>
  </si>
  <si>
    <t>Stellar sea lion - Central Aleutian Islands (pup and non pup) - not separate stock</t>
  </si>
  <si>
    <t>Sweeney et al., 2026</t>
  </si>
  <si>
    <t>Results of the Steller Sea Lion (Eumetopias jubatus) Surveys in Alaska, June–July 2026</t>
  </si>
  <si>
    <t>Stellar sea lion - Eastern Gulf of Alaska (pup and non pup) - not separate stock</t>
  </si>
  <si>
    <t>Stellar sea lion - Western Gulf of Alaska (pup and non pup) - not separate stock</t>
  </si>
  <si>
    <t>Stellar sea lion - Central Gulf of Alaska (pup and non pup) - not separate stock</t>
  </si>
  <si>
    <t>Beach count</t>
  </si>
  <si>
    <t>Figure 1 (range-wide)</t>
  </si>
  <si>
    <t>unclear source of citation</t>
  </si>
  <si>
    <t>Brown et al., 2005</t>
  </si>
  <si>
    <t>Trends in abundance and current status of harbor seals in Oregon:1977-2003</t>
  </si>
  <si>
    <t>Y (actual), Table 1</t>
  </si>
  <si>
    <t>https://www.researchgate.net/publication/229660031_Trends_in_abundance_and_current_status_of_harbor_seals_in_Oregon_1977-2003/link/5c82963a299bf1268d485024/download?_tp=eyJjb250ZXh0Ijp7ImZpcnN0UGFnZSI6InB1YmxpY2F0aW9uIiwicGFnZSI6InB1YmxpY2F0aW9uIn19</t>
  </si>
  <si>
    <t>Washignton (Coastal)</t>
  </si>
  <si>
    <t>Jeffries et al., 2003</t>
  </si>
  <si>
    <t>Trends and status of harbor seals in Washington state: 1978-1999</t>
  </si>
  <si>
    <t>https://wdfw.wa.gov/sites/default/files/publications/00431/wdfw00431.pdf</t>
  </si>
  <si>
    <t>Lowry et al., 2005 &amp; unpublished data</t>
  </si>
  <si>
    <t>Pacific Harbor seal census in California during May-July 2002 and 2004</t>
  </si>
  <si>
    <t>https://swfsc-publications.fisheries.noaa.gov/publications/CR/2008/08Low.pdf</t>
  </si>
  <si>
    <t>Pacific Harbor seal census in California during May-July 2002 and 2005</t>
  </si>
  <si>
    <t>Pacific Harbor seal census in California during May-July 2002 and 2006</t>
  </si>
  <si>
    <t>Washington Inland</t>
  </si>
  <si>
    <t>Hartfield et al., 2019</t>
  </si>
  <si>
    <t>California sea otter census results, Spring 2019</t>
  </si>
  <si>
    <t>Y (actual), Table 1, Total (raw count)</t>
  </si>
  <si>
    <t>https://pubs.usgs.gov/ds/1118/ds1118.pdf</t>
  </si>
  <si>
    <t>Jeffries et al., 2016</t>
  </si>
  <si>
    <t>Results of the 2016 Survey of the Reintroduced Sea Otter Population in Washington State</t>
  </si>
  <si>
    <t>N (digitized), no table found</t>
  </si>
  <si>
    <t>https://www.fws.gov/sites/default/files/documents/SeaOtter_WASURV2016.pdf</t>
  </si>
  <si>
    <t>12%-default (17% 1958-1987, 3.1% 1988-2013 Lowry et al.,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</si>
</sst>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
    <numFmt numFmtId="166" formatCode="#,##0.0000"/>
    <numFmt numFmtId="167" formatCode="yyyy\-mm"/>
  </numFmts>
  <fonts count="40">
    <font>
      <sz val="10"/>
      <color rgb="FF000000"/>
      <name val="Arial"/>
      <scheme val="minor"/>
    </font>
    <font>
      <b/>
      <sz val="10"/>
      <color theme="1"/>
      <name val="Arial"/>
      <family val="2"/>
      <scheme val="minor"/>
    </font>
    <font>
      <sz val="10"/>
      <color theme="1"/>
      <name val="Arial"/>
      <family val="2"/>
      <scheme val="minor"/>
    </font>
    <font>
      <b/>
      <i/>
      <sz val="10"/>
      <color theme="1"/>
      <name val="Arial"/>
      <family val="2"/>
      <scheme val="minor"/>
    </font>
    <font>
      <b/>
      <sz val="10"/>
      <color rgb="FF222222"/>
      <name val="Arial"/>
      <family val="2"/>
    </font>
    <font>
      <i/>
      <sz val="10"/>
      <color theme="1"/>
      <name val="Arial"/>
      <family val="2"/>
      <scheme val="minor"/>
    </font>
    <font>
      <sz val="10"/>
      <color rgb="FF000000"/>
      <name val="Arial"/>
      <family val="2"/>
      <scheme val="minor"/>
    </font>
    <font>
      <u/>
      <sz val="10"/>
      <color rgb="FF0000FF"/>
      <name val="Arial"/>
      <family val="2"/>
    </font>
    <font>
      <u/>
      <sz val="10"/>
      <color rgb="FF0000FF"/>
      <name val="Arial"/>
      <family val="2"/>
    </font>
    <font>
      <u/>
      <sz val="10"/>
      <color rgb="FF0000FF"/>
      <name val="Arial"/>
      <family val="2"/>
    </font>
    <font>
      <u/>
      <sz val="10"/>
      <color rgb="FF0000FF"/>
      <name val="Arial"/>
      <family val="2"/>
    </font>
    <font>
      <sz val="10"/>
      <color theme="1"/>
      <name val="Arial"/>
      <family val="2"/>
    </font>
    <font>
      <u/>
      <sz val="10"/>
      <color rgb="FF1155CC"/>
      <name val="Arial"/>
      <family val="2"/>
    </font>
    <font>
      <sz val="10"/>
      <color rgb="FF000000"/>
      <name val="Arial"/>
      <family val="2"/>
    </font>
    <font>
      <i/>
      <sz val="10"/>
      <color rgb="FF000000"/>
      <name val="Arial"/>
      <family val="2"/>
      <scheme val="minor"/>
    </font>
    <font>
      <sz val="10"/>
      <color theme="1"/>
      <name val="&quot;Helvetica Neue&quot;"/>
    </font>
    <font>
      <u/>
      <sz val="10"/>
      <color rgb="FF000000"/>
      <name val="Arial"/>
      <family val="2"/>
    </font>
    <font>
      <sz val="12"/>
      <color theme="1"/>
      <name val="Calibri"/>
      <family val="2"/>
    </font>
    <font>
      <u/>
      <sz val="10"/>
      <color rgb="FF1155CC"/>
      <name val="Arial"/>
      <family val="2"/>
    </font>
    <font>
      <sz val="10"/>
      <color theme="1"/>
      <name val="Helvetica Neue"/>
      <family val="2"/>
    </font>
    <font>
      <sz val="12"/>
      <color rgb="FF000000"/>
      <name val="Calibri"/>
      <family val="2"/>
    </font>
    <font>
      <u/>
      <sz val="10"/>
      <color rgb="FF0000FF"/>
      <name val="Arial"/>
      <family val="2"/>
    </font>
    <font>
      <u/>
      <sz val="10"/>
      <color rgb="FF1155CC"/>
      <name val="Arial"/>
      <family val="2"/>
    </font>
    <font>
      <u/>
      <sz val="10"/>
      <color rgb="FF0000FF"/>
      <name val="Arial"/>
      <family val="2"/>
    </font>
    <font>
      <sz val="10"/>
      <color theme="1"/>
      <name val="Arial"/>
      <family val="2"/>
      <scheme val="minor"/>
    </font>
    <font>
      <u/>
      <sz val="10"/>
      <color rgb="FF1155CC"/>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10"/>
      <color theme="1"/>
      <name val="Arial"/>
      <family val="2"/>
    </font>
    <font>
      <u/>
      <sz val="10"/>
      <color rgb="FF1155CC"/>
      <name val="Arial"/>
      <family val="2"/>
    </font>
    <font>
      <u/>
      <sz val="10"/>
      <color rgb="FF1155CC"/>
      <name val="Arial"/>
      <family val="2"/>
    </font>
    <font>
      <u/>
      <sz val="10"/>
      <color rgb="FF0000FF"/>
      <name val="Arial"/>
      <family val="2"/>
    </font>
    <font>
      <sz val="10"/>
      <color rgb="FF1C1D1E"/>
      <name val="Arial"/>
      <family val="2"/>
      <scheme val="minor"/>
    </font>
    <font>
      <u/>
      <sz val="10"/>
      <color rgb="FF0000FF"/>
      <name val="Arial"/>
      <family val="2"/>
    </font>
    <font>
      <b/>
      <sz val="10"/>
      <color theme="1"/>
      <name val="Arial"/>
      <family val="2"/>
    </font>
    <font>
      <i/>
      <sz val="10"/>
      <color theme="1"/>
      <name val="Arial"/>
      <family val="2"/>
    </font>
    <font>
      <sz val="10"/>
      <color theme="1"/>
      <name val="serif"/>
    </font>
  </fonts>
  <fills count="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FE599"/>
        <bgColor rgb="FFFFE599"/>
      </patternFill>
    </fill>
    <fill>
      <patternFill patternType="solid">
        <fgColor rgb="FFF4CCCC"/>
        <bgColor rgb="FFF4CCCC"/>
      </patternFill>
    </fill>
    <fill>
      <patternFill patternType="solid">
        <fgColor rgb="FFD9EAD3"/>
        <bgColor rgb="FFD9EAD3"/>
      </patternFill>
    </fill>
    <fill>
      <patternFill patternType="solid">
        <fgColor rgb="FFC9DAF8"/>
        <bgColor rgb="FFC9DAF8"/>
      </patternFill>
    </fill>
    <fill>
      <patternFill patternType="solid">
        <fgColor rgb="FFFFFF00"/>
        <bgColor indexed="64"/>
      </patternFill>
    </fill>
  </fills>
  <borders count="1">
    <border>
      <left/>
      <right/>
      <top/>
      <bottom/>
      <diagonal/>
    </border>
  </borders>
  <cellStyleXfs count="1">
    <xf numFmtId="0" fontId="0" fillId="0" borderId="0"/>
  </cellStyleXfs>
  <cellXfs count="114">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vertical="center"/>
    </xf>
    <xf numFmtId="0" fontId="2" fillId="0" borderId="0" xfId="0" applyFont="1" applyAlignment="1">
      <alignment wrapText="1"/>
    </xf>
    <xf numFmtId="0" fontId="2" fillId="0" borderId="0" xfId="0" applyFont="1" applyAlignment="1">
      <alignment horizontal="left"/>
    </xf>
    <xf numFmtId="0" fontId="1" fillId="2" borderId="0" xfId="0" applyFont="1" applyFill="1"/>
    <xf numFmtId="0" fontId="3" fillId="2" borderId="0" xfId="0" applyFont="1" applyFill="1"/>
    <xf numFmtId="0" fontId="4" fillId="2" borderId="0" xfId="0" applyFont="1" applyFill="1"/>
    <xf numFmtId="0" fontId="2" fillId="2" borderId="0" xfId="0" applyFont="1" applyFill="1"/>
    <xf numFmtId="0" fontId="5" fillId="2" borderId="0" xfId="0" applyFont="1" applyFill="1"/>
    <xf numFmtId="3" fontId="6" fillId="2" borderId="0" xfId="0" applyNumberFormat="1" applyFont="1" applyFill="1"/>
    <xf numFmtId="0" fontId="7" fillId="2" borderId="0" xfId="0" applyFont="1" applyFill="1"/>
    <xf numFmtId="0" fontId="2" fillId="0" borderId="0" xfId="0" applyFont="1"/>
    <xf numFmtId="0" fontId="5" fillId="0" borderId="0" xfId="0" applyFont="1"/>
    <xf numFmtId="9" fontId="2" fillId="0" borderId="0" xfId="0" applyNumberFormat="1" applyFont="1"/>
    <xf numFmtId="0" fontId="8" fillId="0" borderId="0" xfId="0" applyFont="1"/>
    <xf numFmtId="164" fontId="2" fillId="0" borderId="0" xfId="0" applyNumberFormat="1" applyFont="1"/>
    <xf numFmtId="165" fontId="2" fillId="0" borderId="0" xfId="0" applyNumberFormat="1" applyFont="1"/>
    <xf numFmtId="0" fontId="9" fillId="0" borderId="0" xfId="0" applyFont="1"/>
    <xf numFmtId="10" fontId="2" fillId="0" borderId="0" xfId="0" applyNumberFormat="1" applyFont="1"/>
    <xf numFmtId="3" fontId="2" fillId="0" borderId="0" xfId="0" applyNumberFormat="1" applyFont="1"/>
    <xf numFmtId="0" fontId="2" fillId="3" borderId="0" xfId="0" applyFont="1" applyFill="1"/>
    <xf numFmtId="10" fontId="2" fillId="3" borderId="0" xfId="0" applyNumberFormat="1" applyFont="1" applyFill="1"/>
    <xf numFmtId="0" fontId="10" fillId="3" borderId="0" xfId="0" applyFont="1" applyFill="1"/>
    <xf numFmtId="0" fontId="11" fillId="0" borderId="0" xfId="0" applyFont="1"/>
    <xf numFmtId="9" fontId="11" fillId="0" borderId="0" xfId="0" applyNumberFormat="1" applyFont="1"/>
    <xf numFmtId="0" fontId="12" fillId="0" borderId="0" xfId="0" applyFont="1"/>
    <xf numFmtId="0" fontId="13" fillId="3" borderId="0" xfId="0" applyFont="1" applyFill="1" applyAlignment="1">
      <alignment horizontal="left"/>
    </xf>
    <xf numFmtId="0" fontId="14" fillId="0" borderId="0" xfId="0" applyFont="1"/>
    <xf numFmtId="1" fontId="1" fillId="2" borderId="0" xfId="0" applyNumberFormat="1" applyFont="1" applyFill="1"/>
    <xf numFmtId="0" fontId="15" fillId="0" borderId="0" xfId="0" applyFont="1" applyAlignment="1">
      <alignment horizontal="right"/>
    </xf>
    <xf numFmtId="1" fontId="15" fillId="0" borderId="0" xfId="0" applyNumberFormat="1" applyFont="1" applyAlignment="1">
      <alignment horizontal="right"/>
    </xf>
    <xf numFmtId="1" fontId="15" fillId="3" borderId="0" xfId="0" applyNumberFormat="1" applyFont="1" applyFill="1" applyAlignment="1">
      <alignment horizontal="right"/>
    </xf>
    <xf numFmtId="0" fontId="16" fillId="0" borderId="0" xfId="0" applyFont="1" applyAlignment="1">
      <alignment horizontal="left"/>
    </xf>
    <xf numFmtId="1" fontId="2" fillId="0" borderId="0" xfId="0" applyNumberFormat="1" applyFont="1"/>
    <xf numFmtId="0" fontId="2" fillId="0" borderId="0" xfId="0" applyFont="1" applyAlignment="1">
      <alignment horizontal="right"/>
    </xf>
    <xf numFmtId="0" fontId="11" fillId="3" borderId="0" xfId="0" applyFont="1" applyFill="1"/>
    <xf numFmtId="1" fontId="17" fillId="3" borderId="0" xfId="0" applyNumberFormat="1" applyFont="1" applyFill="1" applyAlignment="1">
      <alignment horizontal="right"/>
    </xf>
    <xf numFmtId="0" fontId="18" fillId="3" borderId="0" xfId="0" applyFont="1" applyFill="1"/>
    <xf numFmtId="0" fontId="13" fillId="3" borderId="0" xfId="0" applyFont="1" applyFill="1"/>
    <xf numFmtId="1" fontId="17" fillId="0" borderId="0" xfId="0" applyNumberFormat="1" applyFont="1" applyAlignment="1">
      <alignment horizontal="right"/>
    </xf>
    <xf numFmtId="1" fontId="19" fillId="0" borderId="0" xfId="0" applyNumberFormat="1" applyFont="1" applyAlignment="1">
      <alignment horizontal="right"/>
    </xf>
    <xf numFmtId="0" fontId="11" fillId="0" borderId="0" xfId="0" applyFont="1" applyAlignment="1">
      <alignment horizontal="right"/>
    </xf>
    <xf numFmtId="1" fontId="11" fillId="0" borderId="0" xfId="0" applyNumberFormat="1" applyFont="1" applyAlignment="1">
      <alignment horizontal="right"/>
    </xf>
    <xf numFmtId="1" fontId="19" fillId="3" borderId="0" xfId="0" applyNumberFormat="1" applyFont="1" applyFill="1" applyAlignment="1">
      <alignment horizontal="right"/>
    </xf>
    <xf numFmtId="1" fontId="20" fillId="0" borderId="0" xfId="0" applyNumberFormat="1" applyFont="1" applyAlignment="1">
      <alignment horizontal="right"/>
    </xf>
    <xf numFmtId="3" fontId="20" fillId="0" borderId="0" xfId="0" applyNumberFormat="1" applyFont="1" applyAlignment="1">
      <alignment horizontal="right"/>
    </xf>
    <xf numFmtId="1" fontId="11" fillId="0" borderId="0" xfId="0" applyNumberFormat="1" applyFont="1"/>
    <xf numFmtId="1" fontId="13" fillId="0" borderId="0" xfId="0" applyNumberFormat="1" applyFont="1"/>
    <xf numFmtId="0" fontId="20" fillId="0" borderId="0" xfId="0" applyFont="1" applyAlignment="1">
      <alignment horizontal="right"/>
    </xf>
    <xf numFmtId="0" fontId="21" fillId="0" borderId="0" xfId="0" applyFont="1"/>
    <xf numFmtId="0" fontId="22" fillId="3" borderId="0" xfId="0" applyFont="1" applyFill="1"/>
    <xf numFmtId="0" fontId="23" fillId="0" borderId="0" xfId="0" applyFont="1" applyAlignment="1">
      <alignment horizontal="left"/>
    </xf>
    <xf numFmtId="1" fontId="0" fillId="0" borderId="0" xfId="0" applyNumberFormat="1" applyAlignment="1">
      <alignment horizontal="right"/>
    </xf>
    <xf numFmtId="3" fontId="0" fillId="0" borderId="0" xfId="0" applyNumberFormat="1" applyAlignment="1">
      <alignment horizontal="right"/>
    </xf>
    <xf numFmtId="1" fontId="2" fillId="0" borderId="0" xfId="0" applyNumberFormat="1" applyFont="1" applyAlignment="1">
      <alignment horizontal="right"/>
    </xf>
    <xf numFmtId="1" fontId="24" fillId="3" borderId="0" xfId="0" applyNumberFormat="1" applyFont="1" applyFill="1" applyAlignment="1">
      <alignment horizontal="right"/>
    </xf>
    <xf numFmtId="0" fontId="13" fillId="0" borderId="0" xfId="0" applyFont="1" applyAlignment="1">
      <alignment horizontal="left"/>
    </xf>
    <xf numFmtId="166" fontId="1" fillId="2" borderId="0" xfId="0" applyNumberFormat="1" applyFont="1" applyFill="1"/>
    <xf numFmtId="166" fontId="15" fillId="0" borderId="0" xfId="0" applyNumberFormat="1" applyFont="1" applyAlignment="1">
      <alignment horizontal="right"/>
    </xf>
    <xf numFmtId="166" fontId="2" fillId="0" borderId="0" xfId="0" applyNumberFormat="1" applyFont="1"/>
    <xf numFmtId="166" fontId="15" fillId="3" borderId="0" xfId="0" applyNumberFormat="1" applyFont="1" applyFill="1" applyAlignment="1">
      <alignment horizontal="right"/>
    </xf>
    <xf numFmtId="3" fontId="2" fillId="0" borderId="0" xfId="0" applyNumberFormat="1" applyFont="1" applyAlignment="1">
      <alignment horizontal="right"/>
    </xf>
    <xf numFmtId="166" fontId="2" fillId="0" borderId="0" xfId="0" applyNumberFormat="1" applyFont="1" applyAlignment="1">
      <alignment horizontal="right"/>
    </xf>
    <xf numFmtId="166" fontId="19" fillId="0" borderId="0" xfId="0" applyNumberFormat="1" applyFont="1" applyAlignment="1">
      <alignment horizontal="right"/>
    </xf>
    <xf numFmtId="166" fontId="11" fillId="0" borderId="0" xfId="0" applyNumberFormat="1" applyFont="1" applyAlignment="1">
      <alignment horizontal="right"/>
    </xf>
    <xf numFmtId="166" fontId="20" fillId="0" borderId="0" xfId="0" applyNumberFormat="1" applyFont="1" applyAlignment="1">
      <alignment horizontal="right"/>
    </xf>
    <xf numFmtId="166" fontId="11" fillId="0" borderId="0" xfId="0" applyNumberFormat="1" applyFont="1"/>
    <xf numFmtId="166" fontId="0" fillId="0" borderId="0" xfId="0" applyNumberFormat="1" applyAlignment="1">
      <alignment horizontal="right"/>
    </xf>
    <xf numFmtId="0" fontId="0" fillId="0" borderId="0" xfId="0" applyAlignment="1">
      <alignment horizontal="right"/>
    </xf>
    <xf numFmtId="0" fontId="24" fillId="0" borderId="0" xfId="0" applyFont="1"/>
    <xf numFmtId="0" fontId="1" fillId="2" borderId="0" xfId="0" applyFont="1" applyFill="1" applyAlignment="1">
      <alignment wrapText="1"/>
    </xf>
    <xf numFmtId="0" fontId="2" fillId="2" borderId="0" xfId="0" applyFont="1" applyFill="1" applyAlignment="1">
      <alignment wrapText="1"/>
    </xf>
    <xf numFmtId="0" fontId="2" fillId="4" borderId="0" xfId="0" applyFont="1" applyFill="1"/>
    <xf numFmtId="0" fontId="11" fillId="2" borderId="0" xfId="0" applyFont="1" applyFill="1"/>
    <xf numFmtId="0" fontId="11" fillId="2" borderId="0" xfId="0" applyFont="1" applyFill="1" applyAlignment="1">
      <alignment horizontal="right"/>
    </xf>
    <xf numFmtId="1" fontId="11" fillId="2" borderId="0" xfId="0" applyNumberFormat="1" applyFont="1" applyFill="1" applyAlignment="1">
      <alignment horizontal="right"/>
    </xf>
    <xf numFmtId="1" fontId="11" fillId="2" borderId="0" xfId="0" applyNumberFormat="1" applyFont="1" applyFill="1"/>
    <xf numFmtId="1" fontId="19" fillId="2" borderId="0" xfId="0" applyNumberFormat="1" applyFont="1" applyFill="1" applyAlignment="1">
      <alignment horizontal="right"/>
    </xf>
    <xf numFmtId="0" fontId="25" fillId="2" borderId="0" xfId="0" applyFont="1" applyFill="1"/>
    <xf numFmtId="167" fontId="2" fillId="0" borderId="0" xfId="0" applyNumberFormat="1" applyFont="1"/>
    <xf numFmtId="0" fontId="26" fillId="0" borderId="0" xfId="0" applyFont="1"/>
    <xf numFmtId="0" fontId="11" fillId="0" borderId="0" xfId="0" applyFont="1" applyAlignment="1">
      <alignment wrapText="1"/>
    </xf>
    <xf numFmtId="0" fontId="2" fillId="6" borderId="0" xfId="0" applyFont="1" applyFill="1"/>
    <xf numFmtId="0" fontId="27" fillId="6" borderId="0" xfId="0" applyFont="1" applyFill="1"/>
    <xf numFmtId="0" fontId="28" fillId="6" borderId="0" xfId="0" applyFont="1" applyFill="1"/>
    <xf numFmtId="3" fontId="2" fillId="6" borderId="0" xfId="0" applyNumberFormat="1" applyFont="1" applyFill="1"/>
    <xf numFmtId="3" fontId="29" fillId="6" borderId="0" xfId="0" applyNumberFormat="1" applyFont="1" applyFill="1"/>
    <xf numFmtId="0" fontId="24" fillId="6" borderId="0" xfId="0" applyFont="1" applyFill="1"/>
    <xf numFmtId="0" fontId="13" fillId="6" borderId="0" xfId="0" applyFont="1" applyFill="1" applyAlignment="1">
      <alignment horizontal="left"/>
    </xf>
    <xf numFmtId="0" fontId="0" fillId="6" borderId="0" xfId="0" applyFill="1" applyAlignment="1">
      <alignment horizontal="left"/>
    </xf>
    <xf numFmtId="0" fontId="11" fillId="6" borderId="0" xfId="0" applyFont="1" applyFill="1"/>
    <xf numFmtId="0" fontId="2" fillId="5" borderId="0" xfId="0" applyFont="1" applyFill="1"/>
    <xf numFmtId="0" fontId="0" fillId="5" borderId="0" xfId="0" applyFill="1" applyAlignment="1">
      <alignment horizontal="left"/>
    </xf>
    <xf numFmtId="0" fontId="30" fillId="5" borderId="0" xfId="0" applyFont="1" applyFill="1"/>
    <xf numFmtId="0" fontId="31" fillId="6" borderId="0" xfId="0" applyFont="1" applyFill="1"/>
    <xf numFmtId="0" fontId="11" fillId="5" borderId="0" xfId="0" applyFont="1" applyFill="1"/>
    <xf numFmtId="0" fontId="32" fillId="5" borderId="0" xfId="0" applyFont="1" applyFill="1"/>
    <xf numFmtId="0" fontId="33" fillId="6" borderId="0" xfId="0" applyFont="1" applyFill="1"/>
    <xf numFmtId="0" fontId="34" fillId="6" borderId="0" xfId="0" applyFont="1" applyFill="1"/>
    <xf numFmtId="0" fontId="35" fillId="6" borderId="0" xfId="0" applyFont="1" applyFill="1"/>
    <xf numFmtId="0" fontId="2" fillId="7" borderId="0" xfId="0" applyFont="1" applyFill="1"/>
    <xf numFmtId="0" fontId="36" fillId="7" borderId="0" xfId="0" applyFont="1" applyFill="1"/>
    <xf numFmtId="0" fontId="13" fillId="7" borderId="0" xfId="0" applyFont="1" applyFill="1" applyAlignment="1">
      <alignment horizontal="left"/>
    </xf>
    <xf numFmtId="0" fontId="11" fillId="7" borderId="0" xfId="0" applyFont="1" applyFill="1"/>
    <xf numFmtId="0" fontId="2" fillId="8" borderId="0" xfId="0" applyFont="1" applyFill="1" applyAlignment="1">
      <alignment vertical="center"/>
    </xf>
    <xf numFmtId="0" fontId="1" fillId="5" borderId="0" xfId="0" applyFont="1" applyFill="1"/>
    <xf numFmtId="0" fontId="0" fillId="0" borderId="0" xfId="0"/>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AR-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xdr:col>
      <xdr:colOff>190500</xdr:colOff>
      <xdr:row>1336</xdr:row>
      <xdr:rowOff>127000</xdr:rowOff>
    </xdr:from>
    <xdr:to>
      <xdr:col>5</xdr:col>
      <xdr:colOff>190500</xdr:colOff>
      <xdr:row>1342</xdr:row>
      <xdr:rowOff>50800</xdr:rowOff>
    </xdr:to>
    <xdr:sp macro="" textlink="">
      <xdr:nvSpPr>
        <xdr:cNvPr id="2050" name="Text Box 2" hidden="1">
          <a:extLst>
            <a:ext uri="{FF2B5EF4-FFF2-40B4-BE49-F238E27FC236}">
              <a16:creationId xmlns:a16="http://schemas.microsoft.com/office/drawing/2014/main" id="{46382E5A-09ED-83E7-EB01-5A620912D57C}"/>
            </a:ext>
          </a:extLst>
        </xdr:cNvPr>
        <xdr:cNvSpPr txBox="1">
          <a:spLocks noChangeArrowheads="1"/>
        </xdr:cNvSpPr>
      </xdr:nvSpPr>
      <xdr:spPr bwMode="auto">
        <a:xfrm>
          <a:off x="1320800" y="225691700"/>
          <a:ext cx="55372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Yutian Fang" id="{373EA527-3A63-4C45-8B8F-4005BBC49DD4}" userId="" providerId="google-sheets"/>
  <person displayName="Deleted user" id="{13518B6A-01BC-4D14-AB3B-6FB1F1A8648A}"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87">
  <autoFilter ref="A1:S87" xr:uid="{00000000-000C-0000-FFFF-FFFF00000000}">
    <filterColumn colId="6">
      <filters>
        <filter val="12% default (17% 1958-1987, 3.1% 1988-2013 Lowry et al., 2014)"/>
        <filter val="12%-default"/>
        <filter val="12%-default (12.6% Jeffries et al., 2003)"/>
        <filter val="12%-default (18.5% Jeffries et al., 2003)"/>
        <filter val="12%-default (20% derived from linear regression)"/>
        <filter val="12%-default (6.4%-10.1% Brown et al., 2005)"/>
        <filter val="12%-default (7% Laake et al., 2018)"/>
      </filters>
    </filterColumn>
  </autoFilter>
  <tableColumns count="19">
    <tableColumn id="1" xr3:uid="{00000000-0010-0000-0000-000001000000}" name="Region"/>
    <tableColumn id="2" xr3:uid="{00000000-0010-0000-0000-000002000000}" name="SAR Revised date"/>
    <tableColumn id="3" xr3:uid="{00000000-0010-0000-0000-000003000000}" name="Stock"/>
    <tableColumn id="4" xr3:uid="{00000000-0010-0000-0000-000004000000}" name="Year"/>
    <tableColumn id="5" xr3:uid="{00000000-0010-0000-0000-000005000000}" name="Nmin numbers"/>
    <tableColumn id="6" xr3:uid="{00000000-0010-0000-0000-000006000000}" name="Nmin method"/>
    <tableColumn id="7" xr3:uid="{00000000-0010-0000-0000-000007000000}" name="R(max)"/>
    <tableColumn id="8" xr3:uid="{00000000-0010-0000-0000-000008000000}" name="Recovery Factor (RF)"/>
    <tableColumn id="9" xr3:uid="{00000000-0010-0000-0000-000009000000}" name="PBR"/>
    <tableColumn id="10" xr3:uid="{00000000-0010-0000-0000-00000A000000}" name="Trend"/>
    <tableColumn id="11" xr3:uid="{00000000-0010-0000-0000-00000B000000}" name="Strategic?"/>
    <tableColumn id="12" xr3:uid="{00000000-0010-0000-0000-00000C000000}" name="MNPL"/>
    <tableColumn id="13" xr3:uid="{00000000-0010-0000-0000-00000D000000}" name="Within OSP?"/>
    <tableColumn id="14" xr3:uid="{00000000-0010-0000-0000-00000E000000}" name="Year range (SM/I)"/>
    <tableColumn id="15" xr3:uid="{00000000-0010-0000-0000-00000F000000}" name="# of sources (SM/I)"/>
    <tableColumn id="16" xr3:uid="{00000000-0010-0000-0000-000010000000}" name="# of SM/I"/>
    <tableColumn id="17" xr3:uid="{00000000-0010-0000-0000-000011000000}" name="MMPA Stock status"/>
    <tableColumn id="18" xr3:uid="{00000000-0010-0000-0000-000012000000}" name="ESA stock status"/>
    <tableColumn id="19" xr3:uid="{00000000-0010-0000-0000-000013000000}" name="Note"/>
  </tableColumns>
  <tableStyleInfo name="SA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6-02-17T19:31:44.00" personId="{373EA527-3A63-4C45-8B8F-4005BBC49DD4}" id="{B20D5C72-1C6A-461A-8297-A89EDD71FE51}" done="1">
    <text>This year is the year of Nmin?</text>
  </threadedComment>
  <threadedComment ref="O38" dT="2026-02-22T19:27:17.00" personId="{373EA527-3A63-4C45-8B8F-4005BBC49DD4}" id="{92C8DD2D-4104-4FF8-8C31-B68AEB239053}">
    <text>This is complicated</text>
  </threadedComment>
</ThreadedComments>
</file>

<file path=xl/threadedComments/threadedComment2.xml><?xml version="1.0" encoding="utf-8"?>
<ThreadedComments xmlns="http://schemas.microsoft.com/office/spreadsheetml/2018/threadedcomments" xmlns:x="http://schemas.openxmlformats.org/spreadsheetml/2006/main">
  <threadedComment ref="K39" dT="2024-07-21T00:21:35.00" personId="{373EA527-3A63-4C45-8B8F-4005BBC49DD4}" id="{3A513DA6-DB17-448E-8B0F-1601E1DF5615}" done="1">
    <text>N/A?, ranged between 6000 and 9500</text>
  </threadedComment>
  <threadedComment ref="F217" dT="2024-07-23T21:53:15.00" personId="{373EA527-3A63-4C45-8B8F-4005BBC49DD4}" id="{F2CB5F98-C74E-41B2-82FE-0BF635E9D854}" done="1">
    <text>Line-transect?</text>
  </threadedComment>
  <threadedComment ref="F995" dT="2024-07-21T00:00:44.00" personId="{373EA527-3A63-4C45-8B8F-4005BBC49DD4}" id="{1126F78A-7917-453A-8EE2-F9AD0DE80D5D}">
    <text>the author estimates the total pups from the combined survey types</text>
  </threadedComment>
  <threadedComment ref="A1336" dT="2024-07-31T22:16:03.00" personId="{13518B6A-01BC-4D14-AB3B-6FB1F1A8648A}" id="{23B414EC-5BCB-4911-BA59-89F934386745}" done="1">
    <text>data is counted but falls within the predicted range - not sure what to do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6" Type="http://schemas.openxmlformats.org/officeDocument/2006/relationships/hyperlink" Target="https://media.fisheries.noaa.gov/dam-migration/2019_sars_alaska_harbor_seal.pdf" TargetMode="External"/><Relationship Id="rId21" Type="http://schemas.openxmlformats.org/officeDocument/2006/relationships/hyperlink" Target="https://media.fisheries.noaa.gov/2022-08/2021-HARBOR%20PORPOISE-Monterey%20Bay%20Stock.pdf" TargetMode="External"/><Relationship Id="rId42" Type="http://schemas.openxmlformats.org/officeDocument/2006/relationships/hyperlink" Target="https://waves-vagues.dfo-mpo.gc.ca/library-bibliotheque/40878478.pdf" TargetMode="External"/><Relationship Id="rId47" Type="http://schemas.openxmlformats.org/officeDocument/2006/relationships/hyperlink" Target="https://waves-vagues.dfo-mpo.gc.ca/library-bibliotheque/4080382x.pdf" TargetMode="External"/><Relationship Id="rId63" Type="http://schemas.openxmlformats.org/officeDocument/2006/relationships/hyperlink" Target="https://nora.nerc.ac.uk/id/eprint/500569/1/m453p249.pdf" TargetMode="External"/><Relationship Id="rId68" Type="http://schemas.openxmlformats.org/officeDocument/2006/relationships/hyperlink" Target="https://www.publish.csiro.au/wr/pdf/WR14033" TargetMode="External"/><Relationship Id="rId84" Type="http://schemas.openxmlformats.org/officeDocument/2006/relationships/hyperlink" Target="https://repository.library.noaa.gov/view/noaa/27826" TargetMode="External"/><Relationship Id="rId16" Type="http://schemas.openxmlformats.org/officeDocument/2006/relationships/hyperlink" Target="https://www.fisheries.noaa.gov/s3/2022-08/2021-NORTHERN-FUR-SEAL-Callorhinus-ursinus-Eastern-Pacific-Stock.pdf" TargetMode="External"/><Relationship Id="rId11" Type="http://schemas.openxmlformats.org/officeDocument/2006/relationships/hyperlink" Target="https://www.fisheries.noaa.gov/s3/2023-08/Cuviers-CAORWA-2022.pdf" TargetMode="External"/><Relationship Id="rId32" Type="http://schemas.openxmlformats.org/officeDocument/2006/relationships/hyperlink" Target="https://media.fisheries.noaa.gov/dam-migration/2019_sars_alaska_harbor_seal.pdf" TargetMode="External"/><Relationship Id="rId37" Type="http://schemas.openxmlformats.org/officeDocument/2006/relationships/hyperlink" Target="https://media.fisheries.noaa.gov/2022-08/Harb%20Seal-W%20North%20Atl%20Stock_SAR%202021.pdf" TargetMode="External"/><Relationship Id="rId53" Type="http://schemas.openxmlformats.org/officeDocument/2006/relationships/hyperlink" Target="https://wildlife-species.az.ec.gc.ca/species-risk-registry/virtual_sara/files/cosewic/srGreyWhale2017e.pdf" TargetMode="External"/><Relationship Id="rId58" Type="http://schemas.openxmlformats.org/officeDocument/2006/relationships/hyperlink" Target="https://wildlife-species.az.ec.gc.ca/species-risk-registry/virtual_sara/files/cosewic/sr_harbour_porpoise_e2.pdf" TargetMode="External"/><Relationship Id="rId74" Type="http://schemas.openxmlformats.org/officeDocument/2006/relationships/hyperlink" Target="https://repository.library.noaa.gov/view/noaa/27826" TargetMode="External"/><Relationship Id="rId79" Type="http://schemas.openxmlformats.org/officeDocument/2006/relationships/hyperlink" Target="https://repository.library.noaa.gov/view/noaa/27826" TargetMode="External"/><Relationship Id="rId5" Type="http://schemas.openxmlformats.org/officeDocument/2006/relationships/hyperlink" Target="https://media.fisheries.noaa.gov/2021-08/FIN-WHALE-Balaenoptera-physalus-Northeast-Pacific-Stock.pdf" TargetMode="External"/><Relationship Id="rId19" Type="http://schemas.openxmlformats.org/officeDocument/2006/relationships/hyperlink" Target="https://www.fisheries.noaa.gov/s3/2023-06/STELLERSEALIONEumetopiasjubatusWesternU.S.Stock-.pdf" TargetMode="External"/><Relationship Id="rId14" Type="http://schemas.openxmlformats.org/officeDocument/2006/relationships/hyperlink" Target="https://www.fisheries.noaa.gov/s3/2023-08/Killer-Whale-Eastern-North-Pacific-2022.pdf" TargetMode="External"/><Relationship Id="rId22" Type="http://schemas.openxmlformats.org/officeDocument/2006/relationships/hyperlink" Target="https://media.fisheries.noaa.gov/2022-08/2021-HARBOR%20PORPOISE-San%20Francisco-Russian%20River%20Stock.pdf" TargetMode="External"/><Relationship Id="rId27" Type="http://schemas.openxmlformats.org/officeDocument/2006/relationships/hyperlink" Target="https://media.fisheries.noaa.gov/dam-migration/2019_sars_alaska_harbor_seal.pdf" TargetMode="External"/><Relationship Id="rId30" Type="http://schemas.openxmlformats.org/officeDocument/2006/relationships/hyperlink" Target="https://media.fisheries.noaa.gov/dam-migration/2019_sars_alaska_harbor_seal.pdf" TargetMode="External"/><Relationship Id="rId35" Type="http://schemas.openxmlformats.org/officeDocument/2006/relationships/hyperlink" Target="https://media.fisheries.noaa.gov/dam-migration/2019_sars_alaska_harbor_seal.pdf" TargetMode="External"/><Relationship Id="rId43" Type="http://schemas.openxmlformats.org/officeDocument/2006/relationships/hyperlink" Target="https://wildlife-species.az.ec.gc.ca/species-risk-registry/virtual_sara/files/cosewic/sr%20Sea%20Otter%202022_e.pdf" TargetMode="External"/><Relationship Id="rId48" Type="http://schemas.openxmlformats.org/officeDocument/2006/relationships/hyperlink" Target="https://waves-vagues.dfo-mpo.gc.ca/library-bibliotheque/41194093.pdf" TargetMode="External"/><Relationship Id="rId56" Type="http://schemas.openxmlformats.org/officeDocument/2006/relationships/hyperlink" Target="https://wildlife-species.az.ec.gc.ca/species-risk-registry/virtual_sara/files/cosewic/sr_killer_whale_0809_e.pdf" TargetMode="External"/><Relationship Id="rId64" Type="http://schemas.openxmlformats.org/officeDocument/2006/relationships/hyperlink" Target="https://pir.sa.gov.au/__data/assets/pdf_file/0004/358285/Australian_sea_lion_investigations_2018-19.pdf" TargetMode="External"/><Relationship Id="rId69" Type="http://schemas.openxmlformats.org/officeDocument/2006/relationships/hyperlink" Target="https://www.dcceew.gov.au/sites/default/files/documents/australian-sea-lion-monitoring-framework-background-document-2018.pdf" TargetMode="External"/><Relationship Id="rId77" Type="http://schemas.openxmlformats.org/officeDocument/2006/relationships/hyperlink" Target="https://repository.library.noaa.gov/view/noaa/27826" TargetMode="External"/><Relationship Id="rId8" Type="http://schemas.openxmlformats.org/officeDocument/2006/relationships/hyperlink" Target="https://s3.amazonaws.com/media.fisheries.noaa.gov/2020-10/2019%20humpback%20whale%20gulf%20of%20Maine%20508.pdf?null" TargetMode="External"/><Relationship Id="rId51" Type="http://schemas.openxmlformats.org/officeDocument/2006/relationships/hyperlink" Target="https://waves-vagues.dfo-mpo.gc.ca/library-bibliotheque/40617944.pdf" TargetMode="External"/><Relationship Id="rId72" Type="http://schemas.openxmlformats.org/officeDocument/2006/relationships/hyperlink" Target="https://repository.library.noaa.gov/view/noaa/27104" TargetMode="External"/><Relationship Id="rId80" Type="http://schemas.openxmlformats.org/officeDocument/2006/relationships/hyperlink" Target="https://repository.library.noaa.gov/view/noaa/27826" TargetMode="External"/><Relationship Id="rId85" Type="http://schemas.openxmlformats.org/officeDocument/2006/relationships/hyperlink" Target="https://repository.library.noaa.gov/view/noaa/27826" TargetMode="External"/><Relationship Id="rId3" Type="http://schemas.openxmlformats.org/officeDocument/2006/relationships/hyperlink" Target="https://www.fisheries.noaa.gov/s3/2023-08/Bowhead-Whale-WAS-2022.pdf" TargetMode="External"/><Relationship Id="rId12" Type="http://schemas.openxmlformats.org/officeDocument/2006/relationships/hyperlink" Target="https://www.fisheries.noaa.gov/s3/2023-05/2021BELUGA-WHALE-Delphinapterus-leucas-Cook-Inlet-Stock.pdf" TargetMode="External"/><Relationship Id="rId17" Type="http://schemas.openxmlformats.org/officeDocument/2006/relationships/hyperlink" Target="https://media.fisheries.noaa.gov/dam-migration/ca_sea_lion_final_2018_sar.pdf" TargetMode="External"/><Relationship Id="rId25" Type="http://schemas.openxmlformats.org/officeDocument/2006/relationships/hyperlink" Target="https://www.fisheries.noaa.gov/s3/2023-08/Monk-Seal-2022.pdf" TargetMode="External"/><Relationship Id="rId33" Type="http://schemas.openxmlformats.org/officeDocument/2006/relationships/hyperlink" Target="https://media.fisheries.noaa.gov/dam-migration/2019_sars_alaska_harbor_seal.pdf" TargetMode="External"/><Relationship Id="rId38" Type="http://schemas.openxmlformats.org/officeDocument/2006/relationships/hyperlink" Target="https://media.fisheries.noaa.gov/dam-migration/po2013sehr-owco_508.pdf" TargetMode="External"/><Relationship Id="rId46" Type="http://schemas.openxmlformats.org/officeDocument/2006/relationships/hyperlink" Target="https://waves-vagues.dfo-mpo.gc.ca/library-bibliotheque/41003925.pdf" TargetMode="External"/><Relationship Id="rId59" Type="http://schemas.openxmlformats.org/officeDocument/2006/relationships/hyperlink" Target="https://esj-journals.onlinelibrary.wiley.com/doi/epdf/10.1002/1438-390X.1014" TargetMode="External"/><Relationship Id="rId67" Type="http://schemas.openxmlformats.org/officeDocument/2006/relationships/hyperlink" Target="https://www.publish.csiro.au/wr/pdf/WR14032" TargetMode="External"/><Relationship Id="rId20" Type="http://schemas.openxmlformats.org/officeDocument/2006/relationships/hyperlink" Target="https://media.fisheries.noaa.gov/2022-08/2021-HARBOR%20PORPOISE-Morro%20Bay%20Stock.pdf" TargetMode="External"/><Relationship Id="rId41" Type="http://schemas.openxmlformats.org/officeDocument/2006/relationships/hyperlink" Target="https://publications.gc.ca/collections/collection_2023/mpo-dfo/fs70-6/Fs70-6-2023-030-eng.pdf" TargetMode="External"/><Relationship Id="rId54" Type="http://schemas.openxmlformats.org/officeDocument/2006/relationships/hyperlink" Target="https://wildlife-species.az.ec.gc.ca/species-risk-registry/virtual_sara/files/cosewic/srGreyWhale2017e.pdf" TargetMode="External"/><Relationship Id="rId62" Type="http://schemas.openxmlformats.org/officeDocument/2006/relationships/hyperlink" Target="https://soe.dcceew.gov.au/marine/environment/marine-species" TargetMode="External"/><Relationship Id="rId70" Type="http://schemas.openxmlformats.org/officeDocument/2006/relationships/hyperlink" Target="http://ctfs.si.edu/Public/pdfs/LowryConditEtAl_AqMamm2014.pdf" TargetMode="External"/><Relationship Id="rId75" Type="http://schemas.openxmlformats.org/officeDocument/2006/relationships/hyperlink" Target="https://repository.library.noaa.gov/view/noaa/27826" TargetMode="External"/><Relationship Id="rId83" Type="http://schemas.openxmlformats.org/officeDocument/2006/relationships/hyperlink" Target="https://repository.library.noaa.gov/view/noaa/27826" TargetMode="External"/><Relationship Id="rId1" Type="http://schemas.openxmlformats.org/officeDocument/2006/relationships/hyperlink" Target="https://wildlife.onlinelibrary.wiley.com/doi/10.1002/jwmg.21405" TargetMode="External"/><Relationship Id="rId6" Type="http://schemas.openxmlformats.org/officeDocument/2006/relationships/hyperlink" Target="https://www.fisheries.noaa.gov/s3/2021-08/2020-Pacific-SARS-Eastern-GrayWhale-dragged-.pdf" TargetMode="External"/><Relationship Id="rId15" Type="http://schemas.openxmlformats.org/officeDocument/2006/relationships/hyperlink" Target="https://media.fisheries.noaa.gov/2022-08/2021-NorthernElephant-California%20Breeding%20Stock.pdf" TargetMode="External"/><Relationship Id="rId23" Type="http://schemas.openxmlformats.org/officeDocument/2006/relationships/hyperlink" Target="https://media.fisheries.noaa.gov/2022-08/2021-HARBOR%20PORPOISE%20-Northern%20CaliforniaSouthern%20Oregon%20Stock.pdf" TargetMode="External"/><Relationship Id="rId28" Type="http://schemas.openxmlformats.org/officeDocument/2006/relationships/hyperlink" Target="https://media.fisheries.noaa.gov/dam-migration/2019_sars_alaska_harbor_seal.pdf" TargetMode="External"/><Relationship Id="rId36" Type="http://schemas.openxmlformats.org/officeDocument/2006/relationships/hyperlink" Target="https://media.fisheries.noaa.gov/dam-migration/2019_sars_alaska_harbor_seal.pdf" TargetMode="External"/><Relationship Id="rId49" Type="http://schemas.openxmlformats.org/officeDocument/2006/relationships/hyperlink" Target="https://waves-vagues.dfo-mpo.gc.ca/library-bibliotheque/41111151.pdf" TargetMode="External"/><Relationship Id="rId57" Type="http://schemas.openxmlformats.org/officeDocument/2006/relationships/hyperlink" Target="https://onlinelibrary.wiley.com/doi/10.1111/j.1748-7692.2004.tb01191.x" TargetMode="External"/><Relationship Id="rId10" Type="http://schemas.openxmlformats.org/officeDocument/2006/relationships/hyperlink" Target="https://media.fisheries.noaa.gov/dam-migration/2019_sars_spermwhale_caorwa.pdf" TargetMode="External"/><Relationship Id="rId31" Type="http://schemas.openxmlformats.org/officeDocument/2006/relationships/hyperlink" Target="https://media.fisheries.noaa.gov/dam-migration/2019_sars_alaska_harbor_seal.pdf" TargetMode="External"/><Relationship Id="rId44" Type="http://schemas.openxmlformats.org/officeDocument/2006/relationships/hyperlink" Target="https://waves-vagues.dfo-mpo.gc.ca/library-bibliotheque/41063648.pdf" TargetMode="External"/><Relationship Id="rId52" Type="http://schemas.openxmlformats.org/officeDocument/2006/relationships/hyperlink" Target="https://waves-vagues.dfo-mpo.gc.ca/library-bibliotheque/40617944.pdf" TargetMode="External"/><Relationship Id="rId60" Type="http://schemas.openxmlformats.org/officeDocument/2006/relationships/hyperlink" Target="https://soe.dcceew.gov.au/marine/environment/marine-species" TargetMode="External"/><Relationship Id="rId65" Type="http://schemas.openxmlformats.org/officeDocument/2006/relationships/hyperlink" Target="https://onlinelibrary.wiley.com/doi/10.1111/j.1748-7692.2009.00296.x" TargetMode="External"/><Relationship Id="rId73" Type="http://schemas.openxmlformats.org/officeDocument/2006/relationships/hyperlink" Target="https://repository.library.noaa.gov/view/noaa/27826" TargetMode="External"/><Relationship Id="rId78" Type="http://schemas.openxmlformats.org/officeDocument/2006/relationships/hyperlink" Target="https://repository.library.noaa.gov/view/noaa/27826" TargetMode="External"/><Relationship Id="rId81" Type="http://schemas.openxmlformats.org/officeDocument/2006/relationships/hyperlink" Target="https://repository.library.noaa.gov/view/noaa/27826" TargetMode="External"/><Relationship Id="rId86" Type="http://schemas.openxmlformats.org/officeDocument/2006/relationships/hyperlink" Target="https://journal.iwc.int/index.php/jcrm/article/view/527/253" TargetMode="External"/><Relationship Id="rId4" Type="http://schemas.openxmlformats.org/officeDocument/2006/relationships/hyperlink" Target="https://media.fisheries.noaa.gov/2022-08/2021-PACfinwhale-CaliforniaOregonWashington%20Stock.pdf" TargetMode="External"/><Relationship Id="rId9" Type="http://schemas.openxmlformats.org/officeDocument/2006/relationships/hyperlink" Target="https://www.fisheries.noaa.gov/s3/2023-08/North-Atlantic-Right-Whale-Western-Atlantic-2022.pdf" TargetMode="External"/><Relationship Id="rId13" Type="http://schemas.openxmlformats.org/officeDocument/2006/relationships/hyperlink" Target="https://media.fisheries.noaa.gov/2022-08/2021-FALSE%20KILLER%20WHALE-Hawaiian%20Islands%20Stock%20Complex.pdf" TargetMode="External"/><Relationship Id="rId18" Type="http://schemas.openxmlformats.org/officeDocument/2006/relationships/hyperlink" Target="https://media.fisheries.noaa.gov/dam-migration/2019_sars_alaska_steller_sea_lion_-_eastern_us.pdf" TargetMode="External"/><Relationship Id="rId39" Type="http://schemas.openxmlformats.org/officeDocument/2006/relationships/hyperlink" Target="https://media.fisheries.noaa.gov/dam-migration/po2014sehr-ca_508.pdf" TargetMode="External"/><Relationship Id="rId34" Type="http://schemas.openxmlformats.org/officeDocument/2006/relationships/hyperlink" Target="https://media.fisheries.noaa.gov/dam-migration/2019_sars_alaska_harbor_seal.pdf" TargetMode="External"/><Relationship Id="rId50" Type="http://schemas.openxmlformats.org/officeDocument/2006/relationships/hyperlink" Target="https://wildlife-species.az.ec.gc.ca/species-risk-registry/virtual_sara/files/cosewic/Sas-NorthernFurSeal-v00-2022-eng.pdf" TargetMode="External"/><Relationship Id="rId55" Type="http://schemas.openxmlformats.org/officeDocument/2006/relationships/hyperlink" Target="https://wildlife-species.az.ec.gc.ca/species-risk-registry/virtual_sara/files/cosewic/srGreyWhale2017e.pdf" TargetMode="External"/><Relationship Id="rId76" Type="http://schemas.openxmlformats.org/officeDocument/2006/relationships/hyperlink" Target="https://repository.library.noaa.gov/view/noaa/27104" TargetMode="External"/><Relationship Id="rId7" Type="http://schemas.openxmlformats.org/officeDocument/2006/relationships/hyperlink" Target="https://media.fisheries.noaa.gov/2022-08/2021-HumpbackWhale-CaliforniaOregonWashington%20Stock.pdf" TargetMode="External"/><Relationship Id="rId71" Type="http://schemas.openxmlformats.org/officeDocument/2006/relationships/hyperlink" Target="https://repository.library.noaa.gov/view/noaa/27826" TargetMode="External"/><Relationship Id="rId2" Type="http://schemas.openxmlformats.org/officeDocument/2006/relationships/hyperlink" Target="https://media.fisheries.noaa.gov/2022-08/2021-PacBluewhale-Eastern%20North%20Pacific%20Stock.pdf" TargetMode="External"/><Relationship Id="rId29" Type="http://schemas.openxmlformats.org/officeDocument/2006/relationships/hyperlink" Target="https://media.fisheries.noaa.gov/dam-migration/2019_sars_alaska_harbor_seal.pdf" TargetMode="External"/><Relationship Id="rId24" Type="http://schemas.openxmlformats.org/officeDocument/2006/relationships/hyperlink" Target="https://media.fisheries.noaa.gov/dam-migration/pacific-2017-mes_beaked_whales-caorwa-508.pdf" TargetMode="External"/><Relationship Id="rId40" Type="http://schemas.openxmlformats.org/officeDocument/2006/relationships/hyperlink" Target="https://www.dfo-mpo.gc.ca/csas-sccs/Publications/SAR-AS/2024/2024_035-eng.pdf" TargetMode="External"/><Relationship Id="rId45" Type="http://schemas.openxmlformats.org/officeDocument/2006/relationships/hyperlink" Target="https://waves-vagues.dfo-mpo.gc.ca/library-bibliotheque/4081841x.pdf" TargetMode="External"/><Relationship Id="rId66" Type="http://schemas.openxmlformats.org/officeDocument/2006/relationships/hyperlink" Target="https://www.publish.csiro.au/wr/pdf/WR14031" TargetMode="External"/><Relationship Id="rId87" Type="http://schemas.openxmlformats.org/officeDocument/2006/relationships/hyperlink" Target="https://nesptropical.edu.au/wp-content/uploads/2016/06/NESP-TWQ-3.2-FINAL-REPORT-2.pdf" TargetMode="External"/><Relationship Id="rId61" Type="http://schemas.openxmlformats.org/officeDocument/2006/relationships/hyperlink" Target="https://www.int-res.com/articles/esr2020/41/n041p373.pdf" TargetMode="External"/><Relationship Id="rId82" Type="http://schemas.openxmlformats.org/officeDocument/2006/relationships/hyperlink" Target="https://repository.library.noaa.gov/view/noaa/27826" TargetMode="External"/></Relationships>
</file>

<file path=xl/worksheets/_rels/sheet3.xml.rels><?xml version="1.0" encoding="UTF-8" standalone="yes"?>
<Relationships xmlns="http://schemas.openxmlformats.org/package/2006/relationships"><Relationship Id="rId1522" Type="http://schemas.openxmlformats.org/officeDocument/2006/relationships/hyperlink" Target="https://www.fisheries.noaa.gov/s3/2023-06/STELLERSEALIONEumetopiasjubatusWesternU.S.Stock-.pdf" TargetMode="External"/><Relationship Id="rId1827" Type="http://schemas.openxmlformats.org/officeDocument/2006/relationships/hyperlink" Target="https://www.fisheries.noaa.gov/s3/2023-06/STELLERSEALIONEumetopiasjubatusWesternU.S.Stock-.pdf" TargetMode="External"/><Relationship Id="rId21" Type="http://schemas.openxmlformats.org/officeDocument/2006/relationships/hyperlink" Target="https://media.fisheries.noaa.gov/2022-08/pacific-2021-beaked-whale-mesoplodont.pdf" TargetMode="External"/><Relationship Id="rId170" Type="http://schemas.openxmlformats.org/officeDocument/2006/relationships/hyperlink" Target="https://media.fisheries.noaa.gov/dam-migration/ca_sea_lion_final_2018_sar.pdf" TargetMode="External"/><Relationship Id="rId268" Type="http://schemas.openxmlformats.org/officeDocument/2006/relationships/hyperlink" Target="https://www.fisheries.noaa.gov/s3/2021-08/2020-Pacific-SARS-Eastern-GrayWhale-dragged-.pdf" TargetMode="External"/><Relationship Id="rId475" Type="http://schemas.openxmlformats.org/officeDocument/2006/relationships/hyperlink" Target="https://media.fisheries.noaa.gov/dam-migration/2019_sars_alaska_harbor_seal.pdf" TargetMode="External"/><Relationship Id="rId682" Type="http://schemas.openxmlformats.org/officeDocument/2006/relationships/hyperlink" Target="https://media.fisheries.noaa.gov/dam-migration/po2014sehr-ca_508.pdf" TargetMode="External"/><Relationship Id="rId128" Type="http://schemas.openxmlformats.org/officeDocument/2006/relationships/hyperlink" Target="https://media.fisheries.noaa.gov/dam-migration/ca_sea_lion_final_2018_sar.pdf" TargetMode="External"/><Relationship Id="rId335" Type="http://schemas.openxmlformats.org/officeDocument/2006/relationships/hyperlink" Target="https://media.fisheries.noaa.gov/2022-08/2021-HARBOR%20PORPOISE-Monterey%20Bay%20Stock.pdf" TargetMode="External"/><Relationship Id="rId542" Type="http://schemas.openxmlformats.org/officeDocument/2006/relationships/hyperlink" Target="https://media.fisheries.noaa.gov/dam-migration/2019_sars_alaska_harbor_seal.pdf" TargetMode="External"/><Relationship Id="rId987" Type="http://schemas.openxmlformats.org/officeDocument/2006/relationships/hyperlink" Target="https://www.fisheries.noaa.gov/s3/2023-08/North-Atlantic-Right-Whale-Western-Atlantic-2022.pdf" TargetMode="External"/><Relationship Id="rId1172" Type="http://schemas.openxmlformats.org/officeDocument/2006/relationships/hyperlink" Target="https://www.fisheries.noaa.gov/s3/2022-08/2021-NORTHERN-FUR-SEAL-Callorhinus-ursinus-Eastern-Pacific-Stock.pdf" TargetMode="External"/><Relationship Id="rId402" Type="http://schemas.openxmlformats.org/officeDocument/2006/relationships/hyperlink" Target="https://media.fisheries.noaa.gov/dam-migration/2019_sars_alaska_harbor_seal.pdf" TargetMode="External"/><Relationship Id="rId847" Type="http://schemas.openxmlformats.org/officeDocument/2006/relationships/hyperlink" Target="https://www.fisheries.noaa.gov/s3/2023-08/Killer-Whale-Eastern-North-Pacific-2022.pdf" TargetMode="External"/><Relationship Id="rId1032" Type="http://schemas.openxmlformats.org/officeDocument/2006/relationships/hyperlink" Target="https://media.fisheries.noaa.gov/2022-08/2021-NorthernElephant-California%20Breeding%20Stock.pdf" TargetMode="External"/><Relationship Id="rId1477" Type="http://schemas.openxmlformats.org/officeDocument/2006/relationships/hyperlink" Target="https://www.fisheries.noaa.gov/s3/2023-06/STELLERSEALIONEumetopiasjubatusWesternU.S.Stock-.pdf" TargetMode="External"/><Relationship Id="rId1684" Type="http://schemas.openxmlformats.org/officeDocument/2006/relationships/hyperlink" Target="https://www.fisheries.noaa.gov/s3/2023-06/STELLERSEALIONEumetopiasjubatusWesternU.S.Stock-.pdf" TargetMode="External"/><Relationship Id="rId1891" Type="http://schemas.openxmlformats.org/officeDocument/2006/relationships/drawing" Target="../drawings/drawing1.xml"/><Relationship Id="rId707" Type="http://schemas.openxmlformats.org/officeDocument/2006/relationships/hyperlink" Target="https://media.fisheries.noaa.gov/dam-migration/po2013sehr-wain_508.pdf" TargetMode="External"/><Relationship Id="rId914" Type="http://schemas.openxmlformats.org/officeDocument/2006/relationships/hyperlink" Target="https://media.fisheries.noaa.gov/2022-08/2021-PACminke-CaliforniaOregonWashington%20Stock.pdf" TargetMode="External"/><Relationship Id="rId1337" Type="http://schemas.openxmlformats.org/officeDocument/2006/relationships/hyperlink" Target="https://www.fws.gov/sites/default/files/documents/southern-sea-otter-stock-assessment-report.pdf" TargetMode="External"/><Relationship Id="rId1544" Type="http://schemas.openxmlformats.org/officeDocument/2006/relationships/hyperlink" Target="https://www.fisheries.noaa.gov/s3/2023-06/STELLERSEALIONEumetopiasjubatusWesternU.S.Stock-.pdf" TargetMode="External"/><Relationship Id="rId1751" Type="http://schemas.openxmlformats.org/officeDocument/2006/relationships/hyperlink" Target="https://www.fisheries.noaa.gov/s3/2023-06/STELLERSEALIONEumetopiasjubatusWesternU.S.Stock-.pdf" TargetMode="External"/><Relationship Id="rId43" Type="http://schemas.openxmlformats.org/officeDocument/2006/relationships/hyperlink" Target="https://www.fisheries.noaa.gov/s3/2023-05/2021BELUGA-WHALE-Delphinapterus-leucas-Cook-Inlet-Stock.pdf" TargetMode="External"/><Relationship Id="rId1404" Type="http://schemas.openxmlformats.org/officeDocument/2006/relationships/hyperlink" Target="https://media.fisheries.noaa.gov/dam-migration/2019_sars_alaska_steller_sea_lion_-_eastern_us.pdf" TargetMode="External"/><Relationship Id="rId1611" Type="http://schemas.openxmlformats.org/officeDocument/2006/relationships/hyperlink" Target="https://www.fisheries.noaa.gov/s3/2023-06/STELLERSEALIONEumetopiasjubatusWesternU.S.Stock-.pdf" TargetMode="External"/><Relationship Id="rId1849" Type="http://schemas.openxmlformats.org/officeDocument/2006/relationships/hyperlink" Target="https://www.fisheries.noaa.gov/s3/2023-06/STELLERSEALIONEumetopiasjubatusWesternU.S.Stock-.pdf" TargetMode="External"/><Relationship Id="rId192" Type="http://schemas.openxmlformats.org/officeDocument/2006/relationships/hyperlink" Target="https://www.fisheries.noaa.gov/s3/2023-08/Cuviers-CAORWA-2022.pdf" TargetMode="External"/><Relationship Id="rId1709" Type="http://schemas.openxmlformats.org/officeDocument/2006/relationships/hyperlink" Target="https://www.fisheries.noaa.gov/s3/2023-06/STELLERSEALIONEumetopiasjubatusWesternU.S.Stock-.pdf" TargetMode="External"/><Relationship Id="rId497" Type="http://schemas.openxmlformats.org/officeDocument/2006/relationships/hyperlink" Target="https://media.fisheries.noaa.gov/dam-migration/2019_sars_alaska_harbor_seal.pdf" TargetMode="External"/><Relationship Id="rId357" Type="http://schemas.openxmlformats.org/officeDocument/2006/relationships/hyperlink" Target="https://media.fisheries.noaa.gov/2022-08/2021-HARBOR%20PORPOISE-Monterey%20Bay%20Stock.pdf" TargetMode="External"/><Relationship Id="rId1194" Type="http://schemas.openxmlformats.org/officeDocument/2006/relationships/hyperlink" Target="https://www.fisheries.noaa.gov/s3/2022-08/2021-NORTHERN-FUR-SEAL-Callorhinus-ursinus-Eastern-Pacific-Stock.pdf" TargetMode="External"/><Relationship Id="rId217" Type="http://schemas.openxmlformats.org/officeDocument/2006/relationships/hyperlink" Target="https://media.fisheries.noaa.gov/2022-08/2021-DALL'S%20PORPOISE%20-%20CaliforniaOregonWashington%20Stock.pdf" TargetMode="External"/><Relationship Id="rId564" Type="http://schemas.openxmlformats.org/officeDocument/2006/relationships/hyperlink" Target="https://media.fisheries.noaa.gov/dam-migration/2019_sars_alaska_harbor_seal.pdf" TargetMode="External"/><Relationship Id="rId771" Type="http://schemas.openxmlformats.org/officeDocument/2006/relationships/hyperlink" Target="https://media.fisheries.noaa.gov/2022-08/2021-HumpbackWhale-CaliforniaOregonWashington%20Stock.pdf" TargetMode="External"/><Relationship Id="rId869" Type="http://schemas.openxmlformats.org/officeDocument/2006/relationships/hyperlink" Target="https://www.fisheries.noaa.gov/s3/2023-08/Killer-Whale-Eastern-North-Pacific-2022.pdf" TargetMode="External"/><Relationship Id="rId1499" Type="http://schemas.openxmlformats.org/officeDocument/2006/relationships/hyperlink" Target="https://www.fisheries.noaa.gov/s3/2023-06/STELLERSEALIONEumetopiasjubatusWesternU.S.Stock-.pdf" TargetMode="External"/><Relationship Id="rId424" Type="http://schemas.openxmlformats.org/officeDocument/2006/relationships/hyperlink" Target="https://media.fisheries.noaa.gov/dam-migration/2019_sars_alaska_harbor_seal.pdf" TargetMode="External"/><Relationship Id="rId631" Type="http://schemas.openxmlformats.org/officeDocument/2006/relationships/hyperlink" Target="https://media.fisheries.noaa.gov/dam-migration/2019_sars_alaska_harbor_seal.pdf" TargetMode="External"/><Relationship Id="rId729" Type="http://schemas.openxmlformats.org/officeDocument/2006/relationships/hyperlink" Target="https://media.fisheries.noaa.gov/dam-migration/po2013sehr-owco_508.pdf" TargetMode="External"/><Relationship Id="rId1054" Type="http://schemas.openxmlformats.org/officeDocument/2006/relationships/hyperlink" Target="https://media.fisheries.noaa.gov/2022-08/2021-NorthernElephant-California%20Breeding%20Stock.pdf" TargetMode="External"/><Relationship Id="rId1261" Type="http://schemas.openxmlformats.org/officeDocument/2006/relationships/hyperlink" Target="https://www.fws.gov/sites/default/files/documents/northern-sea-otter-washington-stock-assessment-report-july-2018.pdf" TargetMode="External"/><Relationship Id="rId1359" Type="http://schemas.openxmlformats.org/officeDocument/2006/relationships/hyperlink" Target="https://media.fisheries.noaa.gov/dam-migration/2019_sars_alaska_steller_sea_lion_-_eastern_us.pdf" TargetMode="External"/><Relationship Id="rId936" Type="http://schemas.openxmlformats.org/officeDocument/2006/relationships/hyperlink" Target="https://www.fisheries.noaa.gov/s3/2023-08/North-Atlantic-Right-Whale-Western-Atlantic-2022.pdf" TargetMode="External"/><Relationship Id="rId1121" Type="http://schemas.openxmlformats.org/officeDocument/2006/relationships/hyperlink" Target="https://media.fisheries.noaa.gov/2022-08/2021-NorthernElephant-California%20Breeding%20Stock.pdf" TargetMode="External"/><Relationship Id="rId1219" Type="http://schemas.openxmlformats.org/officeDocument/2006/relationships/hyperlink" Target="https://www.fisheries.noaa.gov/s3/2022-08/2021-NORTHERN-FUR-SEAL-Callorhinus-ursinus-Eastern-Pacific-Stock.pdf" TargetMode="External"/><Relationship Id="rId1566" Type="http://schemas.openxmlformats.org/officeDocument/2006/relationships/hyperlink" Target="https://www.fisheries.noaa.gov/s3/2023-06/STELLERSEALIONEumetopiasjubatusWesternU.S.Stock-.pdf" TargetMode="External"/><Relationship Id="rId1773" Type="http://schemas.openxmlformats.org/officeDocument/2006/relationships/hyperlink" Target="https://www.fisheries.noaa.gov/s3/2023-06/STELLERSEALIONEumetopiasjubatusWesternU.S.Stock-.pdf" TargetMode="External"/><Relationship Id="rId65" Type="http://schemas.openxmlformats.org/officeDocument/2006/relationships/hyperlink" Target="https://media.fisheries.noaa.gov/2022-08/2021-PacBluewhale-Eastern%20North%20Pacific%20Stock.pdf" TargetMode="External"/><Relationship Id="rId1426" Type="http://schemas.openxmlformats.org/officeDocument/2006/relationships/hyperlink" Target="https://media.fisheries.noaa.gov/dam-migration/2019_sars_alaska_steller_sea_lion_-_eastern_us.pdf" TargetMode="External"/><Relationship Id="rId1633" Type="http://schemas.openxmlformats.org/officeDocument/2006/relationships/hyperlink" Target="https://www.fisheries.noaa.gov/s3/2023-06/STELLERSEALIONEumetopiasjubatusWesternU.S.Stock-.pdf" TargetMode="External"/><Relationship Id="rId1840" Type="http://schemas.openxmlformats.org/officeDocument/2006/relationships/hyperlink" Target="https://www.fisheries.noaa.gov/s3/2023-06/STELLERSEALIONEumetopiasjubatusWesternU.S.Stock-.pdf" TargetMode="External"/><Relationship Id="rId1700" Type="http://schemas.openxmlformats.org/officeDocument/2006/relationships/hyperlink" Target="https://www.fisheries.noaa.gov/s3/2023-06/STELLERSEALIONEumetopiasjubatusWesternU.S.Stock-.pdf" TargetMode="External"/><Relationship Id="rId281" Type="http://schemas.openxmlformats.org/officeDocument/2006/relationships/hyperlink" Target="https://media.fisheries.noaa.gov/2022-08/2021-HARBOR%20PORPOISE-San%20Francisco-Russian%20River%20Stock.pdf" TargetMode="External"/><Relationship Id="rId141" Type="http://schemas.openxmlformats.org/officeDocument/2006/relationships/hyperlink" Target="https://media.fisheries.noaa.gov/dam-migration/ca_sea_lion_final_2018_sar.pdf" TargetMode="External"/><Relationship Id="rId379" Type="http://schemas.openxmlformats.org/officeDocument/2006/relationships/hyperlink" Target="https://media.fisheries.noaa.gov/2022-08/2021-HARBOR%20PORPOISE%20-Northern%20CaliforniaSouthern%20Oregon%20Stock.pdf" TargetMode="External"/><Relationship Id="rId586" Type="http://schemas.openxmlformats.org/officeDocument/2006/relationships/hyperlink" Target="https://media.fisheries.noaa.gov/dam-migration/2019_sars_alaska_harbor_seal.pdf" TargetMode="External"/><Relationship Id="rId793" Type="http://schemas.openxmlformats.org/officeDocument/2006/relationships/hyperlink" Target="https://s3.amazonaws.com/media.fisheries.noaa.gov/2020-10/2019%20humpback%20whale%20gulf%20of%20Maine%20508.pdf?null" TargetMode="External"/><Relationship Id="rId7" Type="http://schemas.openxmlformats.org/officeDocument/2006/relationships/hyperlink" Target="https://media.fisheries.noaa.gov/2022-08/pacific-2021-beaked-whale-mesoplodont.pdf" TargetMode="External"/><Relationship Id="rId239" Type="http://schemas.openxmlformats.org/officeDocument/2006/relationships/hyperlink" Target="https://media.fisheries.noaa.gov/2022-08/2021-PACfinwhale-CaliforniaOregonWashington%20Stock.pdf" TargetMode="External"/><Relationship Id="rId446" Type="http://schemas.openxmlformats.org/officeDocument/2006/relationships/hyperlink" Target="https://media.fisheries.noaa.gov/dam-migration/2019_sars_alaska_harbor_seal.pdf" TargetMode="External"/><Relationship Id="rId653" Type="http://schemas.openxmlformats.org/officeDocument/2006/relationships/hyperlink" Target="https://media.fisheries.noaa.gov/dam-migration/po2014sehr-ca_508.pdf" TargetMode="External"/><Relationship Id="rId1076" Type="http://schemas.openxmlformats.org/officeDocument/2006/relationships/hyperlink" Target="https://media.fisheries.noaa.gov/2022-08/2021-NorthernElephant-California%20Breeding%20Stock.pdf" TargetMode="External"/><Relationship Id="rId1283" Type="http://schemas.openxmlformats.org/officeDocument/2006/relationships/hyperlink" Target="https://www.fisheries.noaa.gov/s3/2022-08/2021-PACWHITESIDE-CaliforniaOregonWashington-Northern-and-Southern-Stocks.pdf" TargetMode="External"/><Relationship Id="rId1490" Type="http://schemas.openxmlformats.org/officeDocument/2006/relationships/hyperlink" Target="https://www.fisheries.noaa.gov/s3/2023-06/STELLERSEALIONEumetopiasjubatusWesternU.S.Stock-.pdf" TargetMode="External"/><Relationship Id="rId306" Type="http://schemas.openxmlformats.org/officeDocument/2006/relationships/hyperlink" Target="https://media.fisheries.noaa.gov/2022-08/2021-HARBOR%20PORPOISE-Morro%20Bay%20Stock.pdf" TargetMode="External"/><Relationship Id="rId860" Type="http://schemas.openxmlformats.org/officeDocument/2006/relationships/hyperlink" Target="https://www.fisheries.noaa.gov/s3/2023-08/Killer-Whale-Eastern-North-Pacific-2022.pdf" TargetMode="External"/><Relationship Id="rId958" Type="http://schemas.openxmlformats.org/officeDocument/2006/relationships/hyperlink" Target="https://www.fisheries.noaa.gov/s3/2023-08/North-Atlantic-Right-Whale-Western-Atlantic-2022.pdf" TargetMode="External"/><Relationship Id="rId1143" Type="http://schemas.openxmlformats.org/officeDocument/2006/relationships/hyperlink" Target="https://media.fisheries.noaa.gov/2022-08/2021-NorthernElephant-California%20Breeding%20Stock.pdf" TargetMode="External"/><Relationship Id="rId1588" Type="http://schemas.openxmlformats.org/officeDocument/2006/relationships/hyperlink" Target="https://www.fisheries.noaa.gov/s3/2023-06/STELLERSEALIONEumetopiasjubatusWesternU.S.Stock-.pdf" TargetMode="External"/><Relationship Id="rId1795" Type="http://schemas.openxmlformats.org/officeDocument/2006/relationships/hyperlink" Target="https://www.fisheries.noaa.gov/s3/2023-06/STELLERSEALIONEumetopiasjubatusWesternU.S.Stock-.pdf" TargetMode="External"/><Relationship Id="rId87" Type="http://schemas.openxmlformats.org/officeDocument/2006/relationships/hyperlink" Target="https://media.fisheries.noaa.gov/2022-08/2021-PacBluewhale-Eastern%20North%20Pacific%20Stock.pdf" TargetMode="External"/><Relationship Id="rId513" Type="http://schemas.openxmlformats.org/officeDocument/2006/relationships/hyperlink" Target="https://media.fisheries.noaa.gov/dam-migration/2019_sars_alaska_harbor_seal.pdf" TargetMode="External"/><Relationship Id="rId720" Type="http://schemas.openxmlformats.org/officeDocument/2006/relationships/hyperlink" Target="https://media.fisheries.noaa.gov/dam-migration/po2013sehr-owco_508.pdf" TargetMode="External"/><Relationship Id="rId818" Type="http://schemas.openxmlformats.org/officeDocument/2006/relationships/hyperlink" Target="https://s3.amazonaws.com/media.fisheries.noaa.gov/2020-10/2019%20humpback%20whale%20gulf%20of%20Maine%20508.pdf?null" TargetMode="External"/><Relationship Id="rId1350" Type="http://schemas.openxmlformats.org/officeDocument/2006/relationships/hyperlink" Target="https://media.fisheries.noaa.gov/dam-migration/2019_sars_spermwhale_caorwa.pdf" TargetMode="External"/><Relationship Id="rId1448" Type="http://schemas.openxmlformats.org/officeDocument/2006/relationships/hyperlink" Target="https://media.fisheries.noaa.gov/dam-migration/2019_sars_alaska_steller_sea_lion_-_eastern_us.pdf" TargetMode="External"/><Relationship Id="rId1655" Type="http://schemas.openxmlformats.org/officeDocument/2006/relationships/hyperlink" Target="https://www.fisheries.noaa.gov/s3/2023-06/STELLERSEALIONEumetopiasjubatusWesternU.S.Stock-.pdf" TargetMode="External"/><Relationship Id="rId1003" Type="http://schemas.openxmlformats.org/officeDocument/2006/relationships/hyperlink" Target="https://www.fisheries.noaa.gov/s3/2023-08/North-Atlantic-Right-Whale-Western-Atlantic-2022.pdf" TargetMode="External"/><Relationship Id="rId1210" Type="http://schemas.openxmlformats.org/officeDocument/2006/relationships/hyperlink" Target="https://www.fisheries.noaa.gov/s3/2022-08/2021-NORTHERN-FUR-SEAL-Callorhinus-ursinus-Eastern-Pacific-Stock.pdf" TargetMode="External"/><Relationship Id="rId1308" Type="http://schemas.openxmlformats.org/officeDocument/2006/relationships/hyperlink" Target="https://media.fisheries.noaa.gov/2021-08/2020-Pacific-SARS-ShortFinPWHI.pdf" TargetMode="External"/><Relationship Id="rId1862" Type="http://schemas.openxmlformats.org/officeDocument/2006/relationships/hyperlink" Target="https://www.fisheries.noaa.gov/s3/2023-06/STELLERSEALIONEumetopiasjubatusWesternU.S.Stock-.pdf" TargetMode="External"/><Relationship Id="rId1515" Type="http://schemas.openxmlformats.org/officeDocument/2006/relationships/hyperlink" Target="https://www.fisheries.noaa.gov/s3/2023-06/STELLERSEALIONEumetopiasjubatusWesternU.S.Stock-.pdf" TargetMode="External"/><Relationship Id="rId1722" Type="http://schemas.openxmlformats.org/officeDocument/2006/relationships/hyperlink" Target="https://www.fisheries.noaa.gov/s3/2023-06/STELLERSEALIONEumetopiasjubatusWesternU.S.Stock-.pdf" TargetMode="External"/><Relationship Id="rId14" Type="http://schemas.openxmlformats.org/officeDocument/2006/relationships/hyperlink" Target="https://media.fisheries.noaa.gov/2022-08/pacific-2021-beaked-whale-mesoplodont.pdf" TargetMode="External"/><Relationship Id="rId163" Type="http://schemas.openxmlformats.org/officeDocument/2006/relationships/hyperlink" Target="https://media.fisheries.noaa.gov/dam-migration/ca_sea_lion_final_2018_sar.pdf" TargetMode="External"/><Relationship Id="rId370" Type="http://schemas.openxmlformats.org/officeDocument/2006/relationships/hyperlink" Target="https://media.fisheries.noaa.gov/2022-08/2021-HARBOR%20PORPOISE%20-Northern%20CaliforniaSouthern%20Oregon%20Stock.pdf" TargetMode="External"/><Relationship Id="rId230" Type="http://schemas.openxmlformats.org/officeDocument/2006/relationships/hyperlink" Target="https://media.fisheries.noaa.gov/2022-08/2021-PACfinwhale-CaliforniaOregonWashington%20Stock.pdf" TargetMode="External"/><Relationship Id="rId468" Type="http://schemas.openxmlformats.org/officeDocument/2006/relationships/hyperlink" Target="https://media.fisheries.noaa.gov/dam-migration/2019_sars_alaska_harbor_seal.pdf" TargetMode="External"/><Relationship Id="rId675" Type="http://schemas.openxmlformats.org/officeDocument/2006/relationships/hyperlink" Target="https://media.fisheries.noaa.gov/dam-migration/po2014sehr-ca_508.pdf" TargetMode="External"/><Relationship Id="rId882" Type="http://schemas.openxmlformats.org/officeDocument/2006/relationships/hyperlink" Target="https://media.fisheries.noaa.gov/2022-08/2021-LONG-BEAKED%20COMMON%20DOLPHIN-California%20Stock.pdf" TargetMode="External"/><Relationship Id="rId1098" Type="http://schemas.openxmlformats.org/officeDocument/2006/relationships/hyperlink" Target="https://media.fisheries.noaa.gov/2022-08/2021-NorthernElephant-California%20Breeding%20Stock.pdf" TargetMode="External"/><Relationship Id="rId328" Type="http://schemas.openxmlformats.org/officeDocument/2006/relationships/hyperlink" Target="https://media.fisheries.noaa.gov/2022-08/2021-HARBOR%20PORPOISE-Morro%20Bay%20Stock.pdf" TargetMode="External"/><Relationship Id="rId535" Type="http://schemas.openxmlformats.org/officeDocument/2006/relationships/hyperlink" Target="https://media.fisheries.noaa.gov/dam-migration/2019_sars_alaska_harbor_seal.pdf" TargetMode="External"/><Relationship Id="rId742" Type="http://schemas.openxmlformats.org/officeDocument/2006/relationships/hyperlink" Target="https://www.fisheries.noaa.gov/s3/2023-08/Monk-Seal-2022.pdf" TargetMode="External"/><Relationship Id="rId1165" Type="http://schemas.openxmlformats.org/officeDocument/2006/relationships/hyperlink" Target="https://www.fisheries.noaa.gov/s3/2022-08/2021-NORTHERN-FUR-SEAL-Callorhinus-ursinus-Eastern-Pacific-Stock.pdf" TargetMode="External"/><Relationship Id="rId1372" Type="http://schemas.openxmlformats.org/officeDocument/2006/relationships/hyperlink" Target="https://media.fisheries.noaa.gov/dam-migration/2019_sars_alaska_steller_sea_lion_-_eastern_us.pdf" TargetMode="External"/><Relationship Id="rId602" Type="http://schemas.openxmlformats.org/officeDocument/2006/relationships/hyperlink" Target="https://media.fisheries.noaa.gov/dam-migration/2019_sars_alaska_harbor_seal.pdf" TargetMode="External"/><Relationship Id="rId1025" Type="http://schemas.openxmlformats.org/officeDocument/2006/relationships/hyperlink" Target="https://media.fisheries.noaa.gov/2022-08/2021-NorthernElephant-California%20Breeding%20Stock.pdf" TargetMode="External"/><Relationship Id="rId1232" Type="http://schemas.openxmlformats.org/officeDocument/2006/relationships/hyperlink" Target="https://media.fisheries.noaa.gov/2022-08/2021-NorthernRWdolphin-CaliforniaOregonWashington%20Stock.pdf" TargetMode="External"/><Relationship Id="rId1677" Type="http://schemas.openxmlformats.org/officeDocument/2006/relationships/hyperlink" Target="https://www.fisheries.noaa.gov/s3/2023-06/STELLERSEALIONEumetopiasjubatusWesternU.S.Stock-.pdf" TargetMode="External"/><Relationship Id="rId1884" Type="http://schemas.openxmlformats.org/officeDocument/2006/relationships/hyperlink" Target="https://media.fisheries.noaa.gov/2022-08/2021-STRIPED%20DOLPHIN-CaliforniaOregonWashington-Stock.pdf" TargetMode="External"/><Relationship Id="rId907" Type="http://schemas.openxmlformats.org/officeDocument/2006/relationships/hyperlink" Target="https://media.fisheries.noaa.gov/2022-08/2021-PACminke-CaliforniaOregonWashington%20Stock.pdf" TargetMode="External"/><Relationship Id="rId1537" Type="http://schemas.openxmlformats.org/officeDocument/2006/relationships/hyperlink" Target="https://www.fisheries.noaa.gov/s3/2023-06/STELLERSEALIONEumetopiasjubatusWesternU.S.Stock-.pdf" TargetMode="External"/><Relationship Id="rId1744" Type="http://schemas.openxmlformats.org/officeDocument/2006/relationships/hyperlink" Target="https://www.fisheries.noaa.gov/s3/2023-06/STELLERSEALIONEumetopiasjubatusWesternU.S.Stock-.pdf" TargetMode="External"/><Relationship Id="rId36" Type="http://schemas.openxmlformats.org/officeDocument/2006/relationships/hyperlink" Target="https://www.fisheries.noaa.gov/s3/2023-05/2021BELUGA-WHALE-Delphinapterus-leucas-Cook-Inlet-Stock.pdf" TargetMode="External"/><Relationship Id="rId1604" Type="http://schemas.openxmlformats.org/officeDocument/2006/relationships/hyperlink" Target="https://www.fisheries.noaa.gov/s3/2023-06/STELLERSEALIONEumetopiasjubatusWesternU.S.Stock-.pdf" TargetMode="External"/><Relationship Id="rId185" Type="http://schemas.openxmlformats.org/officeDocument/2006/relationships/hyperlink" Target="https://media.fisheries.noaa.gov/dam-migration/ca_sea_lion_final_2018_sar.pdf" TargetMode="External"/><Relationship Id="rId1811" Type="http://schemas.openxmlformats.org/officeDocument/2006/relationships/hyperlink" Target="https://www.fisheries.noaa.gov/s3/2023-06/STELLERSEALIONEumetopiasjubatusWesternU.S.Stock-.pdf" TargetMode="External"/><Relationship Id="rId392" Type="http://schemas.openxmlformats.org/officeDocument/2006/relationships/hyperlink" Target="https://media.fisheries.noaa.gov/dam-migration/2019_sars_alaska_harbor_seal.pdf" TargetMode="External"/><Relationship Id="rId697" Type="http://schemas.openxmlformats.org/officeDocument/2006/relationships/hyperlink" Target="https://media.fisheries.noaa.gov/dam-migration/po2013sehr-owco_508.pdf" TargetMode="External"/><Relationship Id="rId252" Type="http://schemas.openxmlformats.org/officeDocument/2006/relationships/hyperlink" Target="https://www.fisheries.noaa.gov/s3/2021-08/2020-Pacific-SARS-Eastern-GrayWhale-dragged-.pdf" TargetMode="External"/><Relationship Id="rId1187" Type="http://schemas.openxmlformats.org/officeDocument/2006/relationships/hyperlink" Target="https://www.fisheries.noaa.gov/s3/2022-08/2021-NORTHERN-FUR-SEAL-Callorhinus-ursinus-Eastern-Pacific-Stock.pdf" TargetMode="External"/><Relationship Id="rId112" Type="http://schemas.openxmlformats.org/officeDocument/2006/relationships/hyperlink" Target="https://media.fisheries.noaa.gov/dam-migration/ca_sea_lion_final_2018_sar.pdf" TargetMode="External"/><Relationship Id="rId557" Type="http://schemas.openxmlformats.org/officeDocument/2006/relationships/hyperlink" Target="https://media.fisheries.noaa.gov/dam-migration/2019_sars_alaska_harbor_seal.pdf" TargetMode="External"/><Relationship Id="rId764" Type="http://schemas.openxmlformats.org/officeDocument/2006/relationships/hyperlink" Target="https://media.fisheries.noaa.gov/2022-08/2021-HumpbackWhale-CaliforniaOregonWashington%20Stock.pdf" TargetMode="External"/><Relationship Id="rId971" Type="http://schemas.openxmlformats.org/officeDocument/2006/relationships/hyperlink" Target="https://www.fisheries.noaa.gov/s3/2023-08/North-Atlantic-Right-Whale-Western-Atlantic-2022.pdf" TargetMode="External"/><Relationship Id="rId1394" Type="http://schemas.openxmlformats.org/officeDocument/2006/relationships/hyperlink" Target="https://media.fisheries.noaa.gov/dam-migration/2019_sars_alaska_steller_sea_lion_-_eastern_us.pdf" TargetMode="External"/><Relationship Id="rId1699" Type="http://schemas.openxmlformats.org/officeDocument/2006/relationships/hyperlink" Target="https://www.fisheries.noaa.gov/s3/2023-06/STELLERSEALIONEumetopiasjubatusWesternU.S.Stock-.pdf" TargetMode="External"/><Relationship Id="rId417" Type="http://schemas.openxmlformats.org/officeDocument/2006/relationships/hyperlink" Target="https://media.fisheries.noaa.gov/dam-migration/2019_sars_alaska_harbor_seal.pdf" TargetMode="External"/><Relationship Id="rId624" Type="http://schemas.openxmlformats.org/officeDocument/2006/relationships/hyperlink" Target="https://media.fisheries.noaa.gov/dam-migration/2019_sars_alaska_harbor_seal.pdf" TargetMode="External"/><Relationship Id="rId831" Type="http://schemas.openxmlformats.org/officeDocument/2006/relationships/hyperlink" Target="https://www.fisheries.noaa.gov/s3/2023-08/Killer-Whale-Eastern-North-Pacific-2022.pdf" TargetMode="External"/><Relationship Id="rId1047" Type="http://schemas.openxmlformats.org/officeDocument/2006/relationships/hyperlink" Target="https://media.fisheries.noaa.gov/2022-08/2021-NorthernElephant-California%20Breeding%20Stock.pdf" TargetMode="External"/><Relationship Id="rId1254" Type="http://schemas.openxmlformats.org/officeDocument/2006/relationships/hyperlink" Target="https://www.fws.gov/sites/default/files/documents/northern-sea-otter-washington-stock-assessment-report-july-2018.pdf" TargetMode="External"/><Relationship Id="rId1461" Type="http://schemas.openxmlformats.org/officeDocument/2006/relationships/hyperlink" Target="https://media.fisheries.noaa.gov/dam-migration/2019_sars_alaska_steller_sea_lion_-_eastern_us.pdf" TargetMode="External"/><Relationship Id="rId929" Type="http://schemas.openxmlformats.org/officeDocument/2006/relationships/hyperlink" Target="https://www.fisheries.noaa.gov/s3/2023-08/North-Atlantic-Right-Whale-Western-Atlantic-2022.pdf" TargetMode="External"/><Relationship Id="rId1114" Type="http://schemas.openxmlformats.org/officeDocument/2006/relationships/hyperlink" Target="https://media.fisheries.noaa.gov/2022-08/2021-NorthernElephant-California%20Breeding%20Stock.pdf" TargetMode="External"/><Relationship Id="rId1321" Type="http://schemas.openxmlformats.org/officeDocument/2006/relationships/hyperlink" Target="https://www.fws.gov/sites/default/files/documents/southern-sea-otter-stock-assessment-report.pdf" TargetMode="External"/><Relationship Id="rId1559" Type="http://schemas.openxmlformats.org/officeDocument/2006/relationships/hyperlink" Target="https://www.fisheries.noaa.gov/s3/2023-06/STELLERSEALIONEumetopiasjubatusWesternU.S.Stock-.pdf" TargetMode="External"/><Relationship Id="rId1766" Type="http://schemas.openxmlformats.org/officeDocument/2006/relationships/hyperlink" Target="https://www.fisheries.noaa.gov/s3/2023-06/STELLERSEALIONEumetopiasjubatusWesternU.S.Stock-.pdf" TargetMode="External"/><Relationship Id="rId58" Type="http://schemas.openxmlformats.org/officeDocument/2006/relationships/hyperlink" Target="https://media.fisheries.noaa.gov/2022-08/2021-PacBluewhale-Eastern%20North%20Pacific%20Stock.pdf" TargetMode="External"/><Relationship Id="rId1419" Type="http://schemas.openxmlformats.org/officeDocument/2006/relationships/hyperlink" Target="https://media.fisheries.noaa.gov/dam-migration/2019_sars_alaska_steller_sea_lion_-_eastern_us.pdf" TargetMode="External"/><Relationship Id="rId1626" Type="http://schemas.openxmlformats.org/officeDocument/2006/relationships/hyperlink" Target="https://www.fisheries.noaa.gov/s3/2023-06/STELLERSEALIONEumetopiasjubatusWesternU.S.Stock-.pdf" TargetMode="External"/><Relationship Id="rId1833" Type="http://schemas.openxmlformats.org/officeDocument/2006/relationships/hyperlink" Target="https://www.fisheries.noaa.gov/s3/2023-06/STELLERSEALIONEumetopiasjubatusWesternU.S.Stock-.pdf" TargetMode="External"/><Relationship Id="rId274" Type="http://schemas.openxmlformats.org/officeDocument/2006/relationships/hyperlink" Target="https://media.fisheries.noaa.gov/2022-08/2021-HARBOR%20PORPOISE-San%20Francisco-Russian%20River%20Stock.pdf" TargetMode="External"/><Relationship Id="rId481" Type="http://schemas.openxmlformats.org/officeDocument/2006/relationships/hyperlink" Target="https://media.fisheries.noaa.gov/dam-migration/2019_sars_alaska_harbor_seal.pdf" TargetMode="External"/><Relationship Id="rId134" Type="http://schemas.openxmlformats.org/officeDocument/2006/relationships/hyperlink" Target="https://media.fisheries.noaa.gov/dam-migration/ca_sea_lion_final_2018_sar.pdf" TargetMode="External"/><Relationship Id="rId579" Type="http://schemas.openxmlformats.org/officeDocument/2006/relationships/hyperlink" Target="https://media.fisheries.noaa.gov/dam-migration/2019_sars_alaska_harbor_seal.pdf" TargetMode="External"/><Relationship Id="rId786" Type="http://schemas.openxmlformats.org/officeDocument/2006/relationships/hyperlink" Target="https://s3.amazonaws.com/media.fisheries.noaa.gov/2020-10/2019%20humpback%20whale%20gulf%20of%20Maine%20508.pdf?null" TargetMode="External"/><Relationship Id="rId993" Type="http://schemas.openxmlformats.org/officeDocument/2006/relationships/hyperlink" Target="https://www.fisheries.noaa.gov/s3/2023-08/North-Atlantic-Right-Whale-Western-Atlantic-2022.pdf" TargetMode="External"/><Relationship Id="rId341" Type="http://schemas.openxmlformats.org/officeDocument/2006/relationships/hyperlink" Target="https://media.fisheries.noaa.gov/2022-08/2021-HARBOR%20PORPOISE-Monterey%20Bay%20Stock.pdf" TargetMode="External"/><Relationship Id="rId439" Type="http://schemas.openxmlformats.org/officeDocument/2006/relationships/hyperlink" Target="https://media.fisheries.noaa.gov/dam-migration/2019_sars_alaska_harbor_seal.pdf" TargetMode="External"/><Relationship Id="rId646" Type="http://schemas.openxmlformats.org/officeDocument/2006/relationships/hyperlink" Target="https://media.fisheries.noaa.gov/dam-migration/po2014sehr-ca_508.pdf" TargetMode="External"/><Relationship Id="rId1069" Type="http://schemas.openxmlformats.org/officeDocument/2006/relationships/hyperlink" Target="https://media.fisheries.noaa.gov/2022-08/2021-NorthernElephant-California%20Breeding%20Stock.pdf" TargetMode="External"/><Relationship Id="rId1276" Type="http://schemas.openxmlformats.org/officeDocument/2006/relationships/hyperlink" Target="https://www.fisheries.noaa.gov/s3/2022-08/2021-PACWHITESIDE-CaliforniaOregonWashington-Northern-and-Southern-Stocks.pdf" TargetMode="External"/><Relationship Id="rId1483" Type="http://schemas.openxmlformats.org/officeDocument/2006/relationships/hyperlink" Target="https://www.fisheries.noaa.gov/s3/2023-06/STELLERSEALIONEumetopiasjubatusWesternU.S.Stock-.pdf" TargetMode="External"/><Relationship Id="rId201" Type="http://schemas.openxmlformats.org/officeDocument/2006/relationships/hyperlink" Target="https://www.fisheries.noaa.gov/s3/2023-08/Cuviers-CAORWA-2022.pdf" TargetMode="External"/><Relationship Id="rId506" Type="http://schemas.openxmlformats.org/officeDocument/2006/relationships/hyperlink" Target="https://media.fisheries.noaa.gov/dam-migration/2019_sars_alaska_harbor_seal.pdf" TargetMode="External"/><Relationship Id="rId853" Type="http://schemas.openxmlformats.org/officeDocument/2006/relationships/hyperlink" Target="https://www.fisheries.noaa.gov/s3/2023-08/Killer-Whale-Eastern-North-Pacific-2022.pdf" TargetMode="External"/><Relationship Id="rId1136" Type="http://schemas.openxmlformats.org/officeDocument/2006/relationships/hyperlink" Target="https://media.fisheries.noaa.gov/2022-08/2021-NorthernElephant-California%20Breeding%20Stock.pdf" TargetMode="External"/><Relationship Id="rId1690" Type="http://schemas.openxmlformats.org/officeDocument/2006/relationships/hyperlink" Target="https://www.fisheries.noaa.gov/s3/2023-06/STELLERSEALIONEumetopiasjubatusWesternU.S.Stock-.pdf" TargetMode="External"/><Relationship Id="rId1788" Type="http://schemas.openxmlformats.org/officeDocument/2006/relationships/hyperlink" Target="https://www.fisheries.noaa.gov/s3/2023-06/STELLERSEALIONEumetopiasjubatusWesternU.S.Stock-.pdf" TargetMode="External"/><Relationship Id="rId713" Type="http://schemas.openxmlformats.org/officeDocument/2006/relationships/hyperlink" Target="https://media.fisheries.noaa.gov/dam-migration/po2013sehr-wain_508.pdf" TargetMode="External"/><Relationship Id="rId920" Type="http://schemas.openxmlformats.org/officeDocument/2006/relationships/hyperlink" Target="https://www.fisheries.noaa.gov/s3/2023-08/North-Atlantic-Right-Whale-Western-Atlantic-2022.pdf" TargetMode="External"/><Relationship Id="rId1343" Type="http://schemas.openxmlformats.org/officeDocument/2006/relationships/hyperlink" Target="https://www.fws.gov/sites/default/files/documents/southern-sea-otter-stock-assessment-report.pdf" TargetMode="External"/><Relationship Id="rId1550" Type="http://schemas.openxmlformats.org/officeDocument/2006/relationships/hyperlink" Target="https://www.fisheries.noaa.gov/s3/2023-06/STELLERSEALIONEumetopiasjubatusWesternU.S.Stock-.pdf" TargetMode="External"/><Relationship Id="rId1648" Type="http://schemas.openxmlformats.org/officeDocument/2006/relationships/hyperlink" Target="https://www.fisheries.noaa.gov/s3/2023-06/STELLERSEALIONEumetopiasjubatusWesternU.S.Stock-.pdf" TargetMode="External"/><Relationship Id="rId1203" Type="http://schemas.openxmlformats.org/officeDocument/2006/relationships/hyperlink" Target="https://www.fisheries.noaa.gov/s3/2022-08/2021-NORTHERN-FUR-SEAL-Callorhinus-ursinus-Eastern-Pacific-Stock.pdf" TargetMode="External"/><Relationship Id="rId1410" Type="http://schemas.openxmlformats.org/officeDocument/2006/relationships/hyperlink" Target="https://media.fisheries.noaa.gov/dam-migration/2019_sars_alaska_steller_sea_lion_-_eastern_us.pdf" TargetMode="External"/><Relationship Id="rId1508" Type="http://schemas.openxmlformats.org/officeDocument/2006/relationships/hyperlink" Target="https://www.fisheries.noaa.gov/s3/2023-06/STELLERSEALIONEumetopiasjubatusWesternU.S.Stock-.pdf" TargetMode="External"/><Relationship Id="rId1855" Type="http://schemas.openxmlformats.org/officeDocument/2006/relationships/hyperlink" Target="https://www.fisheries.noaa.gov/s3/2023-06/STELLERSEALIONEumetopiasjubatusWesternU.S.Stock-.pdf" TargetMode="External"/><Relationship Id="rId1715" Type="http://schemas.openxmlformats.org/officeDocument/2006/relationships/hyperlink" Target="https://www.fisheries.noaa.gov/s3/2023-06/STELLERSEALIONEumetopiasjubatusWesternU.S.Stock-.pdf" TargetMode="External"/><Relationship Id="rId296" Type="http://schemas.openxmlformats.org/officeDocument/2006/relationships/hyperlink" Target="https://media.fisheries.noaa.gov/2022-08/2021-HARBOR%20PORPOISE-San%20Francisco-Russian%20River%20Stock.pdf" TargetMode="External"/><Relationship Id="rId156" Type="http://schemas.openxmlformats.org/officeDocument/2006/relationships/hyperlink" Target="https://media.fisheries.noaa.gov/dam-migration/ca_sea_lion_final_2018_sar.pdf" TargetMode="External"/><Relationship Id="rId363" Type="http://schemas.openxmlformats.org/officeDocument/2006/relationships/hyperlink" Target="https://media.fisheries.noaa.gov/2022-08/2021-HARBOR%20PORPOISE%20-Northern%20CaliforniaSouthern%20Oregon%20Stock.pdf" TargetMode="External"/><Relationship Id="rId570" Type="http://schemas.openxmlformats.org/officeDocument/2006/relationships/hyperlink" Target="https://media.fisheries.noaa.gov/dam-migration/2019_sars_alaska_harbor_seal.pdf" TargetMode="External"/><Relationship Id="rId223" Type="http://schemas.openxmlformats.org/officeDocument/2006/relationships/hyperlink" Target="https://media.fisheries.noaa.gov/2022-08/2021-FALSE%20KILLER%20WHALE-Hawaiian%20Islands%20Stock%20Complex.pdf" TargetMode="External"/><Relationship Id="rId430" Type="http://schemas.openxmlformats.org/officeDocument/2006/relationships/hyperlink" Target="https://media.fisheries.noaa.gov/dam-migration/2019_sars_alaska_harbor_seal.pdf" TargetMode="External"/><Relationship Id="rId668" Type="http://schemas.openxmlformats.org/officeDocument/2006/relationships/hyperlink" Target="https://media.fisheries.noaa.gov/dam-migration/po2014sehr-ca_508.pdf" TargetMode="External"/><Relationship Id="rId875" Type="http://schemas.openxmlformats.org/officeDocument/2006/relationships/hyperlink" Target="https://www.fisheries.noaa.gov/s3/2023-08/Killer-Whale-Eastern-North-Pacific-2022.pdf" TargetMode="External"/><Relationship Id="rId1060" Type="http://schemas.openxmlformats.org/officeDocument/2006/relationships/hyperlink" Target="https://media.fisheries.noaa.gov/2022-08/2021-NorthernElephant-California%20Breeding%20Stock.pdf" TargetMode="External"/><Relationship Id="rId1298" Type="http://schemas.openxmlformats.org/officeDocument/2006/relationships/hyperlink" Target="https://media.fisheries.noaa.gov/2022-08/2021-shortbeak-common-dolphin-CaliforniaOregonWashington%20Stock.pdf" TargetMode="External"/><Relationship Id="rId528" Type="http://schemas.openxmlformats.org/officeDocument/2006/relationships/hyperlink" Target="https://media.fisheries.noaa.gov/dam-migration/2019_sars_alaska_harbor_seal.pdf" TargetMode="External"/><Relationship Id="rId735" Type="http://schemas.openxmlformats.org/officeDocument/2006/relationships/hyperlink" Target="https://www.fisheries.noaa.gov/s3/2023-08/Monk-Seal-2022.pdf" TargetMode="External"/><Relationship Id="rId942" Type="http://schemas.openxmlformats.org/officeDocument/2006/relationships/hyperlink" Target="https://www.fisheries.noaa.gov/s3/2023-08/North-Atlantic-Right-Whale-Western-Atlantic-2022.pdf" TargetMode="External"/><Relationship Id="rId1158" Type="http://schemas.openxmlformats.org/officeDocument/2006/relationships/hyperlink" Target="https://www.fisheries.noaa.gov/s3/2022-08/2021-NORTHERN-FUR-SEAL-Callorhinus-ursinus-Eastern-Pacific-Stock.pdf" TargetMode="External"/><Relationship Id="rId1365" Type="http://schemas.openxmlformats.org/officeDocument/2006/relationships/hyperlink" Target="https://media.fisheries.noaa.gov/dam-migration/2019_sars_alaska_steller_sea_lion_-_eastern_us.pdf" TargetMode="External"/><Relationship Id="rId1572" Type="http://schemas.openxmlformats.org/officeDocument/2006/relationships/hyperlink" Target="https://www.fisheries.noaa.gov/s3/2023-06/STELLERSEALIONEumetopiasjubatusWesternU.S.Stock-.pdf" TargetMode="External"/><Relationship Id="rId1018" Type="http://schemas.openxmlformats.org/officeDocument/2006/relationships/hyperlink" Target="https://media.fisheries.noaa.gov/2022-08/2021-NorthernElephant-California%20Breeding%20Stock.pdf" TargetMode="External"/><Relationship Id="rId1225" Type="http://schemas.openxmlformats.org/officeDocument/2006/relationships/hyperlink" Target="https://www.fisheries.noaa.gov/s3/2022-08/2021-NORTHERN-FUR-SEAL-Callorhinus-ursinus-Eastern-Pacific-Stock.pdf" TargetMode="External"/><Relationship Id="rId1432" Type="http://schemas.openxmlformats.org/officeDocument/2006/relationships/hyperlink" Target="https://media.fisheries.noaa.gov/dam-migration/2019_sars_alaska_steller_sea_lion_-_eastern_us.pdf" TargetMode="External"/><Relationship Id="rId1877" Type="http://schemas.openxmlformats.org/officeDocument/2006/relationships/hyperlink" Target="https://www.fisheries.noaa.gov/s3/2023-06/STELLERSEALIONEumetopiasjubatusWesternU.S.Stock-.pdf" TargetMode="External"/><Relationship Id="rId71" Type="http://schemas.openxmlformats.org/officeDocument/2006/relationships/hyperlink" Target="https://media.fisheries.noaa.gov/2022-08/2021-PacBluewhale-Eastern%20North%20Pacific%20Stock.pdf" TargetMode="External"/><Relationship Id="rId802" Type="http://schemas.openxmlformats.org/officeDocument/2006/relationships/hyperlink" Target="https://s3.amazonaws.com/media.fisheries.noaa.gov/2020-10/2019%20humpback%20whale%20gulf%20of%20Maine%20508.pdf?null" TargetMode="External"/><Relationship Id="rId1737" Type="http://schemas.openxmlformats.org/officeDocument/2006/relationships/hyperlink" Target="https://www.fisheries.noaa.gov/s3/2023-06/STELLERSEALIONEumetopiasjubatusWesternU.S.Stock-.pdf" TargetMode="External"/><Relationship Id="rId29" Type="http://schemas.openxmlformats.org/officeDocument/2006/relationships/hyperlink" Target="https://www.fisheries.noaa.gov/s3/2023-05/2021BELUGA-WHALE-Delphinapterus-leucas-Cook-Inlet-Stock.pdf" TargetMode="External"/><Relationship Id="rId178" Type="http://schemas.openxmlformats.org/officeDocument/2006/relationships/hyperlink" Target="https://media.fisheries.noaa.gov/dam-migration/ca_sea_lion_final_2018_sar.pdf" TargetMode="External"/><Relationship Id="rId1804" Type="http://schemas.openxmlformats.org/officeDocument/2006/relationships/hyperlink" Target="https://www.fisheries.noaa.gov/s3/2023-06/STELLERSEALIONEumetopiasjubatusWesternU.S.Stock-.pdf" TargetMode="External"/><Relationship Id="rId385" Type="http://schemas.openxmlformats.org/officeDocument/2006/relationships/hyperlink" Target="https://media.fisheries.noaa.gov/2022-08/2021-HARBOR%20PORPOISE%20-Northern%20CaliforniaSouthern%20Oregon%20Stock.pdf" TargetMode="External"/><Relationship Id="rId592" Type="http://schemas.openxmlformats.org/officeDocument/2006/relationships/hyperlink" Target="https://media.fisheries.noaa.gov/dam-migration/2019_sars_alaska_harbor_seal.pdf" TargetMode="External"/><Relationship Id="rId245" Type="http://schemas.openxmlformats.org/officeDocument/2006/relationships/hyperlink" Target="https://www.fisheries.noaa.gov/s3/2021-08/2020-Pacific-SARS-Eastern-GrayWhale-dragged-.pdf" TargetMode="External"/><Relationship Id="rId452" Type="http://schemas.openxmlformats.org/officeDocument/2006/relationships/hyperlink" Target="https://media.fisheries.noaa.gov/dam-migration/2019_sars_alaska_harbor_seal.pdf" TargetMode="External"/><Relationship Id="rId897" Type="http://schemas.openxmlformats.org/officeDocument/2006/relationships/hyperlink" Target="https://media.fisheries.noaa.gov/dam-migration/pacific-2017-mes_beaked_whales-caorwa-508.pdf" TargetMode="External"/><Relationship Id="rId1082" Type="http://schemas.openxmlformats.org/officeDocument/2006/relationships/hyperlink" Target="https://media.fisheries.noaa.gov/2022-08/2021-NorthernElephant-California%20Breeding%20Stock.pdf" TargetMode="External"/><Relationship Id="rId105" Type="http://schemas.openxmlformats.org/officeDocument/2006/relationships/hyperlink" Target="https://www.fisheries.noaa.gov/s3/2023-08/Bowhead-Whale-WAS-2022.pdf" TargetMode="External"/><Relationship Id="rId312" Type="http://schemas.openxmlformats.org/officeDocument/2006/relationships/hyperlink" Target="https://media.fisheries.noaa.gov/2022-08/2021-HARBOR%20PORPOISE-Morro%20Bay%20Stock.pdf" TargetMode="External"/><Relationship Id="rId757" Type="http://schemas.openxmlformats.org/officeDocument/2006/relationships/hyperlink" Target="https://media.fisheries.noaa.gov/2022-08/2021-HumpbackWhale-CaliforniaOregonWashington%20Stock.pdf" TargetMode="External"/><Relationship Id="rId964" Type="http://schemas.openxmlformats.org/officeDocument/2006/relationships/hyperlink" Target="https://www.fisheries.noaa.gov/s3/2023-08/North-Atlantic-Right-Whale-Western-Atlantic-2022.pdf" TargetMode="External"/><Relationship Id="rId1387" Type="http://schemas.openxmlformats.org/officeDocument/2006/relationships/hyperlink" Target="https://media.fisheries.noaa.gov/dam-migration/2019_sars_alaska_steller_sea_lion_-_eastern_us.pdf" TargetMode="External"/><Relationship Id="rId1594" Type="http://schemas.openxmlformats.org/officeDocument/2006/relationships/hyperlink" Target="https://www.fisheries.noaa.gov/s3/2023-06/STELLERSEALIONEumetopiasjubatusWesternU.S.Stock-.pdf" TargetMode="External"/><Relationship Id="rId93" Type="http://schemas.openxmlformats.org/officeDocument/2006/relationships/hyperlink" Target="https://media.fisheries.noaa.gov/2022-08/2021-PacBluewhale-Eastern%20North%20Pacific%20Stock.pdf" TargetMode="External"/><Relationship Id="rId617" Type="http://schemas.openxmlformats.org/officeDocument/2006/relationships/hyperlink" Target="https://media.fisheries.noaa.gov/dam-migration/2019_sars_alaska_harbor_seal.pdf" TargetMode="External"/><Relationship Id="rId824" Type="http://schemas.openxmlformats.org/officeDocument/2006/relationships/hyperlink" Target="https://s3.amazonaws.com/media.fisheries.noaa.gov/2020-10/2019%20humpback%20whale%20gulf%20of%20Maine%20508.pdf?null" TargetMode="External"/><Relationship Id="rId1247" Type="http://schemas.openxmlformats.org/officeDocument/2006/relationships/hyperlink" Target="https://www.fws.gov/sites/default/files/documents/northern-sea-otter-washington-stock-assessment-report-july-2018.pdf" TargetMode="External"/><Relationship Id="rId1454" Type="http://schemas.openxmlformats.org/officeDocument/2006/relationships/hyperlink" Target="https://media.fisheries.noaa.gov/dam-migration/2019_sars_alaska_steller_sea_lion_-_eastern_us.pdf" TargetMode="External"/><Relationship Id="rId1661" Type="http://schemas.openxmlformats.org/officeDocument/2006/relationships/hyperlink" Target="https://www.fisheries.noaa.gov/s3/2023-06/STELLERSEALIONEumetopiasjubatusWesternU.S.Stock-.pdf" TargetMode="External"/><Relationship Id="rId1107" Type="http://schemas.openxmlformats.org/officeDocument/2006/relationships/hyperlink" Target="https://media.fisheries.noaa.gov/2022-08/2021-NorthernElephant-California%20Breeding%20Stock.pdf" TargetMode="External"/><Relationship Id="rId1314" Type="http://schemas.openxmlformats.org/officeDocument/2006/relationships/hyperlink" Target="https://www.fws.gov/sites/default/files/documents/southern-sea-otter-stock-assessment-report.pdf" TargetMode="External"/><Relationship Id="rId1521" Type="http://schemas.openxmlformats.org/officeDocument/2006/relationships/hyperlink" Target="https://www.fisheries.noaa.gov/s3/2023-06/STELLERSEALIONEumetopiasjubatusWesternU.S.Stock-.pdf" TargetMode="External"/><Relationship Id="rId1759" Type="http://schemas.openxmlformats.org/officeDocument/2006/relationships/hyperlink" Target="https://www.fisheries.noaa.gov/s3/2023-06/STELLERSEALIONEumetopiasjubatusWesternU.S.Stock-.pdf" TargetMode="External"/><Relationship Id="rId1619" Type="http://schemas.openxmlformats.org/officeDocument/2006/relationships/hyperlink" Target="https://www.fisheries.noaa.gov/s3/2023-06/STELLERSEALIONEumetopiasjubatusWesternU.S.Stock-.pdf" TargetMode="External"/><Relationship Id="rId1826" Type="http://schemas.openxmlformats.org/officeDocument/2006/relationships/hyperlink" Target="https://www.fisheries.noaa.gov/s3/2023-06/STELLERSEALIONEumetopiasjubatusWesternU.S.Stock-.pdf" TargetMode="External"/><Relationship Id="rId20" Type="http://schemas.openxmlformats.org/officeDocument/2006/relationships/hyperlink" Target="https://media.fisheries.noaa.gov/2022-08/pacific-2021-beaked-whale-mesoplodont.pdf" TargetMode="External"/><Relationship Id="rId267" Type="http://schemas.openxmlformats.org/officeDocument/2006/relationships/hyperlink" Target="https://www.fisheries.noaa.gov/s3/2021-08/2020-Pacific-SARS-Eastern-GrayWhale-dragged-.pdf" TargetMode="External"/><Relationship Id="rId474" Type="http://schemas.openxmlformats.org/officeDocument/2006/relationships/hyperlink" Target="https://media.fisheries.noaa.gov/dam-migration/2019_sars_alaska_harbor_seal.pdf" TargetMode="External"/><Relationship Id="rId127" Type="http://schemas.openxmlformats.org/officeDocument/2006/relationships/hyperlink" Target="https://media.fisheries.noaa.gov/dam-migration/ca_sea_lion_final_2018_sar.pdf" TargetMode="External"/><Relationship Id="rId681" Type="http://schemas.openxmlformats.org/officeDocument/2006/relationships/hyperlink" Target="https://media.fisheries.noaa.gov/dam-migration/po2014sehr-ca_508.pdf" TargetMode="External"/><Relationship Id="rId779" Type="http://schemas.openxmlformats.org/officeDocument/2006/relationships/hyperlink" Target="https://media.fisheries.noaa.gov/2022-08/2021-HumpbackWhale-CaliforniaOregonWashington%20Stock.pdf" TargetMode="External"/><Relationship Id="rId986" Type="http://schemas.openxmlformats.org/officeDocument/2006/relationships/hyperlink" Target="https://www.fisheries.noaa.gov/s3/2023-08/North-Atlantic-Right-Whale-Western-Atlantic-2022.pdf" TargetMode="External"/><Relationship Id="rId334" Type="http://schemas.openxmlformats.org/officeDocument/2006/relationships/hyperlink" Target="https://media.fisheries.noaa.gov/2022-08/2021-HARBOR%20PORPOISE-Monterey%20Bay%20Stock.pdf" TargetMode="External"/><Relationship Id="rId541" Type="http://schemas.openxmlformats.org/officeDocument/2006/relationships/hyperlink" Target="https://media.fisheries.noaa.gov/dam-migration/2019_sars_alaska_harbor_seal.pdf" TargetMode="External"/><Relationship Id="rId639" Type="http://schemas.openxmlformats.org/officeDocument/2006/relationships/hyperlink" Target="https://media.fisheries.noaa.gov/dam-migration/2019_sars_alaska_harbor_seal.pdf" TargetMode="External"/><Relationship Id="rId1171" Type="http://schemas.openxmlformats.org/officeDocument/2006/relationships/hyperlink" Target="https://www.fisheries.noaa.gov/s3/2022-08/2021-NORTHERN-FUR-SEAL-Callorhinus-ursinus-Eastern-Pacific-Stock.pdf" TargetMode="External"/><Relationship Id="rId1269" Type="http://schemas.openxmlformats.org/officeDocument/2006/relationships/hyperlink" Target="https://www.fws.gov/sites/default/files/documents/northern-sea-otter-washington-stock-assessment-report-july-2018.pdf" TargetMode="External"/><Relationship Id="rId1476" Type="http://schemas.openxmlformats.org/officeDocument/2006/relationships/hyperlink" Target="https://www.fisheries.noaa.gov/s3/2023-06/STELLERSEALIONEumetopiasjubatusWesternU.S.Stock-.pdf" TargetMode="External"/><Relationship Id="rId401" Type="http://schemas.openxmlformats.org/officeDocument/2006/relationships/hyperlink" Target="https://media.fisheries.noaa.gov/dam-migration/2019_sars_alaska_harbor_seal.pdf" TargetMode="External"/><Relationship Id="rId846" Type="http://schemas.openxmlformats.org/officeDocument/2006/relationships/hyperlink" Target="https://www.fisheries.noaa.gov/s3/2023-08/Killer-Whale-Eastern-North-Pacific-2022.pdf" TargetMode="External"/><Relationship Id="rId1031" Type="http://schemas.openxmlformats.org/officeDocument/2006/relationships/hyperlink" Target="https://media.fisheries.noaa.gov/2022-08/2021-NorthernElephant-California%20Breeding%20Stock.pdf" TargetMode="External"/><Relationship Id="rId1129" Type="http://schemas.openxmlformats.org/officeDocument/2006/relationships/hyperlink" Target="https://media.fisheries.noaa.gov/2022-08/2021-NorthernElephant-California%20Breeding%20Stock.pdf" TargetMode="External"/><Relationship Id="rId1683" Type="http://schemas.openxmlformats.org/officeDocument/2006/relationships/hyperlink" Target="https://www.fisheries.noaa.gov/s3/2023-06/STELLERSEALIONEumetopiasjubatusWesternU.S.Stock-.pdf" TargetMode="External"/><Relationship Id="rId1890" Type="http://schemas.openxmlformats.org/officeDocument/2006/relationships/hyperlink" Target="https://media.fisheries.noaa.gov/2021-08/2020-Pacific-SARS-stripeddolphin_hawaii.pdf" TargetMode="External"/><Relationship Id="rId706" Type="http://schemas.openxmlformats.org/officeDocument/2006/relationships/hyperlink" Target="https://media.fisheries.noaa.gov/dam-migration/po2013sehr-wain_508.pdf" TargetMode="External"/><Relationship Id="rId913" Type="http://schemas.openxmlformats.org/officeDocument/2006/relationships/hyperlink" Target="https://media.fisheries.noaa.gov/2022-08/2021-PACminke-CaliforniaOregonWashington%20Stock.pdf" TargetMode="External"/><Relationship Id="rId1336" Type="http://schemas.openxmlformats.org/officeDocument/2006/relationships/hyperlink" Target="https://www.fws.gov/sites/default/files/documents/southern-sea-otter-stock-assessment-report.pdf" TargetMode="External"/><Relationship Id="rId1543" Type="http://schemas.openxmlformats.org/officeDocument/2006/relationships/hyperlink" Target="https://www.fisheries.noaa.gov/s3/2023-06/STELLERSEALIONEumetopiasjubatusWesternU.S.Stock-.pdf" TargetMode="External"/><Relationship Id="rId1750" Type="http://schemas.openxmlformats.org/officeDocument/2006/relationships/hyperlink" Target="https://www.fisheries.noaa.gov/s3/2023-06/STELLERSEALIONEumetopiasjubatusWesternU.S.Stock-.pdf" TargetMode="External"/><Relationship Id="rId42" Type="http://schemas.openxmlformats.org/officeDocument/2006/relationships/hyperlink" Target="https://www.fisheries.noaa.gov/s3/2023-05/2021BELUGA-WHALE-Delphinapterus-leucas-Cook-Inlet-Stock.pdf" TargetMode="External"/><Relationship Id="rId1403" Type="http://schemas.openxmlformats.org/officeDocument/2006/relationships/hyperlink" Target="https://media.fisheries.noaa.gov/dam-migration/2019_sars_alaska_steller_sea_lion_-_eastern_us.pdf" TargetMode="External"/><Relationship Id="rId1610" Type="http://schemas.openxmlformats.org/officeDocument/2006/relationships/hyperlink" Target="https://www.fisheries.noaa.gov/s3/2023-06/STELLERSEALIONEumetopiasjubatusWesternU.S.Stock-.pdf" TargetMode="External"/><Relationship Id="rId1848" Type="http://schemas.openxmlformats.org/officeDocument/2006/relationships/hyperlink" Target="https://www.fisheries.noaa.gov/s3/2023-06/STELLERSEALIONEumetopiasjubatusWesternU.S.Stock-.pdf" TargetMode="External"/><Relationship Id="rId191" Type="http://schemas.openxmlformats.org/officeDocument/2006/relationships/hyperlink" Target="https://media.fisheries.noaa.gov/dam-migration/ca_sea_lion_final_2018_sar.pdf" TargetMode="External"/><Relationship Id="rId1708" Type="http://schemas.openxmlformats.org/officeDocument/2006/relationships/hyperlink" Target="https://www.fisheries.noaa.gov/s3/2023-06/STELLERSEALIONEumetopiasjubatusWesternU.S.Stock-.pdf" TargetMode="External"/><Relationship Id="rId289" Type="http://schemas.openxmlformats.org/officeDocument/2006/relationships/hyperlink" Target="https://media.fisheries.noaa.gov/2022-08/2021-HARBOR%20PORPOISE-San%20Francisco-Russian%20River%20Stock.pdf" TargetMode="External"/><Relationship Id="rId496" Type="http://schemas.openxmlformats.org/officeDocument/2006/relationships/hyperlink" Target="https://media.fisheries.noaa.gov/dam-migration/2019_sars_alaska_harbor_seal.pdf" TargetMode="External"/><Relationship Id="rId149" Type="http://schemas.openxmlformats.org/officeDocument/2006/relationships/hyperlink" Target="https://media.fisheries.noaa.gov/dam-migration/ca_sea_lion_final_2018_sar.pdf" TargetMode="External"/><Relationship Id="rId356" Type="http://schemas.openxmlformats.org/officeDocument/2006/relationships/hyperlink" Target="https://media.fisheries.noaa.gov/2022-08/2021-HARBOR%20PORPOISE-Monterey%20Bay%20Stock.pdf" TargetMode="External"/><Relationship Id="rId563" Type="http://schemas.openxmlformats.org/officeDocument/2006/relationships/hyperlink" Target="https://media.fisheries.noaa.gov/dam-migration/2019_sars_alaska_harbor_seal.pdf" TargetMode="External"/><Relationship Id="rId770" Type="http://schemas.openxmlformats.org/officeDocument/2006/relationships/hyperlink" Target="https://media.fisheries.noaa.gov/2022-08/2021-HumpbackWhale-CaliforniaOregonWashington%20Stock.pdf" TargetMode="External"/><Relationship Id="rId1193" Type="http://schemas.openxmlformats.org/officeDocument/2006/relationships/hyperlink" Target="https://www.fisheries.noaa.gov/s3/2022-08/2021-NORTHERN-FUR-SEAL-Callorhinus-ursinus-Eastern-Pacific-Stock.pdf" TargetMode="External"/><Relationship Id="rId216" Type="http://schemas.openxmlformats.org/officeDocument/2006/relationships/hyperlink" Target="https://media.fisheries.noaa.gov/2022-08/2021-DALL'S%20PORPOISE%20-%20CaliforniaOregonWashington%20Stock.pdf" TargetMode="External"/><Relationship Id="rId423" Type="http://schemas.openxmlformats.org/officeDocument/2006/relationships/hyperlink" Target="https://media.fisheries.noaa.gov/dam-migration/2019_sars_alaska_harbor_seal.pdf" TargetMode="External"/><Relationship Id="rId868" Type="http://schemas.openxmlformats.org/officeDocument/2006/relationships/hyperlink" Target="https://www.fisheries.noaa.gov/s3/2023-08/Killer-Whale-Eastern-North-Pacific-2022.pdf" TargetMode="External"/><Relationship Id="rId1053" Type="http://schemas.openxmlformats.org/officeDocument/2006/relationships/hyperlink" Target="https://media.fisheries.noaa.gov/2022-08/2021-NorthernElephant-California%20Breeding%20Stock.pdf" TargetMode="External"/><Relationship Id="rId1260" Type="http://schemas.openxmlformats.org/officeDocument/2006/relationships/hyperlink" Target="https://www.fws.gov/sites/default/files/documents/northern-sea-otter-washington-stock-assessment-report-july-2018.pdf" TargetMode="External"/><Relationship Id="rId1498" Type="http://schemas.openxmlformats.org/officeDocument/2006/relationships/hyperlink" Target="https://www.fisheries.noaa.gov/s3/2023-06/STELLERSEALIONEumetopiasjubatusWesternU.S.Stock-.pdf" TargetMode="External"/><Relationship Id="rId630" Type="http://schemas.openxmlformats.org/officeDocument/2006/relationships/hyperlink" Target="https://media.fisheries.noaa.gov/dam-migration/2019_sars_alaska_harbor_seal.pdf" TargetMode="External"/><Relationship Id="rId728" Type="http://schemas.openxmlformats.org/officeDocument/2006/relationships/hyperlink" Target="https://media.fisheries.noaa.gov/dam-migration/po2013sehr-owco_508.pdf" TargetMode="External"/><Relationship Id="rId935" Type="http://schemas.openxmlformats.org/officeDocument/2006/relationships/hyperlink" Target="https://www.fisheries.noaa.gov/s3/2023-08/North-Atlantic-Right-Whale-Western-Atlantic-2022.pdf" TargetMode="External"/><Relationship Id="rId1358" Type="http://schemas.openxmlformats.org/officeDocument/2006/relationships/hyperlink" Target="https://media.fisheries.noaa.gov/dam-migration/2019_sars_alaska_steller_sea_lion_-_eastern_us.pdf" TargetMode="External"/><Relationship Id="rId1565" Type="http://schemas.openxmlformats.org/officeDocument/2006/relationships/hyperlink" Target="https://www.fisheries.noaa.gov/s3/2023-06/STELLERSEALIONEumetopiasjubatusWesternU.S.Stock-.pdf" TargetMode="External"/><Relationship Id="rId1772" Type="http://schemas.openxmlformats.org/officeDocument/2006/relationships/hyperlink" Target="https://www.fisheries.noaa.gov/s3/2023-06/STELLERSEALIONEumetopiasjubatusWesternU.S.Stock-.pdf" TargetMode="External"/><Relationship Id="rId64" Type="http://schemas.openxmlformats.org/officeDocument/2006/relationships/hyperlink" Target="https://media.fisheries.noaa.gov/2022-08/2021-PacBluewhale-Eastern%20North%20Pacific%20Stock.pdf" TargetMode="External"/><Relationship Id="rId1120" Type="http://schemas.openxmlformats.org/officeDocument/2006/relationships/hyperlink" Target="https://media.fisheries.noaa.gov/2022-08/2021-NorthernElephant-California%20Breeding%20Stock.pdf" TargetMode="External"/><Relationship Id="rId1218" Type="http://schemas.openxmlformats.org/officeDocument/2006/relationships/hyperlink" Target="https://www.fisheries.noaa.gov/s3/2022-08/2021-NORTHERN-FUR-SEAL-Callorhinus-ursinus-Eastern-Pacific-Stock.pdf" TargetMode="External"/><Relationship Id="rId1425" Type="http://schemas.openxmlformats.org/officeDocument/2006/relationships/hyperlink" Target="https://media.fisheries.noaa.gov/dam-migration/2019_sars_alaska_steller_sea_lion_-_eastern_us.pdf" TargetMode="External"/><Relationship Id="rId1632" Type="http://schemas.openxmlformats.org/officeDocument/2006/relationships/hyperlink" Target="https://www.fisheries.noaa.gov/s3/2023-06/STELLERSEALIONEumetopiasjubatusWesternU.S.Stock-.pdf" TargetMode="External"/><Relationship Id="rId280" Type="http://schemas.openxmlformats.org/officeDocument/2006/relationships/hyperlink" Target="https://media.fisheries.noaa.gov/2022-08/2021-HARBOR%20PORPOISE-San%20Francisco-Russian%20River%20Stock.pdf" TargetMode="External"/><Relationship Id="rId140" Type="http://schemas.openxmlformats.org/officeDocument/2006/relationships/hyperlink" Target="https://media.fisheries.noaa.gov/dam-migration/ca_sea_lion_final_2018_sar.pdf" TargetMode="External"/><Relationship Id="rId378" Type="http://schemas.openxmlformats.org/officeDocument/2006/relationships/hyperlink" Target="https://media.fisheries.noaa.gov/2022-08/2021-HARBOR%20PORPOISE%20-Northern%20CaliforniaSouthern%20Oregon%20Stock.pdf" TargetMode="External"/><Relationship Id="rId585" Type="http://schemas.openxmlformats.org/officeDocument/2006/relationships/hyperlink" Target="https://media.fisheries.noaa.gov/dam-migration/2019_sars_alaska_harbor_seal.pdf" TargetMode="External"/><Relationship Id="rId792" Type="http://schemas.openxmlformats.org/officeDocument/2006/relationships/hyperlink" Target="https://s3.amazonaws.com/media.fisheries.noaa.gov/2020-10/2019%20humpback%20whale%20gulf%20of%20Maine%20508.pdf?null" TargetMode="External"/><Relationship Id="rId6" Type="http://schemas.openxmlformats.org/officeDocument/2006/relationships/hyperlink" Target="https://media.fisheries.noaa.gov/2022-08/pacific-2021-beaked-whale-mesoplodont.pdf" TargetMode="External"/><Relationship Id="rId238" Type="http://schemas.openxmlformats.org/officeDocument/2006/relationships/hyperlink" Target="https://media.fisheries.noaa.gov/2022-08/2021-PACfinwhale-CaliforniaOregonWashington%20Stock.pdf" TargetMode="External"/><Relationship Id="rId445" Type="http://schemas.openxmlformats.org/officeDocument/2006/relationships/hyperlink" Target="https://media.fisheries.noaa.gov/dam-migration/2019_sars_alaska_harbor_seal.pdf" TargetMode="External"/><Relationship Id="rId652" Type="http://schemas.openxmlformats.org/officeDocument/2006/relationships/hyperlink" Target="https://media.fisheries.noaa.gov/dam-migration/po2014sehr-ca_508.pdf" TargetMode="External"/><Relationship Id="rId1075" Type="http://schemas.openxmlformats.org/officeDocument/2006/relationships/hyperlink" Target="https://media.fisheries.noaa.gov/2022-08/2021-NorthernElephant-California%20Breeding%20Stock.pdf" TargetMode="External"/><Relationship Id="rId1282" Type="http://schemas.openxmlformats.org/officeDocument/2006/relationships/hyperlink" Target="https://www.fisheries.noaa.gov/s3/2022-08/2021-PACWHITESIDE-CaliforniaOregonWashington-Northern-and-Southern-Stocks.pdf" TargetMode="External"/><Relationship Id="rId305" Type="http://schemas.openxmlformats.org/officeDocument/2006/relationships/hyperlink" Target="https://media.fisheries.noaa.gov/2022-08/2021-HARBOR%20PORPOISE-Morro%20Bay%20Stock.pdf" TargetMode="External"/><Relationship Id="rId512" Type="http://schemas.openxmlformats.org/officeDocument/2006/relationships/hyperlink" Target="https://media.fisheries.noaa.gov/dam-migration/2019_sars_alaska_harbor_seal.pdf" TargetMode="External"/><Relationship Id="rId957" Type="http://schemas.openxmlformats.org/officeDocument/2006/relationships/hyperlink" Target="https://www.fisheries.noaa.gov/s3/2023-08/North-Atlantic-Right-Whale-Western-Atlantic-2022.pdf" TargetMode="External"/><Relationship Id="rId1142" Type="http://schemas.openxmlformats.org/officeDocument/2006/relationships/hyperlink" Target="https://media.fisheries.noaa.gov/2022-08/2021-NorthernElephant-California%20Breeding%20Stock.pdf" TargetMode="External"/><Relationship Id="rId1587" Type="http://schemas.openxmlformats.org/officeDocument/2006/relationships/hyperlink" Target="https://www.fisheries.noaa.gov/s3/2023-06/STELLERSEALIONEumetopiasjubatusWesternU.S.Stock-.pdf" TargetMode="External"/><Relationship Id="rId1794" Type="http://schemas.openxmlformats.org/officeDocument/2006/relationships/hyperlink" Target="https://www.fisheries.noaa.gov/s3/2023-06/STELLERSEALIONEumetopiasjubatusWesternU.S.Stock-.pdf" TargetMode="External"/><Relationship Id="rId86" Type="http://schemas.openxmlformats.org/officeDocument/2006/relationships/hyperlink" Target="https://media.fisheries.noaa.gov/2022-08/2021-PacBluewhale-Eastern%20North%20Pacific%20Stock.pdf" TargetMode="External"/><Relationship Id="rId817" Type="http://schemas.openxmlformats.org/officeDocument/2006/relationships/hyperlink" Target="https://s3.amazonaws.com/media.fisheries.noaa.gov/2020-10/2019%20humpback%20whale%20gulf%20of%20Maine%20508.pdf?null" TargetMode="External"/><Relationship Id="rId1002" Type="http://schemas.openxmlformats.org/officeDocument/2006/relationships/hyperlink" Target="https://www.fisheries.noaa.gov/s3/2023-08/North-Atlantic-Right-Whale-Western-Atlantic-2022.pdf" TargetMode="External"/><Relationship Id="rId1447" Type="http://schemas.openxmlformats.org/officeDocument/2006/relationships/hyperlink" Target="https://media.fisheries.noaa.gov/dam-migration/2019_sars_alaska_steller_sea_lion_-_eastern_us.pdf" TargetMode="External"/><Relationship Id="rId1654" Type="http://schemas.openxmlformats.org/officeDocument/2006/relationships/hyperlink" Target="https://www.fisheries.noaa.gov/s3/2023-06/STELLERSEALIONEumetopiasjubatusWesternU.S.Stock-.pdf" TargetMode="External"/><Relationship Id="rId1861" Type="http://schemas.openxmlformats.org/officeDocument/2006/relationships/hyperlink" Target="https://www.fisheries.noaa.gov/s3/2023-06/STELLERSEALIONEumetopiasjubatusWesternU.S.Stock-.pdf" TargetMode="External"/><Relationship Id="rId1307" Type="http://schemas.openxmlformats.org/officeDocument/2006/relationships/hyperlink" Target="https://media.fisheries.noaa.gov/2021-08/2020-Pacific-SARS-ShortFinPWHI.pdf" TargetMode="External"/><Relationship Id="rId1514" Type="http://schemas.openxmlformats.org/officeDocument/2006/relationships/hyperlink" Target="https://www.fisheries.noaa.gov/s3/2023-06/STELLERSEALIONEumetopiasjubatusWesternU.S.Stock-.pdf" TargetMode="External"/><Relationship Id="rId1721" Type="http://schemas.openxmlformats.org/officeDocument/2006/relationships/hyperlink" Target="https://www.fisheries.noaa.gov/s3/2023-06/STELLERSEALIONEumetopiasjubatusWesternU.S.Stock-.pdf" TargetMode="External"/><Relationship Id="rId13" Type="http://schemas.openxmlformats.org/officeDocument/2006/relationships/hyperlink" Target="https://media.fisheries.noaa.gov/2022-08/pacific-2021-beaked-whale-mesoplodont.pdf" TargetMode="External"/><Relationship Id="rId1819" Type="http://schemas.openxmlformats.org/officeDocument/2006/relationships/hyperlink" Target="https://www.fisheries.noaa.gov/s3/2023-06/STELLERSEALIONEumetopiasjubatusWesternU.S.Stock-.pdf" TargetMode="External"/><Relationship Id="rId162" Type="http://schemas.openxmlformats.org/officeDocument/2006/relationships/hyperlink" Target="https://media.fisheries.noaa.gov/dam-migration/ca_sea_lion_final_2018_sar.pdf" TargetMode="External"/><Relationship Id="rId467" Type="http://schemas.openxmlformats.org/officeDocument/2006/relationships/hyperlink" Target="https://media.fisheries.noaa.gov/dam-migration/2019_sars_alaska_harbor_seal.pdf" TargetMode="External"/><Relationship Id="rId1097" Type="http://schemas.openxmlformats.org/officeDocument/2006/relationships/hyperlink" Target="https://media.fisheries.noaa.gov/2022-08/2021-NorthernElephant-California%20Breeding%20Stock.pdf" TargetMode="External"/><Relationship Id="rId674" Type="http://schemas.openxmlformats.org/officeDocument/2006/relationships/hyperlink" Target="https://media.fisheries.noaa.gov/dam-migration/po2014sehr-ca_508.pdf" TargetMode="External"/><Relationship Id="rId881" Type="http://schemas.openxmlformats.org/officeDocument/2006/relationships/hyperlink" Target="https://media.fisheries.noaa.gov/2022-08/2021-LONG-BEAKED%20COMMON%20DOLPHIN-California%20Stock.pdf" TargetMode="External"/><Relationship Id="rId979" Type="http://schemas.openxmlformats.org/officeDocument/2006/relationships/hyperlink" Target="https://www.fisheries.noaa.gov/s3/2023-08/North-Atlantic-Right-Whale-Western-Atlantic-2022.pdf" TargetMode="External"/><Relationship Id="rId327" Type="http://schemas.openxmlformats.org/officeDocument/2006/relationships/hyperlink" Target="https://media.fisheries.noaa.gov/2022-08/2021-HARBOR%20PORPOISE-Morro%20Bay%20Stock.pdf" TargetMode="External"/><Relationship Id="rId534" Type="http://schemas.openxmlformats.org/officeDocument/2006/relationships/hyperlink" Target="https://media.fisheries.noaa.gov/dam-migration/2019_sars_alaska_harbor_seal.pdf" TargetMode="External"/><Relationship Id="rId741" Type="http://schemas.openxmlformats.org/officeDocument/2006/relationships/hyperlink" Target="https://www.fisheries.noaa.gov/s3/2023-08/Monk-Seal-2022.pdf" TargetMode="External"/><Relationship Id="rId839" Type="http://schemas.openxmlformats.org/officeDocument/2006/relationships/hyperlink" Target="https://www.fisheries.noaa.gov/s3/2023-08/Killer-Whale-Eastern-North-Pacific-2022.pdf" TargetMode="External"/><Relationship Id="rId1164" Type="http://schemas.openxmlformats.org/officeDocument/2006/relationships/hyperlink" Target="https://www.fisheries.noaa.gov/s3/2022-08/2021-NORTHERN-FUR-SEAL-Callorhinus-ursinus-Eastern-Pacific-Stock.pdf" TargetMode="External"/><Relationship Id="rId1371" Type="http://schemas.openxmlformats.org/officeDocument/2006/relationships/hyperlink" Target="https://media.fisheries.noaa.gov/dam-migration/2019_sars_alaska_steller_sea_lion_-_eastern_us.pdf" TargetMode="External"/><Relationship Id="rId1469" Type="http://schemas.openxmlformats.org/officeDocument/2006/relationships/hyperlink" Target="https://media.fisheries.noaa.gov/dam-migration/2019_sars_alaska_steller_sea_lion_-_eastern_us.pdf" TargetMode="External"/><Relationship Id="rId601" Type="http://schemas.openxmlformats.org/officeDocument/2006/relationships/hyperlink" Target="https://media.fisheries.noaa.gov/dam-migration/2019_sars_alaska_harbor_seal.pdf" TargetMode="External"/><Relationship Id="rId1024" Type="http://schemas.openxmlformats.org/officeDocument/2006/relationships/hyperlink" Target="https://media.fisheries.noaa.gov/2022-08/2021-NorthernElephant-California%20Breeding%20Stock.pdf" TargetMode="External"/><Relationship Id="rId1231" Type="http://schemas.openxmlformats.org/officeDocument/2006/relationships/hyperlink" Target="https://media.fisheries.noaa.gov/2022-08/2021-NorthernRWdolphin-CaliforniaOregonWashington%20Stock.pdf" TargetMode="External"/><Relationship Id="rId1676" Type="http://schemas.openxmlformats.org/officeDocument/2006/relationships/hyperlink" Target="https://www.fisheries.noaa.gov/s3/2023-06/STELLERSEALIONEumetopiasjubatusWesternU.S.Stock-.pdf" TargetMode="External"/><Relationship Id="rId1883" Type="http://schemas.openxmlformats.org/officeDocument/2006/relationships/hyperlink" Target="https://media.fisheries.noaa.gov/2022-08/2021-STRIPED%20DOLPHIN-CaliforniaOregonWashington-Stock.pdf" TargetMode="External"/><Relationship Id="rId906" Type="http://schemas.openxmlformats.org/officeDocument/2006/relationships/hyperlink" Target="https://media.fisheries.noaa.gov/2022-08/2021-PACminke-CaliforniaOregonWashington%20Stock.pdf" TargetMode="External"/><Relationship Id="rId1329" Type="http://schemas.openxmlformats.org/officeDocument/2006/relationships/hyperlink" Target="https://www.fws.gov/sites/default/files/documents/southern-sea-otter-stock-assessment-report.pdf" TargetMode="External"/><Relationship Id="rId1536" Type="http://schemas.openxmlformats.org/officeDocument/2006/relationships/hyperlink" Target="https://www.fisheries.noaa.gov/s3/2023-06/STELLERSEALIONEumetopiasjubatusWesternU.S.Stock-.pdf" TargetMode="External"/><Relationship Id="rId1743" Type="http://schemas.openxmlformats.org/officeDocument/2006/relationships/hyperlink" Target="https://www.fisheries.noaa.gov/s3/2023-06/STELLERSEALIONEumetopiasjubatusWesternU.S.Stock-.pdf" TargetMode="External"/><Relationship Id="rId35" Type="http://schemas.openxmlformats.org/officeDocument/2006/relationships/hyperlink" Target="https://www.fisheries.noaa.gov/s3/2023-05/2021BELUGA-WHALE-Delphinapterus-leucas-Cook-Inlet-Stock.pdf" TargetMode="External"/><Relationship Id="rId1603" Type="http://schemas.openxmlformats.org/officeDocument/2006/relationships/hyperlink" Target="https://www.fisheries.noaa.gov/s3/2023-06/STELLERSEALIONEumetopiasjubatusWesternU.S.Stock-.pdf" TargetMode="External"/><Relationship Id="rId1810" Type="http://schemas.openxmlformats.org/officeDocument/2006/relationships/hyperlink" Target="https://www.fisheries.noaa.gov/s3/2023-06/STELLERSEALIONEumetopiasjubatusWesternU.S.Stock-.pdf" TargetMode="External"/><Relationship Id="rId184" Type="http://schemas.openxmlformats.org/officeDocument/2006/relationships/hyperlink" Target="https://media.fisheries.noaa.gov/dam-migration/ca_sea_lion_final_2018_sar.pdf" TargetMode="External"/><Relationship Id="rId391" Type="http://schemas.openxmlformats.org/officeDocument/2006/relationships/hyperlink" Target="https://media.fisheries.noaa.gov/dam-migration/2019_sars_alaska_harbor_seal.pdf" TargetMode="External"/><Relationship Id="rId251" Type="http://schemas.openxmlformats.org/officeDocument/2006/relationships/hyperlink" Target="https://www.fisheries.noaa.gov/s3/2021-08/2020-Pacific-SARS-Eastern-GrayWhale-dragged-.pdf" TargetMode="External"/><Relationship Id="rId489" Type="http://schemas.openxmlformats.org/officeDocument/2006/relationships/hyperlink" Target="https://media.fisheries.noaa.gov/dam-migration/2019_sars_alaska_harbor_seal.pdf" TargetMode="External"/><Relationship Id="rId696" Type="http://schemas.openxmlformats.org/officeDocument/2006/relationships/hyperlink" Target="https://media.fisheries.noaa.gov/dam-migration/po2013sehr-owco_508.pdf" TargetMode="External"/><Relationship Id="rId349" Type="http://schemas.openxmlformats.org/officeDocument/2006/relationships/hyperlink" Target="https://media.fisheries.noaa.gov/2022-08/2021-HARBOR%20PORPOISE-Monterey%20Bay%20Stock.pdf" TargetMode="External"/><Relationship Id="rId556" Type="http://schemas.openxmlformats.org/officeDocument/2006/relationships/hyperlink" Target="https://media.fisheries.noaa.gov/dam-migration/2019_sars_alaska_harbor_seal.pdf" TargetMode="External"/><Relationship Id="rId763" Type="http://schemas.openxmlformats.org/officeDocument/2006/relationships/hyperlink" Target="https://media.fisheries.noaa.gov/2022-08/2021-HumpbackWhale-CaliforniaOregonWashington%20Stock.pdf" TargetMode="External"/><Relationship Id="rId1186" Type="http://schemas.openxmlformats.org/officeDocument/2006/relationships/hyperlink" Target="https://www.fisheries.noaa.gov/s3/2022-08/2021-NORTHERN-FUR-SEAL-Callorhinus-ursinus-Eastern-Pacific-Stock.pdf" TargetMode="External"/><Relationship Id="rId1393" Type="http://schemas.openxmlformats.org/officeDocument/2006/relationships/hyperlink" Target="https://media.fisheries.noaa.gov/dam-migration/2019_sars_alaska_steller_sea_lion_-_eastern_us.pdf" TargetMode="External"/><Relationship Id="rId111" Type="http://schemas.openxmlformats.org/officeDocument/2006/relationships/hyperlink" Target="https://www.fisheries.noaa.gov/s3/2023-08/Bowhead-Whale-WAS-2022.pdf" TargetMode="External"/><Relationship Id="rId209" Type="http://schemas.openxmlformats.org/officeDocument/2006/relationships/hyperlink" Target="https://media.fisheries.noaa.gov/2022-08/2021-DALL'S%20PORPOISE%20-%20CaliforniaOregonWashington%20Stock.pdf" TargetMode="External"/><Relationship Id="rId416" Type="http://schemas.openxmlformats.org/officeDocument/2006/relationships/hyperlink" Target="https://media.fisheries.noaa.gov/dam-migration/2019_sars_alaska_harbor_seal.pdf" TargetMode="External"/><Relationship Id="rId970" Type="http://schemas.openxmlformats.org/officeDocument/2006/relationships/hyperlink" Target="https://www.fisheries.noaa.gov/s3/2023-08/North-Atlantic-Right-Whale-Western-Atlantic-2022.pdf" TargetMode="External"/><Relationship Id="rId1046" Type="http://schemas.openxmlformats.org/officeDocument/2006/relationships/hyperlink" Target="https://media.fisheries.noaa.gov/2022-08/2021-NorthernElephant-California%20Breeding%20Stock.pdf" TargetMode="External"/><Relationship Id="rId1253" Type="http://schemas.openxmlformats.org/officeDocument/2006/relationships/hyperlink" Target="https://www.fws.gov/sites/default/files/documents/northern-sea-otter-washington-stock-assessment-report-july-2018.pdf" TargetMode="External"/><Relationship Id="rId1698" Type="http://schemas.openxmlformats.org/officeDocument/2006/relationships/hyperlink" Target="https://www.fisheries.noaa.gov/s3/2023-06/STELLERSEALIONEumetopiasjubatusWesternU.S.Stock-.pdf" TargetMode="External"/><Relationship Id="rId623" Type="http://schemas.openxmlformats.org/officeDocument/2006/relationships/hyperlink" Target="https://media.fisheries.noaa.gov/dam-migration/2019_sars_alaska_harbor_seal.pdf" TargetMode="External"/><Relationship Id="rId830" Type="http://schemas.openxmlformats.org/officeDocument/2006/relationships/hyperlink" Target="https://s3.amazonaws.com/media.fisheries.noaa.gov/2020-10/2019%20humpback%20whale%20gulf%20of%20Maine%20508.pdf?null" TargetMode="External"/><Relationship Id="rId928" Type="http://schemas.openxmlformats.org/officeDocument/2006/relationships/hyperlink" Target="https://www.fisheries.noaa.gov/s3/2023-08/North-Atlantic-Right-Whale-Western-Atlantic-2022.pdf" TargetMode="External"/><Relationship Id="rId1460" Type="http://schemas.openxmlformats.org/officeDocument/2006/relationships/hyperlink" Target="https://media.fisheries.noaa.gov/dam-migration/2019_sars_alaska_steller_sea_lion_-_eastern_us.pdf" TargetMode="External"/><Relationship Id="rId1558" Type="http://schemas.openxmlformats.org/officeDocument/2006/relationships/hyperlink" Target="https://www.fisheries.noaa.gov/s3/2023-06/STELLERSEALIONEumetopiasjubatusWesternU.S.Stock-.pdf" TargetMode="External"/><Relationship Id="rId1765" Type="http://schemas.openxmlformats.org/officeDocument/2006/relationships/hyperlink" Target="https://www.fisheries.noaa.gov/s3/2023-06/STELLERSEALIONEumetopiasjubatusWesternU.S.Stock-.pdf" TargetMode="External"/><Relationship Id="rId57" Type="http://schemas.openxmlformats.org/officeDocument/2006/relationships/hyperlink" Target="https://media.fisheries.noaa.gov/2022-08/2021-PacBluewhale-Eastern%20North%20Pacific%20Stock.pdf" TargetMode="External"/><Relationship Id="rId1113" Type="http://schemas.openxmlformats.org/officeDocument/2006/relationships/hyperlink" Target="https://media.fisheries.noaa.gov/2022-08/2021-NorthernElephant-California%20Breeding%20Stock.pdf" TargetMode="External"/><Relationship Id="rId1320" Type="http://schemas.openxmlformats.org/officeDocument/2006/relationships/hyperlink" Target="https://www.fws.gov/sites/default/files/documents/southern-sea-otter-stock-assessment-report.pdf" TargetMode="External"/><Relationship Id="rId1418" Type="http://schemas.openxmlformats.org/officeDocument/2006/relationships/hyperlink" Target="https://media.fisheries.noaa.gov/dam-migration/2019_sars_alaska_steller_sea_lion_-_eastern_us.pdf" TargetMode="External"/><Relationship Id="rId1625" Type="http://schemas.openxmlformats.org/officeDocument/2006/relationships/hyperlink" Target="https://www.fisheries.noaa.gov/s3/2023-06/STELLERSEALIONEumetopiasjubatusWesternU.S.Stock-.pdf" TargetMode="External"/><Relationship Id="rId1832" Type="http://schemas.openxmlformats.org/officeDocument/2006/relationships/hyperlink" Target="https://www.fisheries.noaa.gov/s3/2023-06/STELLERSEALIONEumetopiasjubatusWesternU.S.Stock-.pdf" TargetMode="External"/><Relationship Id="rId273" Type="http://schemas.openxmlformats.org/officeDocument/2006/relationships/hyperlink" Target="https://media.fisheries.noaa.gov/2022-08/2021-HARBOR%20PORPOISE-San%20Francisco-Russian%20River%20Stock.pdf" TargetMode="External"/><Relationship Id="rId480" Type="http://schemas.openxmlformats.org/officeDocument/2006/relationships/hyperlink" Target="https://media.fisheries.noaa.gov/dam-migration/2019_sars_alaska_harbor_seal.pdf" TargetMode="External"/><Relationship Id="rId133" Type="http://schemas.openxmlformats.org/officeDocument/2006/relationships/hyperlink" Target="https://media.fisheries.noaa.gov/dam-migration/ca_sea_lion_final_2018_sar.pdf" TargetMode="External"/><Relationship Id="rId340" Type="http://schemas.openxmlformats.org/officeDocument/2006/relationships/hyperlink" Target="https://media.fisheries.noaa.gov/2022-08/2021-HARBOR%20PORPOISE-Monterey%20Bay%20Stock.pdf" TargetMode="External"/><Relationship Id="rId578" Type="http://schemas.openxmlformats.org/officeDocument/2006/relationships/hyperlink" Target="https://media.fisheries.noaa.gov/dam-migration/2019_sars_alaska_harbor_seal.pdf" TargetMode="External"/><Relationship Id="rId785" Type="http://schemas.openxmlformats.org/officeDocument/2006/relationships/hyperlink" Target="https://s3.amazonaws.com/media.fisheries.noaa.gov/2020-10/2019%20humpback%20whale%20gulf%20of%20Maine%20508.pdf?null" TargetMode="External"/><Relationship Id="rId992" Type="http://schemas.openxmlformats.org/officeDocument/2006/relationships/hyperlink" Target="https://www.fisheries.noaa.gov/s3/2023-08/North-Atlantic-Right-Whale-Western-Atlantic-2022.pdf" TargetMode="External"/><Relationship Id="rId200" Type="http://schemas.openxmlformats.org/officeDocument/2006/relationships/hyperlink" Target="https://www.fisheries.noaa.gov/s3/2023-08/Cuviers-CAORWA-2022.pdf" TargetMode="External"/><Relationship Id="rId438" Type="http://schemas.openxmlformats.org/officeDocument/2006/relationships/hyperlink" Target="https://media.fisheries.noaa.gov/dam-migration/2019_sars_alaska_harbor_seal.pdf" TargetMode="External"/><Relationship Id="rId645" Type="http://schemas.openxmlformats.org/officeDocument/2006/relationships/hyperlink" Target="https://media.fisheries.noaa.gov/dam-migration/po2014sehr-ca_508.pdf" TargetMode="External"/><Relationship Id="rId852" Type="http://schemas.openxmlformats.org/officeDocument/2006/relationships/hyperlink" Target="https://www.fisheries.noaa.gov/s3/2023-08/Killer-Whale-Eastern-North-Pacific-2022.pdf" TargetMode="External"/><Relationship Id="rId1068" Type="http://schemas.openxmlformats.org/officeDocument/2006/relationships/hyperlink" Target="https://media.fisheries.noaa.gov/2022-08/2021-NorthernElephant-California%20Breeding%20Stock.pdf" TargetMode="External"/><Relationship Id="rId1275" Type="http://schemas.openxmlformats.org/officeDocument/2006/relationships/hyperlink" Target="https://www.fisheries.noaa.gov/s3/2022-08/2021-PACWHITESIDE-CaliforniaOregonWashington-Northern-and-Southern-Stocks.pdf" TargetMode="External"/><Relationship Id="rId1482" Type="http://schemas.openxmlformats.org/officeDocument/2006/relationships/hyperlink" Target="https://www.fisheries.noaa.gov/s3/2023-06/STELLERSEALIONEumetopiasjubatusWesternU.S.Stock-.pdf" TargetMode="External"/><Relationship Id="rId505" Type="http://schemas.openxmlformats.org/officeDocument/2006/relationships/hyperlink" Target="https://media.fisheries.noaa.gov/dam-migration/2019_sars_alaska_harbor_seal.pdf" TargetMode="External"/><Relationship Id="rId712" Type="http://schemas.openxmlformats.org/officeDocument/2006/relationships/hyperlink" Target="https://media.fisheries.noaa.gov/dam-migration/po2013sehr-wain_508.pdf" TargetMode="External"/><Relationship Id="rId1135" Type="http://schemas.openxmlformats.org/officeDocument/2006/relationships/hyperlink" Target="https://media.fisheries.noaa.gov/2022-08/2021-NorthernElephant-California%20Breeding%20Stock.pdf" TargetMode="External"/><Relationship Id="rId1342" Type="http://schemas.openxmlformats.org/officeDocument/2006/relationships/hyperlink" Target="https://www.fws.gov/sites/default/files/documents/southern-sea-otter-stock-assessment-report.pdf" TargetMode="External"/><Relationship Id="rId1787" Type="http://schemas.openxmlformats.org/officeDocument/2006/relationships/hyperlink" Target="https://www.fisheries.noaa.gov/s3/2023-06/STELLERSEALIONEumetopiasjubatusWesternU.S.Stock-.pdf" TargetMode="External"/><Relationship Id="rId79" Type="http://schemas.openxmlformats.org/officeDocument/2006/relationships/hyperlink" Target="https://media.fisheries.noaa.gov/2022-08/2021-PacBluewhale-Eastern%20North%20Pacific%20Stock.pdf" TargetMode="External"/><Relationship Id="rId1202" Type="http://schemas.openxmlformats.org/officeDocument/2006/relationships/hyperlink" Target="https://www.fisheries.noaa.gov/s3/2022-08/2021-NORTHERN-FUR-SEAL-Callorhinus-ursinus-Eastern-Pacific-Stock.pdf" TargetMode="External"/><Relationship Id="rId1647" Type="http://schemas.openxmlformats.org/officeDocument/2006/relationships/hyperlink" Target="https://www.fisheries.noaa.gov/s3/2023-06/STELLERSEALIONEumetopiasjubatusWesternU.S.Stock-.pdf" TargetMode="External"/><Relationship Id="rId1854" Type="http://schemas.openxmlformats.org/officeDocument/2006/relationships/hyperlink" Target="https://www.fisheries.noaa.gov/s3/2023-06/STELLERSEALIONEumetopiasjubatusWesternU.S.Stock-.pdf" TargetMode="External"/><Relationship Id="rId1507" Type="http://schemas.openxmlformats.org/officeDocument/2006/relationships/hyperlink" Target="https://www.fisheries.noaa.gov/s3/2023-06/STELLERSEALIONEumetopiasjubatusWesternU.S.Stock-.pdf" TargetMode="External"/><Relationship Id="rId1714" Type="http://schemas.openxmlformats.org/officeDocument/2006/relationships/hyperlink" Target="https://www.fisheries.noaa.gov/s3/2023-06/STELLERSEALIONEumetopiasjubatusWesternU.S.Stock-.pdf" TargetMode="External"/><Relationship Id="rId295" Type="http://schemas.openxmlformats.org/officeDocument/2006/relationships/hyperlink" Target="https://media.fisheries.noaa.gov/2022-08/2021-HARBOR%20PORPOISE-San%20Francisco-Russian%20River%20Stock.pdf" TargetMode="External"/><Relationship Id="rId155" Type="http://schemas.openxmlformats.org/officeDocument/2006/relationships/hyperlink" Target="https://media.fisheries.noaa.gov/dam-migration/ca_sea_lion_final_2018_sar.pdf" TargetMode="External"/><Relationship Id="rId362" Type="http://schemas.openxmlformats.org/officeDocument/2006/relationships/hyperlink" Target="https://media.fisheries.noaa.gov/2022-08/2021-HARBOR%20PORPOISE%20-Northern%20CaliforniaSouthern%20Oregon%20Stock.pdf" TargetMode="External"/><Relationship Id="rId1297" Type="http://schemas.openxmlformats.org/officeDocument/2006/relationships/hyperlink" Target="https://media.fisheries.noaa.gov/2022-08/2021-shortbeak-common-dolphin-CaliforniaOregonWashington%20Stock.pdf" TargetMode="External"/><Relationship Id="rId222" Type="http://schemas.openxmlformats.org/officeDocument/2006/relationships/hyperlink" Target="https://media.fisheries.noaa.gov/2022-08/2021-FALSE%20KILLER%20WHALE-Hawaiian%20Islands%20Stock%20Complex.pdf" TargetMode="External"/><Relationship Id="rId667" Type="http://schemas.openxmlformats.org/officeDocument/2006/relationships/hyperlink" Target="https://media.fisheries.noaa.gov/dam-migration/po2014sehr-ca_508.pdf" TargetMode="External"/><Relationship Id="rId874" Type="http://schemas.openxmlformats.org/officeDocument/2006/relationships/hyperlink" Target="https://www.fisheries.noaa.gov/s3/2023-08/Killer-Whale-Eastern-North-Pacific-2022.pdf" TargetMode="External"/><Relationship Id="rId527" Type="http://schemas.openxmlformats.org/officeDocument/2006/relationships/hyperlink" Target="https://media.fisheries.noaa.gov/dam-migration/2019_sars_alaska_harbor_seal.pdf" TargetMode="External"/><Relationship Id="rId734" Type="http://schemas.openxmlformats.org/officeDocument/2006/relationships/hyperlink" Target="https://media.fisheries.noaa.gov/dam-migration/po2013sehr-owco_508.pdf" TargetMode="External"/><Relationship Id="rId941" Type="http://schemas.openxmlformats.org/officeDocument/2006/relationships/hyperlink" Target="https://www.fisheries.noaa.gov/s3/2023-08/North-Atlantic-Right-Whale-Western-Atlantic-2022.pdf" TargetMode="External"/><Relationship Id="rId1157" Type="http://schemas.openxmlformats.org/officeDocument/2006/relationships/hyperlink" Target="https://www.fisheries.noaa.gov/s3/2022-08/2021-NORTHERN-FUR-SEAL-Callorhinus-ursinus-Eastern-Pacific-Stock.pdf" TargetMode="External"/><Relationship Id="rId1364" Type="http://schemas.openxmlformats.org/officeDocument/2006/relationships/hyperlink" Target="https://media.fisheries.noaa.gov/dam-migration/2019_sars_alaska_steller_sea_lion_-_eastern_us.pdf" TargetMode="External"/><Relationship Id="rId1571" Type="http://schemas.openxmlformats.org/officeDocument/2006/relationships/hyperlink" Target="https://www.fisheries.noaa.gov/s3/2023-06/STELLERSEALIONEumetopiasjubatusWesternU.S.Stock-.pdf" TargetMode="External"/><Relationship Id="rId70" Type="http://schemas.openxmlformats.org/officeDocument/2006/relationships/hyperlink" Target="https://media.fisheries.noaa.gov/2022-08/2021-PacBluewhale-Eastern%20North%20Pacific%20Stock.pdf" TargetMode="External"/><Relationship Id="rId801" Type="http://schemas.openxmlformats.org/officeDocument/2006/relationships/hyperlink" Target="https://s3.amazonaws.com/media.fisheries.noaa.gov/2020-10/2019%20humpback%20whale%20gulf%20of%20Maine%20508.pdf?null" TargetMode="External"/><Relationship Id="rId1017" Type="http://schemas.openxmlformats.org/officeDocument/2006/relationships/hyperlink" Target="https://media.fisheries.noaa.gov/2022-08/2021-NorthernElephant-California%20Breeding%20Stock.pdf" TargetMode="External"/><Relationship Id="rId1224" Type="http://schemas.openxmlformats.org/officeDocument/2006/relationships/hyperlink" Target="https://www.fisheries.noaa.gov/s3/2022-08/2021-NORTHERN-FUR-SEAL-Callorhinus-ursinus-Eastern-Pacific-Stock.pdf" TargetMode="External"/><Relationship Id="rId1431" Type="http://schemas.openxmlformats.org/officeDocument/2006/relationships/hyperlink" Target="https://media.fisheries.noaa.gov/dam-migration/2019_sars_alaska_steller_sea_lion_-_eastern_us.pdf" TargetMode="External"/><Relationship Id="rId1669" Type="http://schemas.openxmlformats.org/officeDocument/2006/relationships/hyperlink" Target="https://www.fisheries.noaa.gov/s3/2023-06/STELLERSEALIONEumetopiasjubatusWesternU.S.Stock-.pdf" TargetMode="External"/><Relationship Id="rId1876" Type="http://schemas.openxmlformats.org/officeDocument/2006/relationships/hyperlink" Target="https://www.fisheries.noaa.gov/s3/2023-06/STELLERSEALIONEumetopiasjubatusWesternU.S.Stock-.pdf" TargetMode="External"/><Relationship Id="rId1529" Type="http://schemas.openxmlformats.org/officeDocument/2006/relationships/hyperlink" Target="https://www.fisheries.noaa.gov/s3/2023-06/STELLERSEALIONEumetopiasjubatusWesternU.S.Stock-.pdf" TargetMode="External"/><Relationship Id="rId1736" Type="http://schemas.openxmlformats.org/officeDocument/2006/relationships/hyperlink" Target="https://www.fisheries.noaa.gov/s3/2023-06/STELLERSEALIONEumetopiasjubatusWesternU.S.Stock-.pdf" TargetMode="External"/><Relationship Id="rId28" Type="http://schemas.openxmlformats.org/officeDocument/2006/relationships/hyperlink" Target="https://www.fisheries.noaa.gov/s3/2023-05/2021BELUGA-WHALE-Delphinapterus-leucas-Cook-Inlet-Stock.pdf" TargetMode="External"/><Relationship Id="rId1803" Type="http://schemas.openxmlformats.org/officeDocument/2006/relationships/hyperlink" Target="https://www.fisheries.noaa.gov/s3/2023-06/STELLERSEALIONEumetopiasjubatusWesternU.S.Stock-.pdf" TargetMode="External"/><Relationship Id="rId177" Type="http://schemas.openxmlformats.org/officeDocument/2006/relationships/hyperlink" Target="https://media.fisheries.noaa.gov/dam-migration/ca_sea_lion_final_2018_sar.pdf" TargetMode="External"/><Relationship Id="rId384" Type="http://schemas.openxmlformats.org/officeDocument/2006/relationships/hyperlink" Target="https://media.fisheries.noaa.gov/2022-08/2021-HARBOR%20PORPOISE%20-Northern%20CaliforniaSouthern%20Oregon%20Stock.pdf" TargetMode="External"/><Relationship Id="rId591" Type="http://schemas.openxmlformats.org/officeDocument/2006/relationships/hyperlink" Target="https://media.fisheries.noaa.gov/dam-migration/2019_sars_alaska_harbor_seal.pdf" TargetMode="External"/><Relationship Id="rId244" Type="http://schemas.openxmlformats.org/officeDocument/2006/relationships/hyperlink" Target="https://media.fisheries.noaa.gov/2022-08/2021-PACfinwhale-CaliforniaOregonWashington%20Stock.pdf" TargetMode="External"/><Relationship Id="rId689" Type="http://schemas.openxmlformats.org/officeDocument/2006/relationships/hyperlink" Target="https://media.fisheries.noaa.gov/dam-migration/po2014sehr-ca_508.pdf" TargetMode="External"/><Relationship Id="rId896" Type="http://schemas.openxmlformats.org/officeDocument/2006/relationships/hyperlink" Target="https://media.fisheries.noaa.gov/dam-migration/pacific-2017-mes_beaked_whales-caorwa-508.pdf" TargetMode="External"/><Relationship Id="rId1081" Type="http://schemas.openxmlformats.org/officeDocument/2006/relationships/hyperlink" Target="https://media.fisheries.noaa.gov/2022-08/2021-NorthernElephant-California%20Breeding%20Stock.pdf" TargetMode="External"/><Relationship Id="rId451" Type="http://schemas.openxmlformats.org/officeDocument/2006/relationships/hyperlink" Target="https://media.fisheries.noaa.gov/dam-migration/2019_sars_alaska_harbor_seal.pdf" TargetMode="External"/><Relationship Id="rId549" Type="http://schemas.openxmlformats.org/officeDocument/2006/relationships/hyperlink" Target="https://media.fisheries.noaa.gov/dam-migration/2019_sars_alaska_harbor_seal.pdf" TargetMode="External"/><Relationship Id="rId756" Type="http://schemas.openxmlformats.org/officeDocument/2006/relationships/hyperlink" Target="https://media.fisheries.noaa.gov/2022-08/2021-HumpbackWhale-CaliforniaOregonWashington%20Stock.pdf" TargetMode="External"/><Relationship Id="rId1179" Type="http://schemas.openxmlformats.org/officeDocument/2006/relationships/hyperlink" Target="https://www.fisheries.noaa.gov/s3/2022-08/2021-NORTHERN-FUR-SEAL-Callorhinus-ursinus-Eastern-Pacific-Stock.pdf" TargetMode="External"/><Relationship Id="rId1386" Type="http://schemas.openxmlformats.org/officeDocument/2006/relationships/hyperlink" Target="https://media.fisheries.noaa.gov/dam-migration/2019_sars_alaska_steller_sea_lion_-_eastern_us.pdf" TargetMode="External"/><Relationship Id="rId1593" Type="http://schemas.openxmlformats.org/officeDocument/2006/relationships/hyperlink" Target="https://www.fisheries.noaa.gov/s3/2023-06/STELLERSEALIONEumetopiasjubatusWesternU.S.Stock-.pdf" TargetMode="External"/><Relationship Id="rId104" Type="http://schemas.openxmlformats.org/officeDocument/2006/relationships/hyperlink" Target="https://www.fisheries.noaa.gov/s3/2023-08/Bowhead-Whale-WAS-2022.pdf" TargetMode="External"/><Relationship Id="rId311" Type="http://schemas.openxmlformats.org/officeDocument/2006/relationships/hyperlink" Target="https://media.fisheries.noaa.gov/2022-08/2021-HARBOR%20PORPOISE-Morro%20Bay%20Stock.pdf" TargetMode="External"/><Relationship Id="rId409" Type="http://schemas.openxmlformats.org/officeDocument/2006/relationships/hyperlink" Target="https://media.fisheries.noaa.gov/dam-migration/2019_sars_alaska_harbor_seal.pdf" TargetMode="External"/><Relationship Id="rId963" Type="http://schemas.openxmlformats.org/officeDocument/2006/relationships/hyperlink" Target="https://www.fisheries.noaa.gov/s3/2023-08/North-Atlantic-Right-Whale-Western-Atlantic-2022.pdf" TargetMode="External"/><Relationship Id="rId1039" Type="http://schemas.openxmlformats.org/officeDocument/2006/relationships/hyperlink" Target="https://media.fisheries.noaa.gov/2022-08/2021-NorthernElephant-California%20Breeding%20Stock.pdf" TargetMode="External"/><Relationship Id="rId1246" Type="http://schemas.openxmlformats.org/officeDocument/2006/relationships/hyperlink" Target="https://www.fws.gov/sites/default/files/documents/northern-sea-otter-washington-stock-assessment-report-july-2018.pdf" TargetMode="External"/><Relationship Id="rId92" Type="http://schemas.openxmlformats.org/officeDocument/2006/relationships/hyperlink" Target="https://media.fisheries.noaa.gov/2022-08/2021-PacBluewhale-Eastern%20North%20Pacific%20Stock.pdf" TargetMode="External"/><Relationship Id="rId616" Type="http://schemas.openxmlformats.org/officeDocument/2006/relationships/hyperlink" Target="https://media.fisheries.noaa.gov/dam-migration/2019_sars_alaska_harbor_seal.pdf" TargetMode="External"/><Relationship Id="rId823" Type="http://schemas.openxmlformats.org/officeDocument/2006/relationships/hyperlink" Target="https://s3.amazonaws.com/media.fisheries.noaa.gov/2020-10/2019%20humpback%20whale%20gulf%20of%20Maine%20508.pdf?null" TargetMode="External"/><Relationship Id="rId1453" Type="http://schemas.openxmlformats.org/officeDocument/2006/relationships/hyperlink" Target="https://media.fisheries.noaa.gov/dam-migration/2019_sars_alaska_steller_sea_lion_-_eastern_us.pdf" TargetMode="External"/><Relationship Id="rId1660" Type="http://schemas.openxmlformats.org/officeDocument/2006/relationships/hyperlink" Target="https://www.fisheries.noaa.gov/s3/2023-06/STELLERSEALIONEumetopiasjubatusWesternU.S.Stock-.pdf" TargetMode="External"/><Relationship Id="rId1758" Type="http://schemas.openxmlformats.org/officeDocument/2006/relationships/hyperlink" Target="https://www.fisheries.noaa.gov/s3/2023-06/STELLERSEALIONEumetopiasjubatusWesternU.S.Stock-.pdf" TargetMode="External"/><Relationship Id="rId1106" Type="http://schemas.openxmlformats.org/officeDocument/2006/relationships/hyperlink" Target="https://media.fisheries.noaa.gov/2022-08/2021-NorthernElephant-California%20Breeding%20Stock.pdf" TargetMode="External"/><Relationship Id="rId1313" Type="http://schemas.openxmlformats.org/officeDocument/2006/relationships/hyperlink" Target="https://www.fws.gov/sites/default/files/documents/southern-sea-otter-stock-assessment-report.pdf" TargetMode="External"/><Relationship Id="rId1520" Type="http://schemas.openxmlformats.org/officeDocument/2006/relationships/hyperlink" Target="https://www.fisheries.noaa.gov/s3/2023-06/STELLERSEALIONEumetopiasjubatusWesternU.S.Stock-.pdf" TargetMode="External"/><Relationship Id="rId1618" Type="http://schemas.openxmlformats.org/officeDocument/2006/relationships/hyperlink" Target="https://www.fisheries.noaa.gov/s3/2023-06/STELLERSEALIONEumetopiasjubatusWesternU.S.Stock-.pdf" TargetMode="External"/><Relationship Id="rId1825" Type="http://schemas.openxmlformats.org/officeDocument/2006/relationships/hyperlink" Target="https://www.fisheries.noaa.gov/s3/2023-06/STELLERSEALIONEumetopiasjubatusWesternU.S.Stock-.pdf" TargetMode="External"/><Relationship Id="rId199" Type="http://schemas.openxmlformats.org/officeDocument/2006/relationships/hyperlink" Target="https://www.fisheries.noaa.gov/s3/2023-08/Cuviers-CAORWA-2022.pdf" TargetMode="External"/><Relationship Id="rId266" Type="http://schemas.openxmlformats.org/officeDocument/2006/relationships/hyperlink" Target="https://www.fisheries.noaa.gov/s3/2021-08/2020-Pacific-SARS-Eastern-GrayWhale-dragged-.pdf" TargetMode="External"/><Relationship Id="rId473" Type="http://schemas.openxmlformats.org/officeDocument/2006/relationships/hyperlink" Target="https://media.fisheries.noaa.gov/dam-migration/2019_sars_alaska_harbor_seal.pdf" TargetMode="External"/><Relationship Id="rId680" Type="http://schemas.openxmlformats.org/officeDocument/2006/relationships/hyperlink" Target="https://media.fisheries.noaa.gov/dam-migration/po2014sehr-ca_508.pdf" TargetMode="External"/><Relationship Id="rId126" Type="http://schemas.openxmlformats.org/officeDocument/2006/relationships/hyperlink" Target="https://media.fisheries.noaa.gov/dam-migration/ca_sea_lion_final_2018_sar.pdf" TargetMode="External"/><Relationship Id="rId333" Type="http://schemas.openxmlformats.org/officeDocument/2006/relationships/hyperlink" Target="https://media.fisheries.noaa.gov/2022-08/2021-HARBOR%20PORPOISE-Monterey%20Bay%20Stock.pdf" TargetMode="External"/><Relationship Id="rId540" Type="http://schemas.openxmlformats.org/officeDocument/2006/relationships/hyperlink" Target="https://media.fisheries.noaa.gov/dam-migration/2019_sars_alaska_harbor_seal.pdf" TargetMode="External"/><Relationship Id="rId778" Type="http://schemas.openxmlformats.org/officeDocument/2006/relationships/hyperlink" Target="https://media.fisheries.noaa.gov/2022-08/2021-HumpbackWhale-CaliforniaOregonWashington%20Stock.pdf" TargetMode="External"/><Relationship Id="rId985" Type="http://schemas.openxmlformats.org/officeDocument/2006/relationships/hyperlink" Target="https://www.fisheries.noaa.gov/s3/2023-08/North-Atlantic-Right-Whale-Western-Atlantic-2022.pdf" TargetMode="External"/><Relationship Id="rId1170" Type="http://schemas.openxmlformats.org/officeDocument/2006/relationships/hyperlink" Target="https://www.fisheries.noaa.gov/s3/2022-08/2021-NORTHERN-FUR-SEAL-Callorhinus-ursinus-Eastern-Pacific-Stock.pdf" TargetMode="External"/><Relationship Id="rId638" Type="http://schemas.openxmlformats.org/officeDocument/2006/relationships/hyperlink" Target="https://media.fisheries.noaa.gov/dam-migration/2019_sars_alaska_harbor_seal.pdf" TargetMode="External"/><Relationship Id="rId845" Type="http://schemas.openxmlformats.org/officeDocument/2006/relationships/hyperlink" Target="https://www.fisheries.noaa.gov/s3/2023-08/Killer-Whale-Eastern-North-Pacific-2022.pdf" TargetMode="External"/><Relationship Id="rId1030" Type="http://schemas.openxmlformats.org/officeDocument/2006/relationships/hyperlink" Target="https://media.fisheries.noaa.gov/2022-08/2021-NorthernElephant-California%20Breeding%20Stock.pdf" TargetMode="External"/><Relationship Id="rId1268" Type="http://schemas.openxmlformats.org/officeDocument/2006/relationships/hyperlink" Target="https://www.fws.gov/sites/default/files/documents/northern-sea-otter-washington-stock-assessment-report-july-2018.pdf" TargetMode="External"/><Relationship Id="rId1475" Type="http://schemas.openxmlformats.org/officeDocument/2006/relationships/hyperlink" Target="https://www.fisheries.noaa.gov/s3/2023-06/STELLERSEALIONEumetopiasjubatusWesternU.S.Stock-.pdf" TargetMode="External"/><Relationship Id="rId1682" Type="http://schemas.openxmlformats.org/officeDocument/2006/relationships/hyperlink" Target="https://www.fisheries.noaa.gov/s3/2023-06/STELLERSEALIONEumetopiasjubatusWesternU.S.Stock-.pdf" TargetMode="External"/><Relationship Id="rId400" Type="http://schemas.openxmlformats.org/officeDocument/2006/relationships/hyperlink" Target="https://media.fisheries.noaa.gov/dam-migration/2019_sars_alaska_harbor_seal.pdf" TargetMode="External"/><Relationship Id="rId705" Type="http://schemas.openxmlformats.org/officeDocument/2006/relationships/hyperlink" Target="https://media.fisheries.noaa.gov/dam-migration/po2013sehr-owco_508.pdf" TargetMode="External"/><Relationship Id="rId1128" Type="http://schemas.openxmlformats.org/officeDocument/2006/relationships/hyperlink" Target="https://media.fisheries.noaa.gov/2022-08/2021-NorthernElephant-California%20Breeding%20Stock.pdf" TargetMode="External"/><Relationship Id="rId1335" Type="http://schemas.openxmlformats.org/officeDocument/2006/relationships/hyperlink" Target="https://www.fws.gov/sites/default/files/documents/southern-sea-otter-stock-assessment-report.pdf" TargetMode="External"/><Relationship Id="rId1542" Type="http://schemas.openxmlformats.org/officeDocument/2006/relationships/hyperlink" Target="https://www.fisheries.noaa.gov/s3/2023-06/STELLERSEALIONEumetopiasjubatusWesternU.S.Stock-.pdf" TargetMode="External"/><Relationship Id="rId912" Type="http://schemas.openxmlformats.org/officeDocument/2006/relationships/hyperlink" Target="https://media.fisheries.noaa.gov/2022-08/2021-PACminke-CaliforniaOregonWashington%20Stock.pdf" TargetMode="External"/><Relationship Id="rId1847" Type="http://schemas.openxmlformats.org/officeDocument/2006/relationships/hyperlink" Target="https://www.fisheries.noaa.gov/s3/2023-06/STELLERSEALIONEumetopiasjubatusWesternU.S.Stock-.pdf" TargetMode="External"/><Relationship Id="rId41" Type="http://schemas.openxmlformats.org/officeDocument/2006/relationships/hyperlink" Target="https://www.fisheries.noaa.gov/s3/2023-05/2021BELUGA-WHALE-Delphinapterus-leucas-Cook-Inlet-Stock.pdf" TargetMode="External"/><Relationship Id="rId1402" Type="http://schemas.openxmlformats.org/officeDocument/2006/relationships/hyperlink" Target="https://media.fisheries.noaa.gov/dam-migration/2019_sars_alaska_steller_sea_lion_-_eastern_us.pdf" TargetMode="External"/><Relationship Id="rId1707" Type="http://schemas.openxmlformats.org/officeDocument/2006/relationships/hyperlink" Target="https://www.fisheries.noaa.gov/s3/2023-06/STELLERSEALIONEumetopiasjubatusWesternU.S.Stock-.pdf" TargetMode="External"/><Relationship Id="rId190" Type="http://schemas.openxmlformats.org/officeDocument/2006/relationships/hyperlink" Target="https://media.fisheries.noaa.gov/dam-migration/ca_sea_lion_final_2018_sar.pdf" TargetMode="External"/><Relationship Id="rId288" Type="http://schemas.openxmlformats.org/officeDocument/2006/relationships/hyperlink" Target="https://media.fisheries.noaa.gov/2022-08/2021-HARBOR%20PORPOISE-San%20Francisco-Russian%20River%20Stock.pdf" TargetMode="External"/><Relationship Id="rId495" Type="http://schemas.openxmlformats.org/officeDocument/2006/relationships/hyperlink" Target="https://media.fisheries.noaa.gov/dam-migration/2019_sars_alaska_harbor_seal.pdf" TargetMode="External"/><Relationship Id="rId148" Type="http://schemas.openxmlformats.org/officeDocument/2006/relationships/hyperlink" Target="https://media.fisheries.noaa.gov/dam-migration/ca_sea_lion_final_2018_sar.pdf" TargetMode="External"/><Relationship Id="rId355" Type="http://schemas.openxmlformats.org/officeDocument/2006/relationships/hyperlink" Target="https://media.fisheries.noaa.gov/2022-08/2021-HARBOR%20PORPOISE-Monterey%20Bay%20Stock.pdf" TargetMode="External"/><Relationship Id="rId562" Type="http://schemas.openxmlformats.org/officeDocument/2006/relationships/hyperlink" Target="https://media.fisheries.noaa.gov/dam-migration/2019_sars_alaska_harbor_seal.pdf" TargetMode="External"/><Relationship Id="rId1192" Type="http://schemas.openxmlformats.org/officeDocument/2006/relationships/hyperlink" Target="https://www.fisheries.noaa.gov/s3/2022-08/2021-NORTHERN-FUR-SEAL-Callorhinus-ursinus-Eastern-Pacific-Stock.pdf" TargetMode="External"/><Relationship Id="rId215" Type="http://schemas.openxmlformats.org/officeDocument/2006/relationships/hyperlink" Target="https://media.fisheries.noaa.gov/2022-08/2021-DALL'S%20PORPOISE%20-%20CaliforniaOregonWashington%20Stock.pdf" TargetMode="External"/><Relationship Id="rId422" Type="http://schemas.openxmlformats.org/officeDocument/2006/relationships/hyperlink" Target="https://media.fisheries.noaa.gov/dam-migration/2019_sars_alaska_harbor_seal.pdf" TargetMode="External"/><Relationship Id="rId867" Type="http://schemas.openxmlformats.org/officeDocument/2006/relationships/hyperlink" Target="https://www.fisheries.noaa.gov/s3/2023-08/Killer-Whale-Eastern-North-Pacific-2022.pdf" TargetMode="External"/><Relationship Id="rId1052" Type="http://schemas.openxmlformats.org/officeDocument/2006/relationships/hyperlink" Target="https://media.fisheries.noaa.gov/2022-08/2021-NorthernElephant-California%20Breeding%20Stock.pdf" TargetMode="External"/><Relationship Id="rId1497" Type="http://schemas.openxmlformats.org/officeDocument/2006/relationships/hyperlink" Target="https://www.fisheries.noaa.gov/s3/2023-06/STELLERSEALIONEumetopiasjubatusWesternU.S.Stock-.pdf" TargetMode="External"/><Relationship Id="rId727" Type="http://schemas.openxmlformats.org/officeDocument/2006/relationships/hyperlink" Target="https://media.fisheries.noaa.gov/dam-migration/po2013sehr-owco_508.pdf" TargetMode="External"/><Relationship Id="rId934" Type="http://schemas.openxmlformats.org/officeDocument/2006/relationships/hyperlink" Target="https://www.fisheries.noaa.gov/s3/2023-08/North-Atlantic-Right-Whale-Western-Atlantic-2022.pdf" TargetMode="External"/><Relationship Id="rId1357" Type="http://schemas.openxmlformats.org/officeDocument/2006/relationships/hyperlink" Target="https://media.fisheries.noaa.gov/dam-migration/2019_sars_alaska_steller_sea_lion_-_eastern_us.pdf" TargetMode="External"/><Relationship Id="rId1564" Type="http://schemas.openxmlformats.org/officeDocument/2006/relationships/hyperlink" Target="https://www.fisheries.noaa.gov/s3/2023-06/STELLERSEALIONEumetopiasjubatusWesternU.S.Stock-.pdf" TargetMode="External"/><Relationship Id="rId1771" Type="http://schemas.openxmlformats.org/officeDocument/2006/relationships/hyperlink" Target="https://www.fisheries.noaa.gov/s3/2023-06/STELLERSEALIONEumetopiasjubatusWesternU.S.Stock-.pdf" TargetMode="External"/><Relationship Id="rId63" Type="http://schemas.openxmlformats.org/officeDocument/2006/relationships/hyperlink" Target="https://media.fisheries.noaa.gov/2022-08/2021-PacBluewhale-Eastern%20North%20Pacific%20Stock.pdf" TargetMode="External"/><Relationship Id="rId1217" Type="http://schemas.openxmlformats.org/officeDocument/2006/relationships/hyperlink" Target="https://www.fisheries.noaa.gov/s3/2022-08/2021-NORTHERN-FUR-SEAL-Callorhinus-ursinus-Eastern-Pacific-Stock.pdf" TargetMode="External"/><Relationship Id="rId1424" Type="http://schemas.openxmlformats.org/officeDocument/2006/relationships/hyperlink" Target="https://media.fisheries.noaa.gov/dam-migration/2019_sars_alaska_steller_sea_lion_-_eastern_us.pdf" TargetMode="External"/><Relationship Id="rId1631" Type="http://schemas.openxmlformats.org/officeDocument/2006/relationships/hyperlink" Target="https://www.fisheries.noaa.gov/s3/2023-06/STELLERSEALIONEumetopiasjubatusWesternU.S.Stock-.pdf" TargetMode="External"/><Relationship Id="rId1869" Type="http://schemas.openxmlformats.org/officeDocument/2006/relationships/hyperlink" Target="https://www.fisheries.noaa.gov/s3/2023-06/STELLERSEALIONEumetopiasjubatusWesternU.S.Stock-.pdf" TargetMode="External"/><Relationship Id="rId1729" Type="http://schemas.openxmlformats.org/officeDocument/2006/relationships/hyperlink" Target="https://www.fisheries.noaa.gov/s3/2023-06/STELLERSEALIONEumetopiasjubatusWesternU.S.Stock-.pdf" TargetMode="External"/><Relationship Id="rId377" Type="http://schemas.openxmlformats.org/officeDocument/2006/relationships/hyperlink" Target="https://media.fisheries.noaa.gov/2022-08/2021-HARBOR%20PORPOISE%20-Northern%20CaliforniaSouthern%20Oregon%20Stock.pdf" TargetMode="External"/><Relationship Id="rId584" Type="http://schemas.openxmlformats.org/officeDocument/2006/relationships/hyperlink" Target="https://media.fisheries.noaa.gov/dam-migration/2019_sars_alaska_harbor_seal.pdf" TargetMode="External"/><Relationship Id="rId5" Type="http://schemas.openxmlformats.org/officeDocument/2006/relationships/hyperlink" Target="https://media.fisheries.noaa.gov/2022-08/pacific-2021-beaked-whale-mesoplodont.pdf" TargetMode="External"/><Relationship Id="rId237" Type="http://schemas.openxmlformats.org/officeDocument/2006/relationships/hyperlink" Target="https://media.fisheries.noaa.gov/2022-08/2021-PACfinwhale-CaliforniaOregonWashington%20Stock.pdf" TargetMode="External"/><Relationship Id="rId791" Type="http://schemas.openxmlformats.org/officeDocument/2006/relationships/hyperlink" Target="https://s3.amazonaws.com/media.fisheries.noaa.gov/2020-10/2019%20humpback%20whale%20gulf%20of%20Maine%20508.pdf?null" TargetMode="External"/><Relationship Id="rId889" Type="http://schemas.openxmlformats.org/officeDocument/2006/relationships/hyperlink" Target="https://media.fisheries.noaa.gov/2022-08/2021-LONG-BEAKED%20COMMON%20DOLPHIN-California%20Stock.pdf" TargetMode="External"/><Relationship Id="rId1074" Type="http://schemas.openxmlformats.org/officeDocument/2006/relationships/hyperlink" Target="https://media.fisheries.noaa.gov/2022-08/2021-NorthernElephant-California%20Breeding%20Stock.pdf" TargetMode="External"/><Relationship Id="rId444" Type="http://schemas.openxmlformats.org/officeDocument/2006/relationships/hyperlink" Target="https://media.fisheries.noaa.gov/dam-migration/2019_sars_alaska_harbor_seal.pdf" TargetMode="External"/><Relationship Id="rId651" Type="http://schemas.openxmlformats.org/officeDocument/2006/relationships/hyperlink" Target="https://media.fisheries.noaa.gov/dam-migration/po2014sehr-ca_508.pdf" TargetMode="External"/><Relationship Id="rId749" Type="http://schemas.openxmlformats.org/officeDocument/2006/relationships/hyperlink" Target="https://media.fisheries.noaa.gov/2022-08/2021-HumpbackWhale-CaliforniaOregonWashington%20Stock.pdf" TargetMode="External"/><Relationship Id="rId1281" Type="http://schemas.openxmlformats.org/officeDocument/2006/relationships/hyperlink" Target="https://www.fisheries.noaa.gov/s3/2022-08/2021-PACWHITESIDE-CaliforniaOregonWashington-Northern-and-Southern-Stocks.pdf" TargetMode="External"/><Relationship Id="rId1379" Type="http://schemas.openxmlformats.org/officeDocument/2006/relationships/hyperlink" Target="https://media.fisheries.noaa.gov/dam-migration/2019_sars_alaska_steller_sea_lion_-_eastern_us.pdf" TargetMode="External"/><Relationship Id="rId1586" Type="http://schemas.openxmlformats.org/officeDocument/2006/relationships/hyperlink" Target="https://www.fisheries.noaa.gov/s3/2023-06/STELLERSEALIONEumetopiasjubatusWesternU.S.Stock-.pdf" TargetMode="External"/><Relationship Id="rId304" Type="http://schemas.openxmlformats.org/officeDocument/2006/relationships/hyperlink" Target="https://media.fisheries.noaa.gov/2022-08/2021-HARBOR%20PORPOISE-San%20Francisco-Russian%20River%20Stock.pdf" TargetMode="External"/><Relationship Id="rId511" Type="http://schemas.openxmlformats.org/officeDocument/2006/relationships/hyperlink" Target="https://media.fisheries.noaa.gov/dam-migration/2019_sars_alaska_harbor_seal.pdf" TargetMode="External"/><Relationship Id="rId609" Type="http://schemas.openxmlformats.org/officeDocument/2006/relationships/hyperlink" Target="https://media.fisheries.noaa.gov/dam-migration/2019_sars_alaska_harbor_seal.pdf" TargetMode="External"/><Relationship Id="rId956" Type="http://schemas.openxmlformats.org/officeDocument/2006/relationships/hyperlink" Target="https://www.fisheries.noaa.gov/s3/2023-08/North-Atlantic-Right-Whale-Western-Atlantic-2022.pdf" TargetMode="External"/><Relationship Id="rId1141" Type="http://schemas.openxmlformats.org/officeDocument/2006/relationships/hyperlink" Target="https://media.fisheries.noaa.gov/2022-08/2021-NorthernElephant-California%20Breeding%20Stock.pdf" TargetMode="External"/><Relationship Id="rId1239" Type="http://schemas.openxmlformats.org/officeDocument/2006/relationships/hyperlink" Target="https://media.fisheries.noaa.gov/2022-08/2021-NorthernRWdolphin-CaliforniaOregonWashington%20Stock.pdf" TargetMode="External"/><Relationship Id="rId1793" Type="http://schemas.openxmlformats.org/officeDocument/2006/relationships/hyperlink" Target="https://www.fisheries.noaa.gov/s3/2023-06/STELLERSEALIONEumetopiasjubatusWesternU.S.Stock-.pdf" TargetMode="External"/><Relationship Id="rId85" Type="http://schemas.openxmlformats.org/officeDocument/2006/relationships/hyperlink" Target="https://media.fisheries.noaa.gov/2022-08/2021-PacBluewhale-Eastern%20North%20Pacific%20Stock.pdf" TargetMode="External"/><Relationship Id="rId816" Type="http://schemas.openxmlformats.org/officeDocument/2006/relationships/hyperlink" Target="https://s3.amazonaws.com/media.fisheries.noaa.gov/2020-10/2019%20humpback%20whale%20gulf%20of%20Maine%20508.pdf?null" TargetMode="External"/><Relationship Id="rId1001" Type="http://schemas.openxmlformats.org/officeDocument/2006/relationships/hyperlink" Target="https://www.fisheries.noaa.gov/s3/2023-08/North-Atlantic-Right-Whale-Western-Atlantic-2022.pdf" TargetMode="External"/><Relationship Id="rId1446" Type="http://schemas.openxmlformats.org/officeDocument/2006/relationships/hyperlink" Target="https://media.fisheries.noaa.gov/dam-migration/2019_sars_alaska_steller_sea_lion_-_eastern_us.pdf" TargetMode="External"/><Relationship Id="rId1653" Type="http://schemas.openxmlformats.org/officeDocument/2006/relationships/hyperlink" Target="https://www.fisheries.noaa.gov/s3/2023-06/STELLERSEALIONEumetopiasjubatusWesternU.S.Stock-.pdf" TargetMode="External"/><Relationship Id="rId1860" Type="http://schemas.openxmlformats.org/officeDocument/2006/relationships/hyperlink" Target="https://www.fisheries.noaa.gov/s3/2023-06/STELLERSEALIONEumetopiasjubatusWesternU.S.Stock-.pdf" TargetMode="External"/><Relationship Id="rId1306" Type="http://schemas.openxmlformats.org/officeDocument/2006/relationships/hyperlink" Target="https://media.fisheries.noaa.gov/2021-08/2020-Pacific-SARS-ShortFinPWHI.pdf" TargetMode="External"/><Relationship Id="rId1513" Type="http://schemas.openxmlformats.org/officeDocument/2006/relationships/hyperlink" Target="https://www.fisheries.noaa.gov/s3/2023-06/STELLERSEALIONEumetopiasjubatusWesternU.S.Stock-.pdf" TargetMode="External"/><Relationship Id="rId1720" Type="http://schemas.openxmlformats.org/officeDocument/2006/relationships/hyperlink" Target="https://www.fisheries.noaa.gov/s3/2023-06/STELLERSEALIONEumetopiasjubatusWesternU.S.Stock-.pdf" TargetMode="External"/><Relationship Id="rId12" Type="http://schemas.openxmlformats.org/officeDocument/2006/relationships/hyperlink" Target="https://media.fisheries.noaa.gov/2022-08/pacific-2021-beaked-whale-mesoplodont.pdf" TargetMode="External"/><Relationship Id="rId1818" Type="http://schemas.openxmlformats.org/officeDocument/2006/relationships/hyperlink" Target="https://www.fisheries.noaa.gov/s3/2023-06/STELLERSEALIONEumetopiasjubatusWesternU.S.Stock-.pdf" TargetMode="External"/><Relationship Id="rId161" Type="http://schemas.openxmlformats.org/officeDocument/2006/relationships/hyperlink" Target="https://media.fisheries.noaa.gov/dam-migration/ca_sea_lion_final_2018_sar.pdf" TargetMode="External"/><Relationship Id="rId399" Type="http://schemas.openxmlformats.org/officeDocument/2006/relationships/hyperlink" Target="https://media.fisheries.noaa.gov/dam-migration/2019_sars_alaska_harbor_seal.pdf" TargetMode="External"/><Relationship Id="rId259" Type="http://schemas.openxmlformats.org/officeDocument/2006/relationships/hyperlink" Target="https://www.fisheries.noaa.gov/s3/2021-08/2020-Pacific-SARS-Eastern-GrayWhale-dragged-.pdf" TargetMode="External"/><Relationship Id="rId466" Type="http://schemas.openxmlformats.org/officeDocument/2006/relationships/hyperlink" Target="https://media.fisheries.noaa.gov/dam-migration/2019_sars_alaska_harbor_seal.pdf" TargetMode="External"/><Relationship Id="rId673" Type="http://schemas.openxmlformats.org/officeDocument/2006/relationships/hyperlink" Target="https://media.fisheries.noaa.gov/dam-migration/po2014sehr-ca_508.pdf" TargetMode="External"/><Relationship Id="rId880" Type="http://schemas.openxmlformats.org/officeDocument/2006/relationships/hyperlink" Target="https://media.fisheries.noaa.gov/2022-08/2021-LONG-BEAKED%20COMMON%20DOLPHIN-California%20Stock.pdf" TargetMode="External"/><Relationship Id="rId1096" Type="http://schemas.openxmlformats.org/officeDocument/2006/relationships/hyperlink" Target="https://media.fisheries.noaa.gov/2022-08/2021-NorthernElephant-California%20Breeding%20Stock.pdf" TargetMode="External"/><Relationship Id="rId119" Type="http://schemas.openxmlformats.org/officeDocument/2006/relationships/hyperlink" Target="https://media.fisheries.noaa.gov/dam-migration/ca_sea_lion_final_2018_sar.pdf" TargetMode="External"/><Relationship Id="rId326" Type="http://schemas.openxmlformats.org/officeDocument/2006/relationships/hyperlink" Target="https://media.fisheries.noaa.gov/2022-08/2021-HARBOR%20PORPOISE-Morro%20Bay%20Stock.pdf" TargetMode="External"/><Relationship Id="rId533" Type="http://schemas.openxmlformats.org/officeDocument/2006/relationships/hyperlink" Target="https://media.fisheries.noaa.gov/dam-migration/2019_sars_alaska_harbor_seal.pdf" TargetMode="External"/><Relationship Id="rId978" Type="http://schemas.openxmlformats.org/officeDocument/2006/relationships/hyperlink" Target="https://www.fisheries.noaa.gov/s3/2023-08/North-Atlantic-Right-Whale-Western-Atlantic-2022.pdf" TargetMode="External"/><Relationship Id="rId1163" Type="http://schemas.openxmlformats.org/officeDocument/2006/relationships/hyperlink" Target="https://www.fisheries.noaa.gov/s3/2022-08/2021-NORTHERN-FUR-SEAL-Callorhinus-ursinus-Eastern-Pacific-Stock.pdf" TargetMode="External"/><Relationship Id="rId1370" Type="http://schemas.openxmlformats.org/officeDocument/2006/relationships/hyperlink" Target="https://media.fisheries.noaa.gov/dam-migration/2019_sars_alaska_steller_sea_lion_-_eastern_us.pdf" TargetMode="External"/><Relationship Id="rId740" Type="http://schemas.openxmlformats.org/officeDocument/2006/relationships/hyperlink" Target="https://www.fisheries.noaa.gov/s3/2023-08/Monk-Seal-2022.pdf" TargetMode="External"/><Relationship Id="rId838" Type="http://schemas.openxmlformats.org/officeDocument/2006/relationships/hyperlink" Target="https://www.fisheries.noaa.gov/s3/2023-08/Killer-Whale-Eastern-North-Pacific-2022.pdf" TargetMode="External"/><Relationship Id="rId1023" Type="http://schemas.openxmlformats.org/officeDocument/2006/relationships/hyperlink" Target="https://media.fisheries.noaa.gov/2022-08/2021-NorthernElephant-California%20Breeding%20Stock.pdf" TargetMode="External"/><Relationship Id="rId1468" Type="http://schemas.openxmlformats.org/officeDocument/2006/relationships/hyperlink" Target="https://media.fisheries.noaa.gov/dam-migration/2019_sars_alaska_steller_sea_lion_-_eastern_us.pdf" TargetMode="External"/><Relationship Id="rId1675" Type="http://schemas.openxmlformats.org/officeDocument/2006/relationships/hyperlink" Target="https://www.fisheries.noaa.gov/s3/2023-06/STELLERSEALIONEumetopiasjubatusWesternU.S.Stock-.pdf" TargetMode="External"/><Relationship Id="rId1882" Type="http://schemas.openxmlformats.org/officeDocument/2006/relationships/hyperlink" Target="https://media.fisheries.noaa.gov/2022-08/2021-STRIPED%20DOLPHIN-CaliforniaOregonWashington-Stock.pdf" TargetMode="External"/><Relationship Id="rId600" Type="http://schemas.openxmlformats.org/officeDocument/2006/relationships/hyperlink" Target="https://media.fisheries.noaa.gov/dam-migration/2019_sars_alaska_harbor_seal.pdf" TargetMode="External"/><Relationship Id="rId1230" Type="http://schemas.openxmlformats.org/officeDocument/2006/relationships/hyperlink" Target="https://media.fisheries.noaa.gov/2022-08/2021-NorthernRWdolphin-CaliforniaOregonWashington%20Stock.pdf" TargetMode="External"/><Relationship Id="rId1328" Type="http://schemas.openxmlformats.org/officeDocument/2006/relationships/hyperlink" Target="https://www.fws.gov/sites/default/files/documents/southern-sea-otter-stock-assessment-report.pdf" TargetMode="External"/><Relationship Id="rId1535" Type="http://schemas.openxmlformats.org/officeDocument/2006/relationships/hyperlink" Target="https://www.fisheries.noaa.gov/s3/2023-06/STELLERSEALIONEumetopiasjubatusWesternU.S.Stock-.pdf" TargetMode="External"/><Relationship Id="rId905" Type="http://schemas.openxmlformats.org/officeDocument/2006/relationships/hyperlink" Target="https://media.fisheries.noaa.gov/dam-migration/pacific-2017-mes_beaked_whales-caorwa-508.pdf" TargetMode="External"/><Relationship Id="rId1742" Type="http://schemas.openxmlformats.org/officeDocument/2006/relationships/hyperlink" Target="https://www.fisheries.noaa.gov/s3/2023-06/STELLERSEALIONEumetopiasjubatusWesternU.S.Stock-.pdf" TargetMode="External"/><Relationship Id="rId34" Type="http://schemas.openxmlformats.org/officeDocument/2006/relationships/hyperlink" Target="https://www.fisheries.noaa.gov/s3/2023-05/2021BELUGA-WHALE-Delphinapterus-leucas-Cook-Inlet-Stock.pdf" TargetMode="External"/><Relationship Id="rId1602" Type="http://schemas.openxmlformats.org/officeDocument/2006/relationships/hyperlink" Target="https://www.fisheries.noaa.gov/s3/2023-06/STELLERSEALIONEumetopiasjubatusWesternU.S.Stock-.pdf" TargetMode="External"/><Relationship Id="rId183" Type="http://schemas.openxmlformats.org/officeDocument/2006/relationships/hyperlink" Target="https://media.fisheries.noaa.gov/dam-migration/ca_sea_lion_final_2018_sar.pdf" TargetMode="External"/><Relationship Id="rId390" Type="http://schemas.openxmlformats.org/officeDocument/2006/relationships/hyperlink" Target="https://media.fisheries.noaa.gov/dam-migration/2019_sars_alaska_harbor_seal.pdf" TargetMode="External"/><Relationship Id="rId250" Type="http://schemas.openxmlformats.org/officeDocument/2006/relationships/hyperlink" Target="https://www.fisheries.noaa.gov/s3/2021-08/2020-Pacific-SARS-Eastern-GrayWhale-dragged-.pdf" TargetMode="External"/><Relationship Id="rId488" Type="http://schemas.openxmlformats.org/officeDocument/2006/relationships/hyperlink" Target="https://media.fisheries.noaa.gov/dam-migration/2019_sars_alaska_harbor_seal.pdf" TargetMode="External"/><Relationship Id="rId695" Type="http://schemas.openxmlformats.org/officeDocument/2006/relationships/hyperlink" Target="https://media.fisheries.noaa.gov/dam-migration/po2013sehr-owco_508.pdf" TargetMode="External"/><Relationship Id="rId110" Type="http://schemas.openxmlformats.org/officeDocument/2006/relationships/hyperlink" Target="https://www.fisheries.noaa.gov/s3/2023-08/Bowhead-Whale-WAS-2022.pdf" TargetMode="External"/><Relationship Id="rId348" Type="http://schemas.openxmlformats.org/officeDocument/2006/relationships/hyperlink" Target="https://media.fisheries.noaa.gov/2022-08/2021-HARBOR%20PORPOISE-Monterey%20Bay%20Stock.pdf" TargetMode="External"/><Relationship Id="rId555" Type="http://schemas.openxmlformats.org/officeDocument/2006/relationships/hyperlink" Target="https://media.fisheries.noaa.gov/dam-migration/2019_sars_alaska_harbor_seal.pdf" TargetMode="External"/><Relationship Id="rId762" Type="http://schemas.openxmlformats.org/officeDocument/2006/relationships/hyperlink" Target="https://media.fisheries.noaa.gov/2022-08/2021-HumpbackWhale-CaliforniaOregonWashington%20Stock.pdf" TargetMode="External"/><Relationship Id="rId1185" Type="http://schemas.openxmlformats.org/officeDocument/2006/relationships/hyperlink" Target="https://www.fisheries.noaa.gov/s3/2022-08/2021-NORTHERN-FUR-SEAL-Callorhinus-ursinus-Eastern-Pacific-Stock.pdf" TargetMode="External"/><Relationship Id="rId1392" Type="http://schemas.openxmlformats.org/officeDocument/2006/relationships/hyperlink" Target="https://media.fisheries.noaa.gov/dam-migration/2019_sars_alaska_steller_sea_lion_-_eastern_us.pdf" TargetMode="External"/><Relationship Id="rId208" Type="http://schemas.openxmlformats.org/officeDocument/2006/relationships/hyperlink" Target="https://media.fisheries.noaa.gov/2022-08/2021-DALL'S%20PORPOISE%20-%20CaliforniaOregonWashington%20Stock.pdf" TargetMode="External"/><Relationship Id="rId415" Type="http://schemas.openxmlformats.org/officeDocument/2006/relationships/hyperlink" Target="https://media.fisheries.noaa.gov/dam-migration/2019_sars_alaska_harbor_seal.pdf" TargetMode="External"/><Relationship Id="rId622" Type="http://schemas.openxmlformats.org/officeDocument/2006/relationships/hyperlink" Target="https://media.fisheries.noaa.gov/dam-migration/2019_sars_alaska_harbor_seal.pdf" TargetMode="External"/><Relationship Id="rId1045" Type="http://schemas.openxmlformats.org/officeDocument/2006/relationships/hyperlink" Target="https://media.fisheries.noaa.gov/2022-08/2021-NorthernElephant-California%20Breeding%20Stock.pdf" TargetMode="External"/><Relationship Id="rId1252" Type="http://schemas.openxmlformats.org/officeDocument/2006/relationships/hyperlink" Target="https://www.fws.gov/sites/default/files/documents/northern-sea-otter-washington-stock-assessment-report-july-2018.pdf" TargetMode="External"/><Relationship Id="rId1697" Type="http://schemas.openxmlformats.org/officeDocument/2006/relationships/hyperlink" Target="https://www.fisheries.noaa.gov/s3/2023-06/STELLERSEALIONEumetopiasjubatusWesternU.S.Stock-.pdf" TargetMode="External"/><Relationship Id="rId927" Type="http://schemas.openxmlformats.org/officeDocument/2006/relationships/hyperlink" Target="https://www.fisheries.noaa.gov/s3/2023-08/North-Atlantic-Right-Whale-Western-Atlantic-2022.pdf" TargetMode="External"/><Relationship Id="rId1112" Type="http://schemas.openxmlformats.org/officeDocument/2006/relationships/hyperlink" Target="https://media.fisheries.noaa.gov/2022-08/2021-NorthernElephant-California%20Breeding%20Stock.pdf" TargetMode="External"/><Relationship Id="rId1557" Type="http://schemas.openxmlformats.org/officeDocument/2006/relationships/hyperlink" Target="https://www.fisheries.noaa.gov/s3/2023-06/STELLERSEALIONEumetopiasjubatusWesternU.S.Stock-.pdf" TargetMode="External"/><Relationship Id="rId1764" Type="http://schemas.openxmlformats.org/officeDocument/2006/relationships/hyperlink" Target="https://www.fisheries.noaa.gov/s3/2023-06/STELLERSEALIONEumetopiasjubatusWesternU.S.Stock-.pdf" TargetMode="External"/><Relationship Id="rId56" Type="http://schemas.openxmlformats.org/officeDocument/2006/relationships/hyperlink" Target="https://media.fisheries.noaa.gov/2022-08/2021-PacBluewhale-Eastern%20North%20Pacific%20Stock.pdf" TargetMode="External"/><Relationship Id="rId1417" Type="http://schemas.openxmlformats.org/officeDocument/2006/relationships/hyperlink" Target="https://media.fisheries.noaa.gov/dam-migration/2019_sars_alaska_steller_sea_lion_-_eastern_us.pdf" TargetMode="External"/><Relationship Id="rId1624" Type="http://schemas.openxmlformats.org/officeDocument/2006/relationships/hyperlink" Target="https://www.fisheries.noaa.gov/s3/2023-06/STELLERSEALIONEumetopiasjubatusWesternU.S.Stock-.pdf" TargetMode="External"/><Relationship Id="rId1831" Type="http://schemas.openxmlformats.org/officeDocument/2006/relationships/hyperlink" Target="https://www.fisheries.noaa.gov/s3/2023-06/STELLERSEALIONEumetopiasjubatusWesternU.S.Stock-.pdf" TargetMode="External"/><Relationship Id="rId272" Type="http://schemas.openxmlformats.org/officeDocument/2006/relationships/hyperlink" Target="https://www.fisheries.noaa.gov/s3/2021-08/2020-Pacific-SARS-Eastern-GrayWhale-dragged-.pdf" TargetMode="External"/><Relationship Id="rId577" Type="http://schemas.openxmlformats.org/officeDocument/2006/relationships/hyperlink" Target="https://media.fisheries.noaa.gov/dam-migration/2019_sars_alaska_harbor_seal.pdf" TargetMode="External"/><Relationship Id="rId132" Type="http://schemas.openxmlformats.org/officeDocument/2006/relationships/hyperlink" Target="https://media.fisheries.noaa.gov/dam-migration/ca_sea_lion_final_2018_sar.pdf" TargetMode="External"/><Relationship Id="rId784" Type="http://schemas.openxmlformats.org/officeDocument/2006/relationships/hyperlink" Target="https://s3.amazonaws.com/media.fisheries.noaa.gov/2020-10/2019%20humpback%20whale%20gulf%20of%20Maine%20508.pdf?null" TargetMode="External"/><Relationship Id="rId991" Type="http://schemas.openxmlformats.org/officeDocument/2006/relationships/hyperlink" Target="https://www.fisheries.noaa.gov/s3/2023-08/North-Atlantic-Right-Whale-Western-Atlantic-2022.pdf" TargetMode="External"/><Relationship Id="rId1067" Type="http://schemas.openxmlformats.org/officeDocument/2006/relationships/hyperlink" Target="https://media.fisheries.noaa.gov/2022-08/2021-NorthernElephant-California%20Breeding%20Stock.pdf" TargetMode="External"/><Relationship Id="rId437" Type="http://schemas.openxmlformats.org/officeDocument/2006/relationships/hyperlink" Target="https://media.fisheries.noaa.gov/dam-migration/2019_sars_alaska_harbor_seal.pdf" TargetMode="External"/><Relationship Id="rId644" Type="http://schemas.openxmlformats.org/officeDocument/2006/relationships/hyperlink" Target="https://media.fisheries.noaa.gov/dam-migration/po2014sehr-ca_508.pdf" TargetMode="External"/><Relationship Id="rId851" Type="http://schemas.openxmlformats.org/officeDocument/2006/relationships/hyperlink" Target="https://www.fisheries.noaa.gov/s3/2023-08/Killer-Whale-Eastern-North-Pacific-2022.pdf" TargetMode="External"/><Relationship Id="rId1274" Type="http://schemas.openxmlformats.org/officeDocument/2006/relationships/hyperlink" Target="https://www.fisheries.noaa.gov/s3/2022-08/2021-PACWHITESIDE-CaliforniaOregonWashington-Northern-and-Southern-Stocks.pdf" TargetMode="External"/><Relationship Id="rId1481" Type="http://schemas.openxmlformats.org/officeDocument/2006/relationships/hyperlink" Target="https://www.fisheries.noaa.gov/s3/2023-06/STELLERSEALIONEumetopiasjubatusWesternU.S.Stock-.pdf" TargetMode="External"/><Relationship Id="rId1579" Type="http://schemas.openxmlformats.org/officeDocument/2006/relationships/hyperlink" Target="https://www.fisheries.noaa.gov/s3/2023-06/STELLERSEALIONEumetopiasjubatusWesternU.S.Stock-.pdf" TargetMode="External"/><Relationship Id="rId504" Type="http://schemas.openxmlformats.org/officeDocument/2006/relationships/hyperlink" Target="https://media.fisheries.noaa.gov/dam-migration/2019_sars_alaska_harbor_seal.pdf" TargetMode="External"/><Relationship Id="rId711" Type="http://schemas.openxmlformats.org/officeDocument/2006/relationships/hyperlink" Target="https://media.fisheries.noaa.gov/dam-migration/po2013sehr-wain_508.pdf" TargetMode="External"/><Relationship Id="rId949" Type="http://schemas.openxmlformats.org/officeDocument/2006/relationships/hyperlink" Target="https://www.fisheries.noaa.gov/s3/2023-08/North-Atlantic-Right-Whale-Western-Atlantic-2022.pdf" TargetMode="External"/><Relationship Id="rId1134" Type="http://schemas.openxmlformats.org/officeDocument/2006/relationships/hyperlink" Target="https://media.fisheries.noaa.gov/2022-08/2021-NorthernElephant-California%20Breeding%20Stock.pdf" TargetMode="External"/><Relationship Id="rId1341" Type="http://schemas.openxmlformats.org/officeDocument/2006/relationships/hyperlink" Target="https://www.fws.gov/sites/default/files/documents/southern-sea-otter-stock-assessment-report.pdf" TargetMode="External"/><Relationship Id="rId1786" Type="http://schemas.openxmlformats.org/officeDocument/2006/relationships/hyperlink" Target="https://www.fisheries.noaa.gov/s3/2023-06/STELLERSEALIONEumetopiasjubatusWesternU.S.Stock-.pdf" TargetMode="External"/><Relationship Id="rId78" Type="http://schemas.openxmlformats.org/officeDocument/2006/relationships/hyperlink" Target="https://media.fisheries.noaa.gov/2022-08/2021-PacBluewhale-Eastern%20North%20Pacific%20Stock.pdf" TargetMode="External"/><Relationship Id="rId809" Type="http://schemas.openxmlformats.org/officeDocument/2006/relationships/hyperlink" Target="https://s3.amazonaws.com/media.fisheries.noaa.gov/2020-10/2019%20humpback%20whale%20gulf%20of%20Maine%20508.pdf?null" TargetMode="External"/><Relationship Id="rId1201" Type="http://schemas.openxmlformats.org/officeDocument/2006/relationships/hyperlink" Target="https://www.fisheries.noaa.gov/s3/2022-08/2021-NORTHERN-FUR-SEAL-Callorhinus-ursinus-Eastern-Pacific-Stock.pdf" TargetMode="External"/><Relationship Id="rId1439" Type="http://schemas.openxmlformats.org/officeDocument/2006/relationships/hyperlink" Target="https://media.fisheries.noaa.gov/dam-migration/2019_sars_alaska_steller_sea_lion_-_eastern_us.pdf" TargetMode="External"/><Relationship Id="rId1646" Type="http://schemas.openxmlformats.org/officeDocument/2006/relationships/hyperlink" Target="https://www.fisheries.noaa.gov/s3/2023-06/STELLERSEALIONEumetopiasjubatusWesternU.S.Stock-.pdf" TargetMode="External"/><Relationship Id="rId1853" Type="http://schemas.openxmlformats.org/officeDocument/2006/relationships/hyperlink" Target="https://www.fisheries.noaa.gov/s3/2023-06/STELLERSEALIONEumetopiasjubatusWesternU.S.Stock-.pdf" TargetMode="External"/><Relationship Id="rId1506" Type="http://schemas.openxmlformats.org/officeDocument/2006/relationships/hyperlink" Target="https://www.fisheries.noaa.gov/s3/2023-06/STELLERSEALIONEumetopiasjubatusWesternU.S.Stock-.pdf" TargetMode="External"/><Relationship Id="rId1713" Type="http://schemas.openxmlformats.org/officeDocument/2006/relationships/hyperlink" Target="https://www.fisheries.noaa.gov/s3/2023-06/STELLERSEALIONEumetopiasjubatusWesternU.S.Stock-.pdf" TargetMode="External"/><Relationship Id="rId294" Type="http://schemas.openxmlformats.org/officeDocument/2006/relationships/hyperlink" Target="https://media.fisheries.noaa.gov/2022-08/2021-HARBOR%20PORPOISE-San%20Francisco-Russian%20River%20Stock.pdf" TargetMode="External"/><Relationship Id="rId154" Type="http://schemas.openxmlformats.org/officeDocument/2006/relationships/hyperlink" Target="https://media.fisheries.noaa.gov/dam-migration/ca_sea_lion_final_2018_sar.pdf" TargetMode="External"/><Relationship Id="rId361" Type="http://schemas.openxmlformats.org/officeDocument/2006/relationships/hyperlink" Target="https://media.fisheries.noaa.gov/2022-08/2021-HARBOR%20PORPOISE%20-Northern%20CaliforniaSouthern%20Oregon%20Stock.pdf" TargetMode="External"/><Relationship Id="rId599" Type="http://schemas.openxmlformats.org/officeDocument/2006/relationships/hyperlink" Target="https://media.fisheries.noaa.gov/dam-migration/2019_sars_alaska_harbor_seal.pdf" TargetMode="External"/><Relationship Id="rId459" Type="http://schemas.openxmlformats.org/officeDocument/2006/relationships/hyperlink" Target="https://media.fisheries.noaa.gov/dam-migration/2019_sars_alaska_harbor_seal.pdf" TargetMode="External"/><Relationship Id="rId666" Type="http://schemas.openxmlformats.org/officeDocument/2006/relationships/hyperlink" Target="https://media.fisheries.noaa.gov/dam-migration/po2014sehr-ca_508.pdf" TargetMode="External"/><Relationship Id="rId873" Type="http://schemas.openxmlformats.org/officeDocument/2006/relationships/hyperlink" Target="https://www.fisheries.noaa.gov/s3/2023-08/Killer-Whale-Eastern-North-Pacific-2022.pdf" TargetMode="External"/><Relationship Id="rId1089" Type="http://schemas.openxmlformats.org/officeDocument/2006/relationships/hyperlink" Target="https://media.fisheries.noaa.gov/2022-08/2021-NorthernElephant-California%20Breeding%20Stock.pdf" TargetMode="External"/><Relationship Id="rId1296" Type="http://schemas.openxmlformats.org/officeDocument/2006/relationships/hyperlink" Target="https://media.fisheries.noaa.gov/2022-08/2021-shortbeak-common-dolphin-CaliforniaOregonWashington%20Stock.pdf" TargetMode="External"/><Relationship Id="rId221" Type="http://schemas.openxmlformats.org/officeDocument/2006/relationships/hyperlink" Target="https://media.fisheries.noaa.gov/2022-08/2021-FALSE%20KILLER%20WHALE-Hawaiian%20Islands%20Stock%20Complex.pdf" TargetMode="External"/><Relationship Id="rId319" Type="http://schemas.openxmlformats.org/officeDocument/2006/relationships/hyperlink" Target="https://media.fisheries.noaa.gov/2022-08/2021-HARBOR%20PORPOISE-Morro%20Bay%20Stock.pdf" TargetMode="External"/><Relationship Id="rId526" Type="http://schemas.openxmlformats.org/officeDocument/2006/relationships/hyperlink" Target="https://media.fisheries.noaa.gov/dam-migration/2019_sars_alaska_harbor_seal.pdf" TargetMode="External"/><Relationship Id="rId1156" Type="http://schemas.openxmlformats.org/officeDocument/2006/relationships/hyperlink" Target="https://www.fisheries.noaa.gov/s3/2022-08/2021-NORTHERN-FUR-SEAL-Callorhinus-ursinus-Eastern-Pacific-Stock.pdf" TargetMode="External"/><Relationship Id="rId1363" Type="http://schemas.openxmlformats.org/officeDocument/2006/relationships/hyperlink" Target="https://media.fisheries.noaa.gov/dam-migration/2019_sars_alaska_steller_sea_lion_-_eastern_us.pdf" TargetMode="External"/><Relationship Id="rId733" Type="http://schemas.openxmlformats.org/officeDocument/2006/relationships/hyperlink" Target="https://media.fisheries.noaa.gov/dam-migration/po2013sehr-owco_508.pdf" TargetMode="External"/><Relationship Id="rId940" Type="http://schemas.openxmlformats.org/officeDocument/2006/relationships/hyperlink" Target="https://www.fisheries.noaa.gov/s3/2023-08/North-Atlantic-Right-Whale-Western-Atlantic-2022.pdf" TargetMode="External"/><Relationship Id="rId1016" Type="http://schemas.openxmlformats.org/officeDocument/2006/relationships/hyperlink" Target="https://media.fisheries.noaa.gov/2022-08/2021-NorthernElephant-California%20Breeding%20Stock.pdf" TargetMode="External"/><Relationship Id="rId1570" Type="http://schemas.openxmlformats.org/officeDocument/2006/relationships/hyperlink" Target="https://www.fisheries.noaa.gov/s3/2023-06/STELLERSEALIONEumetopiasjubatusWesternU.S.Stock-.pdf" TargetMode="External"/><Relationship Id="rId1668" Type="http://schemas.openxmlformats.org/officeDocument/2006/relationships/hyperlink" Target="https://www.fisheries.noaa.gov/s3/2023-06/STELLERSEALIONEumetopiasjubatusWesternU.S.Stock-.pdf" TargetMode="External"/><Relationship Id="rId1875" Type="http://schemas.openxmlformats.org/officeDocument/2006/relationships/hyperlink" Target="https://www.fisheries.noaa.gov/s3/2023-06/STELLERSEALIONEumetopiasjubatusWesternU.S.Stock-.pdf" TargetMode="External"/><Relationship Id="rId800" Type="http://schemas.openxmlformats.org/officeDocument/2006/relationships/hyperlink" Target="https://s3.amazonaws.com/media.fisheries.noaa.gov/2020-10/2019%20humpback%20whale%20gulf%20of%20Maine%20508.pdf?null" TargetMode="External"/><Relationship Id="rId1223" Type="http://schemas.openxmlformats.org/officeDocument/2006/relationships/hyperlink" Target="https://www.fisheries.noaa.gov/s3/2022-08/2021-NORTHERN-FUR-SEAL-Callorhinus-ursinus-Eastern-Pacific-Stock.pdf" TargetMode="External"/><Relationship Id="rId1430" Type="http://schemas.openxmlformats.org/officeDocument/2006/relationships/hyperlink" Target="https://media.fisheries.noaa.gov/dam-migration/2019_sars_alaska_steller_sea_lion_-_eastern_us.pdf" TargetMode="External"/><Relationship Id="rId1528" Type="http://schemas.openxmlformats.org/officeDocument/2006/relationships/hyperlink" Target="https://www.fisheries.noaa.gov/s3/2023-06/STELLERSEALIONEumetopiasjubatusWesternU.S.Stock-.pdf" TargetMode="External"/><Relationship Id="rId1735" Type="http://schemas.openxmlformats.org/officeDocument/2006/relationships/hyperlink" Target="https://www.fisheries.noaa.gov/s3/2023-06/STELLERSEALIONEumetopiasjubatusWesternU.S.Stock-.pdf" TargetMode="External"/><Relationship Id="rId27" Type="http://schemas.openxmlformats.org/officeDocument/2006/relationships/hyperlink" Target="https://www.fisheries.noaa.gov/s3/2023-05/2021BELUGA-WHALE-Delphinapterus-leucas-Cook-Inlet-Stock.pdf" TargetMode="External"/><Relationship Id="rId1802" Type="http://schemas.openxmlformats.org/officeDocument/2006/relationships/hyperlink" Target="https://www.fisheries.noaa.gov/s3/2023-06/STELLERSEALIONEumetopiasjubatusWesternU.S.Stock-.pdf" TargetMode="External"/><Relationship Id="rId176" Type="http://schemas.openxmlformats.org/officeDocument/2006/relationships/hyperlink" Target="https://media.fisheries.noaa.gov/dam-migration/ca_sea_lion_final_2018_sar.pdf" TargetMode="External"/><Relationship Id="rId383" Type="http://schemas.openxmlformats.org/officeDocument/2006/relationships/hyperlink" Target="https://media.fisheries.noaa.gov/2022-08/2021-HARBOR%20PORPOISE%20-Northern%20CaliforniaSouthern%20Oregon%20Stock.pdf" TargetMode="External"/><Relationship Id="rId590" Type="http://schemas.openxmlformats.org/officeDocument/2006/relationships/hyperlink" Target="https://media.fisheries.noaa.gov/dam-migration/2019_sars_alaska_harbor_seal.pdf" TargetMode="External"/><Relationship Id="rId243" Type="http://schemas.openxmlformats.org/officeDocument/2006/relationships/hyperlink" Target="https://media.fisheries.noaa.gov/2022-08/2021-PACfinwhale-CaliforniaOregonWashington%20Stock.pdf" TargetMode="External"/><Relationship Id="rId450" Type="http://schemas.openxmlformats.org/officeDocument/2006/relationships/hyperlink" Target="https://media.fisheries.noaa.gov/dam-migration/2019_sars_alaska_harbor_seal.pdf" TargetMode="External"/><Relationship Id="rId688" Type="http://schemas.openxmlformats.org/officeDocument/2006/relationships/hyperlink" Target="https://media.fisheries.noaa.gov/dam-migration/po2014sehr-ca_508.pdf" TargetMode="External"/><Relationship Id="rId895" Type="http://schemas.openxmlformats.org/officeDocument/2006/relationships/hyperlink" Target="https://media.fisheries.noaa.gov/dam-migration/pacific-2017-mes_beaked_whales-caorwa-508.pdf" TargetMode="External"/><Relationship Id="rId1080" Type="http://schemas.openxmlformats.org/officeDocument/2006/relationships/hyperlink" Target="https://media.fisheries.noaa.gov/2022-08/2021-NorthernElephant-California%20Breeding%20Stock.pdf" TargetMode="External"/><Relationship Id="rId103" Type="http://schemas.openxmlformats.org/officeDocument/2006/relationships/hyperlink" Target="https://www.fisheries.noaa.gov/s3/2023-08/Bowhead-Whale-WAS-2022.pdf" TargetMode="External"/><Relationship Id="rId310" Type="http://schemas.openxmlformats.org/officeDocument/2006/relationships/hyperlink" Target="https://media.fisheries.noaa.gov/2022-08/2021-HARBOR%20PORPOISE-Morro%20Bay%20Stock.pdf" TargetMode="External"/><Relationship Id="rId548" Type="http://schemas.openxmlformats.org/officeDocument/2006/relationships/hyperlink" Target="https://media.fisheries.noaa.gov/dam-migration/2019_sars_alaska_harbor_seal.pdf" TargetMode="External"/><Relationship Id="rId755" Type="http://schemas.openxmlformats.org/officeDocument/2006/relationships/hyperlink" Target="https://media.fisheries.noaa.gov/2022-08/2021-HumpbackWhale-CaliforniaOregonWashington%20Stock.pdf" TargetMode="External"/><Relationship Id="rId962" Type="http://schemas.openxmlformats.org/officeDocument/2006/relationships/hyperlink" Target="https://www.fisheries.noaa.gov/s3/2023-08/North-Atlantic-Right-Whale-Western-Atlantic-2022.pdf" TargetMode="External"/><Relationship Id="rId1178" Type="http://schemas.openxmlformats.org/officeDocument/2006/relationships/hyperlink" Target="https://www.fisheries.noaa.gov/s3/2022-08/2021-NORTHERN-FUR-SEAL-Callorhinus-ursinus-Eastern-Pacific-Stock.pdf" TargetMode="External"/><Relationship Id="rId1385" Type="http://schemas.openxmlformats.org/officeDocument/2006/relationships/hyperlink" Target="https://media.fisheries.noaa.gov/dam-migration/2019_sars_alaska_steller_sea_lion_-_eastern_us.pdf" TargetMode="External"/><Relationship Id="rId1592" Type="http://schemas.openxmlformats.org/officeDocument/2006/relationships/hyperlink" Target="https://www.fisheries.noaa.gov/s3/2023-06/STELLERSEALIONEumetopiasjubatusWesternU.S.Stock-.pdf" TargetMode="External"/><Relationship Id="rId91" Type="http://schemas.openxmlformats.org/officeDocument/2006/relationships/hyperlink" Target="https://media.fisheries.noaa.gov/2022-08/2021-PacBluewhale-Eastern%20North%20Pacific%20Stock.pdf" TargetMode="External"/><Relationship Id="rId408" Type="http://schemas.openxmlformats.org/officeDocument/2006/relationships/hyperlink" Target="https://media.fisheries.noaa.gov/dam-migration/2019_sars_alaska_harbor_seal.pdf" TargetMode="External"/><Relationship Id="rId615" Type="http://schemas.openxmlformats.org/officeDocument/2006/relationships/hyperlink" Target="https://media.fisheries.noaa.gov/dam-migration/2019_sars_alaska_harbor_seal.pdf" TargetMode="External"/><Relationship Id="rId822" Type="http://schemas.openxmlformats.org/officeDocument/2006/relationships/hyperlink" Target="https://s3.amazonaws.com/media.fisheries.noaa.gov/2020-10/2019%20humpback%20whale%20gulf%20of%20Maine%20508.pdf?null" TargetMode="External"/><Relationship Id="rId1038" Type="http://schemas.openxmlformats.org/officeDocument/2006/relationships/hyperlink" Target="https://media.fisheries.noaa.gov/2022-08/2021-NorthernElephant-California%20Breeding%20Stock.pdf" TargetMode="External"/><Relationship Id="rId1245" Type="http://schemas.openxmlformats.org/officeDocument/2006/relationships/hyperlink" Target="https://www.fws.gov/sites/default/files/documents/northern-sea-otter-washington-stock-assessment-report-july-2018.pdf" TargetMode="External"/><Relationship Id="rId1452" Type="http://schemas.openxmlformats.org/officeDocument/2006/relationships/hyperlink" Target="https://media.fisheries.noaa.gov/dam-migration/2019_sars_alaska_steller_sea_lion_-_eastern_us.pdf" TargetMode="External"/><Relationship Id="rId1105" Type="http://schemas.openxmlformats.org/officeDocument/2006/relationships/hyperlink" Target="https://media.fisheries.noaa.gov/2022-08/2021-NorthernElephant-California%20Breeding%20Stock.pdf" TargetMode="External"/><Relationship Id="rId1312" Type="http://schemas.openxmlformats.org/officeDocument/2006/relationships/hyperlink" Target="https://www.fws.gov/sites/default/files/documents/southern-sea-otter-stock-assessment-report.pdf" TargetMode="External"/><Relationship Id="rId1757" Type="http://schemas.openxmlformats.org/officeDocument/2006/relationships/hyperlink" Target="https://www.fisheries.noaa.gov/s3/2023-06/STELLERSEALIONEumetopiasjubatusWesternU.S.Stock-.pdf" TargetMode="External"/><Relationship Id="rId49" Type="http://schemas.openxmlformats.org/officeDocument/2006/relationships/hyperlink" Target="https://www.fisheries.noaa.gov/s3/2023-05/2021BELUGA-WHALE-Delphinapterus-leucas-Cook-Inlet-Stock.pdf" TargetMode="External"/><Relationship Id="rId1617" Type="http://schemas.openxmlformats.org/officeDocument/2006/relationships/hyperlink" Target="https://www.fisheries.noaa.gov/s3/2023-06/STELLERSEALIONEumetopiasjubatusWesternU.S.Stock-.pdf" TargetMode="External"/><Relationship Id="rId1824" Type="http://schemas.openxmlformats.org/officeDocument/2006/relationships/hyperlink" Target="https://www.fisheries.noaa.gov/s3/2023-06/STELLERSEALIONEumetopiasjubatusWesternU.S.Stock-.pdf" TargetMode="External"/><Relationship Id="rId198" Type="http://schemas.openxmlformats.org/officeDocument/2006/relationships/hyperlink" Target="https://www.fisheries.noaa.gov/s3/2023-08/Cuviers-CAORWA-2022.pdf" TargetMode="External"/><Relationship Id="rId265" Type="http://schemas.openxmlformats.org/officeDocument/2006/relationships/hyperlink" Target="https://www.fisheries.noaa.gov/s3/2021-08/2020-Pacific-SARS-Eastern-GrayWhale-dragged-.pdf" TargetMode="External"/><Relationship Id="rId472" Type="http://schemas.openxmlformats.org/officeDocument/2006/relationships/hyperlink" Target="https://media.fisheries.noaa.gov/dam-migration/2019_sars_alaska_harbor_seal.pdf" TargetMode="External"/><Relationship Id="rId125" Type="http://schemas.openxmlformats.org/officeDocument/2006/relationships/hyperlink" Target="https://media.fisheries.noaa.gov/dam-migration/ca_sea_lion_final_2018_sar.pdf" TargetMode="External"/><Relationship Id="rId332" Type="http://schemas.openxmlformats.org/officeDocument/2006/relationships/hyperlink" Target="https://media.fisheries.noaa.gov/2022-08/2021-HARBOR%20PORPOISE-Monterey%20Bay%20Stock.pdf" TargetMode="External"/><Relationship Id="rId777" Type="http://schemas.openxmlformats.org/officeDocument/2006/relationships/hyperlink" Target="https://media.fisheries.noaa.gov/2022-08/2021-HumpbackWhale-CaliforniaOregonWashington%20Stock.pdf" TargetMode="External"/><Relationship Id="rId984" Type="http://schemas.openxmlformats.org/officeDocument/2006/relationships/hyperlink" Target="https://www.fisheries.noaa.gov/s3/2023-08/North-Atlantic-Right-Whale-Western-Atlantic-2022.pdf" TargetMode="External"/><Relationship Id="rId637" Type="http://schemas.openxmlformats.org/officeDocument/2006/relationships/hyperlink" Target="https://media.fisheries.noaa.gov/dam-migration/2019_sars_alaska_harbor_seal.pdf" TargetMode="External"/><Relationship Id="rId844" Type="http://schemas.openxmlformats.org/officeDocument/2006/relationships/hyperlink" Target="https://www.fisheries.noaa.gov/s3/2023-08/Killer-Whale-Eastern-North-Pacific-2022.pdf" TargetMode="External"/><Relationship Id="rId1267" Type="http://schemas.openxmlformats.org/officeDocument/2006/relationships/hyperlink" Target="https://www.fws.gov/sites/default/files/documents/northern-sea-otter-washington-stock-assessment-report-july-2018.pdf" TargetMode="External"/><Relationship Id="rId1474" Type="http://schemas.openxmlformats.org/officeDocument/2006/relationships/hyperlink" Target="https://www.fisheries.noaa.gov/s3/2023-06/STELLERSEALIONEumetopiasjubatusWesternU.S.Stock-.pdf" TargetMode="External"/><Relationship Id="rId1681" Type="http://schemas.openxmlformats.org/officeDocument/2006/relationships/hyperlink" Target="https://www.fisheries.noaa.gov/s3/2023-06/STELLERSEALIONEumetopiasjubatusWesternU.S.Stock-.pdf" TargetMode="External"/><Relationship Id="rId704" Type="http://schemas.openxmlformats.org/officeDocument/2006/relationships/hyperlink" Target="https://media.fisheries.noaa.gov/dam-migration/po2013sehr-owco_508.pdf" TargetMode="External"/><Relationship Id="rId911" Type="http://schemas.openxmlformats.org/officeDocument/2006/relationships/hyperlink" Target="https://media.fisheries.noaa.gov/2022-08/2021-PACminke-CaliforniaOregonWashington%20Stock.pdf" TargetMode="External"/><Relationship Id="rId1127" Type="http://schemas.openxmlformats.org/officeDocument/2006/relationships/hyperlink" Target="https://media.fisheries.noaa.gov/2022-08/2021-NorthernElephant-California%20Breeding%20Stock.pdf" TargetMode="External"/><Relationship Id="rId1334" Type="http://schemas.openxmlformats.org/officeDocument/2006/relationships/hyperlink" Target="https://www.fws.gov/sites/default/files/documents/southern-sea-otter-stock-assessment-report.pdf" TargetMode="External"/><Relationship Id="rId1541" Type="http://schemas.openxmlformats.org/officeDocument/2006/relationships/hyperlink" Target="https://www.fisheries.noaa.gov/s3/2023-06/STELLERSEALIONEumetopiasjubatusWesternU.S.Stock-.pdf" TargetMode="External"/><Relationship Id="rId1779" Type="http://schemas.openxmlformats.org/officeDocument/2006/relationships/hyperlink" Target="https://www.fisheries.noaa.gov/s3/2023-06/STELLERSEALIONEumetopiasjubatusWesternU.S.Stock-.pdf" TargetMode="External"/><Relationship Id="rId40" Type="http://schemas.openxmlformats.org/officeDocument/2006/relationships/hyperlink" Target="https://www.fisheries.noaa.gov/s3/2023-05/2021BELUGA-WHALE-Delphinapterus-leucas-Cook-Inlet-Stock.pdf" TargetMode="External"/><Relationship Id="rId1401" Type="http://schemas.openxmlformats.org/officeDocument/2006/relationships/hyperlink" Target="https://media.fisheries.noaa.gov/dam-migration/2019_sars_alaska_steller_sea_lion_-_eastern_us.pdf" TargetMode="External"/><Relationship Id="rId1639" Type="http://schemas.openxmlformats.org/officeDocument/2006/relationships/hyperlink" Target="https://www.fisheries.noaa.gov/s3/2023-06/STELLERSEALIONEumetopiasjubatusWesternU.S.Stock-.pdf" TargetMode="External"/><Relationship Id="rId1846" Type="http://schemas.openxmlformats.org/officeDocument/2006/relationships/hyperlink" Target="https://www.fisheries.noaa.gov/s3/2023-06/STELLERSEALIONEumetopiasjubatusWesternU.S.Stock-.pdf" TargetMode="External"/><Relationship Id="rId1706" Type="http://schemas.openxmlformats.org/officeDocument/2006/relationships/hyperlink" Target="https://www.fisheries.noaa.gov/s3/2023-06/STELLERSEALIONEumetopiasjubatusWesternU.S.Stock-.pdf" TargetMode="External"/><Relationship Id="rId287" Type="http://schemas.openxmlformats.org/officeDocument/2006/relationships/hyperlink" Target="https://media.fisheries.noaa.gov/2022-08/2021-HARBOR%20PORPOISE-San%20Francisco-Russian%20River%20Stock.pdf" TargetMode="External"/><Relationship Id="rId494" Type="http://schemas.openxmlformats.org/officeDocument/2006/relationships/hyperlink" Target="https://media.fisheries.noaa.gov/dam-migration/2019_sars_alaska_harbor_seal.pdf" TargetMode="External"/><Relationship Id="rId147" Type="http://schemas.openxmlformats.org/officeDocument/2006/relationships/hyperlink" Target="https://media.fisheries.noaa.gov/dam-migration/ca_sea_lion_final_2018_sar.pdf" TargetMode="External"/><Relationship Id="rId354" Type="http://schemas.openxmlformats.org/officeDocument/2006/relationships/hyperlink" Target="https://media.fisheries.noaa.gov/2022-08/2021-HARBOR%20PORPOISE-Monterey%20Bay%20Stock.pdf" TargetMode="External"/><Relationship Id="rId799" Type="http://schemas.openxmlformats.org/officeDocument/2006/relationships/hyperlink" Target="https://s3.amazonaws.com/media.fisheries.noaa.gov/2020-10/2019%20humpback%20whale%20gulf%20of%20Maine%20508.pdf?null" TargetMode="External"/><Relationship Id="rId1191" Type="http://schemas.openxmlformats.org/officeDocument/2006/relationships/hyperlink" Target="https://www.fisheries.noaa.gov/s3/2022-08/2021-NORTHERN-FUR-SEAL-Callorhinus-ursinus-Eastern-Pacific-Stock.pdf" TargetMode="External"/><Relationship Id="rId561" Type="http://schemas.openxmlformats.org/officeDocument/2006/relationships/hyperlink" Target="https://media.fisheries.noaa.gov/dam-migration/2019_sars_alaska_harbor_seal.pdf" TargetMode="External"/><Relationship Id="rId659" Type="http://schemas.openxmlformats.org/officeDocument/2006/relationships/hyperlink" Target="https://media.fisheries.noaa.gov/dam-migration/po2014sehr-ca_508.pdf" TargetMode="External"/><Relationship Id="rId866" Type="http://schemas.openxmlformats.org/officeDocument/2006/relationships/hyperlink" Target="https://www.fisheries.noaa.gov/s3/2023-08/Killer-Whale-Eastern-North-Pacific-2022.pdf" TargetMode="External"/><Relationship Id="rId1289" Type="http://schemas.openxmlformats.org/officeDocument/2006/relationships/hyperlink" Target="https://media.fisheries.noaa.gov/2021-08/2020-Pacific-SARS-Rissos.pdf" TargetMode="External"/><Relationship Id="rId1496" Type="http://schemas.openxmlformats.org/officeDocument/2006/relationships/hyperlink" Target="https://www.fisheries.noaa.gov/s3/2023-06/STELLERSEALIONEumetopiasjubatusWesternU.S.Stock-.pdf" TargetMode="External"/><Relationship Id="rId214" Type="http://schemas.openxmlformats.org/officeDocument/2006/relationships/hyperlink" Target="https://media.fisheries.noaa.gov/2022-08/2021-DALL'S%20PORPOISE%20-%20CaliforniaOregonWashington%20Stock.pdf" TargetMode="External"/><Relationship Id="rId421" Type="http://schemas.openxmlformats.org/officeDocument/2006/relationships/hyperlink" Target="https://media.fisheries.noaa.gov/dam-migration/2019_sars_alaska_harbor_seal.pdf" TargetMode="External"/><Relationship Id="rId519" Type="http://schemas.openxmlformats.org/officeDocument/2006/relationships/hyperlink" Target="https://media.fisheries.noaa.gov/dam-migration/2019_sars_alaska_harbor_seal.pdf" TargetMode="External"/><Relationship Id="rId1051" Type="http://schemas.openxmlformats.org/officeDocument/2006/relationships/hyperlink" Target="https://media.fisheries.noaa.gov/2022-08/2021-NorthernElephant-California%20Breeding%20Stock.pdf" TargetMode="External"/><Relationship Id="rId1149" Type="http://schemas.openxmlformats.org/officeDocument/2006/relationships/hyperlink" Target="https://www.fisheries.noaa.gov/s3/2022-08/2021-NORTHERN-FUR-SEAL-Callorhinus-ursinus-Eastern-Pacific-Stock.pdf" TargetMode="External"/><Relationship Id="rId1356" Type="http://schemas.openxmlformats.org/officeDocument/2006/relationships/hyperlink" Target="https://media.fisheries.noaa.gov/dam-migration/2019_sars_alaska_steller_sea_lion_-_eastern_us.pdf" TargetMode="External"/><Relationship Id="rId726" Type="http://schemas.openxmlformats.org/officeDocument/2006/relationships/hyperlink" Target="https://media.fisheries.noaa.gov/dam-migration/po2013sehr-owco_508.pdf" TargetMode="External"/><Relationship Id="rId933" Type="http://schemas.openxmlformats.org/officeDocument/2006/relationships/hyperlink" Target="https://www.fisheries.noaa.gov/s3/2023-08/North-Atlantic-Right-Whale-Western-Atlantic-2022.pdf" TargetMode="External"/><Relationship Id="rId1009" Type="http://schemas.openxmlformats.org/officeDocument/2006/relationships/hyperlink" Target="https://www.fisheries.noaa.gov/s3/2023-08/North-Atlantic-Right-Whale-Western-Atlantic-2022.pdf" TargetMode="External"/><Relationship Id="rId1563" Type="http://schemas.openxmlformats.org/officeDocument/2006/relationships/hyperlink" Target="https://www.fisheries.noaa.gov/s3/2023-06/STELLERSEALIONEumetopiasjubatusWesternU.S.Stock-.pdf" TargetMode="External"/><Relationship Id="rId1770" Type="http://schemas.openxmlformats.org/officeDocument/2006/relationships/hyperlink" Target="https://www.fisheries.noaa.gov/s3/2023-06/STELLERSEALIONEumetopiasjubatusWesternU.S.Stock-.pdf" TargetMode="External"/><Relationship Id="rId1868" Type="http://schemas.openxmlformats.org/officeDocument/2006/relationships/hyperlink" Target="https://www.fisheries.noaa.gov/s3/2023-06/STELLERSEALIONEumetopiasjubatusWesternU.S.Stock-.pdf" TargetMode="External"/><Relationship Id="rId62" Type="http://schemas.openxmlformats.org/officeDocument/2006/relationships/hyperlink" Target="https://media.fisheries.noaa.gov/2022-08/2021-PacBluewhale-Eastern%20North%20Pacific%20Stock.pdf" TargetMode="External"/><Relationship Id="rId1216" Type="http://schemas.openxmlformats.org/officeDocument/2006/relationships/hyperlink" Target="https://www.fisheries.noaa.gov/s3/2022-08/2021-NORTHERN-FUR-SEAL-Callorhinus-ursinus-Eastern-Pacific-Stock.pdf" TargetMode="External"/><Relationship Id="rId1423" Type="http://schemas.openxmlformats.org/officeDocument/2006/relationships/hyperlink" Target="https://media.fisheries.noaa.gov/dam-migration/2019_sars_alaska_steller_sea_lion_-_eastern_us.pdf" TargetMode="External"/><Relationship Id="rId1630" Type="http://schemas.openxmlformats.org/officeDocument/2006/relationships/hyperlink" Target="https://www.fisheries.noaa.gov/s3/2023-06/STELLERSEALIONEumetopiasjubatusWesternU.S.Stock-.pdf" TargetMode="External"/><Relationship Id="rId1728" Type="http://schemas.openxmlformats.org/officeDocument/2006/relationships/hyperlink" Target="https://www.fisheries.noaa.gov/s3/2023-06/STELLERSEALIONEumetopiasjubatusWesternU.S.Stock-.pdf" TargetMode="External"/><Relationship Id="rId169" Type="http://schemas.openxmlformats.org/officeDocument/2006/relationships/hyperlink" Target="https://media.fisheries.noaa.gov/dam-migration/ca_sea_lion_final_2018_sar.pdf" TargetMode="External"/><Relationship Id="rId376" Type="http://schemas.openxmlformats.org/officeDocument/2006/relationships/hyperlink" Target="https://media.fisheries.noaa.gov/2022-08/2021-HARBOR%20PORPOISE%20-Northern%20CaliforniaSouthern%20Oregon%20Stock.pdf" TargetMode="External"/><Relationship Id="rId583" Type="http://schemas.openxmlformats.org/officeDocument/2006/relationships/hyperlink" Target="https://media.fisheries.noaa.gov/dam-migration/2019_sars_alaska_harbor_seal.pdf" TargetMode="External"/><Relationship Id="rId790" Type="http://schemas.openxmlformats.org/officeDocument/2006/relationships/hyperlink" Target="https://s3.amazonaws.com/media.fisheries.noaa.gov/2020-10/2019%20humpback%20whale%20gulf%20of%20Maine%20508.pdf?null" TargetMode="External"/><Relationship Id="rId4" Type="http://schemas.openxmlformats.org/officeDocument/2006/relationships/hyperlink" Target="https://media.fisheries.noaa.gov/2022-08/pacific-2021-beaked-whale-mesoplodont.pdf" TargetMode="External"/><Relationship Id="rId236" Type="http://schemas.openxmlformats.org/officeDocument/2006/relationships/hyperlink" Target="https://media.fisheries.noaa.gov/2022-08/2021-PACfinwhale-CaliforniaOregonWashington%20Stock.pdf" TargetMode="External"/><Relationship Id="rId443" Type="http://schemas.openxmlformats.org/officeDocument/2006/relationships/hyperlink" Target="https://media.fisheries.noaa.gov/dam-migration/2019_sars_alaska_harbor_seal.pdf" TargetMode="External"/><Relationship Id="rId650" Type="http://schemas.openxmlformats.org/officeDocument/2006/relationships/hyperlink" Target="https://media.fisheries.noaa.gov/dam-migration/po2014sehr-ca_508.pdf" TargetMode="External"/><Relationship Id="rId888" Type="http://schemas.openxmlformats.org/officeDocument/2006/relationships/hyperlink" Target="https://media.fisheries.noaa.gov/2022-08/2021-LONG-BEAKED%20COMMON%20DOLPHIN-California%20Stock.pdf" TargetMode="External"/><Relationship Id="rId1073" Type="http://schemas.openxmlformats.org/officeDocument/2006/relationships/hyperlink" Target="https://media.fisheries.noaa.gov/2022-08/2021-NorthernElephant-California%20Breeding%20Stock.pdf" TargetMode="External"/><Relationship Id="rId1280" Type="http://schemas.openxmlformats.org/officeDocument/2006/relationships/hyperlink" Target="https://www.fisheries.noaa.gov/s3/2022-08/2021-PACWHITESIDE-CaliforniaOregonWashington-Northern-and-Southern-Stocks.pdf" TargetMode="External"/><Relationship Id="rId303" Type="http://schemas.openxmlformats.org/officeDocument/2006/relationships/hyperlink" Target="https://media.fisheries.noaa.gov/2022-08/2021-HARBOR%20PORPOISE-San%20Francisco-Russian%20River%20Stock.pdf" TargetMode="External"/><Relationship Id="rId748" Type="http://schemas.openxmlformats.org/officeDocument/2006/relationships/hyperlink" Target="https://media.fisheries.noaa.gov/2022-08/2021-HumpbackWhale-CaliforniaOregonWashington%20Stock.pdf" TargetMode="External"/><Relationship Id="rId955" Type="http://schemas.openxmlformats.org/officeDocument/2006/relationships/hyperlink" Target="https://www.fisheries.noaa.gov/s3/2023-08/North-Atlantic-Right-Whale-Western-Atlantic-2022.pdf" TargetMode="External"/><Relationship Id="rId1140" Type="http://schemas.openxmlformats.org/officeDocument/2006/relationships/hyperlink" Target="https://media.fisheries.noaa.gov/2022-08/2021-NorthernElephant-California%20Breeding%20Stock.pdf" TargetMode="External"/><Relationship Id="rId1378" Type="http://schemas.openxmlformats.org/officeDocument/2006/relationships/hyperlink" Target="https://media.fisheries.noaa.gov/dam-migration/2019_sars_alaska_steller_sea_lion_-_eastern_us.pdf" TargetMode="External"/><Relationship Id="rId1585" Type="http://schemas.openxmlformats.org/officeDocument/2006/relationships/hyperlink" Target="https://www.fisheries.noaa.gov/s3/2023-06/STELLERSEALIONEumetopiasjubatusWesternU.S.Stock-.pdf" TargetMode="External"/><Relationship Id="rId1792" Type="http://schemas.openxmlformats.org/officeDocument/2006/relationships/hyperlink" Target="https://www.fisheries.noaa.gov/s3/2023-06/STELLERSEALIONEumetopiasjubatusWesternU.S.Stock-.pdf" TargetMode="External"/><Relationship Id="rId84" Type="http://schemas.openxmlformats.org/officeDocument/2006/relationships/hyperlink" Target="https://media.fisheries.noaa.gov/2022-08/2021-PacBluewhale-Eastern%20North%20Pacific%20Stock.pdf" TargetMode="External"/><Relationship Id="rId510" Type="http://schemas.openxmlformats.org/officeDocument/2006/relationships/hyperlink" Target="https://media.fisheries.noaa.gov/dam-migration/2019_sars_alaska_harbor_seal.pdf" TargetMode="External"/><Relationship Id="rId608" Type="http://schemas.openxmlformats.org/officeDocument/2006/relationships/hyperlink" Target="https://media.fisheries.noaa.gov/dam-migration/2019_sars_alaska_harbor_seal.pdf" TargetMode="External"/><Relationship Id="rId815" Type="http://schemas.openxmlformats.org/officeDocument/2006/relationships/hyperlink" Target="https://s3.amazonaws.com/media.fisheries.noaa.gov/2020-10/2019%20humpback%20whale%20gulf%20of%20Maine%20508.pdf?null" TargetMode="External"/><Relationship Id="rId1238" Type="http://schemas.openxmlformats.org/officeDocument/2006/relationships/hyperlink" Target="https://media.fisheries.noaa.gov/2022-08/2021-NorthernRWdolphin-CaliforniaOregonWashington%20Stock.pdf" TargetMode="External"/><Relationship Id="rId1445" Type="http://schemas.openxmlformats.org/officeDocument/2006/relationships/hyperlink" Target="https://media.fisheries.noaa.gov/dam-migration/2019_sars_alaska_steller_sea_lion_-_eastern_us.pdf" TargetMode="External"/><Relationship Id="rId1652" Type="http://schemas.openxmlformats.org/officeDocument/2006/relationships/hyperlink" Target="https://www.fisheries.noaa.gov/s3/2023-06/STELLERSEALIONEumetopiasjubatusWesternU.S.Stock-.pdf" TargetMode="External"/><Relationship Id="rId1000" Type="http://schemas.openxmlformats.org/officeDocument/2006/relationships/hyperlink" Target="https://www.fisheries.noaa.gov/s3/2023-08/North-Atlantic-Right-Whale-Western-Atlantic-2022.pdf" TargetMode="External"/><Relationship Id="rId1305" Type="http://schemas.openxmlformats.org/officeDocument/2006/relationships/hyperlink" Target="https://media.fisheries.noaa.gov/2021-08/2020-Pacific-SARS-ShortFinPWHI.pdf" TargetMode="External"/><Relationship Id="rId1512" Type="http://schemas.openxmlformats.org/officeDocument/2006/relationships/hyperlink" Target="https://www.fisheries.noaa.gov/s3/2023-06/STELLERSEALIONEumetopiasjubatusWesternU.S.Stock-.pdf" TargetMode="External"/><Relationship Id="rId1817" Type="http://schemas.openxmlformats.org/officeDocument/2006/relationships/hyperlink" Target="https://www.fisheries.noaa.gov/s3/2023-06/STELLERSEALIONEumetopiasjubatusWesternU.S.Stock-.pdf" TargetMode="External"/><Relationship Id="rId11" Type="http://schemas.openxmlformats.org/officeDocument/2006/relationships/hyperlink" Target="https://media.fisheries.noaa.gov/2022-08/pacific-2021-beaked-whale-mesoplodont.pdf" TargetMode="External"/><Relationship Id="rId398" Type="http://schemas.openxmlformats.org/officeDocument/2006/relationships/hyperlink" Target="https://media.fisheries.noaa.gov/dam-migration/2019_sars_alaska_harbor_seal.pdf" TargetMode="External"/><Relationship Id="rId160" Type="http://schemas.openxmlformats.org/officeDocument/2006/relationships/hyperlink" Target="https://media.fisheries.noaa.gov/dam-migration/ca_sea_lion_final_2018_sar.pdf" TargetMode="External"/><Relationship Id="rId258" Type="http://schemas.openxmlformats.org/officeDocument/2006/relationships/hyperlink" Target="https://www.fisheries.noaa.gov/s3/2021-08/2020-Pacific-SARS-Eastern-GrayWhale-dragged-.pdf" TargetMode="External"/><Relationship Id="rId465" Type="http://schemas.openxmlformats.org/officeDocument/2006/relationships/hyperlink" Target="https://media.fisheries.noaa.gov/dam-migration/2019_sars_alaska_harbor_seal.pdf" TargetMode="External"/><Relationship Id="rId672" Type="http://schemas.openxmlformats.org/officeDocument/2006/relationships/hyperlink" Target="https://media.fisheries.noaa.gov/dam-migration/po2014sehr-ca_508.pdf" TargetMode="External"/><Relationship Id="rId1095" Type="http://schemas.openxmlformats.org/officeDocument/2006/relationships/hyperlink" Target="https://media.fisheries.noaa.gov/2022-08/2021-NorthernElephant-California%20Breeding%20Stock.pdf" TargetMode="External"/><Relationship Id="rId118" Type="http://schemas.openxmlformats.org/officeDocument/2006/relationships/hyperlink" Target="https://media.fisheries.noaa.gov/dam-migration/ca_sea_lion_final_2018_sar.pdf" TargetMode="External"/><Relationship Id="rId325" Type="http://schemas.openxmlformats.org/officeDocument/2006/relationships/hyperlink" Target="https://media.fisheries.noaa.gov/2022-08/2021-HARBOR%20PORPOISE-Morro%20Bay%20Stock.pdf" TargetMode="External"/><Relationship Id="rId532" Type="http://schemas.openxmlformats.org/officeDocument/2006/relationships/hyperlink" Target="https://media.fisheries.noaa.gov/dam-migration/2019_sars_alaska_harbor_seal.pdf" TargetMode="External"/><Relationship Id="rId977" Type="http://schemas.openxmlformats.org/officeDocument/2006/relationships/hyperlink" Target="https://www.fisheries.noaa.gov/s3/2023-08/North-Atlantic-Right-Whale-Western-Atlantic-2022.pdf" TargetMode="External"/><Relationship Id="rId1162" Type="http://schemas.openxmlformats.org/officeDocument/2006/relationships/hyperlink" Target="https://www.fisheries.noaa.gov/s3/2022-08/2021-NORTHERN-FUR-SEAL-Callorhinus-ursinus-Eastern-Pacific-Stock.pdf" TargetMode="External"/><Relationship Id="rId837" Type="http://schemas.openxmlformats.org/officeDocument/2006/relationships/hyperlink" Target="https://www.fisheries.noaa.gov/s3/2023-08/Killer-Whale-Eastern-North-Pacific-2022.pdf" TargetMode="External"/><Relationship Id="rId1022" Type="http://schemas.openxmlformats.org/officeDocument/2006/relationships/hyperlink" Target="https://media.fisheries.noaa.gov/2022-08/2021-NorthernElephant-California%20Breeding%20Stock.pdf" TargetMode="External"/><Relationship Id="rId1467" Type="http://schemas.openxmlformats.org/officeDocument/2006/relationships/hyperlink" Target="https://media.fisheries.noaa.gov/dam-migration/2019_sars_alaska_steller_sea_lion_-_eastern_us.pdf" TargetMode="External"/><Relationship Id="rId1674" Type="http://schemas.openxmlformats.org/officeDocument/2006/relationships/hyperlink" Target="https://www.fisheries.noaa.gov/s3/2023-06/STELLERSEALIONEumetopiasjubatusWesternU.S.Stock-.pdf" TargetMode="External"/><Relationship Id="rId1881" Type="http://schemas.openxmlformats.org/officeDocument/2006/relationships/hyperlink" Target="https://media.fisheries.noaa.gov/2022-08/2021-STRIPED%20DOLPHIN-CaliforniaOregonWashington-Stock.pdf" TargetMode="External"/><Relationship Id="rId904" Type="http://schemas.openxmlformats.org/officeDocument/2006/relationships/hyperlink" Target="https://media.fisheries.noaa.gov/dam-migration/pacific-2017-mes_beaked_whales-caorwa-508.pdf" TargetMode="External"/><Relationship Id="rId1327" Type="http://schemas.openxmlformats.org/officeDocument/2006/relationships/hyperlink" Target="https://www.fws.gov/sites/default/files/documents/southern-sea-otter-stock-assessment-report.pdf" TargetMode="External"/><Relationship Id="rId1534" Type="http://schemas.openxmlformats.org/officeDocument/2006/relationships/hyperlink" Target="https://www.fisheries.noaa.gov/s3/2023-06/STELLERSEALIONEumetopiasjubatusWesternU.S.Stock-.pdf" TargetMode="External"/><Relationship Id="rId1741" Type="http://schemas.openxmlformats.org/officeDocument/2006/relationships/hyperlink" Target="https://www.fisheries.noaa.gov/s3/2023-06/STELLERSEALIONEumetopiasjubatusWesternU.S.Stock-.pdf" TargetMode="External"/><Relationship Id="rId33" Type="http://schemas.openxmlformats.org/officeDocument/2006/relationships/hyperlink" Target="https://www.fisheries.noaa.gov/s3/2023-05/2021BELUGA-WHALE-Delphinapterus-leucas-Cook-Inlet-Stock.pdf" TargetMode="External"/><Relationship Id="rId1601" Type="http://schemas.openxmlformats.org/officeDocument/2006/relationships/hyperlink" Target="https://www.fisheries.noaa.gov/s3/2023-06/STELLERSEALIONEumetopiasjubatusWesternU.S.Stock-.pdf" TargetMode="External"/><Relationship Id="rId1839" Type="http://schemas.openxmlformats.org/officeDocument/2006/relationships/hyperlink" Target="https://www.fisheries.noaa.gov/s3/2023-06/STELLERSEALIONEumetopiasjubatusWesternU.S.Stock-.pdf" TargetMode="External"/><Relationship Id="rId182" Type="http://schemas.openxmlformats.org/officeDocument/2006/relationships/hyperlink" Target="https://media.fisheries.noaa.gov/dam-migration/ca_sea_lion_final_2018_sar.pdf" TargetMode="External"/><Relationship Id="rId487" Type="http://schemas.openxmlformats.org/officeDocument/2006/relationships/hyperlink" Target="https://media.fisheries.noaa.gov/dam-migration/2019_sars_alaska_harbor_seal.pdf" TargetMode="External"/><Relationship Id="rId694" Type="http://schemas.openxmlformats.org/officeDocument/2006/relationships/hyperlink" Target="https://media.fisheries.noaa.gov/dam-migration/po2013sehr-owco_508.pdf" TargetMode="External"/><Relationship Id="rId347" Type="http://schemas.openxmlformats.org/officeDocument/2006/relationships/hyperlink" Target="https://media.fisheries.noaa.gov/2022-08/2021-HARBOR%20PORPOISE-Monterey%20Bay%20Stock.pdf" TargetMode="External"/><Relationship Id="rId999" Type="http://schemas.openxmlformats.org/officeDocument/2006/relationships/hyperlink" Target="https://www.fisheries.noaa.gov/s3/2023-08/North-Atlantic-Right-Whale-Western-Atlantic-2022.pdf" TargetMode="External"/><Relationship Id="rId1184" Type="http://schemas.openxmlformats.org/officeDocument/2006/relationships/hyperlink" Target="https://www.fisheries.noaa.gov/s3/2022-08/2021-NORTHERN-FUR-SEAL-Callorhinus-ursinus-Eastern-Pacific-Stock.pdf" TargetMode="External"/><Relationship Id="rId554" Type="http://schemas.openxmlformats.org/officeDocument/2006/relationships/hyperlink" Target="https://media.fisheries.noaa.gov/dam-migration/2019_sars_alaska_harbor_seal.pdf" TargetMode="External"/><Relationship Id="rId761" Type="http://schemas.openxmlformats.org/officeDocument/2006/relationships/hyperlink" Target="https://media.fisheries.noaa.gov/2022-08/2021-HumpbackWhale-CaliforniaOregonWashington%20Stock.pdf" TargetMode="External"/><Relationship Id="rId859" Type="http://schemas.openxmlformats.org/officeDocument/2006/relationships/hyperlink" Target="https://www.fisheries.noaa.gov/s3/2023-08/Killer-Whale-Eastern-North-Pacific-2022.pdf" TargetMode="External"/><Relationship Id="rId1391" Type="http://schemas.openxmlformats.org/officeDocument/2006/relationships/hyperlink" Target="https://media.fisheries.noaa.gov/dam-migration/2019_sars_alaska_steller_sea_lion_-_eastern_us.pdf" TargetMode="External"/><Relationship Id="rId1489" Type="http://schemas.openxmlformats.org/officeDocument/2006/relationships/hyperlink" Target="https://www.fisheries.noaa.gov/s3/2023-06/STELLERSEALIONEumetopiasjubatusWesternU.S.Stock-.pdf" TargetMode="External"/><Relationship Id="rId1696" Type="http://schemas.openxmlformats.org/officeDocument/2006/relationships/hyperlink" Target="https://www.fisheries.noaa.gov/s3/2023-06/STELLERSEALIONEumetopiasjubatusWesternU.S.Stock-.pdf" TargetMode="External"/><Relationship Id="rId207" Type="http://schemas.openxmlformats.org/officeDocument/2006/relationships/hyperlink" Target="https://media.fisheries.noaa.gov/2022-08/2021-DALL'S%20PORPOISE%20-%20CaliforniaOregonWashington%20Stock.pdf" TargetMode="External"/><Relationship Id="rId414" Type="http://schemas.openxmlformats.org/officeDocument/2006/relationships/hyperlink" Target="https://media.fisheries.noaa.gov/dam-migration/2019_sars_alaska_harbor_seal.pdf" TargetMode="External"/><Relationship Id="rId621" Type="http://schemas.openxmlformats.org/officeDocument/2006/relationships/hyperlink" Target="https://media.fisheries.noaa.gov/dam-migration/2019_sars_alaska_harbor_seal.pdf" TargetMode="External"/><Relationship Id="rId1044" Type="http://schemas.openxmlformats.org/officeDocument/2006/relationships/hyperlink" Target="https://media.fisheries.noaa.gov/2022-08/2021-NorthernElephant-California%20Breeding%20Stock.pdf" TargetMode="External"/><Relationship Id="rId1251" Type="http://schemas.openxmlformats.org/officeDocument/2006/relationships/hyperlink" Target="https://www.fws.gov/sites/default/files/documents/northern-sea-otter-washington-stock-assessment-report-july-2018.pdf" TargetMode="External"/><Relationship Id="rId1349" Type="http://schemas.openxmlformats.org/officeDocument/2006/relationships/hyperlink" Target="https://media.fisheries.noaa.gov/dam-migration/2019_sars_spermwhale_caorwa.pdf" TargetMode="External"/><Relationship Id="rId719" Type="http://schemas.openxmlformats.org/officeDocument/2006/relationships/hyperlink" Target="https://media.fisheries.noaa.gov/dam-migration/po2013sehr-owco_508.pdf" TargetMode="External"/><Relationship Id="rId926" Type="http://schemas.openxmlformats.org/officeDocument/2006/relationships/hyperlink" Target="https://www.fisheries.noaa.gov/s3/2023-08/North-Atlantic-Right-Whale-Western-Atlantic-2022.pdf" TargetMode="External"/><Relationship Id="rId1111" Type="http://schemas.openxmlformats.org/officeDocument/2006/relationships/hyperlink" Target="https://media.fisheries.noaa.gov/2022-08/2021-NorthernElephant-California%20Breeding%20Stock.pdf" TargetMode="External"/><Relationship Id="rId1556" Type="http://schemas.openxmlformats.org/officeDocument/2006/relationships/hyperlink" Target="https://www.fisheries.noaa.gov/s3/2023-06/STELLERSEALIONEumetopiasjubatusWesternU.S.Stock-.pdf" TargetMode="External"/><Relationship Id="rId1763" Type="http://schemas.openxmlformats.org/officeDocument/2006/relationships/hyperlink" Target="https://www.fisheries.noaa.gov/s3/2023-06/STELLERSEALIONEumetopiasjubatusWesternU.S.Stock-.pdf" TargetMode="External"/><Relationship Id="rId55" Type="http://schemas.openxmlformats.org/officeDocument/2006/relationships/hyperlink" Target="https://media.fisheries.noaa.gov/2022-08/2021-PacBluewhale-Eastern%20North%20Pacific%20Stock.pdf" TargetMode="External"/><Relationship Id="rId1209" Type="http://schemas.openxmlformats.org/officeDocument/2006/relationships/hyperlink" Target="https://www.fisheries.noaa.gov/s3/2022-08/2021-NORTHERN-FUR-SEAL-Callorhinus-ursinus-Eastern-Pacific-Stock.pdf" TargetMode="External"/><Relationship Id="rId1416" Type="http://schemas.openxmlformats.org/officeDocument/2006/relationships/hyperlink" Target="https://media.fisheries.noaa.gov/dam-migration/2019_sars_alaska_steller_sea_lion_-_eastern_us.pdf" TargetMode="External"/><Relationship Id="rId1623" Type="http://schemas.openxmlformats.org/officeDocument/2006/relationships/hyperlink" Target="https://www.fisheries.noaa.gov/s3/2023-06/STELLERSEALIONEumetopiasjubatusWesternU.S.Stock-.pdf" TargetMode="External"/><Relationship Id="rId1830" Type="http://schemas.openxmlformats.org/officeDocument/2006/relationships/hyperlink" Target="https://www.fisheries.noaa.gov/s3/2023-06/STELLERSEALIONEumetopiasjubatusWesternU.S.Stock-.pdf" TargetMode="External"/><Relationship Id="rId271" Type="http://schemas.openxmlformats.org/officeDocument/2006/relationships/hyperlink" Target="https://www.fisheries.noaa.gov/s3/2021-08/2020-Pacific-SARS-Eastern-GrayWhale-dragged-.pdf" TargetMode="External"/><Relationship Id="rId131" Type="http://schemas.openxmlformats.org/officeDocument/2006/relationships/hyperlink" Target="https://media.fisheries.noaa.gov/dam-migration/ca_sea_lion_final_2018_sar.pdf" TargetMode="External"/><Relationship Id="rId369" Type="http://schemas.openxmlformats.org/officeDocument/2006/relationships/hyperlink" Target="https://media.fisheries.noaa.gov/2022-08/2021-HARBOR%20PORPOISE%20-Northern%20CaliforniaSouthern%20Oregon%20Stock.pdf" TargetMode="External"/><Relationship Id="rId576" Type="http://schemas.openxmlformats.org/officeDocument/2006/relationships/hyperlink" Target="https://media.fisheries.noaa.gov/dam-migration/2019_sars_alaska_harbor_seal.pdf" TargetMode="External"/><Relationship Id="rId783" Type="http://schemas.openxmlformats.org/officeDocument/2006/relationships/hyperlink" Target="https://s3.amazonaws.com/media.fisheries.noaa.gov/2020-10/2019%20humpback%20whale%20gulf%20of%20Maine%20508.pdf?null" TargetMode="External"/><Relationship Id="rId990" Type="http://schemas.openxmlformats.org/officeDocument/2006/relationships/hyperlink" Target="https://www.fisheries.noaa.gov/s3/2023-08/North-Atlantic-Right-Whale-Western-Atlantic-2022.pdf" TargetMode="External"/><Relationship Id="rId229" Type="http://schemas.openxmlformats.org/officeDocument/2006/relationships/hyperlink" Target="https://media.fisheries.noaa.gov/2022-08/2021-PACfinwhale-CaliforniaOregonWashington%20Stock.pdf" TargetMode="External"/><Relationship Id="rId436" Type="http://schemas.openxmlformats.org/officeDocument/2006/relationships/hyperlink" Target="https://media.fisheries.noaa.gov/dam-migration/2019_sars_alaska_harbor_seal.pdf" TargetMode="External"/><Relationship Id="rId643" Type="http://schemas.openxmlformats.org/officeDocument/2006/relationships/hyperlink" Target="https://media.fisheries.noaa.gov/dam-migration/po2014sehr-ca_508.pdf" TargetMode="External"/><Relationship Id="rId1066" Type="http://schemas.openxmlformats.org/officeDocument/2006/relationships/hyperlink" Target="https://media.fisheries.noaa.gov/2022-08/2021-NorthernElephant-California%20Breeding%20Stock.pdf" TargetMode="External"/><Relationship Id="rId1273" Type="http://schemas.openxmlformats.org/officeDocument/2006/relationships/hyperlink" Target="https://www.fisheries.noaa.gov/s3/2022-08/2021-PACWHITESIDE-CaliforniaOregonWashington-Northern-and-Southern-Stocks.pdf" TargetMode="External"/><Relationship Id="rId1480" Type="http://schemas.openxmlformats.org/officeDocument/2006/relationships/hyperlink" Target="https://www.fisheries.noaa.gov/s3/2023-06/STELLERSEALIONEumetopiasjubatusWesternU.S.Stock-.pdf" TargetMode="External"/><Relationship Id="rId850" Type="http://schemas.openxmlformats.org/officeDocument/2006/relationships/hyperlink" Target="https://www.fisheries.noaa.gov/s3/2023-08/Killer-Whale-Eastern-North-Pacific-2022.pdf" TargetMode="External"/><Relationship Id="rId948" Type="http://schemas.openxmlformats.org/officeDocument/2006/relationships/hyperlink" Target="https://www.fisheries.noaa.gov/s3/2023-08/North-Atlantic-Right-Whale-Western-Atlantic-2022.pdf" TargetMode="External"/><Relationship Id="rId1133" Type="http://schemas.openxmlformats.org/officeDocument/2006/relationships/hyperlink" Target="https://media.fisheries.noaa.gov/2022-08/2021-NorthernElephant-California%20Breeding%20Stock.pdf" TargetMode="External"/><Relationship Id="rId1578" Type="http://schemas.openxmlformats.org/officeDocument/2006/relationships/hyperlink" Target="https://www.fisheries.noaa.gov/s3/2023-06/STELLERSEALIONEumetopiasjubatusWesternU.S.Stock-.pdf" TargetMode="External"/><Relationship Id="rId1785" Type="http://schemas.openxmlformats.org/officeDocument/2006/relationships/hyperlink" Target="https://www.fisheries.noaa.gov/s3/2023-06/STELLERSEALIONEumetopiasjubatusWesternU.S.Stock-.pdf" TargetMode="External"/><Relationship Id="rId77" Type="http://schemas.openxmlformats.org/officeDocument/2006/relationships/hyperlink" Target="https://media.fisheries.noaa.gov/2022-08/2021-PacBluewhale-Eastern%20North%20Pacific%20Stock.pdf" TargetMode="External"/><Relationship Id="rId503" Type="http://schemas.openxmlformats.org/officeDocument/2006/relationships/hyperlink" Target="https://media.fisheries.noaa.gov/dam-migration/2019_sars_alaska_harbor_seal.pdf" TargetMode="External"/><Relationship Id="rId710" Type="http://schemas.openxmlformats.org/officeDocument/2006/relationships/hyperlink" Target="https://media.fisheries.noaa.gov/dam-migration/po2013sehr-wain_508.pdf" TargetMode="External"/><Relationship Id="rId808" Type="http://schemas.openxmlformats.org/officeDocument/2006/relationships/hyperlink" Target="https://s3.amazonaws.com/media.fisheries.noaa.gov/2020-10/2019%20humpback%20whale%20gulf%20of%20Maine%20508.pdf?null" TargetMode="External"/><Relationship Id="rId1340" Type="http://schemas.openxmlformats.org/officeDocument/2006/relationships/hyperlink" Target="https://www.fws.gov/sites/default/files/documents/southern-sea-otter-stock-assessment-report.pdf" TargetMode="External"/><Relationship Id="rId1438" Type="http://schemas.openxmlformats.org/officeDocument/2006/relationships/hyperlink" Target="https://media.fisheries.noaa.gov/dam-migration/2019_sars_alaska_steller_sea_lion_-_eastern_us.pdf" TargetMode="External"/><Relationship Id="rId1645" Type="http://schemas.openxmlformats.org/officeDocument/2006/relationships/hyperlink" Target="https://www.fisheries.noaa.gov/s3/2023-06/STELLERSEALIONEumetopiasjubatusWesternU.S.Stock-.pdf" TargetMode="External"/><Relationship Id="rId1200" Type="http://schemas.openxmlformats.org/officeDocument/2006/relationships/hyperlink" Target="https://www.fisheries.noaa.gov/s3/2022-08/2021-NORTHERN-FUR-SEAL-Callorhinus-ursinus-Eastern-Pacific-Stock.pdf" TargetMode="External"/><Relationship Id="rId1852" Type="http://schemas.openxmlformats.org/officeDocument/2006/relationships/hyperlink" Target="https://www.fisheries.noaa.gov/s3/2023-06/STELLERSEALIONEumetopiasjubatusWesternU.S.Stock-.pdf" TargetMode="External"/><Relationship Id="rId1505" Type="http://schemas.openxmlformats.org/officeDocument/2006/relationships/hyperlink" Target="https://www.fisheries.noaa.gov/s3/2023-06/STELLERSEALIONEumetopiasjubatusWesternU.S.Stock-.pdf" TargetMode="External"/><Relationship Id="rId1712" Type="http://schemas.openxmlformats.org/officeDocument/2006/relationships/hyperlink" Target="https://www.fisheries.noaa.gov/s3/2023-06/STELLERSEALIONEumetopiasjubatusWesternU.S.Stock-.pdf" TargetMode="External"/><Relationship Id="rId293" Type="http://schemas.openxmlformats.org/officeDocument/2006/relationships/hyperlink" Target="https://media.fisheries.noaa.gov/2022-08/2021-HARBOR%20PORPOISE-San%20Francisco-Russian%20River%20Stock.pdf" TargetMode="External"/><Relationship Id="rId307" Type="http://schemas.openxmlformats.org/officeDocument/2006/relationships/hyperlink" Target="https://media.fisheries.noaa.gov/2022-08/2021-HARBOR%20PORPOISE-Morro%20Bay%20Stock.pdf" TargetMode="External"/><Relationship Id="rId514" Type="http://schemas.openxmlformats.org/officeDocument/2006/relationships/hyperlink" Target="https://media.fisheries.noaa.gov/dam-migration/2019_sars_alaska_harbor_seal.pdf" TargetMode="External"/><Relationship Id="rId721" Type="http://schemas.openxmlformats.org/officeDocument/2006/relationships/hyperlink" Target="https://media.fisheries.noaa.gov/dam-migration/po2013sehr-owco_508.pdf" TargetMode="External"/><Relationship Id="rId1144" Type="http://schemas.openxmlformats.org/officeDocument/2006/relationships/hyperlink" Target="https://www.fisheries.noaa.gov/s3/2022-08/2021-NORTHERN-FUR-SEAL-Callorhinus-ursinus-Eastern-Pacific-Stock.pdf" TargetMode="External"/><Relationship Id="rId1351" Type="http://schemas.openxmlformats.org/officeDocument/2006/relationships/hyperlink" Target="https://media.fisheries.noaa.gov/dam-migration/2019_sars_spermwhale_caorwa.pdf" TargetMode="External"/><Relationship Id="rId1449" Type="http://schemas.openxmlformats.org/officeDocument/2006/relationships/hyperlink" Target="https://media.fisheries.noaa.gov/dam-migration/2019_sars_alaska_steller_sea_lion_-_eastern_us.pdf" TargetMode="External"/><Relationship Id="rId1796" Type="http://schemas.openxmlformats.org/officeDocument/2006/relationships/hyperlink" Target="https://www.fisheries.noaa.gov/s3/2023-06/STELLERSEALIONEumetopiasjubatusWesternU.S.Stock-.pdf" TargetMode="External"/><Relationship Id="rId88" Type="http://schemas.openxmlformats.org/officeDocument/2006/relationships/hyperlink" Target="https://media.fisheries.noaa.gov/2022-08/2021-PacBluewhale-Eastern%20North%20Pacific%20Stock.pdf" TargetMode="External"/><Relationship Id="rId153" Type="http://schemas.openxmlformats.org/officeDocument/2006/relationships/hyperlink" Target="https://media.fisheries.noaa.gov/dam-migration/ca_sea_lion_final_2018_sar.pdf" TargetMode="External"/><Relationship Id="rId360" Type="http://schemas.openxmlformats.org/officeDocument/2006/relationships/hyperlink" Target="https://media.fisheries.noaa.gov/2022-08/2021-HARBOR%20PORPOISE%20-Northern%20CaliforniaSouthern%20Oregon%20Stock.pdf" TargetMode="External"/><Relationship Id="rId598" Type="http://schemas.openxmlformats.org/officeDocument/2006/relationships/hyperlink" Target="https://media.fisheries.noaa.gov/dam-migration/2019_sars_alaska_harbor_seal.pdf" TargetMode="External"/><Relationship Id="rId819" Type="http://schemas.openxmlformats.org/officeDocument/2006/relationships/hyperlink" Target="https://s3.amazonaws.com/media.fisheries.noaa.gov/2020-10/2019%20humpback%20whale%20gulf%20of%20Maine%20508.pdf?null" TargetMode="External"/><Relationship Id="rId1004" Type="http://schemas.openxmlformats.org/officeDocument/2006/relationships/hyperlink" Target="https://www.fisheries.noaa.gov/s3/2023-08/North-Atlantic-Right-Whale-Western-Atlantic-2022.pdf" TargetMode="External"/><Relationship Id="rId1211" Type="http://schemas.openxmlformats.org/officeDocument/2006/relationships/hyperlink" Target="https://www.fisheries.noaa.gov/s3/2022-08/2021-NORTHERN-FUR-SEAL-Callorhinus-ursinus-Eastern-Pacific-Stock.pdf" TargetMode="External"/><Relationship Id="rId1656" Type="http://schemas.openxmlformats.org/officeDocument/2006/relationships/hyperlink" Target="https://www.fisheries.noaa.gov/s3/2023-06/STELLERSEALIONEumetopiasjubatusWesternU.S.Stock-.pdf" TargetMode="External"/><Relationship Id="rId1863" Type="http://schemas.openxmlformats.org/officeDocument/2006/relationships/hyperlink" Target="https://www.fisheries.noaa.gov/s3/2023-06/STELLERSEALIONEumetopiasjubatusWesternU.S.Stock-.pdf" TargetMode="External"/><Relationship Id="rId220" Type="http://schemas.openxmlformats.org/officeDocument/2006/relationships/hyperlink" Target="https://media.fisheries.noaa.gov/2022-08/2021-FALSE%20KILLER%20WHALE-Hawaiian%20Islands%20Stock%20Complex.pdf" TargetMode="External"/><Relationship Id="rId458" Type="http://schemas.openxmlformats.org/officeDocument/2006/relationships/hyperlink" Target="https://media.fisheries.noaa.gov/dam-migration/2019_sars_alaska_harbor_seal.pdf" TargetMode="External"/><Relationship Id="rId665" Type="http://schemas.openxmlformats.org/officeDocument/2006/relationships/hyperlink" Target="https://media.fisheries.noaa.gov/dam-migration/po2014sehr-ca_508.pdf" TargetMode="External"/><Relationship Id="rId872" Type="http://schemas.openxmlformats.org/officeDocument/2006/relationships/hyperlink" Target="https://www.fisheries.noaa.gov/s3/2023-08/Killer-Whale-Eastern-North-Pacific-2022.pdf" TargetMode="External"/><Relationship Id="rId1088" Type="http://schemas.openxmlformats.org/officeDocument/2006/relationships/hyperlink" Target="https://media.fisheries.noaa.gov/2022-08/2021-NorthernElephant-California%20Breeding%20Stock.pdf" TargetMode="External"/><Relationship Id="rId1295" Type="http://schemas.openxmlformats.org/officeDocument/2006/relationships/hyperlink" Target="https://media.fisheries.noaa.gov/2022-08/2021-shortbeak-common-dolphin-CaliforniaOregonWashington%20Stock.pdf" TargetMode="External"/><Relationship Id="rId1309" Type="http://schemas.openxmlformats.org/officeDocument/2006/relationships/hyperlink" Target="https://www.fws.gov/sites/default/files/documents/southern-sea-otter-stock-assessment-report.pdf" TargetMode="External"/><Relationship Id="rId1516" Type="http://schemas.openxmlformats.org/officeDocument/2006/relationships/hyperlink" Target="https://www.fisheries.noaa.gov/s3/2023-06/STELLERSEALIONEumetopiasjubatusWesternU.S.Stock-.pdf" TargetMode="External"/><Relationship Id="rId1723" Type="http://schemas.openxmlformats.org/officeDocument/2006/relationships/hyperlink" Target="https://www.fisheries.noaa.gov/s3/2023-06/STELLERSEALIONEumetopiasjubatusWesternU.S.Stock-.pdf" TargetMode="External"/><Relationship Id="rId15" Type="http://schemas.openxmlformats.org/officeDocument/2006/relationships/hyperlink" Target="https://media.fisheries.noaa.gov/2022-08/pacific-2021-beaked-whale-mesoplodont.pdf" TargetMode="External"/><Relationship Id="rId318" Type="http://schemas.openxmlformats.org/officeDocument/2006/relationships/hyperlink" Target="https://media.fisheries.noaa.gov/2022-08/2021-HARBOR%20PORPOISE-Morro%20Bay%20Stock.pdf" TargetMode="External"/><Relationship Id="rId525" Type="http://schemas.openxmlformats.org/officeDocument/2006/relationships/hyperlink" Target="https://media.fisheries.noaa.gov/dam-migration/2019_sars_alaska_harbor_seal.pdf" TargetMode="External"/><Relationship Id="rId732" Type="http://schemas.openxmlformats.org/officeDocument/2006/relationships/hyperlink" Target="https://media.fisheries.noaa.gov/dam-migration/po2013sehr-owco_508.pdf" TargetMode="External"/><Relationship Id="rId1155" Type="http://schemas.openxmlformats.org/officeDocument/2006/relationships/hyperlink" Target="https://www.fisheries.noaa.gov/s3/2022-08/2021-NORTHERN-FUR-SEAL-Callorhinus-ursinus-Eastern-Pacific-Stock.pdf" TargetMode="External"/><Relationship Id="rId1362" Type="http://schemas.openxmlformats.org/officeDocument/2006/relationships/hyperlink" Target="https://media.fisheries.noaa.gov/dam-migration/2019_sars_alaska_steller_sea_lion_-_eastern_us.pdf" TargetMode="External"/><Relationship Id="rId99" Type="http://schemas.openxmlformats.org/officeDocument/2006/relationships/hyperlink" Target="https://www.fisheries.noaa.gov/s3/2023-08/Bowhead-Whale-WAS-2022.pdf" TargetMode="External"/><Relationship Id="rId164" Type="http://schemas.openxmlformats.org/officeDocument/2006/relationships/hyperlink" Target="https://media.fisheries.noaa.gov/dam-migration/ca_sea_lion_final_2018_sar.pdf" TargetMode="External"/><Relationship Id="rId371" Type="http://schemas.openxmlformats.org/officeDocument/2006/relationships/hyperlink" Target="https://media.fisheries.noaa.gov/2022-08/2021-HARBOR%20PORPOISE%20-Northern%20CaliforniaSouthern%20Oregon%20Stock.pdf" TargetMode="External"/><Relationship Id="rId1015" Type="http://schemas.openxmlformats.org/officeDocument/2006/relationships/hyperlink" Target="https://media.fisheries.noaa.gov/2022-08/2021-NorthernElephant-California%20Breeding%20Stock.pdf" TargetMode="External"/><Relationship Id="rId1222" Type="http://schemas.openxmlformats.org/officeDocument/2006/relationships/hyperlink" Target="https://www.fisheries.noaa.gov/s3/2022-08/2021-NORTHERN-FUR-SEAL-Callorhinus-ursinus-Eastern-Pacific-Stock.pdf" TargetMode="External"/><Relationship Id="rId1667" Type="http://schemas.openxmlformats.org/officeDocument/2006/relationships/hyperlink" Target="https://www.fisheries.noaa.gov/s3/2023-06/STELLERSEALIONEumetopiasjubatusWesternU.S.Stock-.pdf" TargetMode="External"/><Relationship Id="rId1874" Type="http://schemas.openxmlformats.org/officeDocument/2006/relationships/hyperlink" Target="https://www.fisheries.noaa.gov/s3/2023-06/STELLERSEALIONEumetopiasjubatusWesternU.S.Stock-.pdf" TargetMode="External"/><Relationship Id="rId469" Type="http://schemas.openxmlformats.org/officeDocument/2006/relationships/hyperlink" Target="https://media.fisheries.noaa.gov/dam-migration/2019_sars_alaska_harbor_seal.pdf" TargetMode="External"/><Relationship Id="rId676" Type="http://schemas.openxmlformats.org/officeDocument/2006/relationships/hyperlink" Target="https://media.fisheries.noaa.gov/dam-migration/po2014sehr-ca_508.pdf" TargetMode="External"/><Relationship Id="rId883" Type="http://schemas.openxmlformats.org/officeDocument/2006/relationships/hyperlink" Target="https://media.fisheries.noaa.gov/2022-08/2021-LONG-BEAKED%20COMMON%20DOLPHIN-California%20Stock.pdf" TargetMode="External"/><Relationship Id="rId1099" Type="http://schemas.openxmlformats.org/officeDocument/2006/relationships/hyperlink" Target="https://media.fisheries.noaa.gov/2022-08/2021-NorthernElephant-California%20Breeding%20Stock.pdf" TargetMode="External"/><Relationship Id="rId1527" Type="http://schemas.openxmlformats.org/officeDocument/2006/relationships/hyperlink" Target="https://www.fisheries.noaa.gov/s3/2023-06/STELLERSEALIONEumetopiasjubatusWesternU.S.Stock-.pdf" TargetMode="External"/><Relationship Id="rId1734" Type="http://schemas.openxmlformats.org/officeDocument/2006/relationships/hyperlink" Target="https://www.fisheries.noaa.gov/s3/2023-06/STELLERSEALIONEumetopiasjubatusWesternU.S.Stock-.pdf" TargetMode="External"/><Relationship Id="rId26" Type="http://schemas.openxmlformats.org/officeDocument/2006/relationships/hyperlink" Target="https://media.fisheries.noaa.gov/2022-08/pacific-2021-beaked-whale-mesoplodont.pdf" TargetMode="External"/><Relationship Id="rId231" Type="http://schemas.openxmlformats.org/officeDocument/2006/relationships/hyperlink" Target="https://media.fisheries.noaa.gov/2022-08/2021-PACfinwhale-CaliforniaOregonWashington%20Stock.pdf" TargetMode="External"/><Relationship Id="rId329" Type="http://schemas.openxmlformats.org/officeDocument/2006/relationships/hyperlink" Target="https://media.fisheries.noaa.gov/2022-08/2021-HARBOR%20PORPOISE-Morro%20Bay%20Stock.pdf" TargetMode="External"/><Relationship Id="rId536" Type="http://schemas.openxmlformats.org/officeDocument/2006/relationships/hyperlink" Target="https://media.fisheries.noaa.gov/dam-migration/2019_sars_alaska_harbor_seal.pdf" TargetMode="External"/><Relationship Id="rId1166" Type="http://schemas.openxmlformats.org/officeDocument/2006/relationships/hyperlink" Target="https://www.fisheries.noaa.gov/s3/2022-08/2021-NORTHERN-FUR-SEAL-Callorhinus-ursinus-Eastern-Pacific-Stock.pdf" TargetMode="External"/><Relationship Id="rId1373" Type="http://schemas.openxmlformats.org/officeDocument/2006/relationships/hyperlink" Target="https://media.fisheries.noaa.gov/dam-migration/2019_sars_alaska_steller_sea_lion_-_eastern_us.pdf" TargetMode="External"/><Relationship Id="rId175" Type="http://schemas.openxmlformats.org/officeDocument/2006/relationships/hyperlink" Target="https://media.fisheries.noaa.gov/dam-migration/ca_sea_lion_final_2018_sar.pdf" TargetMode="External"/><Relationship Id="rId743" Type="http://schemas.openxmlformats.org/officeDocument/2006/relationships/hyperlink" Target="https://media.fisheries.noaa.gov/2022-08/2021-HumpbackWhale-CaliforniaOregonWashington%20Stock.pdf" TargetMode="External"/><Relationship Id="rId950" Type="http://schemas.openxmlformats.org/officeDocument/2006/relationships/hyperlink" Target="https://www.fisheries.noaa.gov/s3/2023-08/North-Atlantic-Right-Whale-Western-Atlantic-2022.pdf" TargetMode="External"/><Relationship Id="rId1026" Type="http://schemas.openxmlformats.org/officeDocument/2006/relationships/hyperlink" Target="https://media.fisheries.noaa.gov/2022-08/2021-NorthernElephant-California%20Breeding%20Stock.pdf" TargetMode="External"/><Relationship Id="rId1580" Type="http://schemas.openxmlformats.org/officeDocument/2006/relationships/hyperlink" Target="https://www.fisheries.noaa.gov/s3/2023-06/STELLERSEALIONEumetopiasjubatusWesternU.S.Stock-.pdf" TargetMode="External"/><Relationship Id="rId1678" Type="http://schemas.openxmlformats.org/officeDocument/2006/relationships/hyperlink" Target="https://www.fisheries.noaa.gov/s3/2023-06/STELLERSEALIONEumetopiasjubatusWesternU.S.Stock-.pdf" TargetMode="External"/><Relationship Id="rId1801" Type="http://schemas.openxmlformats.org/officeDocument/2006/relationships/hyperlink" Target="https://www.fisheries.noaa.gov/s3/2023-06/STELLERSEALIONEumetopiasjubatusWesternU.S.Stock-.pdf" TargetMode="External"/><Relationship Id="rId1885" Type="http://schemas.openxmlformats.org/officeDocument/2006/relationships/hyperlink" Target="https://media.fisheries.noaa.gov/2021-08/2020-Pacific-SARS-stripeddolphin_hawaii.pdf" TargetMode="External"/><Relationship Id="rId382" Type="http://schemas.openxmlformats.org/officeDocument/2006/relationships/hyperlink" Target="https://media.fisheries.noaa.gov/2022-08/2021-HARBOR%20PORPOISE%20-Northern%20CaliforniaSouthern%20Oregon%20Stock.pdf" TargetMode="External"/><Relationship Id="rId603" Type="http://schemas.openxmlformats.org/officeDocument/2006/relationships/hyperlink" Target="https://media.fisheries.noaa.gov/dam-migration/2019_sars_alaska_harbor_seal.pdf" TargetMode="External"/><Relationship Id="rId687" Type="http://schemas.openxmlformats.org/officeDocument/2006/relationships/hyperlink" Target="https://media.fisheries.noaa.gov/dam-migration/po2014sehr-ca_508.pdf" TargetMode="External"/><Relationship Id="rId810" Type="http://schemas.openxmlformats.org/officeDocument/2006/relationships/hyperlink" Target="https://s3.amazonaws.com/media.fisheries.noaa.gov/2020-10/2019%20humpback%20whale%20gulf%20of%20Maine%20508.pdf?null" TargetMode="External"/><Relationship Id="rId908" Type="http://schemas.openxmlformats.org/officeDocument/2006/relationships/hyperlink" Target="https://media.fisheries.noaa.gov/2022-08/2021-PACminke-CaliforniaOregonWashington%20Stock.pdf" TargetMode="External"/><Relationship Id="rId1233" Type="http://schemas.openxmlformats.org/officeDocument/2006/relationships/hyperlink" Target="https://media.fisheries.noaa.gov/2022-08/2021-NorthernRWdolphin-CaliforniaOregonWashington%20Stock.pdf" TargetMode="External"/><Relationship Id="rId1440" Type="http://schemas.openxmlformats.org/officeDocument/2006/relationships/hyperlink" Target="https://media.fisheries.noaa.gov/dam-migration/2019_sars_alaska_steller_sea_lion_-_eastern_us.pdf" TargetMode="External"/><Relationship Id="rId1538" Type="http://schemas.openxmlformats.org/officeDocument/2006/relationships/hyperlink" Target="https://www.fisheries.noaa.gov/s3/2023-06/STELLERSEALIONEumetopiasjubatusWesternU.S.Stock-.pdf" TargetMode="External"/><Relationship Id="rId242" Type="http://schemas.openxmlformats.org/officeDocument/2006/relationships/hyperlink" Target="https://media.fisheries.noaa.gov/2022-08/2021-PACfinwhale-CaliforniaOregonWashington%20Stock.pdf" TargetMode="External"/><Relationship Id="rId894" Type="http://schemas.openxmlformats.org/officeDocument/2006/relationships/hyperlink" Target="https://media.fisheries.noaa.gov/dam-migration/pacific-2017-mes_beaked_whales-caorwa-508.pdf" TargetMode="External"/><Relationship Id="rId1177" Type="http://schemas.openxmlformats.org/officeDocument/2006/relationships/hyperlink" Target="https://www.fisheries.noaa.gov/s3/2022-08/2021-NORTHERN-FUR-SEAL-Callorhinus-ursinus-Eastern-Pacific-Stock.pdf" TargetMode="External"/><Relationship Id="rId1300" Type="http://schemas.openxmlformats.org/officeDocument/2006/relationships/hyperlink" Target="https://media.fisheries.noaa.gov/2022-08/2021-shortbeak-common-dolphin-CaliforniaOregonWashington%20Stock.pdf" TargetMode="External"/><Relationship Id="rId1745" Type="http://schemas.openxmlformats.org/officeDocument/2006/relationships/hyperlink" Target="https://www.fisheries.noaa.gov/s3/2023-06/STELLERSEALIONEumetopiasjubatusWesternU.S.Stock-.pdf" TargetMode="External"/><Relationship Id="rId37" Type="http://schemas.openxmlformats.org/officeDocument/2006/relationships/hyperlink" Target="https://www.fisheries.noaa.gov/s3/2023-05/2021BELUGA-WHALE-Delphinapterus-leucas-Cook-Inlet-Stock.pdf" TargetMode="External"/><Relationship Id="rId102" Type="http://schemas.openxmlformats.org/officeDocument/2006/relationships/hyperlink" Target="https://www.fisheries.noaa.gov/s3/2023-08/Bowhead-Whale-WAS-2022.pdf" TargetMode="External"/><Relationship Id="rId547" Type="http://schemas.openxmlformats.org/officeDocument/2006/relationships/hyperlink" Target="https://media.fisheries.noaa.gov/dam-migration/2019_sars_alaska_harbor_seal.pdf" TargetMode="External"/><Relationship Id="rId754" Type="http://schemas.openxmlformats.org/officeDocument/2006/relationships/hyperlink" Target="https://media.fisheries.noaa.gov/2022-08/2021-HumpbackWhale-CaliforniaOregonWashington%20Stock.pdf" TargetMode="External"/><Relationship Id="rId961" Type="http://schemas.openxmlformats.org/officeDocument/2006/relationships/hyperlink" Target="https://www.fisheries.noaa.gov/s3/2023-08/North-Atlantic-Right-Whale-Western-Atlantic-2022.pdf" TargetMode="External"/><Relationship Id="rId1384" Type="http://schemas.openxmlformats.org/officeDocument/2006/relationships/hyperlink" Target="https://media.fisheries.noaa.gov/dam-migration/2019_sars_alaska_steller_sea_lion_-_eastern_us.pdf" TargetMode="External"/><Relationship Id="rId1591" Type="http://schemas.openxmlformats.org/officeDocument/2006/relationships/hyperlink" Target="https://www.fisheries.noaa.gov/s3/2023-06/STELLERSEALIONEumetopiasjubatusWesternU.S.Stock-.pdf" TargetMode="External"/><Relationship Id="rId1605" Type="http://schemas.openxmlformats.org/officeDocument/2006/relationships/hyperlink" Target="https://www.fisheries.noaa.gov/s3/2023-06/STELLERSEALIONEumetopiasjubatusWesternU.S.Stock-.pdf" TargetMode="External"/><Relationship Id="rId1689" Type="http://schemas.openxmlformats.org/officeDocument/2006/relationships/hyperlink" Target="https://www.fisheries.noaa.gov/s3/2023-06/STELLERSEALIONEumetopiasjubatusWesternU.S.Stock-.pdf" TargetMode="External"/><Relationship Id="rId1812" Type="http://schemas.openxmlformats.org/officeDocument/2006/relationships/hyperlink" Target="https://www.fisheries.noaa.gov/s3/2023-06/STELLERSEALIONEumetopiasjubatusWesternU.S.Stock-.pdf" TargetMode="External"/><Relationship Id="rId90" Type="http://schemas.openxmlformats.org/officeDocument/2006/relationships/hyperlink" Target="https://media.fisheries.noaa.gov/2022-08/2021-PacBluewhale-Eastern%20North%20Pacific%20Stock.pdf" TargetMode="External"/><Relationship Id="rId186" Type="http://schemas.openxmlformats.org/officeDocument/2006/relationships/hyperlink" Target="https://media.fisheries.noaa.gov/dam-migration/ca_sea_lion_final_2018_sar.pdf" TargetMode="External"/><Relationship Id="rId393" Type="http://schemas.openxmlformats.org/officeDocument/2006/relationships/hyperlink" Target="https://media.fisheries.noaa.gov/dam-migration/2019_sars_alaska_harbor_seal.pdf" TargetMode="External"/><Relationship Id="rId407" Type="http://schemas.openxmlformats.org/officeDocument/2006/relationships/hyperlink" Target="https://media.fisheries.noaa.gov/dam-migration/2019_sars_alaska_harbor_seal.pdf" TargetMode="External"/><Relationship Id="rId614" Type="http://schemas.openxmlformats.org/officeDocument/2006/relationships/hyperlink" Target="https://media.fisheries.noaa.gov/dam-migration/2019_sars_alaska_harbor_seal.pdf" TargetMode="External"/><Relationship Id="rId821" Type="http://schemas.openxmlformats.org/officeDocument/2006/relationships/hyperlink" Target="https://s3.amazonaws.com/media.fisheries.noaa.gov/2020-10/2019%20humpback%20whale%20gulf%20of%20Maine%20508.pdf?null" TargetMode="External"/><Relationship Id="rId1037" Type="http://schemas.openxmlformats.org/officeDocument/2006/relationships/hyperlink" Target="https://media.fisheries.noaa.gov/2022-08/2021-NorthernElephant-California%20Breeding%20Stock.pdf" TargetMode="External"/><Relationship Id="rId1244" Type="http://schemas.openxmlformats.org/officeDocument/2006/relationships/hyperlink" Target="https://www.fws.gov/sites/default/files/documents/northern-sea-otter-washington-stock-assessment-report-july-2018.pdf" TargetMode="External"/><Relationship Id="rId1451" Type="http://schemas.openxmlformats.org/officeDocument/2006/relationships/hyperlink" Target="https://media.fisheries.noaa.gov/dam-migration/2019_sars_alaska_steller_sea_lion_-_eastern_us.pdf" TargetMode="External"/><Relationship Id="rId253" Type="http://schemas.openxmlformats.org/officeDocument/2006/relationships/hyperlink" Target="https://www.fisheries.noaa.gov/s3/2021-08/2020-Pacific-SARS-Eastern-GrayWhale-dragged-.pdf" TargetMode="External"/><Relationship Id="rId460" Type="http://schemas.openxmlformats.org/officeDocument/2006/relationships/hyperlink" Target="https://media.fisheries.noaa.gov/dam-migration/2019_sars_alaska_harbor_seal.pdf" TargetMode="External"/><Relationship Id="rId698" Type="http://schemas.openxmlformats.org/officeDocument/2006/relationships/hyperlink" Target="https://media.fisheries.noaa.gov/dam-migration/po2013sehr-owco_508.pdf" TargetMode="External"/><Relationship Id="rId919" Type="http://schemas.openxmlformats.org/officeDocument/2006/relationships/hyperlink" Target="https://www.fisheries.noaa.gov/s3/2023-08/North-Atlantic-Right-Whale-Western-Atlantic-2022.pdf" TargetMode="External"/><Relationship Id="rId1090" Type="http://schemas.openxmlformats.org/officeDocument/2006/relationships/hyperlink" Target="https://media.fisheries.noaa.gov/2022-08/2021-NorthernElephant-California%20Breeding%20Stock.pdf" TargetMode="External"/><Relationship Id="rId1104" Type="http://schemas.openxmlformats.org/officeDocument/2006/relationships/hyperlink" Target="https://media.fisheries.noaa.gov/2022-08/2021-NorthernElephant-California%20Breeding%20Stock.pdf" TargetMode="External"/><Relationship Id="rId1311" Type="http://schemas.openxmlformats.org/officeDocument/2006/relationships/hyperlink" Target="https://www.fws.gov/sites/default/files/documents/southern-sea-otter-stock-assessment-report.pdf" TargetMode="External"/><Relationship Id="rId1549" Type="http://schemas.openxmlformats.org/officeDocument/2006/relationships/hyperlink" Target="https://www.fisheries.noaa.gov/s3/2023-06/STELLERSEALIONEumetopiasjubatusWesternU.S.Stock-.pdf" TargetMode="External"/><Relationship Id="rId1756" Type="http://schemas.openxmlformats.org/officeDocument/2006/relationships/hyperlink" Target="https://www.fisheries.noaa.gov/s3/2023-06/STELLERSEALIONEumetopiasjubatusWesternU.S.Stock-.pdf" TargetMode="External"/><Relationship Id="rId48" Type="http://schemas.openxmlformats.org/officeDocument/2006/relationships/hyperlink" Target="https://www.fisheries.noaa.gov/s3/2023-05/2021BELUGA-WHALE-Delphinapterus-leucas-Cook-Inlet-Stock.pdf" TargetMode="External"/><Relationship Id="rId113" Type="http://schemas.openxmlformats.org/officeDocument/2006/relationships/hyperlink" Target="https://media.fisheries.noaa.gov/dam-migration/ca_sea_lion_final_2018_sar.pdf" TargetMode="External"/><Relationship Id="rId320" Type="http://schemas.openxmlformats.org/officeDocument/2006/relationships/hyperlink" Target="https://media.fisheries.noaa.gov/2022-08/2021-HARBOR%20PORPOISE-Morro%20Bay%20Stock.pdf" TargetMode="External"/><Relationship Id="rId558" Type="http://schemas.openxmlformats.org/officeDocument/2006/relationships/hyperlink" Target="https://media.fisheries.noaa.gov/dam-migration/2019_sars_alaska_harbor_seal.pdf" TargetMode="External"/><Relationship Id="rId765" Type="http://schemas.openxmlformats.org/officeDocument/2006/relationships/hyperlink" Target="https://media.fisheries.noaa.gov/2022-08/2021-HumpbackWhale-CaliforniaOregonWashington%20Stock.pdf" TargetMode="External"/><Relationship Id="rId972" Type="http://schemas.openxmlformats.org/officeDocument/2006/relationships/hyperlink" Target="https://www.fisheries.noaa.gov/s3/2023-08/North-Atlantic-Right-Whale-Western-Atlantic-2022.pdf" TargetMode="External"/><Relationship Id="rId1188" Type="http://schemas.openxmlformats.org/officeDocument/2006/relationships/hyperlink" Target="https://www.fisheries.noaa.gov/s3/2022-08/2021-NORTHERN-FUR-SEAL-Callorhinus-ursinus-Eastern-Pacific-Stock.pdf" TargetMode="External"/><Relationship Id="rId1395" Type="http://schemas.openxmlformats.org/officeDocument/2006/relationships/hyperlink" Target="https://media.fisheries.noaa.gov/dam-migration/2019_sars_alaska_steller_sea_lion_-_eastern_us.pdf" TargetMode="External"/><Relationship Id="rId1409" Type="http://schemas.openxmlformats.org/officeDocument/2006/relationships/hyperlink" Target="https://media.fisheries.noaa.gov/dam-migration/2019_sars_alaska_steller_sea_lion_-_eastern_us.pdf" TargetMode="External"/><Relationship Id="rId1616" Type="http://schemas.openxmlformats.org/officeDocument/2006/relationships/hyperlink" Target="https://www.fisheries.noaa.gov/s3/2023-06/STELLERSEALIONEumetopiasjubatusWesternU.S.Stock-.pdf" TargetMode="External"/><Relationship Id="rId1823" Type="http://schemas.openxmlformats.org/officeDocument/2006/relationships/hyperlink" Target="https://www.fisheries.noaa.gov/s3/2023-06/STELLERSEALIONEumetopiasjubatusWesternU.S.Stock-.pdf" TargetMode="External"/><Relationship Id="rId197" Type="http://schemas.openxmlformats.org/officeDocument/2006/relationships/hyperlink" Target="https://www.fisheries.noaa.gov/s3/2023-08/Cuviers-CAORWA-2022.pdf" TargetMode="External"/><Relationship Id="rId418" Type="http://schemas.openxmlformats.org/officeDocument/2006/relationships/hyperlink" Target="https://media.fisheries.noaa.gov/dam-migration/2019_sars_alaska_harbor_seal.pdf" TargetMode="External"/><Relationship Id="rId625" Type="http://schemas.openxmlformats.org/officeDocument/2006/relationships/hyperlink" Target="https://media.fisheries.noaa.gov/dam-migration/2019_sars_alaska_harbor_seal.pdf" TargetMode="External"/><Relationship Id="rId832" Type="http://schemas.openxmlformats.org/officeDocument/2006/relationships/hyperlink" Target="https://www.fisheries.noaa.gov/s3/2023-08/Killer-Whale-Eastern-North-Pacific-2022.pdf" TargetMode="External"/><Relationship Id="rId1048" Type="http://schemas.openxmlformats.org/officeDocument/2006/relationships/hyperlink" Target="https://media.fisheries.noaa.gov/2022-08/2021-NorthernElephant-California%20Breeding%20Stock.pdf" TargetMode="External"/><Relationship Id="rId1255" Type="http://schemas.openxmlformats.org/officeDocument/2006/relationships/hyperlink" Target="https://www.fws.gov/sites/default/files/documents/northern-sea-otter-washington-stock-assessment-report-july-2018.pdf" TargetMode="External"/><Relationship Id="rId1462" Type="http://schemas.openxmlformats.org/officeDocument/2006/relationships/hyperlink" Target="https://media.fisheries.noaa.gov/dam-migration/2019_sars_alaska_steller_sea_lion_-_eastern_us.pdf" TargetMode="External"/><Relationship Id="rId264" Type="http://schemas.openxmlformats.org/officeDocument/2006/relationships/hyperlink" Target="https://www.fisheries.noaa.gov/s3/2021-08/2020-Pacific-SARS-Eastern-GrayWhale-dragged-.pdf" TargetMode="External"/><Relationship Id="rId471" Type="http://schemas.openxmlformats.org/officeDocument/2006/relationships/hyperlink" Target="https://media.fisheries.noaa.gov/dam-migration/2019_sars_alaska_harbor_seal.pdf" TargetMode="External"/><Relationship Id="rId1115" Type="http://schemas.openxmlformats.org/officeDocument/2006/relationships/hyperlink" Target="https://media.fisheries.noaa.gov/2022-08/2021-NorthernElephant-California%20Breeding%20Stock.pdf" TargetMode="External"/><Relationship Id="rId1322" Type="http://schemas.openxmlformats.org/officeDocument/2006/relationships/hyperlink" Target="https://www.fws.gov/sites/default/files/documents/southern-sea-otter-stock-assessment-report.pdf" TargetMode="External"/><Relationship Id="rId1767" Type="http://schemas.openxmlformats.org/officeDocument/2006/relationships/hyperlink" Target="https://www.fisheries.noaa.gov/s3/2023-06/STELLERSEALIONEumetopiasjubatusWesternU.S.Stock-.pdf" TargetMode="External"/><Relationship Id="rId59" Type="http://schemas.openxmlformats.org/officeDocument/2006/relationships/hyperlink" Target="https://media.fisheries.noaa.gov/2022-08/2021-PacBluewhale-Eastern%20North%20Pacific%20Stock.pdf" TargetMode="External"/><Relationship Id="rId124" Type="http://schemas.openxmlformats.org/officeDocument/2006/relationships/hyperlink" Target="https://media.fisheries.noaa.gov/dam-migration/ca_sea_lion_final_2018_sar.pdf" TargetMode="External"/><Relationship Id="rId569" Type="http://schemas.openxmlformats.org/officeDocument/2006/relationships/hyperlink" Target="https://media.fisheries.noaa.gov/dam-migration/2019_sars_alaska_harbor_seal.pdf" TargetMode="External"/><Relationship Id="rId776" Type="http://schemas.openxmlformats.org/officeDocument/2006/relationships/hyperlink" Target="https://media.fisheries.noaa.gov/2022-08/2021-HumpbackWhale-CaliforniaOregonWashington%20Stock.pdf" TargetMode="External"/><Relationship Id="rId983" Type="http://schemas.openxmlformats.org/officeDocument/2006/relationships/hyperlink" Target="https://www.fisheries.noaa.gov/s3/2023-08/North-Atlantic-Right-Whale-Western-Atlantic-2022.pdf" TargetMode="External"/><Relationship Id="rId1199" Type="http://schemas.openxmlformats.org/officeDocument/2006/relationships/hyperlink" Target="https://www.fisheries.noaa.gov/s3/2022-08/2021-NORTHERN-FUR-SEAL-Callorhinus-ursinus-Eastern-Pacific-Stock.pdf" TargetMode="External"/><Relationship Id="rId1627" Type="http://schemas.openxmlformats.org/officeDocument/2006/relationships/hyperlink" Target="https://www.fisheries.noaa.gov/s3/2023-06/STELLERSEALIONEumetopiasjubatusWesternU.S.Stock-.pdf" TargetMode="External"/><Relationship Id="rId1834" Type="http://schemas.openxmlformats.org/officeDocument/2006/relationships/hyperlink" Target="https://www.fisheries.noaa.gov/s3/2023-06/STELLERSEALIONEumetopiasjubatusWesternU.S.Stock-.pdf" TargetMode="External"/><Relationship Id="rId331" Type="http://schemas.openxmlformats.org/officeDocument/2006/relationships/hyperlink" Target="https://media.fisheries.noaa.gov/2022-08/2021-HARBOR%20PORPOISE-Monterey%20Bay%20Stock.pdf" TargetMode="External"/><Relationship Id="rId429" Type="http://schemas.openxmlformats.org/officeDocument/2006/relationships/hyperlink" Target="https://media.fisheries.noaa.gov/dam-migration/2019_sars_alaska_harbor_seal.pdf" TargetMode="External"/><Relationship Id="rId636" Type="http://schemas.openxmlformats.org/officeDocument/2006/relationships/hyperlink" Target="https://media.fisheries.noaa.gov/dam-migration/2019_sars_alaska_harbor_seal.pdf" TargetMode="External"/><Relationship Id="rId1059" Type="http://schemas.openxmlformats.org/officeDocument/2006/relationships/hyperlink" Target="https://media.fisheries.noaa.gov/2022-08/2021-NorthernElephant-California%20Breeding%20Stock.pdf" TargetMode="External"/><Relationship Id="rId1266" Type="http://schemas.openxmlformats.org/officeDocument/2006/relationships/hyperlink" Target="https://www.fws.gov/sites/default/files/documents/northern-sea-otter-washington-stock-assessment-report-july-2018.pdf" TargetMode="External"/><Relationship Id="rId1473" Type="http://schemas.openxmlformats.org/officeDocument/2006/relationships/hyperlink" Target="https://www.fisheries.noaa.gov/s3/2023-06/STELLERSEALIONEumetopiasjubatusWesternU.S.Stock-.pdf" TargetMode="External"/><Relationship Id="rId843" Type="http://schemas.openxmlformats.org/officeDocument/2006/relationships/hyperlink" Target="https://www.fisheries.noaa.gov/s3/2023-08/Killer-Whale-Eastern-North-Pacific-2022.pdf" TargetMode="External"/><Relationship Id="rId1126" Type="http://schemas.openxmlformats.org/officeDocument/2006/relationships/hyperlink" Target="https://media.fisheries.noaa.gov/2022-08/2021-NorthernElephant-California%20Breeding%20Stock.pdf" TargetMode="External"/><Relationship Id="rId1680" Type="http://schemas.openxmlformats.org/officeDocument/2006/relationships/hyperlink" Target="https://www.fisheries.noaa.gov/s3/2023-06/STELLERSEALIONEumetopiasjubatusWesternU.S.Stock-.pdf" TargetMode="External"/><Relationship Id="rId1778" Type="http://schemas.openxmlformats.org/officeDocument/2006/relationships/hyperlink" Target="https://www.fisheries.noaa.gov/s3/2023-06/STELLERSEALIONEumetopiasjubatusWesternU.S.Stock-.pdf" TargetMode="External"/><Relationship Id="rId275" Type="http://schemas.openxmlformats.org/officeDocument/2006/relationships/hyperlink" Target="https://media.fisheries.noaa.gov/2022-08/2021-HARBOR%20PORPOISE-San%20Francisco-Russian%20River%20Stock.pdf" TargetMode="External"/><Relationship Id="rId482" Type="http://schemas.openxmlformats.org/officeDocument/2006/relationships/hyperlink" Target="https://media.fisheries.noaa.gov/dam-migration/2019_sars_alaska_harbor_seal.pdf" TargetMode="External"/><Relationship Id="rId703" Type="http://schemas.openxmlformats.org/officeDocument/2006/relationships/hyperlink" Target="https://media.fisheries.noaa.gov/dam-migration/po2013sehr-owco_508.pdf" TargetMode="External"/><Relationship Id="rId910" Type="http://schemas.openxmlformats.org/officeDocument/2006/relationships/hyperlink" Target="https://media.fisheries.noaa.gov/2022-08/2021-PACminke-CaliforniaOregonWashington%20Stock.pdf" TargetMode="External"/><Relationship Id="rId1333" Type="http://schemas.openxmlformats.org/officeDocument/2006/relationships/hyperlink" Target="https://www.fws.gov/sites/default/files/documents/southern-sea-otter-stock-assessment-report.pdf" TargetMode="External"/><Relationship Id="rId1540" Type="http://schemas.openxmlformats.org/officeDocument/2006/relationships/hyperlink" Target="https://www.fisheries.noaa.gov/s3/2023-06/STELLERSEALIONEumetopiasjubatusWesternU.S.Stock-.pdf" TargetMode="External"/><Relationship Id="rId1638" Type="http://schemas.openxmlformats.org/officeDocument/2006/relationships/hyperlink" Target="https://www.fisheries.noaa.gov/s3/2023-06/STELLERSEALIONEumetopiasjubatusWesternU.S.Stock-.pdf" TargetMode="External"/><Relationship Id="rId135" Type="http://schemas.openxmlformats.org/officeDocument/2006/relationships/hyperlink" Target="https://media.fisheries.noaa.gov/dam-migration/ca_sea_lion_final_2018_sar.pdf" TargetMode="External"/><Relationship Id="rId342" Type="http://schemas.openxmlformats.org/officeDocument/2006/relationships/hyperlink" Target="https://media.fisheries.noaa.gov/2022-08/2021-HARBOR%20PORPOISE-Monterey%20Bay%20Stock.pdf" TargetMode="External"/><Relationship Id="rId787" Type="http://schemas.openxmlformats.org/officeDocument/2006/relationships/hyperlink" Target="https://s3.amazonaws.com/media.fisheries.noaa.gov/2020-10/2019%20humpback%20whale%20gulf%20of%20Maine%20508.pdf?null" TargetMode="External"/><Relationship Id="rId994" Type="http://schemas.openxmlformats.org/officeDocument/2006/relationships/hyperlink" Target="https://www.fisheries.noaa.gov/s3/2023-08/North-Atlantic-Right-Whale-Western-Atlantic-2022.pdf" TargetMode="External"/><Relationship Id="rId1400" Type="http://schemas.openxmlformats.org/officeDocument/2006/relationships/hyperlink" Target="https://media.fisheries.noaa.gov/dam-migration/2019_sars_alaska_steller_sea_lion_-_eastern_us.pdf" TargetMode="External"/><Relationship Id="rId1845" Type="http://schemas.openxmlformats.org/officeDocument/2006/relationships/hyperlink" Target="https://www.fisheries.noaa.gov/s3/2023-06/STELLERSEALIONEumetopiasjubatusWesternU.S.Stock-.pdf" TargetMode="External"/><Relationship Id="rId202" Type="http://schemas.openxmlformats.org/officeDocument/2006/relationships/hyperlink" Target="https://media.fisheries.noaa.gov/2022-08/2021-DALL'S%20PORPOISE%20-%20CaliforniaOregonWashington%20Stock.pdf" TargetMode="External"/><Relationship Id="rId647" Type="http://schemas.openxmlformats.org/officeDocument/2006/relationships/hyperlink" Target="https://media.fisheries.noaa.gov/dam-migration/po2014sehr-ca_508.pdf" TargetMode="External"/><Relationship Id="rId854" Type="http://schemas.openxmlformats.org/officeDocument/2006/relationships/hyperlink" Target="https://www.fisheries.noaa.gov/s3/2023-08/Killer-Whale-Eastern-North-Pacific-2022.pdf" TargetMode="External"/><Relationship Id="rId1277" Type="http://schemas.openxmlformats.org/officeDocument/2006/relationships/hyperlink" Target="https://www.fisheries.noaa.gov/s3/2022-08/2021-PACWHITESIDE-CaliforniaOregonWashington-Northern-and-Southern-Stocks.pdf" TargetMode="External"/><Relationship Id="rId1484" Type="http://schemas.openxmlformats.org/officeDocument/2006/relationships/hyperlink" Target="https://www.fisheries.noaa.gov/s3/2023-06/STELLERSEALIONEumetopiasjubatusWesternU.S.Stock-.pdf" TargetMode="External"/><Relationship Id="rId1691" Type="http://schemas.openxmlformats.org/officeDocument/2006/relationships/hyperlink" Target="https://www.fisheries.noaa.gov/s3/2023-06/STELLERSEALIONEumetopiasjubatusWesternU.S.Stock-.pdf" TargetMode="External"/><Relationship Id="rId1705" Type="http://schemas.openxmlformats.org/officeDocument/2006/relationships/hyperlink" Target="https://www.fisheries.noaa.gov/s3/2023-06/STELLERSEALIONEumetopiasjubatusWesternU.S.Stock-.pdf" TargetMode="External"/><Relationship Id="rId286" Type="http://schemas.openxmlformats.org/officeDocument/2006/relationships/hyperlink" Target="https://media.fisheries.noaa.gov/2022-08/2021-HARBOR%20PORPOISE-San%20Francisco-Russian%20River%20Stock.pdf" TargetMode="External"/><Relationship Id="rId493" Type="http://schemas.openxmlformats.org/officeDocument/2006/relationships/hyperlink" Target="https://media.fisheries.noaa.gov/dam-migration/2019_sars_alaska_harbor_seal.pdf" TargetMode="External"/><Relationship Id="rId507" Type="http://schemas.openxmlformats.org/officeDocument/2006/relationships/hyperlink" Target="https://media.fisheries.noaa.gov/dam-migration/2019_sars_alaska_harbor_seal.pdf" TargetMode="External"/><Relationship Id="rId714" Type="http://schemas.openxmlformats.org/officeDocument/2006/relationships/hyperlink" Target="https://media.fisheries.noaa.gov/dam-migration/po2013sehr-wain_508.pdf" TargetMode="External"/><Relationship Id="rId921" Type="http://schemas.openxmlformats.org/officeDocument/2006/relationships/hyperlink" Target="https://www.fisheries.noaa.gov/s3/2023-08/North-Atlantic-Right-Whale-Western-Atlantic-2022.pdf" TargetMode="External"/><Relationship Id="rId1137" Type="http://schemas.openxmlformats.org/officeDocument/2006/relationships/hyperlink" Target="https://media.fisheries.noaa.gov/2022-08/2021-NorthernElephant-California%20Breeding%20Stock.pdf" TargetMode="External"/><Relationship Id="rId1344" Type="http://schemas.openxmlformats.org/officeDocument/2006/relationships/hyperlink" Target="https://www.fws.gov/sites/default/files/documents/southern-sea-otter-stock-assessment-report.pdf" TargetMode="External"/><Relationship Id="rId1551" Type="http://schemas.openxmlformats.org/officeDocument/2006/relationships/hyperlink" Target="https://www.fisheries.noaa.gov/s3/2023-06/STELLERSEALIONEumetopiasjubatusWesternU.S.Stock-.pdf" TargetMode="External"/><Relationship Id="rId1789" Type="http://schemas.openxmlformats.org/officeDocument/2006/relationships/hyperlink" Target="https://www.fisheries.noaa.gov/s3/2023-06/STELLERSEALIONEumetopiasjubatusWesternU.S.Stock-.pdf" TargetMode="External"/><Relationship Id="rId50" Type="http://schemas.openxmlformats.org/officeDocument/2006/relationships/hyperlink" Target="https://www.fisheries.noaa.gov/s3/2023-05/2021BELUGA-WHALE-Delphinapterus-leucas-Cook-Inlet-Stock.pdf" TargetMode="External"/><Relationship Id="rId146" Type="http://schemas.openxmlformats.org/officeDocument/2006/relationships/hyperlink" Target="https://media.fisheries.noaa.gov/dam-migration/ca_sea_lion_final_2018_sar.pdf" TargetMode="External"/><Relationship Id="rId353" Type="http://schemas.openxmlformats.org/officeDocument/2006/relationships/hyperlink" Target="https://media.fisheries.noaa.gov/2022-08/2021-HARBOR%20PORPOISE-Monterey%20Bay%20Stock.pdf" TargetMode="External"/><Relationship Id="rId560" Type="http://schemas.openxmlformats.org/officeDocument/2006/relationships/hyperlink" Target="https://media.fisheries.noaa.gov/dam-migration/2019_sars_alaska_harbor_seal.pdf" TargetMode="External"/><Relationship Id="rId798" Type="http://schemas.openxmlformats.org/officeDocument/2006/relationships/hyperlink" Target="https://s3.amazonaws.com/media.fisheries.noaa.gov/2020-10/2019%20humpback%20whale%20gulf%20of%20Maine%20508.pdf?null" TargetMode="External"/><Relationship Id="rId1190" Type="http://schemas.openxmlformats.org/officeDocument/2006/relationships/hyperlink" Target="https://www.fisheries.noaa.gov/s3/2022-08/2021-NORTHERN-FUR-SEAL-Callorhinus-ursinus-Eastern-Pacific-Stock.pdf" TargetMode="External"/><Relationship Id="rId1204" Type="http://schemas.openxmlformats.org/officeDocument/2006/relationships/hyperlink" Target="https://www.fisheries.noaa.gov/s3/2022-08/2021-NORTHERN-FUR-SEAL-Callorhinus-ursinus-Eastern-Pacific-Stock.pdf" TargetMode="External"/><Relationship Id="rId1411" Type="http://schemas.openxmlformats.org/officeDocument/2006/relationships/hyperlink" Target="https://media.fisheries.noaa.gov/dam-migration/2019_sars_alaska_steller_sea_lion_-_eastern_us.pdf" TargetMode="External"/><Relationship Id="rId1649" Type="http://schemas.openxmlformats.org/officeDocument/2006/relationships/hyperlink" Target="https://www.fisheries.noaa.gov/s3/2023-06/STELLERSEALIONEumetopiasjubatusWesternU.S.Stock-.pdf" TargetMode="External"/><Relationship Id="rId1856" Type="http://schemas.openxmlformats.org/officeDocument/2006/relationships/hyperlink" Target="https://www.fisheries.noaa.gov/s3/2023-06/STELLERSEALIONEumetopiasjubatusWesternU.S.Stock-.pdf" TargetMode="External"/><Relationship Id="rId213" Type="http://schemas.openxmlformats.org/officeDocument/2006/relationships/hyperlink" Target="https://media.fisheries.noaa.gov/2022-08/2021-DALL'S%20PORPOISE%20-%20CaliforniaOregonWashington%20Stock.pdf" TargetMode="External"/><Relationship Id="rId420" Type="http://schemas.openxmlformats.org/officeDocument/2006/relationships/hyperlink" Target="https://media.fisheries.noaa.gov/dam-migration/2019_sars_alaska_harbor_seal.pdf" TargetMode="External"/><Relationship Id="rId658" Type="http://schemas.openxmlformats.org/officeDocument/2006/relationships/hyperlink" Target="https://media.fisheries.noaa.gov/dam-migration/po2014sehr-ca_508.pdf" TargetMode="External"/><Relationship Id="rId865" Type="http://schemas.openxmlformats.org/officeDocument/2006/relationships/hyperlink" Target="https://www.fisheries.noaa.gov/s3/2023-08/Killer-Whale-Eastern-North-Pacific-2022.pdf" TargetMode="External"/><Relationship Id="rId1050" Type="http://schemas.openxmlformats.org/officeDocument/2006/relationships/hyperlink" Target="https://media.fisheries.noaa.gov/2022-08/2021-NorthernElephant-California%20Breeding%20Stock.pdf" TargetMode="External"/><Relationship Id="rId1288" Type="http://schemas.openxmlformats.org/officeDocument/2006/relationships/hyperlink" Target="https://media.fisheries.noaa.gov/2021-08/2020-Pacific-SARS-Rissos.pdf" TargetMode="External"/><Relationship Id="rId1495" Type="http://schemas.openxmlformats.org/officeDocument/2006/relationships/hyperlink" Target="https://www.fisheries.noaa.gov/s3/2023-06/STELLERSEALIONEumetopiasjubatusWesternU.S.Stock-.pdf" TargetMode="External"/><Relationship Id="rId1509" Type="http://schemas.openxmlformats.org/officeDocument/2006/relationships/hyperlink" Target="https://www.fisheries.noaa.gov/s3/2023-06/STELLERSEALIONEumetopiasjubatusWesternU.S.Stock-.pdf" TargetMode="External"/><Relationship Id="rId1716" Type="http://schemas.openxmlformats.org/officeDocument/2006/relationships/hyperlink" Target="https://www.fisheries.noaa.gov/s3/2023-06/STELLERSEALIONEumetopiasjubatusWesternU.S.Stock-.pdf" TargetMode="External"/><Relationship Id="rId297" Type="http://schemas.openxmlformats.org/officeDocument/2006/relationships/hyperlink" Target="https://media.fisheries.noaa.gov/2022-08/2021-HARBOR%20PORPOISE-San%20Francisco-Russian%20River%20Stock.pdf" TargetMode="External"/><Relationship Id="rId518" Type="http://schemas.openxmlformats.org/officeDocument/2006/relationships/hyperlink" Target="https://media.fisheries.noaa.gov/dam-migration/2019_sars_alaska_harbor_seal.pdf" TargetMode="External"/><Relationship Id="rId725" Type="http://schemas.openxmlformats.org/officeDocument/2006/relationships/hyperlink" Target="https://media.fisheries.noaa.gov/dam-migration/po2013sehr-owco_508.pdf" TargetMode="External"/><Relationship Id="rId932" Type="http://schemas.openxmlformats.org/officeDocument/2006/relationships/hyperlink" Target="https://www.fisheries.noaa.gov/s3/2023-08/North-Atlantic-Right-Whale-Western-Atlantic-2022.pdf" TargetMode="External"/><Relationship Id="rId1148" Type="http://schemas.openxmlformats.org/officeDocument/2006/relationships/hyperlink" Target="https://www.fisheries.noaa.gov/s3/2022-08/2021-NORTHERN-FUR-SEAL-Callorhinus-ursinus-Eastern-Pacific-Stock.pdf" TargetMode="External"/><Relationship Id="rId1355" Type="http://schemas.openxmlformats.org/officeDocument/2006/relationships/hyperlink" Target="https://media.fisheries.noaa.gov/dam-migration/2019_sars_alaska_steller_sea_lion_-_eastern_us.pdf" TargetMode="External"/><Relationship Id="rId1562" Type="http://schemas.openxmlformats.org/officeDocument/2006/relationships/hyperlink" Target="https://www.fisheries.noaa.gov/s3/2023-06/STELLERSEALIONEumetopiasjubatusWesternU.S.Stock-.pdf" TargetMode="External"/><Relationship Id="rId157" Type="http://schemas.openxmlformats.org/officeDocument/2006/relationships/hyperlink" Target="https://media.fisheries.noaa.gov/dam-migration/ca_sea_lion_final_2018_sar.pdf" TargetMode="External"/><Relationship Id="rId364" Type="http://schemas.openxmlformats.org/officeDocument/2006/relationships/hyperlink" Target="https://media.fisheries.noaa.gov/2022-08/2021-HARBOR%20PORPOISE%20-Northern%20CaliforniaSouthern%20Oregon%20Stock.pdf" TargetMode="External"/><Relationship Id="rId1008" Type="http://schemas.openxmlformats.org/officeDocument/2006/relationships/hyperlink" Target="https://www.fisheries.noaa.gov/s3/2023-08/North-Atlantic-Right-Whale-Western-Atlantic-2022.pdf" TargetMode="External"/><Relationship Id="rId1215" Type="http://schemas.openxmlformats.org/officeDocument/2006/relationships/hyperlink" Target="https://www.fisheries.noaa.gov/s3/2022-08/2021-NORTHERN-FUR-SEAL-Callorhinus-ursinus-Eastern-Pacific-Stock.pdf" TargetMode="External"/><Relationship Id="rId1422" Type="http://schemas.openxmlformats.org/officeDocument/2006/relationships/hyperlink" Target="https://media.fisheries.noaa.gov/dam-migration/2019_sars_alaska_steller_sea_lion_-_eastern_us.pdf" TargetMode="External"/><Relationship Id="rId1867" Type="http://schemas.openxmlformats.org/officeDocument/2006/relationships/hyperlink" Target="https://www.fisheries.noaa.gov/s3/2023-06/STELLERSEALIONEumetopiasjubatusWesternU.S.Stock-.pdf" TargetMode="External"/><Relationship Id="rId61" Type="http://schemas.openxmlformats.org/officeDocument/2006/relationships/hyperlink" Target="https://media.fisheries.noaa.gov/2022-08/2021-PacBluewhale-Eastern%20North%20Pacific%20Stock.pdf" TargetMode="External"/><Relationship Id="rId571" Type="http://schemas.openxmlformats.org/officeDocument/2006/relationships/hyperlink" Target="https://media.fisheries.noaa.gov/dam-migration/2019_sars_alaska_harbor_seal.pdf" TargetMode="External"/><Relationship Id="rId669" Type="http://schemas.openxmlformats.org/officeDocument/2006/relationships/hyperlink" Target="https://media.fisheries.noaa.gov/dam-migration/po2014sehr-ca_508.pdf" TargetMode="External"/><Relationship Id="rId876" Type="http://schemas.openxmlformats.org/officeDocument/2006/relationships/hyperlink" Target="https://www.fisheries.noaa.gov/s3/2023-08/Killer-Whale-Eastern-North-Pacific-2022.pdf" TargetMode="External"/><Relationship Id="rId1299" Type="http://schemas.openxmlformats.org/officeDocument/2006/relationships/hyperlink" Target="https://media.fisheries.noaa.gov/2022-08/2021-shortbeak-common-dolphin-CaliforniaOregonWashington%20Stock.pdf" TargetMode="External"/><Relationship Id="rId1727" Type="http://schemas.openxmlformats.org/officeDocument/2006/relationships/hyperlink" Target="https://www.fisheries.noaa.gov/s3/2023-06/STELLERSEALIONEumetopiasjubatusWesternU.S.Stock-.pdf" TargetMode="External"/><Relationship Id="rId19" Type="http://schemas.openxmlformats.org/officeDocument/2006/relationships/hyperlink" Target="https://media.fisheries.noaa.gov/2022-08/pacific-2021-beaked-whale-mesoplodont.pdf" TargetMode="External"/><Relationship Id="rId224" Type="http://schemas.openxmlformats.org/officeDocument/2006/relationships/hyperlink" Target="https://media.fisheries.noaa.gov/2022-08/2021-FALSE%20KILLER%20WHALE-Hawaiian%20Islands%20Stock%20Complex.pdf" TargetMode="External"/><Relationship Id="rId431" Type="http://schemas.openxmlformats.org/officeDocument/2006/relationships/hyperlink" Target="https://media.fisheries.noaa.gov/dam-migration/2019_sars_alaska_harbor_seal.pdf" TargetMode="External"/><Relationship Id="rId529" Type="http://schemas.openxmlformats.org/officeDocument/2006/relationships/hyperlink" Target="https://media.fisheries.noaa.gov/dam-migration/2019_sars_alaska_harbor_seal.pdf" TargetMode="External"/><Relationship Id="rId736" Type="http://schemas.openxmlformats.org/officeDocument/2006/relationships/hyperlink" Target="https://www.fisheries.noaa.gov/s3/2023-08/Monk-Seal-2022.pdf" TargetMode="External"/><Relationship Id="rId1061" Type="http://schemas.openxmlformats.org/officeDocument/2006/relationships/hyperlink" Target="https://media.fisheries.noaa.gov/2022-08/2021-NorthernElephant-California%20Breeding%20Stock.pdf" TargetMode="External"/><Relationship Id="rId1159" Type="http://schemas.openxmlformats.org/officeDocument/2006/relationships/hyperlink" Target="https://www.fisheries.noaa.gov/s3/2022-08/2021-NORTHERN-FUR-SEAL-Callorhinus-ursinus-Eastern-Pacific-Stock.pdf" TargetMode="External"/><Relationship Id="rId1366" Type="http://schemas.openxmlformats.org/officeDocument/2006/relationships/hyperlink" Target="https://media.fisheries.noaa.gov/dam-migration/2019_sars_alaska_steller_sea_lion_-_eastern_us.pdf" TargetMode="External"/><Relationship Id="rId168" Type="http://schemas.openxmlformats.org/officeDocument/2006/relationships/hyperlink" Target="https://media.fisheries.noaa.gov/dam-migration/ca_sea_lion_final_2018_sar.pdf" TargetMode="External"/><Relationship Id="rId943" Type="http://schemas.openxmlformats.org/officeDocument/2006/relationships/hyperlink" Target="https://www.fisheries.noaa.gov/s3/2023-08/North-Atlantic-Right-Whale-Western-Atlantic-2022.pdf" TargetMode="External"/><Relationship Id="rId1019" Type="http://schemas.openxmlformats.org/officeDocument/2006/relationships/hyperlink" Target="https://media.fisheries.noaa.gov/2022-08/2021-NorthernElephant-California%20Breeding%20Stock.pdf" TargetMode="External"/><Relationship Id="rId1573" Type="http://schemas.openxmlformats.org/officeDocument/2006/relationships/hyperlink" Target="https://www.fisheries.noaa.gov/s3/2023-06/STELLERSEALIONEumetopiasjubatusWesternU.S.Stock-.pdf" TargetMode="External"/><Relationship Id="rId1780" Type="http://schemas.openxmlformats.org/officeDocument/2006/relationships/hyperlink" Target="https://www.fisheries.noaa.gov/s3/2023-06/STELLERSEALIONEumetopiasjubatusWesternU.S.Stock-.pdf" TargetMode="External"/><Relationship Id="rId1878" Type="http://schemas.openxmlformats.org/officeDocument/2006/relationships/hyperlink" Target="https://media.fisheries.noaa.gov/2022-08/2021-STRIPED%20DOLPHIN-CaliforniaOregonWashington-Stock.pdf" TargetMode="External"/><Relationship Id="rId72" Type="http://schemas.openxmlformats.org/officeDocument/2006/relationships/hyperlink" Target="https://media.fisheries.noaa.gov/2022-08/2021-PacBluewhale-Eastern%20North%20Pacific%20Stock.pdf" TargetMode="External"/><Relationship Id="rId375" Type="http://schemas.openxmlformats.org/officeDocument/2006/relationships/hyperlink" Target="https://media.fisheries.noaa.gov/2022-08/2021-HARBOR%20PORPOISE%20-Northern%20CaliforniaSouthern%20Oregon%20Stock.pdf" TargetMode="External"/><Relationship Id="rId582" Type="http://schemas.openxmlformats.org/officeDocument/2006/relationships/hyperlink" Target="https://media.fisheries.noaa.gov/dam-migration/2019_sars_alaska_harbor_seal.pdf" TargetMode="External"/><Relationship Id="rId803" Type="http://schemas.openxmlformats.org/officeDocument/2006/relationships/hyperlink" Target="https://s3.amazonaws.com/media.fisheries.noaa.gov/2020-10/2019%20humpback%20whale%20gulf%20of%20Maine%20508.pdf?null" TargetMode="External"/><Relationship Id="rId1226" Type="http://schemas.openxmlformats.org/officeDocument/2006/relationships/hyperlink" Target="https://www.fisheries.noaa.gov/s3/2022-08/2021-NORTHERN-FUR-SEAL-Callorhinus-ursinus-Eastern-Pacific-Stock.pdf" TargetMode="External"/><Relationship Id="rId1433" Type="http://schemas.openxmlformats.org/officeDocument/2006/relationships/hyperlink" Target="https://media.fisheries.noaa.gov/dam-migration/2019_sars_alaska_steller_sea_lion_-_eastern_us.pdf" TargetMode="External"/><Relationship Id="rId1640" Type="http://schemas.openxmlformats.org/officeDocument/2006/relationships/hyperlink" Target="https://www.fisheries.noaa.gov/s3/2023-06/STELLERSEALIONEumetopiasjubatusWesternU.S.Stock-.pdf" TargetMode="External"/><Relationship Id="rId1738" Type="http://schemas.openxmlformats.org/officeDocument/2006/relationships/hyperlink" Target="https://www.fisheries.noaa.gov/s3/2023-06/STELLERSEALIONEumetopiasjubatusWesternU.S.Stock-.pdf" TargetMode="External"/><Relationship Id="rId3" Type="http://schemas.openxmlformats.org/officeDocument/2006/relationships/hyperlink" Target="https://media.fisheries.noaa.gov/2022-08/pacific-2021-beaked-whale-mesoplodont.pdf" TargetMode="External"/><Relationship Id="rId235" Type="http://schemas.openxmlformats.org/officeDocument/2006/relationships/hyperlink" Target="https://media.fisheries.noaa.gov/2022-08/2021-PACfinwhale-CaliforniaOregonWashington%20Stock.pdf" TargetMode="External"/><Relationship Id="rId442" Type="http://schemas.openxmlformats.org/officeDocument/2006/relationships/hyperlink" Target="https://media.fisheries.noaa.gov/dam-migration/2019_sars_alaska_harbor_seal.pdf" TargetMode="External"/><Relationship Id="rId887" Type="http://schemas.openxmlformats.org/officeDocument/2006/relationships/hyperlink" Target="https://media.fisheries.noaa.gov/2022-08/2021-LONG-BEAKED%20COMMON%20DOLPHIN-California%20Stock.pdf" TargetMode="External"/><Relationship Id="rId1072" Type="http://schemas.openxmlformats.org/officeDocument/2006/relationships/hyperlink" Target="https://media.fisheries.noaa.gov/2022-08/2021-NorthernElephant-California%20Breeding%20Stock.pdf" TargetMode="External"/><Relationship Id="rId1500" Type="http://schemas.openxmlformats.org/officeDocument/2006/relationships/hyperlink" Target="https://www.fisheries.noaa.gov/s3/2023-06/STELLERSEALIONEumetopiasjubatusWesternU.S.Stock-.pdf" TargetMode="External"/><Relationship Id="rId302" Type="http://schemas.openxmlformats.org/officeDocument/2006/relationships/hyperlink" Target="https://media.fisheries.noaa.gov/2022-08/2021-HARBOR%20PORPOISE-San%20Francisco-Russian%20River%20Stock.pdf" TargetMode="External"/><Relationship Id="rId747" Type="http://schemas.openxmlformats.org/officeDocument/2006/relationships/hyperlink" Target="https://media.fisheries.noaa.gov/2022-08/2021-HumpbackWhale-CaliforniaOregonWashington%20Stock.pdf" TargetMode="External"/><Relationship Id="rId954" Type="http://schemas.openxmlformats.org/officeDocument/2006/relationships/hyperlink" Target="https://www.fisheries.noaa.gov/s3/2023-08/North-Atlantic-Right-Whale-Western-Atlantic-2022.pdf" TargetMode="External"/><Relationship Id="rId1377" Type="http://schemas.openxmlformats.org/officeDocument/2006/relationships/hyperlink" Target="https://media.fisheries.noaa.gov/dam-migration/2019_sars_alaska_steller_sea_lion_-_eastern_us.pdf" TargetMode="External"/><Relationship Id="rId1584" Type="http://schemas.openxmlformats.org/officeDocument/2006/relationships/hyperlink" Target="https://www.fisheries.noaa.gov/s3/2023-06/STELLERSEALIONEumetopiasjubatusWesternU.S.Stock-.pdf" TargetMode="External"/><Relationship Id="rId1791" Type="http://schemas.openxmlformats.org/officeDocument/2006/relationships/hyperlink" Target="https://www.fisheries.noaa.gov/s3/2023-06/STELLERSEALIONEumetopiasjubatusWesternU.S.Stock-.pdf" TargetMode="External"/><Relationship Id="rId1805" Type="http://schemas.openxmlformats.org/officeDocument/2006/relationships/hyperlink" Target="https://www.fisheries.noaa.gov/s3/2023-06/STELLERSEALIONEumetopiasjubatusWesternU.S.Stock-.pdf" TargetMode="External"/><Relationship Id="rId83" Type="http://schemas.openxmlformats.org/officeDocument/2006/relationships/hyperlink" Target="https://media.fisheries.noaa.gov/2022-08/2021-PacBluewhale-Eastern%20North%20Pacific%20Stock.pdf" TargetMode="External"/><Relationship Id="rId179" Type="http://schemas.openxmlformats.org/officeDocument/2006/relationships/hyperlink" Target="https://media.fisheries.noaa.gov/dam-migration/ca_sea_lion_final_2018_sar.pdf" TargetMode="External"/><Relationship Id="rId386" Type="http://schemas.openxmlformats.org/officeDocument/2006/relationships/hyperlink" Target="https://media.fisheries.noaa.gov/2022-08/2021-HARBOR%20PORPOISE%20-Northern%20CaliforniaSouthern%20Oregon%20Stock.pdf" TargetMode="External"/><Relationship Id="rId593" Type="http://schemas.openxmlformats.org/officeDocument/2006/relationships/hyperlink" Target="https://media.fisheries.noaa.gov/dam-migration/2019_sars_alaska_harbor_seal.pdf" TargetMode="External"/><Relationship Id="rId607" Type="http://schemas.openxmlformats.org/officeDocument/2006/relationships/hyperlink" Target="https://media.fisheries.noaa.gov/dam-migration/2019_sars_alaska_harbor_seal.pdf" TargetMode="External"/><Relationship Id="rId814" Type="http://schemas.openxmlformats.org/officeDocument/2006/relationships/hyperlink" Target="https://s3.amazonaws.com/media.fisheries.noaa.gov/2020-10/2019%20humpback%20whale%20gulf%20of%20Maine%20508.pdf?null" TargetMode="External"/><Relationship Id="rId1237" Type="http://schemas.openxmlformats.org/officeDocument/2006/relationships/hyperlink" Target="https://media.fisheries.noaa.gov/2022-08/2021-NorthernRWdolphin-CaliforniaOregonWashington%20Stock.pdf" TargetMode="External"/><Relationship Id="rId1444" Type="http://schemas.openxmlformats.org/officeDocument/2006/relationships/hyperlink" Target="https://media.fisheries.noaa.gov/dam-migration/2019_sars_alaska_steller_sea_lion_-_eastern_us.pdf" TargetMode="External"/><Relationship Id="rId1651" Type="http://schemas.openxmlformats.org/officeDocument/2006/relationships/hyperlink" Target="https://www.fisheries.noaa.gov/s3/2023-06/STELLERSEALIONEumetopiasjubatusWesternU.S.Stock-.pdf" TargetMode="External"/><Relationship Id="rId1889" Type="http://schemas.openxmlformats.org/officeDocument/2006/relationships/hyperlink" Target="https://media.fisheries.noaa.gov/2021-08/2020-Pacific-SARS-stripeddolphin_hawaii.pdf" TargetMode="External"/><Relationship Id="rId246" Type="http://schemas.openxmlformats.org/officeDocument/2006/relationships/hyperlink" Target="https://www.fisheries.noaa.gov/s3/2021-08/2020-Pacific-SARS-Eastern-GrayWhale-dragged-.pdf" TargetMode="External"/><Relationship Id="rId453" Type="http://schemas.openxmlformats.org/officeDocument/2006/relationships/hyperlink" Target="https://media.fisheries.noaa.gov/dam-migration/2019_sars_alaska_harbor_seal.pdf" TargetMode="External"/><Relationship Id="rId660" Type="http://schemas.openxmlformats.org/officeDocument/2006/relationships/hyperlink" Target="https://media.fisheries.noaa.gov/dam-migration/po2014sehr-ca_508.pdf" TargetMode="External"/><Relationship Id="rId898" Type="http://schemas.openxmlformats.org/officeDocument/2006/relationships/hyperlink" Target="https://media.fisheries.noaa.gov/dam-migration/pacific-2017-mes_beaked_whales-caorwa-508.pdf" TargetMode="External"/><Relationship Id="rId1083" Type="http://schemas.openxmlformats.org/officeDocument/2006/relationships/hyperlink" Target="https://media.fisheries.noaa.gov/2022-08/2021-NorthernElephant-California%20Breeding%20Stock.pdf" TargetMode="External"/><Relationship Id="rId1290" Type="http://schemas.openxmlformats.org/officeDocument/2006/relationships/hyperlink" Target="https://media.fisheries.noaa.gov/2022-08/2021-shortbeak-common-dolphin-CaliforniaOregonWashington%20Stock.pdf" TargetMode="External"/><Relationship Id="rId1304" Type="http://schemas.openxmlformats.org/officeDocument/2006/relationships/hyperlink" Target="https://media.fisheries.noaa.gov/2021-08/2020-Pacific-SARS-ShortFinPWHI.pdf" TargetMode="External"/><Relationship Id="rId1511" Type="http://schemas.openxmlformats.org/officeDocument/2006/relationships/hyperlink" Target="https://www.fisheries.noaa.gov/s3/2023-06/STELLERSEALIONEumetopiasjubatusWesternU.S.Stock-.pdf" TargetMode="External"/><Relationship Id="rId1749" Type="http://schemas.openxmlformats.org/officeDocument/2006/relationships/hyperlink" Target="https://www.fisheries.noaa.gov/s3/2023-06/STELLERSEALIONEumetopiasjubatusWesternU.S.Stock-.pdf" TargetMode="External"/><Relationship Id="rId106" Type="http://schemas.openxmlformats.org/officeDocument/2006/relationships/hyperlink" Target="https://www.fisheries.noaa.gov/s3/2023-08/Bowhead-Whale-WAS-2022.pdf" TargetMode="External"/><Relationship Id="rId313" Type="http://schemas.openxmlformats.org/officeDocument/2006/relationships/hyperlink" Target="https://media.fisheries.noaa.gov/2022-08/2021-HARBOR%20PORPOISE-Morro%20Bay%20Stock.pdf" TargetMode="External"/><Relationship Id="rId758" Type="http://schemas.openxmlformats.org/officeDocument/2006/relationships/hyperlink" Target="https://media.fisheries.noaa.gov/2022-08/2021-HumpbackWhale-CaliforniaOregonWashington%20Stock.pdf" TargetMode="External"/><Relationship Id="rId965" Type="http://schemas.openxmlformats.org/officeDocument/2006/relationships/hyperlink" Target="https://www.fisheries.noaa.gov/s3/2023-08/North-Atlantic-Right-Whale-Western-Atlantic-2022.pdf" TargetMode="External"/><Relationship Id="rId1150" Type="http://schemas.openxmlformats.org/officeDocument/2006/relationships/hyperlink" Target="https://www.fisheries.noaa.gov/s3/2022-08/2021-NORTHERN-FUR-SEAL-Callorhinus-ursinus-Eastern-Pacific-Stock.pdf" TargetMode="External"/><Relationship Id="rId1388" Type="http://schemas.openxmlformats.org/officeDocument/2006/relationships/hyperlink" Target="https://media.fisheries.noaa.gov/dam-migration/2019_sars_alaska_steller_sea_lion_-_eastern_us.pdf" TargetMode="External"/><Relationship Id="rId1595" Type="http://schemas.openxmlformats.org/officeDocument/2006/relationships/hyperlink" Target="https://www.fisheries.noaa.gov/s3/2023-06/STELLERSEALIONEumetopiasjubatusWesternU.S.Stock-.pdf" TargetMode="External"/><Relationship Id="rId1609" Type="http://schemas.openxmlformats.org/officeDocument/2006/relationships/hyperlink" Target="https://www.fisheries.noaa.gov/s3/2023-06/STELLERSEALIONEumetopiasjubatusWesternU.S.Stock-.pdf" TargetMode="External"/><Relationship Id="rId1816" Type="http://schemas.openxmlformats.org/officeDocument/2006/relationships/hyperlink" Target="https://www.fisheries.noaa.gov/s3/2023-06/STELLERSEALIONEumetopiasjubatusWesternU.S.Stock-.pdf" TargetMode="External"/><Relationship Id="rId10" Type="http://schemas.openxmlformats.org/officeDocument/2006/relationships/hyperlink" Target="https://media.fisheries.noaa.gov/2022-08/pacific-2021-beaked-whale-mesoplodont.pdf" TargetMode="External"/><Relationship Id="rId94" Type="http://schemas.openxmlformats.org/officeDocument/2006/relationships/hyperlink" Target="https://media.fisheries.noaa.gov/2022-08/2021-PacBluewhale-Eastern%20North%20Pacific%20Stock.pdf" TargetMode="External"/><Relationship Id="rId397" Type="http://schemas.openxmlformats.org/officeDocument/2006/relationships/hyperlink" Target="https://media.fisheries.noaa.gov/dam-migration/2019_sars_alaska_harbor_seal.pdf" TargetMode="External"/><Relationship Id="rId520" Type="http://schemas.openxmlformats.org/officeDocument/2006/relationships/hyperlink" Target="https://media.fisheries.noaa.gov/dam-migration/2019_sars_alaska_harbor_seal.pdf" TargetMode="External"/><Relationship Id="rId618" Type="http://schemas.openxmlformats.org/officeDocument/2006/relationships/hyperlink" Target="https://media.fisheries.noaa.gov/dam-migration/2019_sars_alaska_harbor_seal.pdf" TargetMode="External"/><Relationship Id="rId825" Type="http://schemas.openxmlformats.org/officeDocument/2006/relationships/hyperlink" Target="https://s3.amazonaws.com/media.fisheries.noaa.gov/2020-10/2019%20humpback%20whale%20gulf%20of%20Maine%20508.pdf?null" TargetMode="External"/><Relationship Id="rId1248" Type="http://schemas.openxmlformats.org/officeDocument/2006/relationships/hyperlink" Target="https://www.fws.gov/sites/default/files/documents/northern-sea-otter-washington-stock-assessment-report-july-2018.pdf" TargetMode="External"/><Relationship Id="rId1455" Type="http://schemas.openxmlformats.org/officeDocument/2006/relationships/hyperlink" Target="https://media.fisheries.noaa.gov/dam-migration/2019_sars_alaska_steller_sea_lion_-_eastern_us.pdf" TargetMode="External"/><Relationship Id="rId1662" Type="http://schemas.openxmlformats.org/officeDocument/2006/relationships/hyperlink" Target="https://www.fisheries.noaa.gov/s3/2023-06/STELLERSEALIONEumetopiasjubatusWesternU.S.Stock-.pdf" TargetMode="External"/><Relationship Id="rId257" Type="http://schemas.openxmlformats.org/officeDocument/2006/relationships/hyperlink" Target="https://www.fisheries.noaa.gov/s3/2021-08/2020-Pacific-SARS-Eastern-GrayWhale-dragged-.pdf" TargetMode="External"/><Relationship Id="rId464" Type="http://schemas.openxmlformats.org/officeDocument/2006/relationships/hyperlink" Target="https://media.fisheries.noaa.gov/dam-migration/2019_sars_alaska_harbor_seal.pdf" TargetMode="External"/><Relationship Id="rId1010" Type="http://schemas.openxmlformats.org/officeDocument/2006/relationships/hyperlink" Target="https://www.fisheries.noaa.gov/s3/2023-08/North-Atlantic-Right-Whale-Western-Atlantic-2022.pdf" TargetMode="External"/><Relationship Id="rId1094" Type="http://schemas.openxmlformats.org/officeDocument/2006/relationships/hyperlink" Target="https://media.fisheries.noaa.gov/2022-08/2021-NorthernElephant-California%20Breeding%20Stock.pdf" TargetMode="External"/><Relationship Id="rId1108" Type="http://schemas.openxmlformats.org/officeDocument/2006/relationships/hyperlink" Target="https://media.fisheries.noaa.gov/2022-08/2021-NorthernElephant-California%20Breeding%20Stock.pdf" TargetMode="External"/><Relationship Id="rId1315" Type="http://schemas.openxmlformats.org/officeDocument/2006/relationships/hyperlink" Target="https://www.fws.gov/sites/default/files/documents/southern-sea-otter-stock-assessment-report.pdf" TargetMode="External"/><Relationship Id="rId117" Type="http://schemas.openxmlformats.org/officeDocument/2006/relationships/hyperlink" Target="https://media.fisheries.noaa.gov/dam-migration/ca_sea_lion_final_2018_sar.pdf" TargetMode="External"/><Relationship Id="rId671" Type="http://schemas.openxmlformats.org/officeDocument/2006/relationships/hyperlink" Target="https://media.fisheries.noaa.gov/dam-migration/po2014sehr-ca_508.pdf" TargetMode="External"/><Relationship Id="rId769" Type="http://schemas.openxmlformats.org/officeDocument/2006/relationships/hyperlink" Target="https://media.fisheries.noaa.gov/2022-08/2021-HumpbackWhale-CaliforniaOregonWashington%20Stock.pdf" TargetMode="External"/><Relationship Id="rId976" Type="http://schemas.openxmlformats.org/officeDocument/2006/relationships/hyperlink" Target="https://www.fisheries.noaa.gov/s3/2023-08/North-Atlantic-Right-Whale-Western-Atlantic-2022.pdf" TargetMode="External"/><Relationship Id="rId1399" Type="http://schemas.openxmlformats.org/officeDocument/2006/relationships/hyperlink" Target="https://media.fisheries.noaa.gov/dam-migration/2019_sars_alaska_steller_sea_lion_-_eastern_us.pdf" TargetMode="External"/><Relationship Id="rId324" Type="http://schemas.openxmlformats.org/officeDocument/2006/relationships/hyperlink" Target="https://media.fisheries.noaa.gov/2022-08/2021-HARBOR%20PORPOISE-Morro%20Bay%20Stock.pdf" TargetMode="External"/><Relationship Id="rId531" Type="http://schemas.openxmlformats.org/officeDocument/2006/relationships/hyperlink" Target="https://media.fisheries.noaa.gov/dam-migration/2019_sars_alaska_harbor_seal.pdf" TargetMode="External"/><Relationship Id="rId629" Type="http://schemas.openxmlformats.org/officeDocument/2006/relationships/hyperlink" Target="https://media.fisheries.noaa.gov/dam-migration/2019_sars_alaska_harbor_seal.pdf" TargetMode="External"/><Relationship Id="rId1161" Type="http://schemas.openxmlformats.org/officeDocument/2006/relationships/hyperlink" Target="https://www.fisheries.noaa.gov/s3/2022-08/2021-NORTHERN-FUR-SEAL-Callorhinus-ursinus-Eastern-Pacific-Stock.pdf" TargetMode="External"/><Relationship Id="rId1259" Type="http://schemas.openxmlformats.org/officeDocument/2006/relationships/hyperlink" Target="https://www.fws.gov/sites/default/files/documents/northern-sea-otter-washington-stock-assessment-report-july-2018.pdf" TargetMode="External"/><Relationship Id="rId1466" Type="http://schemas.openxmlformats.org/officeDocument/2006/relationships/hyperlink" Target="https://media.fisheries.noaa.gov/dam-migration/2019_sars_alaska_steller_sea_lion_-_eastern_us.pdf" TargetMode="External"/><Relationship Id="rId836" Type="http://schemas.openxmlformats.org/officeDocument/2006/relationships/hyperlink" Target="https://www.fisheries.noaa.gov/s3/2023-08/Killer-Whale-Eastern-North-Pacific-2022.pdf" TargetMode="External"/><Relationship Id="rId1021" Type="http://schemas.openxmlformats.org/officeDocument/2006/relationships/hyperlink" Target="https://media.fisheries.noaa.gov/2022-08/2021-NorthernElephant-California%20Breeding%20Stock.pdf" TargetMode="External"/><Relationship Id="rId1119" Type="http://schemas.openxmlformats.org/officeDocument/2006/relationships/hyperlink" Target="https://media.fisheries.noaa.gov/2022-08/2021-NorthernElephant-California%20Breeding%20Stock.pdf" TargetMode="External"/><Relationship Id="rId1673" Type="http://schemas.openxmlformats.org/officeDocument/2006/relationships/hyperlink" Target="https://www.fisheries.noaa.gov/s3/2023-06/STELLERSEALIONEumetopiasjubatusWesternU.S.Stock-.pdf" TargetMode="External"/><Relationship Id="rId1880" Type="http://schemas.openxmlformats.org/officeDocument/2006/relationships/hyperlink" Target="https://media.fisheries.noaa.gov/2022-08/2021-STRIPED%20DOLPHIN-CaliforniaOregonWashington-Stock.pdf" TargetMode="External"/><Relationship Id="rId903" Type="http://schemas.openxmlformats.org/officeDocument/2006/relationships/hyperlink" Target="https://media.fisheries.noaa.gov/dam-migration/pacific-2017-mes_beaked_whales-caorwa-508.pdf" TargetMode="External"/><Relationship Id="rId1326" Type="http://schemas.openxmlformats.org/officeDocument/2006/relationships/hyperlink" Target="https://www.fws.gov/sites/default/files/documents/southern-sea-otter-stock-assessment-report.pdf" TargetMode="External"/><Relationship Id="rId1533" Type="http://schemas.openxmlformats.org/officeDocument/2006/relationships/hyperlink" Target="https://www.fisheries.noaa.gov/s3/2023-06/STELLERSEALIONEumetopiasjubatusWesternU.S.Stock-.pdf" TargetMode="External"/><Relationship Id="rId1740" Type="http://schemas.openxmlformats.org/officeDocument/2006/relationships/hyperlink" Target="https://www.fisheries.noaa.gov/s3/2023-06/STELLERSEALIONEumetopiasjubatusWesternU.S.Stock-.pdf" TargetMode="External"/><Relationship Id="rId32" Type="http://schemas.openxmlformats.org/officeDocument/2006/relationships/hyperlink" Target="https://www.fisheries.noaa.gov/s3/2023-05/2021BELUGA-WHALE-Delphinapterus-leucas-Cook-Inlet-Stock.pdf" TargetMode="External"/><Relationship Id="rId1600" Type="http://schemas.openxmlformats.org/officeDocument/2006/relationships/hyperlink" Target="https://www.fisheries.noaa.gov/s3/2023-06/STELLERSEALIONEumetopiasjubatusWesternU.S.Stock-.pdf" TargetMode="External"/><Relationship Id="rId1838" Type="http://schemas.openxmlformats.org/officeDocument/2006/relationships/hyperlink" Target="https://www.fisheries.noaa.gov/s3/2023-06/STELLERSEALIONEumetopiasjubatusWesternU.S.Stock-.pdf" TargetMode="External"/><Relationship Id="rId181" Type="http://schemas.openxmlformats.org/officeDocument/2006/relationships/hyperlink" Target="https://media.fisheries.noaa.gov/dam-migration/ca_sea_lion_final_2018_sar.pdf" TargetMode="External"/><Relationship Id="rId279" Type="http://schemas.openxmlformats.org/officeDocument/2006/relationships/hyperlink" Target="https://media.fisheries.noaa.gov/2022-08/2021-HARBOR%20PORPOISE-San%20Francisco-Russian%20River%20Stock.pdf" TargetMode="External"/><Relationship Id="rId486" Type="http://schemas.openxmlformats.org/officeDocument/2006/relationships/hyperlink" Target="https://media.fisheries.noaa.gov/dam-migration/2019_sars_alaska_harbor_seal.pdf" TargetMode="External"/><Relationship Id="rId693" Type="http://schemas.openxmlformats.org/officeDocument/2006/relationships/hyperlink" Target="https://media.fisheries.noaa.gov/dam-migration/po2013sehr-owco_508.pdf" TargetMode="External"/><Relationship Id="rId139" Type="http://schemas.openxmlformats.org/officeDocument/2006/relationships/hyperlink" Target="https://media.fisheries.noaa.gov/dam-migration/ca_sea_lion_final_2018_sar.pdf" TargetMode="External"/><Relationship Id="rId346" Type="http://schemas.openxmlformats.org/officeDocument/2006/relationships/hyperlink" Target="https://media.fisheries.noaa.gov/2022-08/2021-HARBOR%20PORPOISE-Monterey%20Bay%20Stock.pdf" TargetMode="External"/><Relationship Id="rId553" Type="http://schemas.openxmlformats.org/officeDocument/2006/relationships/hyperlink" Target="https://media.fisheries.noaa.gov/dam-migration/2019_sars_alaska_harbor_seal.pdf" TargetMode="External"/><Relationship Id="rId760" Type="http://schemas.openxmlformats.org/officeDocument/2006/relationships/hyperlink" Target="https://media.fisheries.noaa.gov/2022-08/2021-HumpbackWhale-CaliforniaOregonWashington%20Stock.pdf" TargetMode="External"/><Relationship Id="rId998" Type="http://schemas.openxmlformats.org/officeDocument/2006/relationships/hyperlink" Target="https://www.fisheries.noaa.gov/s3/2023-08/North-Atlantic-Right-Whale-Western-Atlantic-2022.pdf" TargetMode="External"/><Relationship Id="rId1183" Type="http://schemas.openxmlformats.org/officeDocument/2006/relationships/hyperlink" Target="https://www.fisheries.noaa.gov/s3/2022-08/2021-NORTHERN-FUR-SEAL-Callorhinus-ursinus-Eastern-Pacific-Stock.pdf" TargetMode="External"/><Relationship Id="rId1390" Type="http://schemas.openxmlformats.org/officeDocument/2006/relationships/hyperlink" Target="https://media.fisheries.noaa.gov/dam-migration/2019_sars_alaska_steller_sea_lion_-_eastern_us.pdf" TargetMode="External"/><Relationship Id="rId206" Type="http://schemas.openxmlformats.org/officeDocument/2006/relationships/hyperlink" Target="https://media.fisheries.noaa.gov/2022-08/2021-DALL'S%20PORPOISE%20-%20CaliforniaOregonWashington%20Stock.pdf" TargetMode="External"/><Relationship Id="rId413" Type="http://schemas.openxmlformats.org/officeDocument/2006/relationships/hyperlink" Target="https://media.fisheries.noaa.gov/dam-migration/2019_sars_alaska_harbor_seal.pdf" TargetMode="External"/><Relationship Id="rId858" Type="http://schemas.openxmlformats.org/officeDocument/2006/relationships/hyperlink" Target="https://www.fisheries.noaa.gov/s3/2023-08/Killer-Whale-Eastern-North-Pacific-2022.pdf" TargetMode="External"/><Relationship Id="rId1043" Type="http://schemas.openxmlformats.org/officeDocument/2006/relationships/hyperlink" Target="https://media.fisheries.noaa.gov/2022-08/2021-NorthernElephant-California%20Breeding%20Stock.pdf" TargetMode="External"/><Relationship Id="rId1488" Type="http://schemas.openxmlformats.org/officeDocument/2006/relationships/hyperlink" Target="https://www.fisheries.noaa.gov/s3/2023-06/STELLERSEALIONEumetopiasjubatusWesternU.S.Stock-.pdf" TargetMode="External"/><Relationship Id="rId1695" Type="http://schemas.openxmlformats.org/officeDocument/2006/relationships/hyperlink" Target="https://www.fisheries.noaa.gov/s3/2023-06/STELLERSEALIONEumetopiasjubatusWesternU.S.Stock-.pdf" TargetMode="External"/><Relationship Id="rId620" Type="http://schemas.openxmlformats.org/officeDocument/2006/relationships/hyperlink" Target="https://media.fisheries.noaa.gov/dam-migration/2019_sars_alaska_harbor_seal.pdf" TargetMode="External"/><Relationship Id="rId718" Type="http://schemas.openxmlformats.org/officeDocument/2006/relationships/hyperlink" Target="https://media.fisheries.noaa.gov/dam-migration/po2013sehr-owco_508.pdf" TargetMode="External"/><Relationship Id="rId925" Type="http://schemas.openxmlformats.org/officeDocument/2006/relationships/hyperlink" Target="https://www.fisheries.noaa.gov/s3/2023-08/North-Atlantic-Right-Whale-Western-Atlantic-2022.pdf" TargetMode="External"/><Relationship Id="rId1250" Type="http://schemas.openxmlformats.org/officeDocument/2006/relationships/hyperlink" Target="https://www.fws.gov/sites/default/files/documents/northern-sea-otter-washington-stock-assessment-report-july-2018.pdf" TargetMode="External"/><Relationship Id="rId1348" Type="http://schemas.openxmlformats.org/officeDocument/2006/relationships/hyperlink" Target="https://media.fisheries.noaa.gov/dam-migration/2019_sars_spermwhale_caorwa.pdf" TargetMode="External"/><Relationship Id="rId1555" Type="http://schemas.openxmlformats.org/officeDocument/2006/relationships/hyperlink" Target="https://www.fisheries.noaa.gov/s3/2023-06/STELLERSEALIONEumetopiasjubatusWesternU.S.Stock-.pdf" TargetMode="External"/><Relationship Id="rId1762" Type="http://schemas.openxmlformats.org/officeDocument/2006/relationships/hyperlink" Target="https://www.fisheries.noaa.gov/s3/2023-06/STELLERSEALIONEumetopiasjubatusWesternU.S.Stock-.pdf" TargetMode="External"/><Relationship Id="rId1110" Type="http://schemas.openxmlformats.org/officeDocument/2006/relationships/hyperlink" Target="https://media.fisheries.noaa.gov/2022-08/2021-NorthernElephant-California%20Breeding%20Stock.pdf" TargetMode="External"/><Relationship Id="rId1208" Type="http://schemas.openxmlformats.org/officeDocument/2006/relationships/hyperlink" Target="https://www.fisheries.noaa.gov/s3/2022-08/2021-NORTHERN-FUR-SEAL-Callorhinus-ursinus-Eastern-Pacific-Stock.pdf" TargetMode="External"/><Relationship Id="rId1415" Type="http://schemas.openxmlformats.org/officeDocument/2006/relationships/hyperlink" Target="https://media.fisheries.noaa.gov/dam-migration/2019_sars_alaska_steller_sea_lion_-_eastern_us.pdf" TargetMode="External"/><Relationship Id="rId54" Type="http://schemas.openxmlformats.org/officeDocument/2006/relationships/hyperlink" Target="https://media.fisheries.noaa.gov/2022-08/2021-PacBluewhale-Eastern%20North%20Pacific%20Stock.pdf" TargetMode="External"/><Relationship Id="rId1622" Type="http://schemas.openxmlformats.org/officeDocument/2006/relationships/hyperlink" Target="https://www.fisheries.noaa.gov/s3/2023-06/STELLERSEALIONEumetopiasjubatusWesternU.S.Stock-.pdf" TargetMode="External"/><Relationship Id="rId270" Type="http://schemas.openxmlformats.org/officeDocument/2006/relationships/hyperlink" Target="https://www.fisheries.noaa.gov/s3/2021-08/2020-Pacific-SARS-Eastern-GrayWhale-dragged-.pdf" TargetMode="External"/><Relationship Id="rId130" Type="http://schemas.openxmlformats.org/officeDocument/2006/relationships/hyperlink" Target="https://media.fisheries.noaa.gov/dam-migration/ca_sea_lion_final_2018_sar.pdf" TargetMode="External"/><Relationship Id="rId368" Type="http://schemas.openxmlformats.org/officeDocument/2006/relationships/hyperlink" Target="https://media.fisheries.noaa.gov/2022-08/2021-HARBOR%20PORPOISE%20-Northern%20CaliforniaSouthern%20Oregon%20Stock.pdf" TargetMode="External"/><Relationship Id="rId575" Type="http://schemas.openxmlformats.org/officeDocument/2006/relationships/hyperlink" Target="https://media.fisheries.noaa.gov/dam-migration/2019_sars_alaska_harbor_seal.pdf" TargetMode="External"/><Relationship Id="rId782" Type="http://schemas.openxmlformats.org/officeDocument/2006/relationships/hyperlink" Target="https://s3.amazonaws.com/media.fisheries.noaa.gov/2020-10/2019%20humpback%20whale%20gulf%20of%20Maine%20508.pdf?null" TargetMode="External"/><Relationship Id="rId228" Type="http://schemas.openxmlformats.org/officeDocument/2006/relationships/hyperlink" Target="https://media.fisheries.noaa.gov/2022-08/2021-PACfinwhale-CaliforniaOregonWashington%20Stock.pdf" TargetMode="External"/><Relationship Id="rId435" Type="http://schemas.openxmlformats.org/officeDocument/2006/relationships/hyperlink" Target="https://media.fisheries.noaa.gov/dam-migration/2019_sars_alaska_harbor_seal.pdf" TargetMode="External"/><Relationship Id="rId642" Type="http://schemas.openxmlformats.org/officeDocument/2006/relationships/hyperlink" Target="https://media.fisheries.noaa.gov/dam-migration/po2014sehr-ca_508.pdf" TargetMode="External"/><Relationship Id="rId1065" Type="http://schemas.openxmlformats.org/officeDocument/2006/relationships/hyperlink" Target="https://media.fisheries.noaa.gov/2022-08/2021-NorthernElephant-California%20Breeding%20Stock.pdf" TargetMode="External"/><Relationship Id="rId1272" Type="http://schemas.openxmlformats.org/officeDocument/2006/relationships/hyperlink" Target="https://www.fisheries.noaa.gov/s3/2022-08/2021-PACWHITESIDE-CaliforniaOregonWashington-Northern-and-Southern-Stocks.pdf" TargetMode="External"/><Relationship Id="rId502" Type="http://schemas.openxmlformats.org/officeDocument/2006/relationships/hyperlink" Target="https://media.fisheries.noaa.gov/dam-migration/2019_sars_alaska_harbor_seal.pdf" TargetMode="External"/><Relationship Id="rId947" Type="http://schemas.openxmlformats.org/officeDocument/2006/relationships/hyperlink" Target="https://www.fisheries.noaa.gov/s3/2023-08/North-Atlantic-Right-Whale-Western-Atlantic-2022.pdf" TargetMode="External"/><Relationship Id="rId1132" Type="http://schemas.openxmlformats.org/officeDocument/2006/relationships/hyperlink" Target="https://media.fisheries.noaa.gov/2022-08/2021-NorthernElephant-California%20Breeding%20Stock.pdf" TargetMode="External"/><Relationship Id="rId1577" Type="http://schemas.openxmlformats.org/officeDocument/2006/relationships/hyperlink" Target="https://www.fisheries.noaa.gov/s3/2023-06/STELLERSEALIONEumetopiasjubatusWesternU.S.Stock-.pdf" TargetMode="External"/><Relationship Id="rId1784" Type="http://schemas.openxmlformats.org/officeDocument/2006/relationships/hyperlink" Target="https://www.fisheries.noaa.gov/s3/2023-06/STELLERSEALIONEumetopiasjubatusWesternU.S.Stock-.pdf" TargetMode="External"/><Relationship Id="rId76" Type="http://schemas.openxmlformats.org/officeDocument/2006/relationships/hyperlink" Target="https://media.fisheries.noaa.gov/2022-08/2021-PacBluewhale-Eastern%20North%20Pacific%20Stock.pdf" TargetMode="External"/><Relationship Id="rId807" Type="http://schemas.openxmlformats.org/officeDocument/2006/relationships/hyperlink" Target="https://s3.amazonaws.com/media.fisheries.noaa.gov/2020-10/2019%20humpback%20whale%20gulf%20of%20Maine%20508.pdf?null" TargetMode="External"/><Relationship Id="rId1437" Type="http://schemas.openxmlformats.org/officeDocument/2006/relationships/hyperlink" Target="https://media.fisheries.noaa.gov/dam-migration/2019_sars_alaska_steller_sea_lion_-_eastern_us.pdf" TargetMode="External"/><Relationship Id="rId1644" Type="http://schemas.openxmlformats.org/officeDocument/2006/relationships/hyperlink" Target="https://www.fisheries.noaa.gov/s3/2023-06/STELLERSEALIONEumetopiasjubatusWesternU.S.Stock-.pdf" TargetMode="External"/><Relationship Id="rId1851" Type="http://schemas.openxmlformats.org/officeDocument/2006/relationships/hyperlink" Target="https://www.fisheries.noaa.gov/s3/2023-06/STELLERSEALIONEumetopiasjubatusWesternU.S.Stock-.pdf" TargetMode="External"/><Relationship Id="rId1504" Type="http://schemas.openxmlformats.org/officeDocument/2006/relationships/hyperlink" Target="https://www.fisheries.noaa.gov/s3/2023-06/STELLERSEALIONEumetopiasjubatusWesternU.S.Stock-.pdf" TargetMode="External"/><Relationship Id="rId1711" Type="http://schemas.openxmlformats.org/officeDocument/2006/relationships/hyperlink" Target="https://www.fisheries.noaa.gov/s3/2023-06/STELLERSEALIONEumetopiasjubatusWesternU.S.Stock-.pdf" TargetMode="External"/><Relationship Id="rId292" Type="http://schemas.openxmlformats.org/officeDocument/2006/relationships/hyperlink" Target="https://media.fisheries.noaa.gov/2022-08/2021-HARBOR%20PORPOISE-San%20Francisco-Russian%20River%20Stock.pdf" TargetMode="External"/><Relationship Id="rId1809" Type="http://schemas.openxmlformats.org/officeDocument/2006/relationships/hyperlink" Target="https://www.fisheries.noaa.gov/s3/2023-06/STELLERSEALIONEumetopiasjubatusWesternU.S.Stock-.pdf" TargetMode="External"/><Relationship Id="rId597" Type="http://schemas.openxmlformats.org/officeDocument/2006/relationships/hyperlink" Target="https://media.fisheries.noaa.gov/dam-migration/2019_sars_alaska_harbor_seal.pdf" TargetMode="External"/><Relationship Id="rId152" Type="http://schemas.openxmlformats.org/officeDocument/2006/relationships/hyperlink" Target="https://media.fisheries.noaa.gov/dam-migration/ca_sea_lion_final_2018_sar.pdf" TargetMode="External"/><Relationship Id="rId457" Type="http://schemas.openxmlformats.org/officeDocument/2006/relationships/hyperlink" Target="https://media.fisheries.noaa.gov/dam-migration/2019_sars_alaska_harbor_seal.pdf" TargetMode="External"/><Relationship Id="rId1087" Type="http://schemas.openxmlformats.org/officeDocument/2006/relationships/hyperlink" Target="https://media.fisheries.noaa.gov/2022-08/2021-NorthernElephant-California%20Breeding%20Stock.pdf" TargetMode="External"/><Relationship Id="rId1294" Type="http://schemas.openxmlformats.org/officeDocument/2006/relationships/hyperlink" Target="https://media.fisheries.noaa.gov/2022-08/2021-shortbeak-common-dolphin-CaliforniaOregonWashington%20Stock.pdf" TargetMode="External"/><Relationship Id="rId664" Type="http://schemas.openxmlformats.org/officeDocument/2006/relationships/hyperlink" Target="https://media.fisheries.noaa.gov/dam-migration/po2014sehr-ca_508.pdf" TargetMode="External"/><Relationship Id="rId871" Type="http://schemas.openxmlformats.org/officeDocument/2006/relationships/hyperlink" Target="https://www.fisheries.noaa.gov/s3/2023-08/Killer-Whale-Eastern-North-Pacific-2022.pdf" TargetMode="External"/><Relationship Id="rId969" Type="http://schemas.openxmlformats.org/officeDocument/2006/relationships/hyperlink" Target="https://www.fisheries.noaa.gov/s3/2023-08/North-Atlantic-Right-Whale-Western-Atlantic-2022.pdf" TargetMode="External"/><Relationship Id="rId1599" Type="http://schemas.openxmlformats.org/officeDocument/2006/relationships/hyperlink" Target="https://www.fisheries.noaa.gov/s3/2023-06/STELLERSEALIONEumetopiasjubatusWesternU.S.Stock-.pdf" TargetMode="External"/><Relationship Id="rId317" Type="http://schemas.openxmlformats.org/officeDocument/2006/relationships/hyperlink" Target="https://media.fisheries.noaa.gov/2022-08/2021-HARBOR%20PORPOISE-Morro%20Bay%20Stock.pdf" TargetMode="External"/><Relationship Id="rId524" Type="http://schemas.openxmlformats.org/officeDocument/2006/relationships/hyperlink" Target="https://media.fisheries.noaa.gov/dam-migration/2019_sars_alaska_harbor_seal.pdf" TargetMode="External"/><Relationship Id="rId731" Type="http://schemas.openxmlformats.org/officeDocument/2006/relationships/hyperlink" Target="https://media.fisheries.noaa.gov/dam-migration/po2013sehr-owco_508.pdf" TargetMode="External"/><Relationship Id="rId1154" Type="http://schemas.openxmlformats.org/officeDocument/2006/relationships/hyperlink" Target="https://www.fisheries.noaa.gov/s3/2022-08/2021-NORTHERN-FUR-SEAL-Callorhinus-ursinus-Eastern-Pacific-Stock.pdf" TargetMode="External"/><Relationship Id="rId1361" Type="http://schemas.openxmlformats.org/officeDocument/2006/relationships/hyperlink" Target="https://media.fisheries.noaa.gov/dam-migration/2019_sars_alaska_steller_sea_lion_-_eastern_us.pdf" TargetMode="External"/><Relationship Id="rId1459" Type="http://schemas.openxmlformats.org/officeDocument/2006/relationships/hyperlink" Target="https://media.fisheries.noaa.gov/dam-migration/2019_sars_alaska_steller_sea_lion_-_eastern_us.pdf" TargetMode="External"/><Relationship Id="rId98" Type="http://schemas.openxmlformats.org/officeDocument/2006/relationships/hyperlink" Target="https://www.fisheries.noaa.gov/s3/2023-08/Bowhead-Whale-WAS-2022.pdf" TargetMode="External"/><Relationship Id="rId829" Type="http://schemas.openxmlformats.org/officeDocument/2006/relationships/hyperlink" Target="https://s3.amazonaws.com/media.fisheries.noaa.gov/2020-10/2019%20humpback%20whale%20gulf%20of%20Maine%20508.pdf?null" TargetMode="External"/><Relationship Id="rId1014" Type="http://schemas.openxmlformats.org/officeDocument/2006/relationships/hyperlink" Target="https://media.fisheries.noaa.gov/2022-08/2021-NorthernElephant-California%20Breeding%20Stock.pdf" TargetMode="External"/><Relationship Id="rId1221" Type="http://schemas.openxmlformats.org/officeDocument/2006/relationships/hyperlink" Target="https://www.fisheries.noaa.gov/s3/2022-08/2021-NORTHERN-FUR-SEAL-Callorhinus-ursinus-Eastern-Pacific-Stock.pdf" TargetMode="External"/><Relationship Id="rId1666" Type="http://schemas.openxmlformats.org/officeDocument/2006/relationships/hyperlink" Target="https://www.fisheries.noaa.gov/s3/2023-06/STELLERSEALIONEumetopiasjubatusWesternU.S.Stock-.pdf" TargetMode="External"/><Relationship Id="rId1873" Type="http://schemas.openxmlformats.org/officeDocument/2006/relationships/hyperlink" Target="https://www.fisheries.noaa.gov/s3/2023-06/STELLERSEALIONEumetopiasjubatusWesternU.S.Stock-.pdf" TargetMode="External"/><Relationship Id="rId1319" Type="http://schemas.openxmlformats.org/officeDocument/2006/relationships/hyperlink" Target="https://www.fws.gov/sites/default/files/documents/southern-sea-otter-stock-assessment-report.pdf" TargetMode="External"/><Relationship Id="rId1526" Type="http://schemas.openxmlformats.org/officeDocument/2006/relationships/hyperlink" Target="https://www.fisheries.noaa.gov/s3/2023-06/STELLERSEALIONEumetopiasjubatusWesternU.S.Stock-.pdf" TargetMode="External"/><Relationship Id="rId1733" Type="http://schemas.openxmlformats.org/officeDocument/2006/relationships/hyperlink" Target="https://www.fisheries.noaa.gov/s3/2023-06/STELLERSEALIONEumetopiasjubatusWesternU.S.Stock-.pdf" TargetMode="External"/><Relationship Id="rId25" Type="http://schemas.openxmlformats.org/officeDocument/2006/relationships/hyperlink" Target="https://media.fisheries.noaa.gov/2022-08/pacific-2021-beaked-whale-mesoplodont.pdf" TargetMode="External"/><Relationship Id="rId1800" Type="http://schemas.openxmlformats.org/officeDocument/2006/relationships/hyperlink" Target="https://www.fisheries.noaa.gov/s3/2023-06/STELLERSEALIONEumetopiasjubatusWesternU.S.Stock-.pdf" TargetMode="External"/><Relationship Id="rId174" Type="http://schemas.openxmlformats.org/officeDocument/2006/relationships/hyperlink" Target="https://media.fisheries.noaa.gov/dam-migration/ca_sea_lion_final_2018_sar.pdf" TargetMode="External"/><Relationship Id="rId381" Type="http://schemas.openxmlformats.org/officeDocument/2006/relationships/hyperlink" Target="https://media.fisheries.noaa.gov/2022-08/2021-HARBOR%20PORPOISE%20-Northern%20CaliforniaSouthern%20Oregon%20Stock.pdf" TargetMode="External"/><Relationship Id="rId241" Type="http://schemas.openxmlformats.org/officeDocument/2006/relationships/hyperlink" Target="https://media.fisheries.noaa.gov/2022-08/2021-PACfinwhale-CaliforniaOregonWashington%20Stock.pdf" TargetMode="External"/><Relationship Id="rId479" Type="http://schemas.openxmlformats.org/officeDocument/2006/relationships/hyperlink" Target="https://media.fisheries.noaa.gov/dam-migration/2019_sars_alaska_harbor_seal.pdf" TargetMode="External"/><Relationship Id="rId686" Type="http://schemas.openxmlformats.org/officeDocument/2006/relationships/hyperlink" Target="https://media.fisheries.noaa.gov/dam-migration/po2014sehr-ca_508.pdf" TargetMode="External"/><Relationship Id="rId893" Type="http://schemas.openxmlformats.org/officeDocument/2006/relationships/hyperlink" Target="https://media.fisheries.noaa.gov/dam-migration/pacific-2017-mes_beaked_whales-caorwa-508.pdf" TargetMode="External"/><Relationship Id="rId339" Type="http://schemas.openxmlformats.org/officeDocument/2006/relationships/hyperlink" Target="https://media.fisheries.noaa.gov/2022-08/2021-HARBOR%20PORPOISE-Monterey%20Bay%20Stock.pdf" TargetMode="External"/><Relationship Id="rId546" Type="http://schemas.openxmlformats.org/officeDocument/2006/relationships/hyperlink" Target="https://media.fisheries.noaa.gov/dam-migration/2019_sars_alaska_harbor_seal.pdf" TargetMode="External"/><Relationship Id="rId753" Type="http://schemas.openxmlformats.org/officeDocument/2006/relationships/hyperlink" Target="https://media.fisheries.noaa.gov/2022-08/2021-HumpbackWhale-CaliforniaOregonWashington%20Stock.pdf" TargetMode="External"/><Relationship Id="rId1176" Type="http://schemas.openxmlformats.org/officeDocument/2006/relationships/hyperlink" Target="https://www.fisheries.noaa.gov/s3/2022-08/2021-NORTHERN-FUR-SEAL-Callorhinus-ursinus-Eastern-Pacific-Stock.pdf" TargetMode="External"/><Relationship Id="rId1383" Type="http://schemas.openxmlformats.org/officeDocument/2006/relationships/hyperlink" Target="https://media.fisheries.noaa.gov/dam-migration/2019_sars_alaska_steller_sea_lion_-_eastern_us.pdf" TargetMode="External"/><Relationship Id="rId101" Type="http://schemas.openxmlformats.org/officeDocument/2006/relationships/hyperlink" Target="https://www.fisheries.noaa.gov/s3/2023-08/Bowhead-Whale-WAS-2022.pdf" TargetMode="External"/><Relationship Id="rId406" Type="http://schemas.openxmlformats.org/officeDocument/2006/relationships/hyperlink" Target="https://media.fisheries.noaa.gov/dam-migration/2019_sars_alaska_harbor_seal.pdf" TargetMode="External"/><Relationship Id="rId960" Type="http://schemas.openxmlformats.org/officeDocument/2006/relationships/hyperlink" Target="https://www.fisheries.noaa.gov/s3/2023-08/North-Atlantic-Right-Whale-Western-Atlantic-2022.pdf" TargetMode="External"/><Relationship Id="rId1036" Type="http://schemas.openxmlformats.org/officeDocument/2006/relationships/hyperlink" Target="https://media.fisheries.noaa.gov/2022-08/2021-NorthernElephant-California%20Breeding%20Stock.pdf" TargetMode="External"/><Relationship Id="rId1243" Type="http://schemas.openxmlformats.org/officeDocument/2006/relationships/hyperlink" Target="https://www.fws.gov/sites/default/files/documents/northern-sea-otter-washington-stock-assessment-report-july-2018.pdf" TargetMode="External"/><Relationship Id="rId1590" Type="http://schemas.openxmlformats.org/officeDocument/2006/relationships/hyperlink" Target="https://www.fisheries.noaa.gov/s3/2023-06/STELLERSEALIONEumetopiasjubatusWesternU.S.Stock-.pdf" TargetMode="External"/><Relationship Id="rId1688" Type="http://schemas.openxmlformats.org/officeDocument/2006/relationships/hyperlink" Target="https://www.fisheries.noaa.gov/s3/2023-06/STELLERSEALIONEumetopiasjubatusWesternU.S.Stock-.pdf" TargetMode="External"/><Relationship Id="rId613" Type="http://schemas.openxmlformats.org/officeDocument/2006/relationships/hyperlink" Target="https://media.fisheries.noaa.gov/dam-migration/2019_sars_alaska_harbor_seal.pdf" TargetMode="External"/><Relationship Id="rId820" Type="http://schemas.openxmlformats.org/officeDocument/2006/relationships/hyperlink" Target="https://s3.amazonaws.com/media.fisheries.noaa.gov/2020-10/2019%20humpback%20whale%20gulf%20of%20Maine%20508.pdf?null" TargetMode="External"/><Relationship Id="rId918" Type="http://schemas.openxmlformats.org/officeDocument/2006/relationships/hyperlink" Target="https://www.fisheries.noaa.gov/s3/2023-08/North-Atlantic-Right-Whale-Western-Atlantic-2022.pdf" TargetMode="External"/><Relationship Id="rId1450" Type="http://schemas.openxmlformats.org/officeDocument/2006/relationships/hyperlink" Target="https://media.fisheries.noaa.gov/dam-migration/2019_sars_alaska_steller_sea_lion_-_eastern_us.pdf" TargetMode="External"/><Relationship Id="rId1548" Type="http://schemas.openxmlformats.org/officeDocument/2006/relationships/hyperlink" Target="https://www.fisheries.noaa.gov/s3/2023-06/STELLERSEALIONEumetopiasjubatusWesternU.S.Stock-.pdf" TargetMode="External"/><Relationship Id="rId1755" Type="http://schemas.openxmlformats.org/officeDocument/2006/relationships/hyperlink" Target="https://www.fisheries.noaa.gov/s3/2023-06/STELLERSEALIONEumetopiasjubatusWesternU.S.Stock-.pdf" TargetMode="External"/><Relationship Id="rId1103" Type="http://schemas.openxmlformats.org/officeDocument/2006/relationships/hyperlink" Target="https://media.fisheries.noaa.gov/2022-08/2021-NorthernElephant-California%20Breeding%20Stock.pdf" TargetMode="External"/><Relationship Id="rId1310" Type="http://schemas.openxmlformats.org/officeDocument/2006/relationships/hyperlink" Target="https://www.fws.gov/sites/default/files/documents/southern-sea-otter-stock-assessment-report.pdf" TargetMode="External"/><Relationship Id="rId1408" Type="http://schemas.openxmlformats.org/officeDocument/2006/relationships/hyperlink" Target="https://media.fisheries.noaa.gov/dam-migration/2019_sars_alaska_steller_sea_lion_-_eastern_us.pdf" TargetMode="External"/><Relationship Id="rId47" Type="http://schemas.openxmlformats.org/officeDocument/2006/relationships/hyperlink" Target="https://www.fisheries.noaa.gov/s3/2023-05/2021BELUGA-WHALE-Delphinapterus-leucas-Cook-Inlet-Stock.pdf" TargetMode="External"/><Relationship Id="rId1615" Type="http://schemas.openxmlformats.org/officeDocument/2006/relationships/hyperlink" Target="https://www.fisheries.noaa.gov/s3/2023-06/STELLERSEALIONEumetopiasjubatusWesternU.S.Stock-.pdf" TargetMode="External"/><Relationship Id="rId1822" Type="http://schemas.openxmlformats.org/officeDocument/2006/relationships/hyperlink" Target="https://www.fisheries.noaa.gov/s3/2023-06/STELLERSEALIONEumetopiasjubatusWesternU.S.Stock-.pdf" TargetMode="External"/><Relationship Id="rId196" Type="http://schemas.openxmlformats.org/officeDocument/2006/relationships/hyperlink" Target="https://www.fisheries.noaa.gov/s3/2023-08/Cuviers-CAORWA-2022.pdf" TargetMode="External"/><Relationship Id="rId263" Type="http://schemas.openxmlformats.org/officeDocument/2006/relationships/hyperlink" Target="https://www.fisheries.noaa.gov/s3/2021-08/2020-Pacific-SARS-Eastern-GrayWhale-dragged-.pdf" TargetMode="External"/><Relationship Id="rId470" Type="http://schemas.openxmlformats.org/officeDocument/2006/relationships/hyperlink" Target="https://media.fisheries.noaa.gov/dam-migration/2019_sars_alaska_harbor_seal.pdf" TargetMode="External"/><Relationship Id="rId123" Type="http://schemas.openxmlformats.org/officeDocument/2006/relationships/hyperlink" Target="https://media.fisheries.noaa.gov/dam-migration/ca_sea_lion_final_2018_sar.pdf" TargetMode="External"/><Relationship Id="rId330" Type="http://schemas.openxmlformats.org/officeDocument/2006/relationships/hyperlink" Target="https://media.fisheries.noaa.gov/2022-08/2021-HARBOR%20PORPOISE-Morro%20Bay%20Stock.pdf" TargetMode="External"/><Relationship Id="rId568" Type="http://schemas.openxmlformats.org/officeDocument/2006/relationships/hyperlink" Target="https://media.fisheries.noaa.gov/dam-migration/2019_sars_alaska_harbor_seal.pdf" TargetMode="External"/><Relationship Id="rId775" Type="http://schemas.openxmlformats.org/officeDocument/2006/relationships/hyperlink" Target="https://media.fisheries.noaa.gov/2022-08/2021-HumpbackWhale-CaliforniaOregonWashington%20Stock.pdf" TargetMode="External"/><Relationship Id="rId982" Type="http://schemas.openxmlformats.org/officeDocument/2006/relationships/hyperlink" Target="https://www.fisheries.noaa.gov/s3/2023-08/North-Atlantic-Right-Whale-Western-Atlantic-2022.pdf" TargetMode="External"/><Relationship Id="rId1198" Type="http://schemas.openxmlformats.org/officeDocument/2006/relationships/hyperlink" Target="https://www.fisheries.noaa.gov/s3/2022-08/2021-NORTHERN-FUR-SEAL-Callorhinus-ursinus-Eastern-Pacific-Stock.pdf" TargetMode="External"/><Relationship Id="rId428" Type="http://schemas.openxmlformats.org/officeDocument/2006/relationships/hyperlink" Target="https://media.fisheries.noaa.gov/dam-migration/2019_sars_alaska_harbor_seal.pdf" TargetMode="External"/><Relationship Id="rId635" Type="http://schemas.openxmlformats.org/officeDocument/2006/relationships/hyperlink" Target="https://media.fisheries.noaa.gov/dam-migration/2019_sars_alaska_harbor_seal.pdf" TargetMode="External"/><Relationship Id="rId842" Type="http://schemas.openxmlformats.org/officeDocument/2006/relationships/hyperlink" Target="https://www.fisheries.noaa.gov/s3/2023-08/Killer-Whale-Eastern-North-Pacific-2022.pdf" TargetMode="External"/><Relationship Id="rId1058" Type="http://schemas.openxmlformats.org/officeDocument/2006/relationships/hyperlink" Target="https://media.fisheries.noaa.gov/2022-08/2021-NorthernElephant-California%20Breeding%20Stock.pdf" TargetMode="External"/><Relationship Id="rId1265" Type="http://schemas.openxmlformats.org/officeDocument/2006/relationships/hyperlink" Target="https://www.fws.gov/sites/default/files/documents/northern-sea-otter-washington-stock-assessment-report-july-2018.pdf" TargetMode="External"/><Relationship Id="rId1472" Type="http://schemas.openxmlformats.org/officeDocument/2006/relationships/hyperlink" Target="https://www.fisheries.noaa.gov/s3/2023-06/STELLERSEALIONEumetopiasjubatusWesternU.S.Stock-.pdf" TargetMode="External"/><Relationship Id="rId702" Type="http://schemas.openxmlformats.org/officeDocument/2006/relationships/hyperlink" Target="https://media.fisheries.noaa.gov/dam-migration/po2013sehr-owco_508.pdf" TargetMode="External"/><Relationship Id="rId1125" Type="http://schemas.openxmlformats.org/officeDocument/2006/relationships/hyperlink" Target="https://media.fisheries.noaa.gov/2022-08/2021-NorthernElephant-California%20Breeding%20Stock.pdf" TargetMode="External"/><Relationship Id="rId1332" Type="http://schemas.openxmlformats.org/officeDocument/2006/relationships/hyperlink" Target="https://www.fws.gov/sites/default/files/documents/southern-sea-otter-stock-assessment-report.pdf" TargetMode="External"/><Relationship Id="rId1777" Type="http://schemas.openxmlformats.org/officeDocument/2006/relationships/hyperlink" Target="https://www.fisheries.noaa.gov/s3/2023-06/STELLERSEALIONEumetopiasjubatusWesternU.S.Stock-.pdf" TargetMode="External"/><Relationship Id="rId69" Type="http://schemas.openxmlformats.org/officeDocument/2006/relationships/hyperlink" Target="https://media.fisheries.noaa.gov/2022-08/2021-PacBluewhale-Eastern%20North%20Pacific%20Stock.pdf" TargetMode="External"/><Relationship Id="rId1637" Type="http://schemas.openxmlformats.org/officeDocument/2006/relationships/hyperlink" Target="https://www.fisheries.noaa.gov/s3/2023-06/STELLERSEALIONEumetopiasjubatusWesternU.S.Stock-.pdf" TargetMode="External"/><Relationship Id="rId1844" Type="http://schemas.openxmlformats.org/officeDocument/2006/relationships/hyperlink" Target="https://www.fisheries.noaa.gov/s3/2023-06/STELLERSEALIONEumetopiasjubatusWesternU.S.Stock-.pdf" TargetMode="External"/><Relationship Id="rId1704" Type="http://schemas.openxmlformats.org/officeDocument/2006/relationships/hyperlink" Target="https://www.fisheries.noaa.gov/s3/2023-06/STELLERSEALIONEumetopiasjubatusWesternU.S.Stock-.pdf" TargetMode="External"/><Relationship Id="rId285" Type="http://schemas.openxmlformats.org/officeDocument/2006/relationships/hyperlink" Target="https://media.fisheries.noaa.gov/2022-08/2021-HARBOR%20PORPOISE-San%20Francisco-Russian%20River%20Stock.pdf" TargetMode="External"/><Relationship Id="rId492" Type="http://schemas.openxmlformats.org/officeDocument/2006/relationships/hyperlink" Target="https://media.fisheries.noaa.gov/dam-migration/2019_sars_alaska_harbor_seal.pdf" TargetMode="External"/><Relationship Id="rId797" Type="http://schemas.openxmlformats.org/officeDocument/2006/relationships/hyperlink" Target="https://s3.amazonaws.com/media.fisheries.noaa.gov/2020-10/2019%20humpback%20whale%20gulf%20of%20Maine%20508.pdf?null" TargetMode="External"/><Relationship Id="rId145" Type="http://schemas.openxmlformats.org/officeDocument/2006/relationships/hyperlink" Target="https://media.fisheries.noaa.gov/dam-migration/ca_sea_lion_final_2018_sar.pdf" TargetMode="External"/><Relationship Id="rId352" Type="http://schemas.openxmlformats.org/officeDocument/2006/relationships/hyperlink" Target="https://media.fisheries.noaa.gov/2022-08/2021-HARBOR%20PORPOISE-Monterey%20Bay%20Stock.pdf" TargetMode="External"/><Relationship Id="rId1287" Type="http://schemas.openxmlformats.org/officeDocument/2006/relationships/hyperlink" Target="https://media.fisheries.noaa.gov/2021-08/2020-Pacific-SARS-Rissos.pdf" TargetMode="External"/><Relationship Id="rId212" Type="http://schemas.openxmlformats.org/officeDocument/2006/relationships/hyperlink" Target="https://media.fisheries.noaa.gov/2022-08/2021-DALL'S%20PORPOISE%20-%20CaliforniaOregonWashington%20Stock.pdf" TargetMode="External"/><Relationship Id="rId657" Type="http://schemas.openxmlformats.org/officeDocument/2006/relationships/hyperlink" Target="https://media.fisheries.noaa.gov/dam-migration/po2014sehr-ca_508.pdf" TargetMode="External"/><Relationship Id="rId864" Type="http://schemas.openxmlformats.org/officeDocument/2006/relationships/hyperlink" Target="https://www.fisheries.noaa.gov/s3/2023-08/Killer-Whale-Eastern-North-Pacific-2022.pdf" TargetMode="External"/><Relationship Id="rId1494" Type="http://schemas.openxmlformats.org/officeDocument/2006/relationships/hyperlink" Target="https://www.fisheries.noaa.gov/s3/2023-06/STELLERSEALIONEumetopiasjubatusWesternU.S.Stock-.pdf" TargetMode="External"/><Relationship Id="rId1799" Type="http://schemas.openxmlformats.org/officeDocument/2006/relationships/hyperlink" Target="https://www.fisheries.noaa.gov/s3/2023-06/STELLERSEALIONEumetopiasjubatusWesternU.S.Stock-.pdf" TargetMode="External"/><Relationship Id="rId517" Type="http://schemas.openxmlformats.org/officeDocument/2006/relationships/hyperlink" Target="https://media.fisheries.noaa.gov/dam-migration/2019_sars_alaska_harbor_seal.pdf" TargetMode="External"/><Relationship Id="rId724" Type="http://schemas.openxmlformats.org/officeDocument/2006/relationships/hyperlink" Target="https://media.fisheries.noaa.gov/dam-migration/po2013sehr-owco_508.pdf" TargetMode="External"/><Relationship Id="rId931" Type="http://schemas.openxmlformats.org/officeDocument/2006/relationships/hyperlink" Target="https://www.fisheries.noaa.gov/s3/2023-08/North-Atlantic-Right-Whale-Western-Atlantic-2022.pdf" TargetMode="External"/><Relationship Id="rId1147" Type="http://schemas.openxmlformats.org/officeDocument/2006/relationships/hyperlink" Target="https://www.fisheries.noaa.gov/s3/2022-08/2021-NORTHERN-FUR-SEAL-Callorhinus-ursinus-Eastern-Pacific-Stock.pdf" TargetMode="External"/><Relationship Id="rId1354" Type="http://schemas.openxmlformats.org/officeDocument/2006/relationships/hyperlink" Target="https://media.fisheries.noaa.gov/dam-migration/2019_sars_alaska_steller_sea_lion_-_eastern_us.pdf" TargetMode="External"/><Relationship Id="rId1561" Type="http://schemas.openxmlformats.org/officeDocument/2006/relationships/hyperlink" Target="https://www.fisheries.noaa.gov/s3/2023-06/STELLERSEALIONEumetopiasjubatusWesternU.S.Stock-.pdf" TargetMode="External"/><Relationship Id="rId60" Type="http://schemas.openxmlformats.org/officeDocument/2006/relationships/hyperlink" Target="https://media.fisheries.noaa.gov/2022-08/2021-PacBluewhale-Eastern%20North%20Pacific%20Stock.pdf" TargetMode="External"/><Relationship Id="rId1007" Type="http://schemas.openxmlformats.org/officeDocument/2006/relationships/hyperlink" Target="https://www.fisheries.noaa.gov/s3/2023-08/North-Atlantic-Right-Whale-Western-Atlantic-2022.pdf" TargetMode="External"/><Relationship Id="rId1214" Type="http://schemas.openxmlformats.org/officeDocument/2006/relationships/hyperlink" Target="https://www.fisheries.noaa.gov/s3/2022-08/2021-NORTHERN-FUR-SEAL-Callorhinus-ursinus-Eastern-Pacific-Stock.pdf" TargetMode="External"/><Relationship Id="rId1421" Type="http://schemas.openxmlformats.org/officeDocument/2006/relationships/hyperlink" Target="https://media.fisheries.noaa.gov/dam-migration/2019_sars_alaska_steller_sea_lion_-_eastern_us.pdf" TargetMode="External"/><Relationship Id="rId1659" Type="http://schemas.openxmlformats.org/officeDocument/2006/relationships/hyperlink" Target="https://www.fisheries.noaa.gov/s3/2023-06/STELLERSEALIONEumetopiasjubatusWesternU.S.Stock-.pdf" TargetMode="External"/><Relationship Id="rId1866" Type="http://schemas.openxmlformats.org/officeDocument/2006/relationships/hyperlink" Target="https://www.fisheries.noaa.gov/s3/2023-06/STELLERSEALIONEumetopiasjubatusWesternU.S.Stock-.pdf" TargetMode="External"/><Relationship Id="rId1519" Type="http://schemas.openxmlformats.org/officeDocument/2006/relationships/hyperlink" Target="https://www.fisheries.noaa.gov/s3/2023-06/STELLERSEALIONEumetopiasjubatusWesternU.S.Stock-.pdf" TargetMode="External"/><Relationship Id="rId1726" Type="http://schemas.openxmlformats.org/officeDocument/2006/relationships/hyperlink" Target="https://www.fisheries.noaa.gov/s3/2023-06/STELLERSEALIONEumetopiasjubatusWesternU.S.Stock-.pdf" TargetMode="External"/><Relationship Id="rId18" Type="http://schemas.openxmlformats.org/officeDocument/2006/relationships/hyperlink" Target="https://media.fisheries.noaa.gov/2022-08/pacific-2021-beaked-whale-mesoplodont.pdf" TargetMode="External"/><Relationship Id="rId167" Type="http://schemas.openxmlformats.org/officeDocument/2006/relationships/hyperlink" Target="https://media.fisheries.noaa.gov/dam-migration/ca_sea_lion_final_2018_sar.pdf" TargetMode="External"/><Relationship Id="rId374" Type="http://schemas.openxmlformats.org/officeDocument/2006/relationships/hyperlink" Target="https://media.fisheries.noaa.gov/2022-08/2021-HARBOR%20PORPOISE%20-Northern%20CaliforniaSouthern%20Oregon%20Stock.pdf" TargetMode="External"/><Relationship Id="rId581" Type="http://schemas.openxmlformats.org/officeDocument/2006/relationships/hyperlink" Target="https://media.fisheries.noaa.gov/dam-migration/2019_sars_alaska_harbor_seal.pdf" TargetMode="External"/><Relationship Id="rId234" Type="http://schemas.openxmlformats.org/officeDocument/2006/relationships/hyperlink" Target="https://media.fisheries.noaa.gov/2022-08/2021-PACfinwhale-CaliforniaOregonWashington%20Stock.pdf" TargetMode="External"/><Relationship Id="rId679" Type="http://schemas.openxmlformats.org/officeDocument/2006/relationships/hyperlink" Target="https://media.fisheries.noaa.gov/dam-migration/po2014sehr-ca_508.pdf" TargetMode="External"/><Relationship Id="rId886" Type="http://schemas.openxmlformats.org/officeDocument/2006/relationships/hyperlink" Target="https://media.fisheries.noaa.gov/2022-08/2021-LONG-BEAKED%20COMMON%20DOLPHIN-California%20Stock.pdf" TargetMode="External"/><Relationship Id="rId2" Type="http://schemas.openxmlformats.org/officeDocument/2006/relationships/hyperlink" Target="https://media.fisheries.noaa.gov/2022-08/pacific-2021-beaked-whale-mesoplodont.pdf" TargetMode="External"/><Relationship Id="rId441" Type="http://schemas.openxmlformats.org/officeDocument/2006/relationships/hyperlink" Target="https://media.fisheries.noaa.gov/dam-migration/2019_sars_alaska_harbor_seal.pdf" TargetMode="External"/><Relationship Id="rId539" Type="http://schemas.openxmlformats.org/officeDocument/2006/relationships/hyperlink" Target="https://media.fisheries.noaa.gov/dam-migration/2019_sars_alaska_harbor_seal.pdf" TargetMode="External"/><Relationship Id="rId746" Type="http://schemas.openxmlformats.org/officeDocument/2006/relationships/hyperlink" Target="https://media.fisheries.noaa.gov/2022-08/2021-HumpbackWhale-CaliforniaOregonWashington%20Stock.pdf" TargetMode="External"/><Relationship Id="rId1071" Type="http://schemas.openxmlformats.org/officeDocument/2006/relationships/hyperlink" Target="https://media.fisheries.noaa.gov/2022-08/2021-NorthernElephant-California%20Breeding%20Stock.pdf" TargetMode="External"/><Relationship Id="rId1169" Type="http://schemas.openxmlformats.org/officeDocument/2006/relationships/hyperlink" Target="https://www.fisheries.noaa.gov/s3/2022-08/2021-NORTHERN-FUR-SEAL-Callorhinus-ursinus-Eastern-Pacific-Stock.pdf" TargetMode="External"/><Relationship Id="rId1376" Type="http://schemas.openxmlformats.org/officeDocument/2006/relationships/hyperlink" Target="https://media.fisheries.noaa.gov/dam-migration/2019_sars_alaska_steller_sea_lion_-_eastern_us.pdf" TargetMode="External"/><Relationship Id="rId1583" Type="http://schemas.openxmlformats.org/officeDocument/2006/relationships/hyperlink" Target="https://www.fisheries.noaa.gov/s3/2023-06/STELLERSEALIONEumetopiasjubatusWesternU.S.Stock-.pdf" TargetMode="External"/><Relationship Id="rId301" Type="http://schemas.openxmlformats.org/officeDocument/2006/relationships/hyperlink" Target="https://media.fisheries.noaa.gov/2022-08/2021-HARBOR%20PORPOISE-San%20Francisco-Russian%20River%20Stock.pdf" TargetMode="External"/><Relationship Id="rId953" Type="http://schemas.openxmlformats.org/officeDocument/2006/relationships/hyperlink" Target="https://www.fisheries.noaa.gov/s3/2023-08/North-Atlantic-Right-Whale-Western-Atlantic-2022.pdf" TargetMode="External"/><Relationship Id="rId1029" Type="http://schemas.openxmlformats.org/officeDocument/2006/relationships/hyperlink" Target="https://media.fisheries.noaa.gov/2022-08/2021-NorthernElephant-California%20Breeding%20Stock.pdf" TargetMode="External"/><Relationship Id="rId1236" Type="http://schemas.openxmlformats.org/officeDocument/2006/relationships/hyperlink" Target="https://media.fisheries.noaa.gov/2022-08/2021-NorthernRWdolphin-CaliforniaOregonWashington%20Stock.pdf" TargetMode="External"/><Relationship Id="rId1790" Type="http://schemas.openxmlformats.org/officeDocument/2006/relationships/hyperlink" Target="https://www.fisheries.noaa.gov/s3/2023-06/STELLERSEALIONEumetopiasjubatusWesternU.S.Stock-.pdf" TargetMode="External"/><Relationship Id="rId1888" Type="http://schemas.openxmlformats.org/officeDocument/2006/relationships/hyperlink" Target="https://media.fisheries.noaa.gov/2021-08/2020-Pacific-SARS-stripeddolphin_hawaii.pdf" TargetMode="External"/><Relationship Id="rId82" Type="http://schemas.openxmlformats.org/officeDocument/2006/relationships/hyperlink" Target="https://media.fisheries.noaa.gov/2022-08/2021-PacBluewhale-Eastern%20North%20Pacific%20Stock.pdf" TargetMode="External"/><Relationship Id="rId606" Type="http://schemas.openxmlformats.org/officeDocument/2006/relationships/hyperlink" Target="https://media.fisheries.noaa.gov/dam-migration/2019_sars_alaska_harbor_seal.pdf" TargetMode="External"/><Relationship Id="rId813" Type="http://schemas.openxmlformats.org/officeDocument/2006/relationships/hyperlink" Target="https://s3.amazonaws.com/media.fisheries.noaa.gov/2020-10/2019%20humpback%20whale%20gulf%20of%20Maine%20508.pdf?null" TargetMode="External"/><Relationship Id="rId1443" Type="http://schemas.openxmlformats.org/officeDocument/2006/relationships/hyperlink" Target="https://media.fisheries.noaa.gov/dam-migration/2019_sars_alaska_steller_sea_lion_-_eastern_us.pdf" TargetMode="External"/><Relationship Id="rId1650" Type="http://schemas.openxmlformats.org/officeDocument/2006/relationships/hyperlink" Target="https://www.fisheries.noaa.gov/s3/2023-06/STELLERSEALIONEumetopiasjubatusWesternU.S.Stock-.pdf" TargetMode="External"/><Relationship Id="rId1748" Type="http://schemas.openxmlformats.org/officeDocument/2006/relationships/hyperlink" Target="https://www.fisheries.noaa.gov/s3/2023-06/STELLERSEALIONEumetopiasjubatusWesternU.S.Stock-.pdf" TargetMode="External"/><Relationship Id="rId1303" Type="http://schemas.openxmlformats.org/officeDocument/2006/relationships/hyperlink" Target="https://media.fisheries.noaa.gov/2021-08/2020-Pacific-SARS-ShortFinPWHI.pdf" TargetMode="External"/><Relationship Id="rId1510" Type="http://schemas.openxmlformats.org/officeDocument/2006/relationships/hyperlink" Target="https://www.fisheries.noaa.gov/s3/2023-06/STELLERSEALIONEumetopiasjubatusWesternU.S.Stock-.pdf" TargetMode="External"/><Relationship Id="rId1608" Type="http://schemas.openxmlformats.org/officeDocument/2006/relationships/hyperlink" Target="https://www.fisheries.noaa.gov/s3/2023-06/STELLERSEALIONEumetopiasjubatusWesternU.S.Stock-.pdf" TargetMode="External"/><Relationship Id="rId1815" Type="http://schemas.openxmlformats.org/officeDocument/2006/relationships/hyperlink" Target="https://www.fisheries.noaa.gov/s3/2023-06/STELLERSEALIONEumetopiasjubatusWesternU.S.Stock-.pdf" TargetMode="External"/><Relationship Id="rId189" Type="http://schemas.openxmlformats.org/officeDocument/2006/relationships/hyperlink" Target="https://media.fisheries.noaa.gov/dam-migration/ca_sea_lion_final_2018_sar.pdf" TargetMode="External"/><Relationship Id="rId396" Type="http://schemas.openxmlformats.org/officeDocument/2006/relationships/hyperlink" Target="https://media.fisheries.noaa.gov/dam-migration/2019_sars_alaska_harbor_seal.pdf" TargetMode="External"/><Relationship Id="rId256" Type="http://schemas.openxmlformats.org/officeDocument/2006/relationships/hyperlink" Target="https://www.fisheries.noaa.gov/s3/2021-08/2020-Pacific-SARS-Eastern-GrayWhale-dragged-.pdf" TargetMode="External"/><Relationship Id="rId463" Type="http://schemas.openxmlformats.org/officeDocument/2006/relationships/hyperlink" Target="https://media.fisheries.noaa.gov/dam-migration/2019_sars_alaska_harbor_seal.pdf" TargetMode="External"/><Relationship Id="rId670" Type="http://schemas.openxmlformats.org/officeDocument/2006/relationships/hyperlink" Target="https://media.fisheries.noaa.gov/dam-migration/po2014sehr-ca_508.pdf" TargetMode="External"/><Relationship Id="rId1093" Type="http://schemas.openxmlformats.org/officeDocument/2006/relationships/hyperlink" Target="https://media.fisheries.noaa.gov/2022-08/2021-NorthernElephant-California%20Breeding%20Stock.pdf" TargetMode="External"/><Relationship Id="rId116" Type="http://schemas.openxmlformats.org/officeDocument/2006/relationships/hyperlink" Target="https://media.fisheries.noaa.gov/dam-migration/ca_sea_lion_final_2018_sar.pdf" TargetMode="External"/><Relationship Id="rId323" Type="http://schemas.openxmlformats.org/officeDocument/2006/relationships/hyperlink" Target="https://media.fisheries.noaa.gov/2022-08/2021-HARBOR%20PORPOISE-Morro%20Bay%20Stock.pdf" TargetMode="External"/><Relationship Id="rId530" Type="http://schemas.openxmlformats.org/officeDocument/2006/relationships/hyperlink" Target="https://media.fisheries.noaa.gov/dam-migration/2019_sars_alaska_harbor_seal.pdf" TargetMode="External"/><Relationship Id="rId768" Type="http://schemas.openxmlformats.org/officeDocument/2006/relationships/hyperlink" Target="https://media.fisheries.noaa.gov/2022-08/2021-HumpbackWhale-CaliforniaOregonWashington%20Stock.pdf" TargetMode="External"/><Relationship Id="rId975" Type="http://schemas.openxmlformats.org/officeDocument/2006/relationships/hyperlink" Target="https://www.fisheries.noaa.gov/s3/2023-08/North-Atlantic-Right-Whale-Western-Atlantic-2022.pdf" TargetMode="External"/><Relationship Id="rId1160" Type="http://schemas.openxmlformats.org/officeDocument/2006/relationships/hyperlink" Target="https://www.fisheries.noaa.gov/s3/2022-08/2021-NORTHERN-FUR-SEAL-Callorhinus-ursinus-Eastern-Pacific-Stock.pdf" TargetMode="External"/><Relationship Id="rId1398" Type="http://schemas.openxmlformats.org/officeDocument/2006/relationships/hyperlink" Target="https://media.fisheries.noaa.gov/dam-migration/2019_sars_alaska_steller_sea_lion_-_eastern_us.pdf" TargetMode="External"/><Relationship Id="rId628" Type="http://schemas.openxmlformats.org/officeDocument/2006/relationships/hyperlink" Target="https://media.fisheries.noaa.gov/dam-migration/2019_sars_alaska_harbor_seal.pdf" TargetMode="External"/><Relationship Id="rId835" Type="http://schemas.openxmlformats.org/officeDocument/2006/relationships/hyperlink" Target="https://www.fisheries.noaa.gov/s3/2023-08/Killer-Whale-Eastern-North-Pacific-2022.pdf" TargetMode="External"/><Relationship Id="rId1258" Type="http://schemas.openxmlformats.org/officeDocument/2006/relationships/hyperlink" Target="https://www.fws.gov/sites/default/files/documents/northern-sea-otter-washington-stock-assessment-report-july-2018.pdf" TargetMode="External"/><Relationship Id="rId1465" Type="http://schemas.openxmlformats.org/officeDocument/2006/relationships/hyperlink" Target="https://media.fisheries.noaa.gov/dam-migration/2019_sars_alaska_steller_sea_lion_-_eastern_us.pdf" TargetMode="External"/><Relationship Id="rId1672" Type="http://schemas.openxmlformats.org/officeDocument/2006/relationships/hyperlink" Target="https://www.fisheries.noaa.gov/s3/2023-06/STELLERSEALIONEumetopiasjubatusWesternU.S.Stock-.pdf" TargetMode="External"/><Relationship Id="rId1020" Type="http://schemas.openxmlformats.org/officeDocument/2006/relationships/hyperlink" Target="https://media.fisheries.noaa.gov/2022-08/2021-NorthernElephant-California%20Breeding%20Stock.pdf" TargetMode="External"/><Relationship Id="rId1118" Type="http://schemas.openxmlformats.org/officeDocument/2006/relationships/hyperlink" Target="https://media.fisheries.noaa.gov/2022-08/2021-NorthernElephant-California%20Breeding%20Stock.pdf" TargetMode="External"/><Relationship Id="rId1325" Type="http://schemas.openxmlformats.org/officeDocument/2006/relationships/hyperlink" Target="https://www.fws.gov/sites/default/files/documents/southern-sea-otter-stock-assessment-report.pdf" TargetMode="External"/><Relationship Id="rId1532" Type="http://schemas.openxmlformats.org/officeDocument/2006/relationships/hyperlink" Target="https://www.fisheries.noaa.gov/s3/2023-06/STELLERSEALIONEumetopiasjubatusWesternU.S.Stock-.pdf" TargetMode="External"/><Relationship Id="rId902" Type="http://schemas.openxmlformats.org/officeDocument/2006/relationships/hyperlink" Target="https://media.fisheries.noaa.gov/dam-migration/pacific-2017-mes_beaked_whales-caorwa-508.pdf" TargetMode="External"/><Relationship Id="rId1837" Type="http://schemas.openxmlformats.org/officeDocument/2006/relationships/hyperlink" Target="https://www.fisheries.noaa.gov/s3/2023-06/STELLERSEALIONEumetopiasjubatusWesternU.S.Stock-.pdf" TargetMode="External"/><Relationship Id="rId31" Type="http://schemas.openxmlformats.org/officeDocument/2006/relationships/hyperlink" Target="https://www.fisheries.noaa.gov/s3/2023-05/2021BELUGA-WHALE-Delphinapterus-leucas-Cook-Inlet-Stock.pdf" TargetMode="External"/><Relationship Id="rId180" Type="http://schemas.openxmlformats.org/officeDocument/2006/relationships/hyperlink" Target="https://media.fisheries.noaa.gov/dam-migration/ca_sea_lion_final_2018_sar.pdf" TargetMode="External"/><Relationship Id="rId278" Type="http://schemas.openxmlformats.org/officeDocument/2006/relationships/hyperlink" Target="https://media.fisheries.noaa.gov/2022-08/2021-HARBOR%20PORPOISE-San%20Francisco-Russian%20River%20Stock.pdf" TargetMode="External"/><Relationship Id="rId485" Type="http://schemas.openxmlformats.org/officeDocument/2006/relationships/hyperlink" Target="https://media.fisheries.noaa.gov/dam-migration/2019_sars_alaska_harbor_seal.pdf" TargetMode="External"/><Relationship Id="rId692" Type="http://schemas.openxmlformats.org/officeDocument/2006/relationships/hyperlink" Target="https://media.fisheries.noaa.gov/dam-migration/po2013sehr-owco_508.pdf" TargetMode="External"/><Relationship Id="rId138" Type="http://schemas.openxmlformats.org/officeDocument/2006/relationships/hyperlink" Target="https://media.fisheries.noaa.gov/dam-migration/ca_sea_lion_final_2018_sar.pdf" TargetMode="External"/><Relationship Id="rId345" Type="http://schemas.openxmlformats.org/officeDocument/2006/relationships/hyperlink" Target="https://media.fisheries.noaa.gov/2022-08/2021-HARBOR%20PORPOISE-Monterey%20Bay%20Stock.pdf" TargetMode="External"/><Relationship Id="rId552" Type="http://schemas.openxmlformats.org/officeDocument/2006/relationships/hyperlink" Target="https://media.fisheries.noaa.gov/dam-migration/2019_sars_alaska_harbor_seal.pdf" TargetMode="External"/><Relationship Id="rId997" Type="http://schemas.openxmlformats.org/officeDocument/2006/relationships/hyperlink" Target="https://www.fisheries.noaa.gov/s3/2023-08/North-Atlantic-Right-Whale-Western-Atlantic-2022.pdf" TargetMode="External"/><Relationship Id="rId1182" Type="http://schemas.openxmlformats.org/officeDocument/2006/relationships/hyperlink" Target="https://www.fisheries.noaa.gov/s3/2022-08/2021-NORTHERN-FUR-SEAL-Callorhinus-ursinus-Eastern-Pacific-Stock.pdf" TargetMode="External"/><Relationship Id="rId205" Type="http://schemas.openxmlformats.org/officeDocument/2006/relationships/hyperlink" Target="https://media.fisheries.noaa.gov/2022-08/2021-DALL'S%20PORPOISE%20-%20CaliforniaOregonWashington%20Stock.pdf" TargetMode="External"/><Relationship Id="rId412" Type="http://schemas.openxmlformats.org/officeDocument/2006/relationships/hyperlink" Target="https://media.fisheries.noaa.gov/dam-migration/2019_sars_alaska_harbor_seal.pdf" TargetMode="External"/><Relationship Id="rId857" Type="http://schemas.openxmlformats.org/officeDocument/2006/relationships/hyperlink" Target="https://www.fisheries.noaa.gov/s3/2023-08/Killer-Whale-Eastern-North-Pacific-2022.pdf" TargetMode="External"/><Relationship Id="rId1042" Type="http://schemas.openxmlformats.org/officeDocument/2006/relationships/hyperlink" Target="https://media.fisheries.noaa.gov/2022-08/2021-NorthernElephant-California%20Breeding%20Stock.pdf" TargetMode="External"/><Relationship Id="rId1487" Type="http://schemas.openxmlformats.org/officeDocument/2006/relationships/hyperlink" Target="https://www.fisheries.noaa.gov/s3/2023-06/STELLERSEALIONEumetopiasjubatusWesternU.S.Stock-.pdf" TargetMode="External"/><Relationship Id="rId1694" Type="http://schemas.openxmlformats.org/officeDocument/2006/relationships/hyperlink" Target="https://www.fisheries.noaa.gov/s3/2023-06/STELLERSEALIONEumetopiasjubatusWesternU.S.Stock-.pdf" TargetMode="External"/><Relationship Id="rId717" Type="http://schemas.openxmlformats.org/officeDocument/2006/relationships/hyperlink" Target="https://media.fisheries.noaa.gov/dam-migration/po2013sehr-owco_508.pdf" TargetMode="External"/><Relationship Id="rId924" Type="http://schemas.openxmlformats.org/officeDocument/2006/relationships/hyperlink" Target="https://www.fisheries.noaa.gov/s3/2023-08/North-Atlantic-Right-Whale-Western-Atlantic-2022.pdf" TargetMode="External"/><Relationship Id="rId1347" Type="http://schemas.openxmlformats.org/officeDocument/2006/relationships/hyperlink" Target="https://media.fisheries.noaa.gov/dam-migration/2019_sars_spermwhale_caorwa.pdf" TargetMode="External"/><Relationship Id="rId1554" Type="http://schemas.openxmlformats.org/officeDocument/2006/relationships/hyperlink" Target="https://www.fisheries.noaa.gov/s3/2023-06/STELLERSEALIONEumetopiasjubatusWesternU.S.Stock-.pdf" TargetMode="External"/><Relationship Id="rId1761" Type="http://schemas.openxmlformats.org/officeDocument/2006/relationships/hyperlink" Target="https://www.fisheries.noaa.gov/s3/2023-06/STELLERSEALIONEumetopiasjubatusWesternU.S.Stock-.pdf" TargetMode="External"/><Relationship Id="rId53" Type="http://schemas.openxmlformats.org/officeDocument/2006/relationships/hyperlink" Target="https://media.fisheries.noaa.gov/2022-08/2021-PacBluewhale-Eastern%20North%20Pacific%20Stock.pdf" TargetMode="External"/><Relationship Id="rId1207" Type="http://schemas.openxmlformats.org/officeDocument/2006/relationships/hyperlink" Target="https://www.fisheries.noaa.gov/s3/2022-08/2021-NORTHERN-FUR-SEAL-Callorhinus-ursinus-Eastern-Pacific-Stock.pdf" TargetMode="External"/><Relationship Id="rId1414" Type="http://schemas.openxmlformats.org/officeDocument/2006/relationships/hyperlink" Target="https://media.fisheries.noaa.gov/dam-migration/2019_sars_alaska_steller_sea_lion_-_eastern_us.pdf" TargetMode="External"/><Relationship Id="rId1621" Type="http://schemas.openxmlformats.org/officeDocument/2006/relationships/hyperlink" Target="https://www.fisheries.noaa.gov/s3/2023-06/STELLERSEALIONEumetopiasjubatusWesternU.S.Stock-.pdf" TargetMode="External"/><Relationship Id="rId1859" Type="http://schemas.openxmlformats.org/officeDocument/2006/relationships/hyperlink" Target="https://www.fisheries.noaa.gov/s3/2023-06/STELLERSEALIONEumetopiasjubatusWesternU.S.Stock-.pdf" TargetMode="External"/><Relationship Id="rId1719" Type="http://schemas.openxmlformats.org/officeDocument/2006/relationships/hyperlink" Target="https://www.fisheries.noaa.gov/s3/2023-06/STELLERSEALIONEumetopiasjubatusWesternU.S.Stock-.pdf" TargetMode="External"/><Relationship Id="rId367" Type="http://schemas.openxmlformats.org/officeDocument/2006/relationships/hyperlink" Target="https://media.fisheries.noaa.gov/2022-08/2021-HARBOR%20PORPOISE%20-Northern%20CaliforniaSouthern%20Oregon%20Stock.pdf" TargetMode="External"/><Relationship Id="rId574" Type="http://schemas.openxmlformats.org/officeDocument/2006/relationships/hyperlink" Target="https://media.fisheries.noaa.gov/dam-migration/2019_sars_alaska_harbor_seal.pdf" TargetMode="External"/><Relationship Id="rId227" Type="http://schemas.openxmlformats.org/officeDocument/2006/relationships/hyperlink" Target="https://media.fisheries.noaa.gov/2022-08/2021-PACfinwhale-CaliforniaOregonWashington%20Stock.pdf" TargetMode="External"/><Relationship Id="rId781" Type="http://schemas.openxmlformats.org/officeDocument/2006/relationships/hyperlink" Target="https://s3.amazonaws.com/media.fisheries.noaa.gov/2020-10/2019%20humpback%20whale%20gulf%20of%20Maine%20508.pdf?null" TargetMode="External"/><Relationship Id="rId879" Type="http://schemas.openxmlformats.org/officeDocument/2006/relationships/hyperlink" Target="https://media.fisheries.noaa.gov/2022-08/2021-LONG-BEAKED%20COMMON%20DOLPHIN-California%20Stock.pdf" TargetMode="External"/><Relationship Id="rId434" Type="http://schemas.openxmlformats.org/officeDocument/2006/relationships/hyperlink" Target="https://media.fisheries.noaa.gov/dam-migration/2019_sars_alaska_harbor_seal.pdf" TargetMode="External"/><Relationship Id="rId641" Type="http://schemas.openxmlformats.org/officeDocument/2006/relationships/hyperlink" Target="https://media.fisheries.noaa.gov/dam-migration/po2014sehr-ca_508.pdf" TargetMode="External"/><Relationship Id="rId739" Type="http://schemas.openxmlformats.org/officeDocument/2006/relationships/hyperlink" Target="https://www.fisheries.noaa.gov/s3/2023-08/Monk-Seal-2022.pdf" TargetMode="External"/><Relationship Id="rId1064" Type="http://schemas.openxmlformats.org/officeDocument/2006/relationships/hyperlink" Target="https://media.fisheries.noaa.gov/2022-08/2021-NorthernElephant-California%20Breeding%20Stock.pdf" TargetMode="External"/><Relationship Id="rId1271" Type="http://schemas.openxmlformats.org/officeDocument/2006/relationships/hyperlink" Target="https://www.fisheries.noaa.gov/s3/2022-08/2021-PACWHITESIDE-CaliforniaOregonWashington-Northern-and-Southern-Stocks.pdf" TargetMode="External"/><Relationship Id="rId1369" Type="http://schemas.openxmlformats.org/officeDocument/2006/relationships/hyperlink" Target="https://media.fisheries.noaa.gov/dam-migration/2019_sars_alaska_steller_sea_lion_-_eastern_us.pdf" TargetMode="External"/><Relationship Id="rId1576" Type="http://schemas.openxmlformats.org/officeDocument/2006/relationships/hyperlink" Target="https://www.fisheries.noaa.gov/s3/2023-06/STELLERSEALIONEumetopiasjubatusWesternU.S.Stock-.pdf" TargetMode="External"/><Relationship Id="rId501" Type="http://schemas.openxmlformats.org/officeDocument/2006/relationships/hyperlink" Target="https://media.fisheries.noaa.gov/dam-migration/2019_sars_alaska_harbor_seal.pdf" TargetMode="External"/><Relationship Id="rId946" Type="http://schemas.openxmlformats.org/officeDocument/2006/relationships/hyperlink" Target="https://www.fisheries.noaa.gov/s3/2023-08/North-Atlantic-Right-Whale-Western-Atlantic-2022.pdf" TargetMode="External"/><Relationship Id="rId1131" Type="http://schemas.openxmlformats.org/officeDocument/2006/relationships/hyperlink" Target="https://media.fisheries.noaa.gov/2022-08/2021-NorthernElephant-California%20Breeding%20Stock.pdf" TargetMode="External"/><Relationship Id="rId1229" Type="http://schemas.openxmlformats.org/officeDocument/2006/relationships/hyperlink" Target="https://www.fisheries.noaa.gov/s3/2022-08/2021-NORTHERN-FUR-SEAL-Callorhinus-ursinus-Eastern-Pacific-Stock.pdf" TargetMode="External"/><Relationship Id="rId1783" Type="http://schemas.openxmlformats.org/officeDocument/2006/relationships/hyperlink" Target="https://www.fisheries.noaa.gov/s3/2023-06/STELLERSEALIONEumetopiasjubatusWesternU.S.Stock-.pdf" TargetMode="External"/><Relationship Id="rId75" Type="http://schemas.openxmlformats.org/officeDocument/2006/relationships/hyperlink" Target="https://media.fisheries.noaa.gov/2022-08/2021-PacBluewhale-Eastern%20North%20Pacific%20Stock.pdf" TargetMode="External"/><Relationship Id="rId806" Type="http://schemas.openxmlformats.org/officeDocument/2006/relationships/hyperlink" Target="https://s3.amazonaws.com/media.fisheries.noaa.gov/2020-10/2019%20humpback%20whale%20gulf%20of%20Maine%20508.pdf?null" TargetMode="External"/><Relationship Id="rId1436" Type="http://schemas.openxmlformats.org/officeDocument/2006/relationships/hyperlink" Target="https://media.fisheries.noaa.gov/dam-migration/2019_sars_alaska_steller_sea_lion_-_eastern_us.pdf" TargetMode="External"/><Relationship Id="rId1643" Type="http://schemas.openxmlformats.org/officeDocument/2006/relationships/hyperlink" Target="https://www.fisheries.noaa.gov/s3/2023-06/STELLERSEALIONEumetopiasjubatusWesternU.S.Stock-.pdf" TargetMode="External"/><Relationship Id="rId1850" Type="http://schemas.openxmlformats.org/officeDocument/2006/relationships/hyperlink" Target="https://www.fisheries.noaa.gov/s3/2023-06/STELLERSEALIONEumetopiasjubatusWesternU.S.Stock-.pdf" TargetMode="External"/><Relationship Id="rId1503" Type="http://schemas.openxmlformats.org/officeDocument/2006/relationships/hyperlink" Target="https://www.fisheries.noaa.gov/s3/2023-06/STELLERSEALIONEumetopiasjubatusWesternU.S.Stock-.pdf" TargetMode="External"/><Relationship Id="rId1710" Type="http://schemas.openxmlformats.org/officeDocument/2006/relationships/hyperlink" Target="https://www.fisheries.noaa.gov/s3/2023-06/STELLERSEALIONEumetopiasjubatusWesternU.S.Stock-.pdf" TargetMode="External"/><Relationship Id="rId291" Type="http://schemas.openxmlformats.org/officeDocument/2006/relationships/hyperlink" Target="https://media.fisheries.noaa.gov/2022-08/2021-HARBOR%20PORPOISE-San%20Francisco-Russian%20River%20Stock.pdf" TargetMode="External"/><Relationship Id="rId1808" Type="http://schemas.openxmlformats.org/officeDocument/2006/relationships/hyperlink" Target="https://www.fisheries.noaa.gov/s3/2023-06/STELLERSEALIONEumetopiasjubatusWesternU.S.Stock-.pdf" TargetMode="External"/><Relationship Id="rId151" Type="http://schemas.openxmlformats.org/officeDocument/2006/relationships/hyperlink" Target="https://media.fisheries.noaa.gov/dam-migration/ca_sea_lion_final_2018_sar.pdf" TargetMode="External"/><Relationship Id="rId389" Type="http://schemas.openxmlformats.org/officeDocument/2006/relationships/hyperlink" Target="https://media.fisheries.noaa.gov/dam-migration/2019_sars_alaska_harbor_seal.pdf" TargetMode="External"/><Relationship Id="rId596" Type="http://schemas.openxmlformats.org/officeDocument/2006/relationships/hyperlink" Target="https://media.fisheries.noaa.gov/dam-migration/2019_sars_alaska_harbor_seal.pdf" TargetMode="External"/><Relationship Id="rId249" Type="http://schemas.openxmlformats.org/officeDocument/2006/relationships/hyperlink" Target="https://www.fisheries.noaa.gov/s3/2021-08/2020-Pacific-SARS-Eastern-GrayWhale-dragged-.pdf" TargetMode="External"/><Relationship Id="rId456" Type="http://schemas.openxmlformats.org/officeDocument/2006/relationships/hyperlink" Target="https://media.fisheries.noaa.gov/dam-migration/2019_sars_alaska_harbor_seal.pdf" TargetMode="External"/><Relationship Id="rId663" Type="http://schemas.openxmlformats.org/officeDocument/2006/relationships/hyperlink" Target="https://media.fisheries.noaa.gov/dam-migration/po2014sehr-ca_508.pdf" TargetMode="External"/><Relationship Id="rId870" Type="http://schemas.openxmlformats.org/officeDocument/2006/relationships/hyperlink" Target="https://www.fisheries.noaa.gov/s3/2023-08/Killer-Whale-Eastern-North-Pacific-2022.pdf" TargetMode="External"/><Relationship Id="rId1086" Type="http://schemas.openxmlformats.org/officeDocument/2006/relationships/hyperlink" Target="https://media.fisheries.noaa.gov/2022-08/2021-NorthernElephant-California%20Breeding%20Stock.pdf" TargetMode="External"/><Relationship Id="rId1293" Type="http://schemas.openxmlformats.org/officeDocument/2006/relationships/hyperlink" Target="https://media.fisheries.noaa.gov/2022-08/2021-shortbeak-common-dolphin-CaliforniaOregonWashington%20Stock.pdf" TargetMode="External"/><Relationship Id="rId109" Type="http://schemas.openxmlformats.org/officeDocument/2006/relationships/hyperlink" Target="https://www.fisheries.noaa.gov/s3/2023-08/Bowhead-Whale-WAS-2022.pdf" TargetMode="External"/><Relationship Id="rId316" Type="http://schemas.openxmlformats.org/officeDocument/2006/relationships/hyperlink" Target="https://media.fisheries.noaa.gov/2022-08/2021-HARBOR%20PORPOISE-Morro%20Bay%20Stock.pdf" TargetMode="External"/><Relationship Id="rId523" Type="http://schemas.openxmlformats.org/officeDocument/2006/relationships/hyperlink" Target="https://media.fisheries.noaa.gov/dam-migration/2019_sars_alaska_harbor_seal.pdf" TargetMode="External"/><Relationship Id="rId968" Type="http://schemas.openxmlformats.org/officeDocument/2006/relationships/hyperlink" Target="https://www.fisheries.noaa.gov/s3/2023-08/North-Atlantic-Right-Whale-Western-Atlantic-2022.pdf" TargetMode="External"/><Relationship Id="rId1153" Type="http://schemas.openxmlformats.org/officeDocument/2006/relationships/hyperlink" Target="https://www.fisheries.noaa.gov/s3/2022-08/2021-NORTHERN-FUR-SEAL-Callorhinus-ursinus-Eastern-Pacific-Stock.pdf" TargetMode="External"/><Relationship Id="rId1598" Type="http://schemas.openxmlformats.org/officeDocument/2006/relationships/hyperlink" Target="https://www.fisheries.noaa.gov/s3/2023-06/STELLERSEALIONEumetopiasjubatusWesternU.S.Stock-.pdf" TargetMode="External"/><Relationship Id="rId97" Type="http://schemas.openxmlformats.org/officeDocument/2006/relationships/hyperlink" Target="https://media.fisheries.noaa.gov/2022-08/2021-PacBluewhale-Eastern%20North%20Pacific%20Stock.pdf" TargetMode="External"/><Relationship Id="rId730" Type="http://schemas.openxmlformats.org/officeDocument/2006/relationships/hyperlink" Target="https://media.fisheries.noaa.gov/dam-migration/po2013sehr-owco_508.pdf" TargetMode="External"/><Relationship Id="rId828" Type="http://schemas.openxmlformats.org/officeDocument/2006/relationships/hyperlink" Target="https://s3.amazonaws.com/media.fisheries.noaa.gov/2020-10/2019%20humpback%20whale%20gulf%20of%20Maine%20508.pdf?null" TargetMode="External"/><Relationship Id="rId1013" Type="http://schemas.openxmlformats.org/officeDocument/2006/relationships/hyperlink" Target="https://media.fisheries.noaa.gov/2022-08/2021-NorthernElephant-California%20Breeding%20Stock.pdf" TargetMode="External"/><Relationship Id="rId1360" Type="http://schemas.openxmlformats.org/officeDocument/2006/relationships/hyperlink" Target="https://media.fisheries.noaa.gov/dam-migration/2019_sars_alaska_steller_sea_lion_-_eastern_us.pdf" TargetMode="External"/><Relationship Id="rId1458" Type="http://schemas.openxmlformats.org/officeDocument/2006/relationships/hyperlink" Target="https://media.fisheries.noaa.gov/dam-migration/2019_sars_alaska_steller_sea_lion_-_eastern_us.pdf" TargetMode="External"/><Relationship Id="rId1665" Type="http://schemas.openxmlformats.org/officeDocument/2006/relationships/hyperlink" Target="https://www.fisheries.noaa.gov/s3/2023-06/STELLERSEALIONEumetopiasjubatusWesternU.S.Stock-.pdf" TargetMode="External"/><Relationship Id="rId1872" Type="http://schemas.openxmlformats.org/officeDocument/2006/relationships/hyperlink" Target="https://www.fisheries.noaa.gov/s3/2023-06/STELLERSEALIONEumetopiasjubatusWesternU.S.Stock-.pdf" TargetMode="External"/><Relationship Id="rId1220" Type="http://schemas.openxmlformats.org/officeDocument/2006/relationships/hyperlink" Target="https://www.fisheries.noaa.gov/s3/2022-08/2021-NORTHERN-FUR-SEAL-Callorhinus-ursinus-Eastern-Pacific-Stock.pdf" TargetMode="External"/><Relationship Id="rId1318" Type="http://schemas.openxmlformats.org/officeDocument/2006/relationships/hyperlink" Target="https://www.fws.gov/sites/default/files/documents/southern-sea-otter-stock-assessment-report.pdf" TargetMode="External"/><Relationship Id="rId1525" Type="http://schemas.openxmlformats.org/officeDocument/2006/relationships/hyperlink" Target="https://www.fisheries.noaa.gov/s3/2023-06/STELLERSEALIONEumetopiasjubatusWesternU.S.Stock-.pdf" TargetMode="External"/><Relationship Id="rId1732" Type="http://schemas.openxmlformats.org/officeDocument/2006/relationships/hyperlink" Target="https://www.fisheries.noaa.gov/s3/2023-06/STELLERSEALIONEumetopiasjubatusWesternU.S.Stock-.pdf" TargetMode="External"/><Relationship Id="rId24" Type="http://schemas.openxmlformats.org/officeDocument/2006/relationships/hyperlink" Target="https://media.fisheries.noaa.gov/2022-08/pacific-2021-beaked-whale-mesoplodont.pdf" TargetMode="External"/><Relationship Id="rId173" Type="http://schemas.openxmlformats.org/officeDocument/2006/relationships/hyperlink" Target="https://media.fisheries.noaa.gov/dam-migration/ca_sea_lion_final_2018_sar.pdf" TargetMode="External"/><Relationship Id="rId380" Type="http://schemas.openxmlformats.org/officeDocument/2006/relationships/hyperlink" Target="https://media.fisheries.noaa.gov/2022-08/2021-HARBOR%20PORPOISE%20-Northern%20CaliforniaSouthern%20Oregon%20Stock.pdf" TargetMode="External"/><Relationship Id="rId240" Type="http://schemas.openxmlformats.org/officeDocument/2006/relationships/hyperlink" Target="https://media.fisheries.noaa.gov/2022-08/2021-PACfinwhale-CaliforniaOregonWashington%20Stock.pdf" TargetMode="External"/><Relationship Id="rId478" Type="http://schemas.openxmlformats.org/officeDocument/2006/relationships/hyperlink" Target="https://media.fisheries.noaa.gov/dam-migration/2019_sars_alaska_harbor_seal.pdf" TargetMode="External"/><Relationship Id="rId685" Type="http://schemas.openxmlformats.org/officeDocument/2006/relationships/hyperlink" Target="https://media.fisheries.noaa.gov/dam-migration/po2014sehr-ca_508.pdf" TargetMode="External"/><Relationship Id="rId892" Type="http://schemas.openxmlformats.org/officeDocument/2006/relationships/hyperlink" Target="https://media.fisheries.noaa.gov/dam-migration/pacific-2017-mes_beaked_whales-caorwa-508.pdf" TargetMode="External"/><Relationship Id="rId100" Type="http://schemas.openxmlformats.org/officeDocument/2006/relationships/hyperlink" Target="https://www.fisheries.noaa.gov/s3/2023-08/Bowhead-Whale-WAS-2022.pdf" TargetMode="External"/><Relationship Id="rId338" Type="http://schemas.openxmlformats.org/officeDocument/2006/relationships/hyperlink" Target="https://media.fisheries.noaa.gov/2022-08/2021-HARBOR%20PORPOISE-Monterey%20Bay%20Stock.pdf" TargetMode="External"/><Relationship Id="rId545" Type="http://schemas.openxmlformats.org/officeDocument/2006/relationships/hyperlink" Target="https://media.fisheries.noaa.gov/dam-migration/2019_sars_alaska_harbor_seal.pdf" TargetMode="External"/><Relationship Id="rId752" Type="http://schemas.openxmlformats.org/officeDocument/2006/relationships/hyperlink" Target="https://media.fisheries.noaa.gov/2022-08/2021-HumpbackWhale-CaliforniaOregonWashington%20Stock.pdf" TargetMode="External"/><Relationship Id="rId1175" Type="http://schemas.openxmlformats.org/officeDocument/2006/relationships/hyperlink" Target="https://www.fisheries.noaa.gov/s3/2022-08/2021-NORTHERN-FUR-SEAL-Callorhinus-ursinus-Eastern-Pacific-Stock.pdf" TargetMode="External"/><Relationship Id="rId1382" Type="http://schemas.openxmlformats.org/officeDocument/2006/relationships/hyperlink" Target="https://media.fisheries.noaa.gov/dam-migration/2019_sars_alaska_steller_sea_lion_-_eastern_us.pdf" TargetMode="External"/><Relationship Id="rId405" Type="http://schemas.openxmlformats.org/officeDocument/2006/relationships/hyperlink" Target="https://media.fisheries.noaa.gov/dam-migration/2019_sars_alaska_harbor_seal.pdf" TargetMode="External"/><Relationship Id="rId612" Type="http://schemas.openxmlformats.org/officeDocument/2006/relationships/hyperlink" Target="https://media.fisheries.noaa.gov/dam-migration/2019_sars_alaska_harbor_seal.pdf" TargetMode="External"/><Relationship Id="rId1035" Type="http://schemas.openxmlformats.org/officeDocument/2006/relationships/hyperlink" Target="https://media.fisheries.noaa.gov/2022-08/2021-NorthernElephant-California%20Breeding%20Stock.pdf" TargetMode="External"/><Relationship Id="rId1242" Type="http://schemas.openxmlformats.org/officeDocument/2006/relationships/hyperlink" Target="https://media.fisheries.noaa.gov/2022-08/2021-NorthernRWdolphin-CaliforniaOregonWashington%20Stock.pdf" TargetMode="External"/><Relationship Id="rId1687" Type="http://schemas.openxmlformats.org/officeDocument/2006/relationships/hyperlink" Target="https://www.fisheries.noaa.gov/s3/2023-06/STELLERSEALIONEumetopiasjubatusWesternU.S.Stock-.pdf" TargetMode="External"/><Relationship Id="rId1894" Type="http://schemas.microsoft.com/office/2017/10/relationships/threadedComment" Target="../threadedComments/threadedComment2.xml"/><Relationship Id="rId917" Type="http://schemas.openxmlformats.org/officeDocument/2006/relationships/hyperlink" Target="https://media.fisheries.noaa.gov/2022-08/2021-PACminke-CaliforniaOregonWashington%20Stock.pdf" TargetMode="External"/><Relationship Id="rId1102" Type="http://schemas.openxmlformats.org/officeDocument/2006/relationships/hyperlink" Target="https://media.fisheries.noaa.gov/2022-08/2021-NorthernElephant-California%20Breeding%20Stock.pdf" TargetMode="External"/><Relationship Id="rId1547" Type="http://schemas.openxmlformats.org/officeDocument/2006/relationships/hyperlink" Target="https://www.fisheries.noaa.gov/s3/2023-06/STELLERSEALIONEumetopiasjubatusWesternU.S.Stock-.pdf" TargetMode="External"/><Relationship Id="rId1754" Type="http://schemas.openxmlformats.org/officeDocument/2006/relationships/hyperlink" Target="https://www.fisheries.noaa.gov/s3/2023-06/STELLERSEALIONEumetopiasjubatusWesternU.S.Stock-.pdf" TargetMode="External"/><Relationship Id="rId46" Type="http://schemas.openxmlformats.org/officeDocument/2006/relationships/hyperlink" Target="https://www.fisheries.noaa.gov/s3/2023-05/2021BELUGA-WHALE-Delphinapterus-leucas-Cook-Inlet-Stock.pdf" TargetMode="External"/><Relationship Id="rId1407" Type="http://schemas.openxmlformats.org/officeDocument/2006/relationships/hyperlink" Target="https://media.fisheries.noaa.gov/dam-migration/2019_sars_alaska_steller_sea_lion_-_eastern_us.pdf" TargetMode="External"/><Relationship Id="rId1614" Type="http://schemas.openxmlformats.org/officeDocument/2006/relationships/hyperlink" Target="https://www.fisheries.noaa.gov/s3/2023-06/STELLERSEALIONEumetopiasjubatusWesternU.S.Stock-.pdf" TargetMode="External"/><Relationship Id="rId1821" Type="http://schemas.openxmlformats.org/officeDocument/2006/relationships/hyperlink" Target="https://www.fisheries.noaa.gov/s3/2023-06/STELLERSEALIONEumetopiasjubatusWesternU.S.Stock-.pdf" TargetMode="External"/><Relationship Id="rId195" Type="http://schemas.openxmlformats.org/officeDocument/2006/relationships/hyperlink" Target="https://www.fisheries.noaa.gov/s3/2023-08/Cuviers-CAORWA-2022.pdf" TargetMode="External"/><Relationship Id="rId262" Type="http://schemas.openxmlformats.org/officeDocument/2006/relationships/hyperlink" Target="https://www.fisheries.noaa.gov/s3/2021-08/2020-Pacific-SARS-Eastern-GrayWhale-dragged-.pdf" TargetMode="External"/><Relationship Id="rId567" Type="http://schemas.openxmlformats.org/officeDocument/2006/relationships/hyperlink" Target="https://media.fisheries.noaa.gov/dam-migration/2019_sars_alaska_harbor_seal.pdf" TargetMode="External"/><Relationship Id="rId1197" Type="http://schemas.openxmlformats.org/officeDocument/2006/relationships/hyperlink" Target="https://www.fisheries.noaa.gov/s3/2022-08/2021-NORTHERN-FUR-SEAL-Callorhinus-ursinus-Eastern-Pacific-Stock.pdf" TargetMode="External"/><Relationship Id="rId122" Type="http://schemas.openxmlformats.org/officeDocument/2006/relationships/hyperlink" Target="https://media.fisheries.noaa.gov/dam-migration/ca_sea_lion_final_2018_sar.pdf" TargetMode="External"/><Relationship Id="rId774" Type="http://schemas.openxmlformats.org/officeDocument/2006/relationships/hyperlink" Target="https://media.fisheries.noaa.gov/2022-08/2021-HumpbackWhale-CaliforniaOregonWashington%20Stock.pdf" TargetMode="External"/><Relationship Id="rId981" Type="http://schemas.openxmlformats.org/officeDocument/2006/relationships/hyperlink" Target="https://www.fisheries.noaa.gov/s3/2023-08/North-Atlantic-Right-Whale-Western-Atlantic-2022.pdf" TargetMode="External"/><Relationship Id="rId1057" Type="http://schemas.openxmlformats.org/officeDocument/2006/relationships/hyperlink" Target="https://media.fisheries.noaa.gov/2022-08/2021-NorthernElephant-California%20Breeding%20Stock.pdf" TargetMode="External"/><Relationship Id="rId427" Type="http://schemas.openxmlformats.org/officeDocument/2006/relationships/hyperlink" Target="https://media.fisheries.noaa.gov/dam-migration/2019_sars_alaska_harbor_seal.pdf" TargetMode="External"/><Relationship Id="rId634" Type="http://schemas.openxmlformats.org/officeDocument/2006/relationships/hyperlink" Target="https://media.fisheries.noaa.gov/dam-migration/2019_sars_alaska_harbor_seal.pdf" TargetMode="External"/><Relationship Id="rId841" Type="http://schemas.openxmlformats.org/officeDocument/2006/relationships/hyperlink" Target="https://www.fisheries.noaa.gov/s3/2023-08/Killer-Whale-Eastern-North-Pacific-2022.pdf" TargetMode="External"/><Relationship Id="rId1264" Type="http://schemas.openxmlformats.org/officeDocument/2006/relationships/hyperlink" Target="https://www.fws.gov/sites/default/files/documents/northern-sea-otter-washington-stock-assessment-report-july-2018.pdf" TargetMode="External"/><Relationship Id="rId1471" Type="http://schemas.openxmlformats.org/officeDocument/2006/relationships/hyperlink" Target="https://www.fisheries.noaa.gov/s3/2023-06/STELLERSEALIONEumetopiasjubatusWesternU.S.Stock-.pdf" TargetMode="External"/><Relationship Id="rId1569" Type="http://schemas.openxmlformats.org/officeDocument/2006/relationships/hyperlink" Target="https://www.fisheries.noaa.gov/s3/2023-06/STELLERSEALIONEumetopiasjubatusWesternU.S.Stock-.pdf" TargetMode="External"/><Relationship Id="rId701" Type="http://schemas.openxmlformats.org/officeDocument/2006/relationships/hyperlink" Target="https://media.fisheries.noaa.gov/dam-migration/po2013sehr-owco_508.pdf" TargetMode="External"/><Relationship Id="rId939" Type="http://schemas.openxmlformats.org/officeDocument/2006/relationships/hyperlink" Target="https://www.fisheries.noaa.gov/s3/2023-08/North-Atlantic-Right-Whale-Western-Atlantic-2022.pdf" TargetMode="External"/><Relationship Id="rId1124" Type="http://schemas.openxmlformats.org/officeDocument/2006/relationships/hyperlink" Target="https://media.fisheries.noaa.gov/2022-08/2021-NorthernElephant-California%20Breeding%20Stock.pdf" TargetMode="External"/><Relationship Id="rId1331" Type="http://schemas.openxmlformats.org/officeDocument/2006/relationships/hyperlink" Target="https://www.fws.gov/sites/default/files/documents/southern-sea-otter-stock-assessment-report.pdf" TargetMode="External"/><Relationship Id="rId1776" Type="http://schemas.openxmlformats.org/officeDocument/2006/relationships/hyperlink" Target="https://www.fisheries.noaa.gov/s3/2023-06/STELLERSEALIONEumetopiasjubatusWesternU.S.Stock-.pdf" TargetMode="External"/><Relationship Id="rId68" Type="http://schemas.openxmlformats.org/officeDocument/2006/relationships/hyperlink" Target="https://media.fisheries.noaa.gov/2022-08/2021-PacBluewhale-Eastern%20North%20Pacific%20Stock.pdf" TargetMode="External"/><Relationship Id="rId1429" Type="http://schemas.openxmlformats.org/officeDocument/2006/relationships/hyperlink" Target="https://media.fisheries.noaa.gov/dam-migration/2019_sars_alaska_steller_sea_lion_-_eastern_us.pdf" TargetMode="External"/><Relationship Id="rId1636" Type="http://schemas.openxmlformats.org/officeDocument/2006/relationships/hyperlink" Target="https://www.fisheries.noaa.gov/s3/2023-06/STELLERSEALIONEumetopiasjubatusWesternU.S.Stock-.pdf" TargetMode="External"/><Relationship Id="rId1843" Type="http://schemas.openxmlformats.org/officeDocument/2006/relationships/hyperlink" Target="https://www.fisheries.noaa.gov/s3/2023-06/STELLERSEALIONEumetopiasjubatusWesternU.S.Stock-.pdf" TargetMode="External"/><Relationship Id="rId1703" Type="http://schemas.openxmlformats.org/officeDocument/2006/relationships/hyperlink" Target="https://www.fisheries.noaa.gov/s3/2023-06/STELLERSEALIONEumetopiasjubatusWesternU.S.Stock-.pdf" TargetMode="External"/><Relationship Id="rId284" Type="http://schemas.openxmlformats.org/officeDocument/2006/relationships/hyperlink" Target="https://media.fisheries.noaa.gov/2022-08/2021-HARBOR%20PORPOISE-San%20Francisco-Russian%20River%20Stock.pdf" TargetMode="External"/><Relationship Id="rId491" Type="http://schemas.openxmlformats.org/officeDocument/2006/relationships/hyperlink" Target="https://media.fisheries.noaa.gov/dam-migration/2019_sars_alaska_harbor_seal.pdf" TargetMode="External"/><Relationship Id="rId144" Type="http://schemas.openxmlformats.org/officeDocument/2006/relationships/hyperlink" Target="https://media.fisheries.noaa.gov/dam-migration/ca_sea_lion_final_2018_sar.pdf" TargetMode="External"/><Relationship Id="rId589" Type="http://schemas.openxmlformats.org/officeDocument/2006/relationships/hyperlink" Target="https://media.fisheries.noaa.gov/dam-migration/2019_sars_alaska_harbor_seal.pdf" TargetMode="External"/><Relationship Id="rId796" Type="http://schemas.openxmlformats.org/officeDocument/2006/relationships/hyperlink" Target="https://s3.amazonaws.com/media.fisheries.noaa.gov/2020-10/2019%20humpback%20whale%20gulf%20of%20Maine%20508.pdf?null" TargetMode="External"/><Relationship Id="rId351" Type="http://schemas.openxmlformats.org/officeDocument/2006/relationships/hyperlink" Target="https://media.fisheries.noaa.gov/2022-08/2021-HARBOR%20PORPOISE-Monterey%20Bay%20Stock.pdf" TargetMode="External"/><Relationship Id="rId449" Type="http://schemas.openxmlformats.org/officeDocument/2006/relationships/hyperlink" Target="https://media.fisheries.noaa.gov/dam-migration/2019_sars_alaska_harbor_seal.pdf" TargetMode="External"/><Relationship Id="rId656" Type="http://schemas.openxmlformats.org/officeDocument/2006/relationships/hyperlink" Target="https://media.fisheries.noaa.gov/dam-migration/po2014sehr-ca_508.pdf" TargetMode="External"/><Relationship Id="rId863" Type="http://schemas.openxmlformats.org/officeDocument/2006/relationships/hyperlink" Target="https://www.fisheries.noaa.gov/s3/2023-08/Killer-Whale-Eastern-North-Pacific-2022.pdf" TargetMode="External"/><Relationship Id="rId1079" Type="http://schemas.openxmlformats.org/officeDocument/2006/relationships/hyperlink" Target="https://media.fisheries.noaa.gov/2022-08/2021-NorthernElephant-California%20Breeding%20Stock.pdf" TargetMode="External"/><Relationship Id="rId1286" Type="http://schemas.openxmlformats.org/officeDocument/2006/relationships/hyperlink" Target="https://media.fisheries.noaa.gov/2021-08/2020-Pacific-SARS-Rissos.pdf" TargetMode="External"/><Relationship Id="rId1493" Type="http://schemas.openxmlformats.org/officeDocument/2006/relationships/hyperlink" Target="https://www.fisheries.noaa.gov/s3/2023-06/STELLERSEALIONEumetopiasjubatusWesternU.S.Stock-.pdf" TargetMode="External"/><Relationship Id="rId211" Type="http://schemas.openxmlformats.org/officeDocument/2006/relationships/hyperlink" Target="https://media.fisheries.noaa.gov/2022-08/2021-DALL'S%20PORPOISE%20-%20CaliforniaOregonWashington%20Stock.pdf" TargetMode="External"/><Relationship Id="rId309" Type="http://schemas.openxmlformats.org/officeDocument/2006/relationships/hyperlink" Target="https://media.fisheries.noaa.gov/2022-08/2021-HARBOR%20PORPOISE-Morro%20Bay%20Stock.pdf" TargetMode="External"/><Relationship Id="rId516" Type="http://schemas.openxmlformats.org/officeDocument/2006/relationships/hyperlink" Target="https://media.fisheries.noaa.gov/dam-migration/2019_sars_alaska_harbor_seal.pdf" TargetMode="External"/><Relationship Id="rId1146" Type="http://schemas.openxmlformats.org/officeDocument/2006/relationships/hyperlink" Target="https://www.fisheries.noaa.gov/s3/2022-08/2021-NORTHERN-FUR-SEAL-Callorhinus-ursinus-Eastern-Pacific-Stock.pdf" TargetMode="External"/><Relationship Id="rId1798" Type="http://schemas.openxmlformats.org/officeDocument/2006/relationships/hyperlink" Target="https://www.fisheries.noaa.gov/s3/2023-06/STELLERSEALIONEumetopiasjubatusWesternU.S.Stock-.pdf" TargetMode="External"/><Relationship Id="rId723" Type="http://schemas.openxmlformats.org/officeDocument/2006/relationships/hyperlink" Target="https://media.fisheries.noaa.gov/dam-migration/po2013sehr-owco_508.pdf" TargetMode="External"/><Relationship Id="rId930" Type="http://schemas.openxmlformats.org/officeDocument/2006/relationships/hyperlink" Target="https://www.fisheries.noaa.gov/s3/2023-08/North-Atlantic-Right-Whale-Western-Atlantic-2022.pdf" TargetMode="External"/><Relationship Id="rId1006" Type="http://schemas.openxmlformats.org/officeDocument/2006/relationships/hyperlink" Target="https://www.fisheries.noaa.gov/s3/2023-08/North-Atlantic-Right-Whale-Western-Atlantic-2022.pdf" TargetMode="External"/><Relationship Id="rId1353" Type="http://schemas.openxmlformats.org/officeDocument/2006/relationships/hyperlink" Target="https://media.fisheries.noaa.gov/dam-migration/2019_sars_alaska_steller_sea_lion_-_eastern_us.pdf" TargetMode="External"/><Relationship Id="rId1560" Type="http://schemas.openxmlformats.org/officeDocument/2006/relationships/hyperlink" Target="https://www.fisheries.noaa.gov/s3/2023-06/STELLERSEALIONEumetopiasjubatusWesternU.S.Stock-.pdf" TargetMode="External"/><Relationship Id="rId1658" Type="http://schemas.openxmlformats.org/officeDocument/2006/relationships/hyperlink" Target="https://www.fisheries.noaa.gov/s3/2023-06/STELLERSEALIONEumetopiasjubatusWesternU.S.Stock-.pdf" TargetMode="External"/><Relationship Id="rId1865" Type="http://schemas.openxmlformats.org/officeDocument/2006/relationships/hyperlink" Target="https://www.fisheries.noaa.gov/s3/2023-06/STELLERSEALIONEumetopiasjubatusWesternU.S.Stock-.pdf" TargetMode="External"/><Relationship Id="rId1213" Type="http://schemas.openxmlformats.org/officeDocument/2006/relationships/hyperlink" Target="https://www.fisheries.noaa.gov/s3/2022-08/2021-NORTHERN-FUR-SEAL-Callorhinus-ursinus-Eastern-Pacific-Stock.pdf" TargetMode="External"/><Relationship Id="rId1420" Type="http://schemas.openxmlformats.org/officeDocument/2006/relationships/hyperlink" Target="https://media.fisheries.noaa.gov/dam-migration/2019_sars_alaska_steller_sea_lion_-_eastern_us.pdf" TargetMode="External"/><Relationship Id="rId1518" Type="http://schemas.openxmlformats.org/officeDocument/2006/relationships/hyperlink" Target="https://www.fisheries.noaa.gov/s3/2023-06/STELLERSEALIONEumetopiasjubatusWesternU.S.Stock-.pdf" TargetMode="External"/><Relationship Id="rId1725" Type="http://schemas.openxmlformats.org/officeDocument/2006/relationships/hyperlink" Target="https://www.fisheries.noaa.gov/s3/2023-06/STELLERSEALIONEumetopiasjubatusWesternU.S.Stock-.pdf" TargetMode="External"/><Relationship Id="rId17" Type="http://schemas.openxmlformats.org/officeDocument/2006/relationships/hyperlink" Target="https://media.fisheries.noaa.gov/2022-08/pacific-2021-beaked-whale-mesoplodont.pdf" TargetMode="External"/><Relationship Id="rId166" Type="http://schemas.openxmlformats.org/officeDocument/2006/relationships/hyperlink" Target="https://media.fisheries.noaa.gov/dam-migration/ca_sea_lion_final_2018_sar.pdf" TargetMode="External"/><Relationship Id="rId373" Type="http://schemas.openxmlformats.org/officeDocument/2006/relationships/hyperlink" Target="https://media.fisheries.noaa.gov/2022-08/2021-HARBOR%20PORPOISE%20-Northern%20CaliforniaSouthern%20Oregon%20Stock.pdf" TargetMode="External"/><Relationship Id="rId580" Type="http://schemas.openxmlformats.org/officeDocument/2006/relationships/hyperlink" Target="https://media.fisheries.noaa.gov/dam-migration/2019_sars_alaska_harbor_seal.pdf" TargetMode="External"/><Relationship Id="rId1" Type="http://schemas.openxmlformats.org/officeDocument/2006/relationships/hyperlink" Target="https://media.fisheries.noaa.gov/2022-08/pacific-2021-beaked-whale-mesoplodont.pdf" TargetMode="External"/><Relationship Id="rId233" Type="http://schemas.openxmlformats.org/officeDocument/2006/relationships/hyperlink" Target="https://media.fisheries.noaa.gov/2022-08/2021-PACfinwhale-CaliforniaOregonWashington%20Stock.pdf" TargetMode="External"/><Relationship Id="rId440" Type="http://schemas.openxmlformats.org/officeDocument/2006/relationships/hyperlink" Target="https://media.fisheries.noaa.gov/dam-migration/2019_sars_alaska_harbor_seal.pdf" TargetMode="External"/><Relationship Id="rId678" Type="http://schemas.openxmlformats.org/officeDocument/2006/relationships/hyperlink" Target="https://media.fisheries.noaa.gov/dam-migration/po2014sehr-ca_508.pdf" TargetMode="External"/><Relationship Id="rId885" Type="http://schemas.openxmlformats.org/officeDocument/2006/relationships/hyperlink" Target="https://media.fisheries.noaa.gov/2022-08/2021-LONG-BEAKED%20COMMON%20DOLPHIN-California%20Stock.pdf" TargetMode="External"/><Relationship Id="rId1070" Type="http://schemas.openxmlformats.org/officeDocument/2006/relationships/hyperlink" Target="https://media.fisheries.noaa.gov/2022-08/2021-NorthernElephant-California%20Breeding%20Stock.pdf" TargetMode="External"/><Relationship Id="rId300" Type="http://schemas.openxmlformats.org/officeDocument/2006/relationships/hyperlink" Target="https://media.fisheries.noaa.gov/2022-08/2021-HARBOR%20PORPOISE-San%20Francisco-Russian%20River%20Stock.pdf" TargetMode="External"/><Relationship Id="rId538" Type="http://schemas.openxmlformats.org/officeDocument/2006/relationships/hyperlink" Target="https://media.fisheries.noaa.gov/dam-migration/2019_sars_alaska_harbor_seal.pdf" TargetMode="External"/><Relationship Id="rId745" Type="http://schemas.openxmlformats.org/officeDocument/2006/relationships/hyperlink" Target="https://media.fisheries.noaa.gov/2022-08/2021-HumpbackWhale-CaliforniaOregonWashington%20Stock.pdf" TargetMode="External"/><Relationship Id="rId952" Type="http://schemas.openxmlformats.org/officeDocument/2006/relationships/hyperlink" Target="https://www.fisheries.noaa.gov/s3/2023-08/North-Atlantic-Right-Whale-Western-Atlantic-2022.pdf" TargetMode="External"/><Relationship Id="rId1168" Type="http://schemas.openxmlformats.org/officeDocument/2006/relationships/hyperlink" Target="https://www.fisheries.noaa.gov/s3/2022-08/2021-NORTHERN-FUR-SEAL-Callorhinus-ursinus-Eastern-Pacific-Stock.pdf" TargetMode="External"/><Relationship Id="rId1375" Type="http://schemas.openxmlformats.org/officeDocument/2006/relationships/hyperlink" Target="https://media.fisheries.noaa.gov/dam-migration/2019_sars_alaska_steller_sea_lion_-_eastern_us.pdf" TargetMode="External"/><Relationship Id="rId1582" Type="http://schemas.openxmlformats.org/officeDocument/2006/relationships/hyperlink" Target="https://www.fisheries.noaa.gov/s3/2023-06/STELLERSEALIONEumetopiasjubatusWesternU.S.Stock-.pdf" TargetMode="External"/><Relationship Id="rId81" Type="http://schemas.openxmlformats.org/officeDocument/2006/relationships/hyperlink" Target="https://media.fisheries.noaa.gov/2022-08/2021-PacBluewhale-Eastern%20North%20Pacific%20Stock.pdf" TargetMode="External"/><Relationship Id="rId605" Type="http://schemas.openxmlformats.org/officeDocument/2006/relationships/hyperlink" Target="https://media.fisheries.noaa.gov/dam-migration/2019_sars_alaska_harbor_seal.pdf" TargetMode="External"/><Relationship Id="rId812" Type="http://schemas.openxmlformats.org/officeDocument/2006/relationships/hyperlink" Target="https://s3.amazonaws.com/media.fisheries.noaa.gov/2020-10/2019%20humpback%20whale%20gulf%20of%20Maine%20508.pdf?null" TargetMode="External"/><Relationship Id="rId1028" Type="http://schemas.openxmlformats.org/officeDocument/2006/relationships/hyperlink" Target="https://media.fisheries.noaa.gov/2022-08/2021-NorthernElephant-California%20Breeding%20Stock.pdf" TargetMode="External"/><Relationship Id="rId1235" Type="http://schemas.openxmlformats.org/officeDocument/2006/relationships/hyperlink" Target="https://media.fisheries.noaa.gov/2022-08/2021-NorthernRWdolphin-CaliforniaOregonWashington%20Stock.pdf" TargetMode="External"/><Relationship Id="rId1442" Type="http://schemas.openxmlformats.org/officeDocument/2006/relationships/hyperlink" Target="https://media.fisheries.noaa.gov/dam-migration/2019_sars_alaska_steller_sea_lion_-_eastern_us.pdf" TargetMode="External"/><Relationship Id="rId1887" Type="http://schemas.openxmlformats.org/officeDocument/2006/relationships/hyperlink" Target="https://media.fisheries.noaa.gov/2021-08/2020-Pacific-SARS-stripeddolphin_hawaii.pdf" TargetMode="External"/><Relationship Id="rId1302" Type="http://schemas.openxmlformats.org/officeDocument/2006/relationships/hyperlink" Target="https://media.fisheries.noaa.gov/2022-08/2021-shortbeak-common-dolphin-CaliforniaOregonWashington%20Stock.pdf" TargetMode="External"/><Relationship Id="rId1747" Type="http://schemas.openxmlformats.org/officeDocument/2006/relationships/hyperlink" Target="https://www.fisheries.noaa.gov/s3/2023-06/STELLERSEALIONEumetopiasjubatusWesternU.S.Stock-.pdf" TargetMode="External"/><Relationship Id="rId39" Type="http://schemas.openxmlformats.org/officeDocument/2006/relationships/hyperlink" Target="https://www.fisheries.noaa.gov/s3/2023-05/2021BELUGA-WHALE-Delphinapterus-leucas-Cook-Inlet-Stock.pdf" TargetMode="External"/><Relationship Id="rId1607" Type="http://schemas.openxmlformats.org/officeDocument/2006/relationships/hyperlink" Target="https://www.fisheries.noaa.gov/s3/2023-06/STELLERSEALIONEumetopiasjubatusWesternU.S.Stock-.pdf" TargetMode="External"/><Relationship Id="rId1814" Type="http://schemas.openxmlformats.org/officeDocument/2006/relationships/hyperlink" Target="https://www.fisheries.noaa.gov/s3/2023-06/STELLERSEALIONEumetopiasjubatusWesternU.S.Stock-.pdf" TargetMode="External"/><Relationship Id="rId188" Type="http://schemas.openxmlformats.org/officeDocument/2006/relationships/hyperlink" Target="https://media.fisheries.noaa.gov/dam-migration/ca_sea_lion_final_2018_sar.pdf" TargetMode="External"/><Relationship Id="rId395" Type="http://schemas.openxmlformats.org/officeDocument/2006/relationships/hyperlink" Target="https://media.fisheries.noaa.gov/dam-migration/2019_sars_alaska_harbor_seal.pdf" TargetMode="External"/><Relationship Id="rId255" Type="http://schemas.openxmlformats.org/officeDocument/2006/relationships/hyperlink" Target="https://www.fisheries.noaa.gov/s3/2021-08/2020-Pacific-SARS-Eastern-GrayWhale-dragged-.pdf" TargetMode="External"/><Relationship Id="rId462" Type="http://schemas.openxmlformats.org/officeDocument/2006/relationships/hyperlink" Target="https://media.fisheries.noaa.gov/dam-migration/2019_sars_alaska_harbor_seal.pdf" TargetMode="External"/><Relationship Id="rId1092" Type="http://schemas.openxmlformats.org/officeDocument/2006/relationships/hyperlink" Target="https://media.fisheries.noaa.gov/2022-08/2021-NorthernElephant-California%20Breeding%20Stock.pdf" TargetMode="External"/><Relationship Id="rId1397" Type="http://schemas.openxmlformats.org/officeDocument/2006/relationships/hyperlink" Target="https://media.fisheries.noaa.gov/dam-migration/2019_sars_alaska_steller_sea_lion_-_eastern_us.pdf" TargetMode="External"/><Relationship Id="rId115" Type="http://schemas.openxmlformats.org/officeDocument/2006/relationships/hyperlink" Target="https://media.fisheries.noaa.gov/dam-migration/ca_sea_lion_final_2018_sar.pdf" TargetMode="External"/><Relationship Id="rId322" Type="http://schemas.openxmlformats.org/officeDocument/2006/relationships/hyperlink" Target="https://media.fisheries.noaa.gov/2022-08/2021-HARBOR%20PORPOISE-Morro%20Bay%20Stock.pdf" TargetMode="External"/><Relationship Id="rId767" Type="http://schemas.openxmlformats.org/officeDocument/2006/relationships/hyperlink" Target="https://media.fisheries.noaa.gov/2022-08/2021-HumpbackWhale-CaliforniaOregonWashington%20Stock.pdf" TargetMode="External"/><Relationship Id="rId974" Type="http://schemas.openxmlformats.org/officeDocument/2006/relationships/hyperlink" Target="https://www.fisheries.noaa.gov/s3/2023-08/North-Atlantic-Right-Whale-Western-Atlantic-2022.pdf" TargetMode="External"/><Relationship Id="rId627" Type="http://schemas.openxmlformats.org/officeDocument/2006/relationships/hyperlink" Target="https://media.fisheries.noaa.gov/dam-migration/2019_sars_alaska_harbor_seal.pdf" TargetMode="External"/><Relationship Id="rId834" Type="http://schemas.openxmlformats.org/officeDocument/2006/relationships/hyperlink" Target="https://www.fisheries.noaa.gov/s3/2023-08/Killer-Whale-Eastern-North-Pacific-2022.pdf" TargetMode="External"/><Relationship Id="rId1257" Type="http://schemas.openxmlformats.org/officeDocument/2006/relationships/hyperlink" Target="https://www.fws.gov/sites/default/files/documents/northern-sea-otter-washington-stock-assessment-report-july-2018.pdf" TargetMode="External"/><Relationship Id="rId1464" Type="http://schemas.openxmlformats.org/officeDocument/2006/relationships/hyperlink" Target="https://media.fisheries.noaa.gov/dam-migration/2019_sars_alaska_steller_sea_lion_-_eastern_us.pdf" TargetMode="External"/><Relationship Id="rId1671" Type="http://schemas.openxmlformats.org/officeDocument/2006/relationships/hyperlink" Target="https://www.fisheries.noaa.gov/s3/2023-06/STELLERSEALIONEumetopiasjubatusWesternU.S.Stock-.pdf" TargetMode="External"/><Relationship Id="rId901" Type="http://schemas.openxmlformats.org/officeDocument/2006/relationships/hyperlink" Target="https://media.fisheries.noaa.gov/dam-migration/pacific-2017-mes_beaked_whales-caorwa-508.pdf" TargetMode="External"/><Relationship Id="rId1117" Type="http://schemas.openxmlformats.org/officeDocument/2006/relationships/hyperlink" Target="https://media.fisheries.noaa.gov/2022-08/2021-NorthernElephant-California%20Breeding%20Stock.pdf" TargetMode="External"/><Relationship Id="rId1324" Type="http://schemas.openxmlformats.org/officeDocument/2006/relationships/hyperlink" Target="https://www.fws.gov/sites/default/files/documents/southern-sea-otter-stock-assessment-report.pdf" TargetMode="External"/><Relationship Id="rId1531" Type="http://schemas.openxmlformats.org/officeDocument/2006/relationships/hyperlink" Target="https://www.fisheries.noaa.gov/s3/2023-06/STELLERSEALIONEumetopiasjubatusWesternU.S.Stock-.pdf" TargetMode="External"/><Relationship Id="rId1769" Type="http://schemas.openxmlformats.org/officeDocument/2006/relationships/hyperlink" Target="https://www.fisheries.noaa.gov/s3/2023-06/STELLERSEALIONEumetopiasjubatusWesternU.S.Stock-.pdf" TargetMode="External"/><Relationship Id="rId30" Type="http://schemas.openxmlformats.org/officeDocument/2006/relationships/hyperlink" Target="https://www.fisheries.noaa.gov/s3/2023-05/2021BELUGA-WHALE-Delphinapterus-leucas-Cook-Inlet-Stock.pdf" TargetMode="External"/><Relationship Id="rId1629" Type="http://schemas.openxmlformats.org/officeDocument/2006/relationships/hyperlink" Target="https://www.fisheries.noaa.gov/s3/2023-06/STELLERSEALIONEumetopiasjubatusWesternU.S.Stock-.pdf" TargetMode="External"/><Relationship Id="rId1836" Type="http://schemas.openxmlformats.org/officeDocument/2006/relationships/hyperlink" Target="https://www.fisheries.noaa.gov/s3/2023-06/STELLERSEALIONEumetopiasjubatusWesternU.S.Stock-.pdf" TargetMode="External"/><Relationship Id="rId277" Type="http://schemas.openxmlformats.org/officeDocument/2006/relationships/hyperlink" Target="https://media.fisheries.noaa.gov/2022-08/2021-HARBOR%20PORPOISE-San%20Francisco-Russian%20River%20Stock.pdf" TargetMode="External"/><Relationship Id="rId484" Type="http://schemas.openxmlformats.org/officeDocument/2006/relationships/hyperlink" Target="https://media.fisheries.noaa.gov/dam-migration/2019_sars_alaska_harbor_seal.pdf" TargetMode="External"/><Relationship Id="rId137" Type="http://schemas.openxmlformats.org/officeDocument/2006/relationships/hyperlink" Target="https://media.fisheries.noaa.gov/dam-migration/ca_sea_lion_final_2018_sar.pdf" TargetMode="External"/><Relationship Id="rId344" Type="http://schemas.openxmlformats.org/officeDocument/2006/relationships/hyperlink" Target="https://media.fisheries.noaa.gov/2022-08/2021-HARBOR%20PORPOISE-Monterey%20Bay%20Stock.pdf" TargetMode="External"/><Relationship Id="rId691" Type="http://schemas.openxmlformats.org/officeDocument/2006/relationships/hyperlink" Target="https://media.fisheries.noaa.gov/dam-migration/po2014sehr-ca_508.pdf" TargetMode="External"/><Relationship Id="rId789" Type="http://schemas.openxmlformats.org/officeDocument/2006/relationships/hyperlink" Target="https://s3.amazonaws.com/media.fisheries.noaa.gov/2020-10/2019%20humpback%20whale%20gulf%20of%20Maine%20508.pdf?null" TargetMode="External"/><Relationship Id="rId996" Type="http://schemas.openxmlformats.org/officeDocument/2006/relationships/hyperlink" Target="https://www.fisheries.noaa.gov/s3/2023-08/North-Atlantic-Right-Whale-Western-Atlantic-2022.pdf" TargetMode="External"/><Relationship Id="rId551" Type="http://schemas.openxmlformats.org/officeDocument/2006/relationships/hyperlink" Target="https://media.fisheries.noaa.gov/dam-migration/2019_sars_alaska_harbor_seal.pdf" TargetMode="External"/><Relationship Id="rId649" Type="http://schemas.openxmlformats.org/officeDocument/2006/relationships/hyperlink" Target="https://media.fisheries.noaa.gov/dam-migration/po2014sehr-ca_508.pdf" TargetMode="External"/><Relationship Id="rId856" Type="http://schemas.openxmlformats.org/officeDocument/2006/relationships/hyperlink" Target="https://www.fisheries.noaa.gov/s3/2023-08/Killer-Whale-Eastern-North-Pacific-2022.pdf" TargetMode="External"/><Relationship Id="rId1181" Type="http://schemas.openxmlformats.org/officeDocument/2006/relationships/hyperlink" Target="https://www.fisheries.noaa.gov/s3/2022-08/2021-NORTHERN-FUR-SEAL-Callorhinus-ursinus-Eastern-Pacific-Stock.pdf" TargetMode="External"/><Relationship Id="rId1279" Type="http://schemas.openxmlformats.org/officeDocument/2006/relationships/hyperlink" Target="https://www.fisheries.noaa.gov/s3/2022-08/2021-PACWHITESIDE-CaliforniaOregonWashington-Northern-and-Southern-Stocks.pdf" TargetMode="External"/><Relationship Id="rId1486" Type="http://schemas.openxmlformats.org/officeDocument/2006/relationships/hyperlink" Target="https://www.fisheries.noaa.gov/s3/2023-06/STELLERSEALIONEumetopiasjubatusWesternU.S.Stock-.pdf" TargetMode="External"/><Relationship Id="rId204" Type="http://schemas.openxmlformats.org/officeDocument/2006/relationships/hyperlink" Target="https://media.fisheries.noaa.gov/2022-08/2021-DALL'S%20PORPOISE%20-%20CaliforniaOregonWashington%20Stock.pdf" TargetMode="External"/><Relationship Id="rId411" Type="http://schemas.openxmlformats.org/officeDocument/2006/relationships/hyperlink" Target="https://media.fisheries.noaa.gov/dam-migration/2019_sars_alaska_harbor_seal.pdf" TargetMode="External"/><Relationship Id="rId509" Type="http://schemas.openxmlformats.org/officeDocument/2006/relationships/hyperlink" Target="https://media.fisheries.noaa.gov/dam-migration/2019_sars_alaska_harbor_seal.pdf" TargetMode="External"/><Relationship Id="rId1041" Type="http://schemas.openxmlformats.org/officeDocument/2006/relationships/hyperlink" Target="https://media.fisheries.noaa.gov/2022-08/2021-NorthernElephant-California%20Breeding%20Stock.pdf" TargetMode="External"/><Relationship Id="rId1139" Type="http://schemas.openxmlformats.org/officeDocument/2006/relationships/hyperlink" Target="https://media.fisheries.noaa.gov/2022-08/2021-NorthernElephant-California%20Breeding%20Stock.pdf" TargetMode="External"/><Relationship Id="rId1346" Type="http://schemas.openxmlformats.org/officeDocument/2006/relationships/hyperlink" Target="https://media.fisheries.noaa.gov/dam-migration/2019_sars_spermwhale_caorwa.pdf" TargetMode="External"/><Relationship Id="rId1693" Type="http://schemas.openxmlformats.org/officeDocument/2006/relationships/hyperlink" Target="https://www.fisheries.noaa.gov/s3/2023-06/STELLERSEALIONEumetopiasjubatusWesternU.S.Stock-.pdf" TargetMode="External"/><Relationship Id="rId716" Type="http://schemas.openxmlformats.org/officeDocument/2006/relationships/hyperlink" Target="https://media.fisheries.noaa.gov/dam-migration/po2013sehr-owco_508.pdf" TargetMode="External"/><Relationship Id="rId923" Type="http://schemas.openxmlformats.org/officeDocument/2006/relationships/hyperlink" Target="https://www.fisheries.noaa.gov/s3/2023-08/North-Atlantic-Right-Whale-Western-Atlantic-2022.pdf" TargetMode="External"/><Relationship Id="rId1553" Type="http://schemas.openxmlformats.org/officeDocument/2006/relationships/hyperlink" Target="https://www.fisheries.noaa.gov/s3/2023-06/STELLERSEALIONEumetopiasjubatusWesternU.S.Stock-.pdf" TargetMode="External"/><Relationship Id="rId1760" Type="http://schemas.openxmlformats.org/officeDocument/2006/relationships/hyperlink" Target="https://www.fisheries.noaa.gov/s3/2023-06/STELLERSEALIONEumetopiasjubatusWesternU.S.Stock-.pdf" TargetMode="External"/><Relationship Id="rId1858" Type="http://schemas.openxmlformats.org/officeDocument/2006/relationships/hyperlink" Target="https://www.fisheries.noaa.gov/s3/2023-06/STELLERSEALIONEumetopiasjubatusWesternU.S.Stock-.pdf" TargetMode="External"/><Relationship Id="rId52" Type="http://schemas.openxmlformats.org/officeDocument/2006/relationships/hyperlink" Target="https://media.fisheries.noaa.gov/2022-08/2021-PacBluewhale-Eastern%20North%20Pacific%20Stock.pdf" TargetMode="External"/><Relationship Id="rId1206" Type="http://schemas.openxmlformats.org/officeDocument/2006/relationships/hyperlink" Target="https://www.fisheries.noaa.gov/s3/2022-08/2021-NORTHERN-FUR-SEAL-Callorhinus-ursinus-Eastern-Pacific-Stock.pdf" TargetMode="External"/><Relationship Id="rId1413" Type="http://schemas.openxmlformats.org/officeDocument/2006/relationships/hyperlink" Target="https://media.fisheries.noaa.gov/dam-migration/2019_sars_alaska_steller_sea_lion_-_eastern_us.pdf" TargetMode="External"/><Relationship Id="rId1620" Type="http://schemas.openxmlformats.org/officeDocument/2006/relationships/hyperlink" Target="https://www.fisheries.noaa.gov/s3/2023-06/STELLERSEALIONEumetopiasjubatusWesternU.S.Stock-.pdf" TargetMode="External"/><Relationship Id="rId1718" Type="http://schemas.openxmlformats.org/officeDocument/2006/relationships/hyperlink" Target="https://www.fisheries.noaa.gov/s3/2023-06/STELLERSEALIONEumetopiasjubatusWesternU.S.Stock-.pdf" TargetMode="External"/><Relationship Id="rId299" Type="http://schemas.openxmlformats.org/officeDocument/2006/relationships/hyperlink" Target="https://media.fisheries.noaa.gov/2022-08/2021-HARBOR%20PORPOISE-San%20Francisco-Russian%20River%20Stock.pdf" TargetMode="External"/><Relationship Id="rId159" Type="http://schemas.openxmlformats.org/officeDocument/2006/relationships/hyperlink" Target="https://media.fisheries.noaa.gov/dam-migration/ca_sea_lion_final_2018_sar.pdf" TargetMode="External"/><Relationship Id="rId366" Type="http://schemas.openxmlformats.org/officeDocument/2006/relationships/hyperlink" Target="https://media.fisheries.noaa.gov/2022-08/2021-HARBOR%20PORPOISE%20-Northern%20CaliforniaSouthern%20Oregon%20Stock.pdf" TargetMode="External"/><Relationship Id="rId573" Type="http://schemas.openxmlformats.org/officeDocument/2006/relationships/hyperlink" Target="https://media.fisheries.noaa.gov/dam-migration/2019_sars_alaska_harbor_seal.pdf" TargetMode="External"/><Relationship Id="rId780" Type="http://schemas.openxmlformats.org/officeDocument/2006/relationships/hyperlink" Target="https://s3.amazonaws.com/media.fisheries.noaa.gov/2020-10/2019%20humpback%20whale%20gulf%20of%20Maine%20508.pdf?null" TargetMode="External"/><Relationship Id="rId226" Type="http://schemas.openxmlformats.org/officeDocument/2006/relationships/hyperlink" Target="https://media.fisheries.noaa.gov/2022-08/2021-PACfinwhale-CaliforniaOregonWashington%20Stock.pdf" TargetMode="External"/><Relationship Id="rId433" Type="http://schemas.openxmlformats.org/officeDocument/2006/relationships/hyperlink" Target="https://media.fisheries.noaa.gov/dam-migration/2019_sars_alaska_harbor_seal.pdf" TargetMode="External"/><Relationship Id="rId878" Type="http://schemas.openxmlformats.org/officeDocument/2006/relationships/hyperlink" Target="https://www.fisheries.noaa.gov/s3/2023-08/Killer-Whale-Eastern-North-Pacific-2022.pdf" TargetMode="External"/><Relationship Id="rId1063" Type="http://schemas.openxmlformats.org/officeDocument/2006/relationships/hyperlink" Target="https://media.fisheries.noaa.gov/2022-08/2021-NorthernElephant-California%20Breeding%20Stock.pdf" TargetMode="External"/><Relationship Id="rId1270" Type="http://schemas.openxmlformats.org/officeDocument/2006/relationships/hyperlink" Target="https://www.fws.gov/sites/default/files/documents/northern-sea-otter-washington-stock-assessment-report-july-2018.pdf" TargetMode="External"/><Relationship Id="rId640" Type="http://schemas.openxmlformats.org/officeDocument/2006/relationships/hyperlink" Target="https://media.fisheries.noaa.gov/dam-migration/po2014sehr-ca_508.pdf" TargetMode="External"/><Relationship Id="rId738" Type="http://schemas.openxmlformats.org/officeDocument/2006/relationships/hyperlink" Target="https://www.fisheries.noaa.gov/s3/2023-08/Monk-Seal-2022.pdf" TargetMode="External"/><Relationship Id="rId945" Type="http://schemas.openxmlformats.org/officeDocument/2006/relationships/hyperlink" Target="https://www.fisheries.noaa.gov/s3/2023-08/North-Atlantic-Right-Whale-Western-Atlantic-2022.pdf" TargetMode="External"/><Relationship Id="rId1368" Type="http://schemas.openxmlformats.org/officeDocument/2006/relationships/hyperlink" Target="https://media.fisheries.noaa.gov/dam-migration/2019_sars_alaska_steller_sea_lion_-_eastern_us.pdf" TargetMode="External"/><Relationship Id="rId1575" Type="http://schemas.openxmlformats.org/officeDocument/2006/relationships/hyperlink" Target="https://www.fisheries.noaa.gov/s3/2023-06/STELLERSEALIONEumetopiasjubatusWesternU.S.Stock-.pdf" TargetMode="External"/><Relationship Id="rId1782" Type="http://schemas.openxmlformats.org/officeDocument/2006/relationships/hyperlink" Target="https://www.fisheries.noaa.gov/s3/2023-06/STELLERSEALIONEumetopiasjubatusWesternU.S.Stock-.pdf" TargetMode="External"/><Relationship Id="rId74" Type="http://schemas.openxmlformats.org/officeDocument/2006/relationships/hyperlink" Target="https://media.fisheries.noaa.gov/2022-08/2021-PacBluewhale-Eastern%20North%20Pacific%20Stock.pdf" TargetMode="External"/><Relationship Id="rId500" Type="http://schemas.openxmlformats.org/officeDocument/2006/relationships/hyperlink" Target="https://media.fisheries.noaa.gov/dam-migration/2019_sars_alaska_harbor_seal.pdf" TargetMode="External"/><Relationship Id="rId805" Type="http://schemas.openxmlformats.org/officeDocument/2006/relationships/hyperlink" Target="https://s3.amazonaws.com/media.fisheries.noaa.gov/2020-10/2019%20humpback%20whale%20gulf%20of%20Maine%20508.pdf?null" TargetMode="External"/><Relationship Id="rId1130" Type="http://schemas.openxmlformats.org/officeDocument/2006/relationships/hyperlink" Target="https://media.fisheries.noaa.gov/2022-08/2021-NorthernElephant-California%20Breeding%20Stock.pdf" TargetMode="External"/><Relationship Id="rId1228" Type="http://schemas.openxmlformats.org/officeDocument/2006/relationships/hyperlink" Target="https://www.fisheries.noaa.gov/s3/2022-08/2021-NORTHERN-FUR-SEAL-Callorhinus-ursinus-Eastern-Pacific-Stock.pdf" TargetMode="External"/><Relationship Id="rId1435" Type="http://schemas.openxmlformats.org/officeDocument/2006/relationships/hyperlink" Target="https://media.fisheries.noaa.gov/dam-migration/2019_sars_alaska_steller_sea_lion_-_eastern_us.pdf" TargetMode="External"/><Relationship Id="rId1642" Type="http://schemas.openxmlformats.org/officeDocument/2006/relationships/hyperlink" Target="https://www.fisheries.noaa.gov/s3/2023-06/STELLERSEALIONEumetopiasjubatusWesternU.S.Stock-.pdf" TargetMode="External"/><Relationship Id="rId1502" Type="http://schemas.openxmlformats.org/officeDocument/2006/relationships/hyperlink" Target="https://www.fisheries.noaa.gov/s3/2023-06/STELLERSEALIONEumetopiasjubatusWesternU.S.Stock-.pdf" TargetMode="External"/><Relationship Id="rId1807" Type="http://schemas.openxmlformats.org/officeDocument/2006/relationships/hyperlink" Target="https://www.fisheries.noaa.gov/s3/2023-06/STELLERSEALIONEumetopiasjubatusWesternU.S.Stock-.pdf" TargetMode="External"/><Relationship Id="rId290" Type="http://schemas.openxmlformats.org/officeDocument/2006/relationships/hyperlink" Target="https://media.fisheries.noaa.gov/2022-08/2021-HARBOR%20PORPOISE-San%20Francisco-Russian%20River%20Stock.pdf" TargetMode="External"/><Relationship Id="rId388" Type="http://schemas.openxmlformats.org/officeDocument/2006/relationships/hyperlink" Target="https://media.fisheries.noaa.gov/dam-migration/2019_sars_alaska_harbor_seal.pdf" TargetMode="External"/><Relationship Id="rId150" Type="http://schemas.openxmlformats.org/officeDocument/2006/relationships/hyperlink" Target="https://media.fisheries.noaa.gov/dam-migration/ca_sea_lion_final_2018_sar.pdf" TargetMode="External"/><Relationship Id="rId595" Type="http://schemas.openxmlformats.org/officeDocument/2006/relationships/hyperlink" Target="https://media.fisheries.noaa.gov/dam-migration/2019_sars_alaska_harbor_seal.pdf" TargetMode="External"/><Relationship Id="rId248" Type="http://schemas.openxmlformats.org/officeDocument/2006/relationships/hyperlink" Target="https://www.fisheries.noaa.gov/s3/2021-08/2020-Pacific-SARS-Eastern-GrayWhale-dragged-.pdf" TargetMode="External"/><Relationship Id="rId455" Type="http://schemas.openxmlformats.org/officeDocument/2006/relationships/hyperlink" Target="https://media.fisheries.noaa.gov/dam-migration/2019_sars_alaska_harbor_seal.pdf" TargetMode="External"/><Relationship Id="rId662" Type="http://schemas.openxmlformats.org/officeDocument/2006/relationships/hyperlink" Target="https://media.fisheries.noaa.gov/dam-migration/po2014sehr-ca_508.pdf" TargetMode="External"/><Relationship Id="rId1085" Type="http://schemas.openxmlformats.org/officeDocument/2006/relationships/hyperlink" Target="https://media.fisheries.noaa.gov/2022-08/2021-NorthernElephant-California%20Breeding%20Stock.pdf" TargetMode="External"/><Relationship Id="rId1292" Type="http://schemas.openxmlformats.org/officeDocument/2006/relationships/hyperlink" Target="https://media.fisheries.noaa.gov/2022-08/2021-shortbeak-common-dolphin-CaliforniaOregonWashington%20Stock.pdf" TargetMode="External"/><Relationship Id="rId108" Type="http://schemas.openxmlformats.org/officeDocument/2006/relationships/hyperlink" Target="https://www.fisheries.noaa.gov/s3/2023-08/Bowhead-Whale-WAS-2022.pdf" TargetMode="External"/><Relationship Id="rId315" Type="http://schemas.openxmlformats.org/officeDocument/2006/relationships/hyperlink" Target="https://media.fisheries.noaa.gov/2022-08/2021-HARBOR%20PORPOISE-Morro%20Bay%20Stock.pdf" TargetMode="External"/><Relationship Id="rId522" Type="http://schemas.openxmlformats.org/officeDocument/2006/relationships/hyperlink" Target="https://media.fisheries.noaa.gov/dam-migration/2019_sars_alaska_harbor_seal.pdf" TargetMode="External"/><Relationship Id="rId967" Type="http://schemas.openxmlformats.org/officeDocument/2006/relationships/hyperlink" Target="https://www.fisheries.noaa.gov/s3/2023-08/North-Atlantic-Right-Whale-Western-Atlantic-2022.pdf" TargetMode="External"/><Relationship Id="rId1152" Type="http://schemas.openxmlformats.org/officeDocument/2006/relationships/hyperlink" Target="https://www.fisheries.noaa.gov/s3/2022-08/2021-NORTHERN-FUR-SEAL-Callorhinus-ursinus-Eastern-Pacific-Stock.pdf" TargetMode="External"/><Relationship Id="rId1597" Type="http://schemas.openxmlformats.org/officeDocument/2006/relationships/hyperlink" Target="https://www.fisheries.noaa.gov/s3/2023-06/STELLERSEALIONEumetopiasjubatusWesternU.S.Stock-.pdf" TargetMode="External"/><Relationship Id="rId96" Type="http://schemas.openxmlformats.org/officeDocument/2006/relationships/hyperlink" Target="https://media.fisheries.noaa.gov/2022-08/2021-PacBluewhale-Eastern%20North%20Pacific%20Stock.pdf" TargetMode="External"/><Relationship Id="rId827" Type="http://schemas.openxmlformats.org/officeDocument/2006/relationships/hyperlink" Target="https://s3.amazonaws.com/media.fisheries.noaa.gov/2020-10/2019%20humpback%20whale%20gulf%20of%20Maine%20508.pdf?null" TargetMode="External"/><Relationship Id="rId1012" Type="http://schemas.openxmlformats.org/officeDocument/2006/relationships/hyperlink" Target="https://media.fisheries.noaa.gov/2022-08/2021-NorthernElephant-California%20Breeding%20Stock.pdf" TargetMode="External"/><Relationship Id="rId1457" Type="http://schemas.openxmlformats.org/officeDocument/2006/relationships/hyperlink" Target="https://media.fisheries.noaa.gov/dam-migration/2019_sars_alaska_steller_sea_lion_-_eastern_us.pdf" TargetMode="External"/><Relationship Id="rId1664" Type="http://schemas.openxmlformats.org/officeDocument/2006/relationships/hyperlink" Target="https://www.fisheries.noaa.gov/s3/2023-06/STELLERSEALIONEumetopiasjubatusWesternU.S.Stock-.pdf" TargetMode="External"/><Relationship Id="rId1871" Type="http://schemas.openxmlformats.org/officeDocument/2006/relationships/hyperlink" Target="https://www.fisheries.noaa.gov/s3/2023-06/STELLERSEALIONEumetopiasjubatusWesternU.S.Stock-.pdf" TargetMode="External"/><Relationship Id="rId1317" Type="http://schemas.openxmlformats.org/officeDocument/2006/relationships/hyperlink" Target="https://www.fws.gov/sites/default/files/documents/southern-sea-otter-stock-assessment-report.pdf" TargetMode="External"/><Relationship Id="rId1524" Type="http://schemas.openxmlformats.org/officeDocument/2006/relationships/hyperlink" Target="https://www.fisheries.noaa.gov/s3/2023-06/STELLERSEALIONEumetopiasjubatusWesternU.S.Stock-.pdf" TargetMode="External"/><Relationship Id="rId1731" Type="http://schemas.openxmlformats.org/officeDocument/2006/relationships/hyperlink" Target="https://www.fisheries.noaa.gov/s3/2023-06/STELLERSEALIONEumetopiasjubatusWesternU.S.Stock-.pdf" TargetMode="External"/><Relationship Id="rId23" Type="http://schemas.openxmlformats.org/officeDocument/2006/relationships/hyperlink" Target="https://media.fisheries.noaa.gov/2022-08/pacific-2021-beaked-whale-mesoplodont.pdf" TargetMode="External"/><Relationship Id="rId1829" Type="http://schemas.openxmlformats.org/officeDocument/2006/relationships/hyperlink" Target="https://www.fisheries.noaa.gov/s3/2023-06/STELLERSEALIONEumetopiasjubatusWesternU.S.Stock-.pdf" TargetMode="External"/><Relationship Id="rId172" Type="http://schemas.openxmlformats.org/officeDocument/2006/relationships/hyperlink" Target="https://media.fisheries.noaa.gov/dam-migration/ca_sea_lion_final_2018_sar.pdf" TargetMode="External"/><Relationship Id="rId477" Type="http://schemas.openxmlformats.org/officeDocument/2006/relationships/hyperlink" Target="https://media.fisheries.noaa.gov/dam-migration/2019_sars_alaska_harbor_seal.pdf" TargetMode="External"/><Relationship Id="rId684" Type="http://schemas.openxmlformats.org/officeDocument/2006/relationships/hyperlink" Target="https://media.fisheries.noaa.gov/dam-migration/po2014sehr-ca_508.pdf" TargetMode="External"/><Relationship Id="rId337" Type="http://schemas.openxmlformats.org/officeDocument/2006/relationships/hyperlink" Target="https://media.fisheries.noaa.gov/2022-08/2021-HARBOR%20PORPOISE-Monterey%20Bay%20Stock.pdf" TargetMode="External"/><Relationship Id="rId891" Type="http://schemas.openxmlformats.org/officeDocument/2006/relationships/hyperlink" Target="https://media.fisheries.noaa.gov/2022-08/2021-LONG-BEAKED%20COMMON%20DOLPHIN-California%20Stock.pdf" TargetMode="External"/><Relationship Id="rId989" Type="http://schemas.openxmlformats.org/officeDocument/2006/relationships/hyperlink" Target="https://www.fisheries.noaa.gov/s3/2023-08/North-Atlantic-Right-Whale-Western-Atlantic-2022.pdf" TargetMode="External"/><Relationship Id="rId544" Type="http://schemas.openxmlformats.org/officeDocument/2006/relationships/hyperlink" Target="https://media.fisheries.noaa.gov/dam-migration/2019_sars_alaska_harbor_seal.pdf" TargetMode="External"/><Relationship Id="rId751" Type="http://schemas.openxmlformats.org/officeDocument/2006/relationships/hyperlink" Target="https://media.fisheries.noaa.gov/2022-08/2021-HumpbackWhale-CaliforniaOregonWashington%20Stock.pdf" TargetMode="External"/><Relationship Id="rId849" Type="http://schemas.openxmlformats.org/officeDocument/2006/relationships/hyperlink" Target="https://www.fisheries.noaa.gov/s3/2023-08/Killer-Whale-Eastern-North-Pacific-2022.pdf" TargetMode="External"/><Relationship Id="rId1174" Type="http://schemas.openxmlformats.org/officeDocument/2006/relationships/hyperlink" Target="https://www.fisheries.noaa.gov/s3/2022-08/2021-NORTHERN-FUR-SEAL-Callorhinus-ursinus-Eastern-Pacific-Stock.pdf" TargetMode="External"/><Relationship Id="rId1381" Type="http://schemas.openxmlformats.org/officeDocument/2006/relationships/hyperlink" Target="https://media.fisheries.noaa.gov/dam-migration/2019_sars_alaska_steller_sea_lion_-_eastern_us.pdf" TargetMode="External"/><Relationship Id="rId1479" Type="http://schemas.openxmlformats.org/officeDocument/2006/relationships/hyperlink" Target="https://www.fisheries.noaa.gov/s3/2023-06/STELLERSEALIONEumetopiasjubatusWesternU.S.Stock-.pdf" TargetMode="External"/><Relationship Id="rId1686" Type="http://schemas.openxmlformats.org/officeDocument/2006/relationships/hyperlink" Target="https://www.fisheries.noaa.gov/s3/2023-06/STELLERSEALIONEumetopiasjubatusWesternU.S.Stock-.pdf" TargetMode="External"/><Relationship Id="rId404" Type="http://schemas.openxmlformats.org/officeDocument/2006/relationships/hyperlink" Target="https://media.fisheries.noaa.gov/dam-migration/2019_sars_alaska_harbor_seal.pdf" TargetMode="External"/><Relationship Id="rId611" Type="http://schemas.openxmlformats.org/officeDocument/2006/relationships/hyperlink" Target="https://media.fisheries.noaa.gov/dam-migration/2019_sars_alaska_harbor_seal.pdf" TargetMode="External"/><Relationship Id="rId1034" Type="http://schemas.openxmlformats.org/officeDocument/2006/relationships/hyperlink" Target="https://media.fisheries.noaa.gov/2022-08/2021-NorthernElephant-California%20Breeding%20Stock.pdf" TargetMode="External"/><Relationship Id="rId1241" Type="http://schemas.openxmlformats.org/officeDocument/2006/relationships/hyperlink" Target="https://media.fisheries.noaa.gov/2022-08/2021-NorthernRWdolphin-CaliforniaOregonWashington%20Stock.pdf" TargetMode="External"/><Relationship Id="rId1339" Type="http://schemas.openxmlformats.org/officeDocument/2006/relationships/hyperlink" Target="https://www.fws.gov/sites/default/files/documents/southern-sea-otter-stock-assessment-report.pdf" TargetMode="External"/><Relationship Id="rId1893" Type="http://schemas.openxmlformats.org/officeDocument/2006/relationships/comments" Target="../comments2.xml"/><Relationship Id="rId709" Type="http://schemas.openxmlformats.org/officeDocument/2006/relationships/hyperlink" Target="https://media.fisheries.noaa.gov/dam-migration/po2013sehr-wain_508.pdf" TargetMode="External"/><Relationship Id="rId916" Type="http://schemas.openxmlformats.org/officeDocument/2006/relationships/hyperlink" Target="https://media.fisheries.noaa.gov/2022-08/2021-PACminke-CaliforniaOregonWashington%20Stock.pdf" TargetMode="External"/><Relationship Id="rId1101" Type="http://schemas.openxmlformats.org/officeDocument/2006/relationships/hyperlink" Target="https://media.fisheries.noaa.gov/2022-08/2021-NorthernElephant-California%20Breeding%20Stock.pdf" TargetMode="External"/><Relationship Id="rId1546" Type="http://schemas.openxmlformats.org/officeDocument/2006/relationships/hyperlink" Target="https://www.fisheries.noaa.gov/s3/2023-06/STELLERSEALIONEumetopiasjubatusWesternU.S.Stock-.pdf" TargetMode="External"/><Relationship Id="rId1753" Type="http://schemas.openxmlformats.org/officeDocument/2006/relationships/hyperlink" Target="https://www.fisheries.noaa.gov/s3/2023-06/STELLERSEALIONEumetopiasjubatusWesternU.S.Stock-.pdf" TargetMode="External"/><Relationship Id="rId45" Type="http://schemas.openxmlformats.org/officeDocument/2006/relationships/hyperlink" Target="https://www.fisheries.noaa.gov/s3/2023-05/2021BELUGA-WHALE-Delphinapterus-leucas-Cook-Inlet-Stock.pdf" TargetMode="External"/><Relationship Id="rId1406" Type="http://schemas.openxmlformats.org/officeDocument/2006/relationships/hyperlink" Target="https://media.fisheries.noaa.gov/dam-migration/2019_sars_alaska_steller_sea_lion_-_eastern_us.pdf" TargetMode="External"/><Relationship Id="rId1613" Type="http://schemas.openxmlformats.org/officeDocument/2006/relationships/hyperlink" Target="https://www.fisheries.noaa.gov/s3/2023-06/STELLERSEALIONEumetopiasjubatusWesternU.S.Stock-.pdf" TargetMode="External"/><Relationship Id="rId1820" Type="http://schemas.openxmlformats.org/officeDocument/2006/relationships/hyperlink" Target="https://www.fisheries.noaa.gov/s3/2023-06/STELLERSEALIONEumetopiasjubatusWesternU.S.Stock-.pdf" TargetMode="External"/><Relationship Id="rId194" Type="http://schemas.openxmlformats.org/officeDocument/2006/relationships/hyperlink" Target="https://www.fisheries.noaa.gov/s3/2023-08/Cuviers-CAORWA-2022.pdf" TargetMode="External"/><Relationship Id="rId261" Type="http://schemas.openxmlformats.org/officeDocument/2006/relationships/hyperlink" Target="https://www.fisheries.noaa.gov/s3/2021-08/2020-Pacific-SARS-Eastern-GrayWhale-dragged-.pdf" TargetMode="External"/><Relationship Id="rId499" Type="http://schemas.openxmlformats.org/officeDocument/2006/relationships/hyperlink" Target="https://media.fisheries.noaa.gov/dam-migration/2019_sars_alaska_harbor_seal.pdf" TargetMode="External"/><Relationship Id="rId359" Type="http://schemas.openxmlformats.org/officeDocument/2006/relationships/hyperlink" Target="https://media.fisheries.noaa.gov/2022-08/2021-HARBOR%20PORPOISE%20-Northern%20CaliforniaSouthern%20Oregon%20Stock.pdf" TargetMode="External"/><Relationship Id="rId566" Type="http://schemas.openxmlformats.org/officeDocument/2006/relationships/hyperlink" Target="https://media.fisheries.noaa.gov/dam-migration/2019_sars_alaska_harbor_seal.pdf" TargetMode="External"/><Relationship Id="rId773" Type="http://schemas.openxmlformats.org/officeDocument/2006/relationships/hyperlink" Target="https://media.fisheries.noaa.gov/2022-08/2021-HumpbackWhale-CaliforniaOregonWashington%20Stock.pdf" TargetMode="External"/><Relationship Id="rId1196" Type="http://schemas.openxmlformats.org/officeDocument/2006/relationships/hyperlink" Target="https://www.fisheries.noaa.gov/s3/2022-08/2021-NORTHERN-FUR-SEAL-Callorhinus-ursinus-Eastern-Pacific-Stock.pdf" TargetMode="External"/><Relationship Id="rId121" Type="http://schemas.openxmlformats.org/officeDocument/2006/relationships/hyperlink" Target="https://media.fisheries.noaa.gov/dam-migration/ca_sea_lion_final_2018_sar.pdf" TargetMode="External"/><Relationship Id="rId219" Type="http://schemas.openxmlformats.org/officeDocument/2006/relationships/hyperlink" Target="https://media.fisheries.noaa.gov/2022-08/2021-FALSE%20KILLER%20WHALE-Hawaiian%20Islands%20Stock%20Complex.pdf" TargetMode="External"/><Relationship Id="rId426" Type="http://schemas.openxmlformats.org/officeDocument/2006/relationships/hyperlink" Target="https://media.fisheries.noaa.gov/dam-migration/2019_sars_alaska_harbor_seal.pdf" TargetMode="External"/><Relationship Id="rId633" Type="http://schemas.openxmlformats.org/officeDocument/2006/relationships/hyperlink" Target="https://media.fisheries.noaa.gov/dam-migration/2019_sars_alaska_harbor_seal.pdf" TargetMode="External"/><Relationship Id="rId980" Type="http://schemas.openxmlformats.org/officeDocument/2006/relationships/hyperlink" Target="https://www.fisheries.noaa.gov/s3/2023-08/North-Atlantic-Right-Whale-Western-Atlantic-2022.pdf" TargetMode="External"/><Relationship Id="rId1056" Type="http://schemas.openxmlformats.org/officeDocument/2006/relationships/hyperlink" Target="https://media.fisheries.noaa.gov/2022-08/2021-NorthernElephant-California%20Breeding%20Stock.pdf" TargetMode="External"/><Relationship Id="rId1263" Type="http://schemas.openxmlformats.org/officeDocument/2006/relationships/hyperlink" Target="https://www.fws.gov/sites/default/files/documents/northern-sea-otter-washington-stock-assessment-report-july-2018.pdf" TargetMode="External"/><Relationship Id="rId840" Type="http://schemas.openxmlformats.org/officeDocument/2006/relationships/hyperlink" Target="https://www.fisheries.noaa.gov/s3/2023-08/Killer-Whale-Eastern-North-Pacific-2022.pdf" TargetMode="External"/><Relationship Id="rId938" Type="http://schemas.openxmlformats.org/officeDocument/2006/relationships/hyperlink" Target="https://www.fisheries.noaa.gov/s3/2023-08/North-Atlantic-Right-Whale-Western-Atlantic-2022.pdf" TargetMode="External"/><Relationship Id="rId1470" Type="http://schemas.openxmlformats.org/officeDocument/2006/relationships/hyperlink" Target="https://media.fisheries.noaa.gov/dam-migration/2019_sars_alaska_steller_sea_lion_-_eastern_us.pdf" TargetMode="External"/><Relationship Id="rId1568" Type="http://schemas.openxmlformats.org/officeDocument/2006/relationships/hyperlink" Target="https://www.fisheries.noaa.gov/s3/2023-06/STELLERSEALIONEumetopiasjubatusWesternU.S.Stock-.pdf" TargetMode="External"/><Relationship Id="rId1775" Type="http://schemas.openxmlformats.org/officeDocument/2006/relationships/hyperlink" Target="https://www.fisheries.noaa.gov/s3/2023-06/STELLERSEALIONEumetopiasjubatusWesternU.S.Stock-.pdf" TargetMode="External"/><Relationship Id="rId67" Type="http://schemas.openxmlformats.org/officeDocument/2006/relationships/hyperlink" Target="https://media.fisheries.noaa.gov/2022-08/2021-PacBluewhale-Eastern%20North%20Pacific%20Stock.pdf" TargetMode="External"/><Relationship Id="rId700" Type="http://schemas.openxmlformats.org/officeDocument/2006/relationships/hyperlink" Target="https://media.fisheries.noaa.gov/dam-migration/po2013sehr-owco_508.pdf" TargetMode="External"/><Relationship Id="rId1123" Type="http://schemas.openxmlformats.org/officeDocument/2006/relationships/hyperlink" Target="https://media.fisheries.noaa.gov/2022-08/2021-NorthernElephant-California%20Breeding%20Stock.pdf" TargetMode="External"/><Relationship Id="rId1330" Type="http://schemas.openxmlformats.org/officeDocument/2006/relationships/hyperlink" Target="https://www.fws.gov/sites/default/files/documents/southern-sea-otter-stock-assessment-report.pdf" TargetMode="External"/><Relationship Id="rId1428" Type="http://schemas.openxmlformats.org/officeDocument/2006/relationships/hyperlink" Target="https://media.fisheries.noaa.gov/dam-migration/2019_sars_alaska_steller_sea_lion_-_eastern_us.pdf" TargetMode="External"/><Relationship Id="rId1635" Type="http://schemas.openxmlformats.org/officeDocument/2006/relationships/hyperlink" Target="https://www.fisheries.noaa.gov/s3/2023-06/STELLERSEALIONEumetopiasjubatusWesternU.S.Stock-.pdf" TargetMode="External"/><Relationship Id="rId1842" Type="http://schemas.openxmlformats.org/officeDocument/2006/relationships/hyperlink" Target="https://www.fisheries.noaa.gov/s3/2023-06/STELLERSEALIONEumetopiasjubatusWesternU.S.Stock-.pdf" TargetMode="External"/><Relationship Id="rId1702" Type="http://schemas.openxmlformats.org/officeDocument/2006/relationships/hyperlink" Target="https://www.fisheries.noaa.gov/s3/2023-06/STELLERSEALIONEumetopiasjubatusWesternU.S.Stock-.pdf" TargetMode="External"/><Relationship Id="rId283" Type="http://schemas.openxmlformats.org/officeDocument/2006/relationships/hyperlink" Target="https://media.fisheries.noaa.gov/2022-08/2021-HARBOR%20PORPOISE-San%20Francisco-Russian%20River%20Stock.pdf" TargetMode="External"/><Relationship Id="rId490" Type="http://schemas.openxmlformats.org/officeDocument/2006/relationships/hyperlink" Target="https://media.fisheries.noaa.gov/dam-migration/2019_sars_alaska_harbor_seal.pdf" TargetMode="External"/><Relationship Id="rId143" Type="http://schemas.openxmlformats.org/officeDocument/2006/relationships/hyperlink" Target="https://media.fisheries.noaa.gov/dam-migration/ca_sea_lion_final_2018_sar.pdf" TargetMode="External"/><Relationship Id="rId350" Type="http://schemas.openxmlformats.org/officeDocument/2006/relationships/hyperlink" Target="https://media.fisheries.noaa.gov/2022-08/2021-HARBOR%20PORPOISE-Monterey%20Bay%20Stock.pdf" TargetMode="External"/><Relationship Id="rId588" Type="http://schemas.openxmlformats.org/officeDocument/2006/relationships/hyperlink" Target="https://media.fisheries.noaa.gov/dam-migration/2019_sars_alaska_harbor_seal.pdf" TargetMode="External"/><Relationship Id="rId795" Type="http://schemas.openxmlformats.org/officeDocument/2006/relationships/hyperlink" Target="https://s3.amazonaws.com/media.fisheries.noaa.gov/2020-10/2019%20humpback%20whale%20gulf%20of%20Maine%20508.pdf?null" TargetMode="External"/><Relationship Id="rId9" Type="http://schemas.openxmlformats.org/officeDocument/2006/relationships/hyperlink" Target="https://media.fisheries.noaa.gov/2022-08/pacific-2021-beaked-whale-mesoplodont.pdf" TargetMode="External"/><Relationship Id="rId210" Type="http://schemas.openxmlformats.org/officeDocument/2006/relationships/hyperlink" Target="https://media.fisheries.noaa.gov/2022-08/2021-DALL'S%20PORPOISE%20-%20CaliforniaOregonWashington%20Stock.pdf" TargetMode="External"/><Relationship Id="rId448" Type="http://schemas.openxmlformats.org/officeDocument/2006/relationships/hyperlink" Target="https://media.fisheries.noaa.gov/dam-migration/2019_sars_alaska_harbor_seal.pdf" TargetMode="External"/><Relationship Id="rId655" Type="http://schemas.openxmlformats.org/officeDocument/2006/relationships/hyperlink" Target="https://media.fisheries.noaa.gov/dam-migration/po2014sehr-ca_508.pdf" TargetMode="External"/><Relationship Id="rId862" Type="http://schemas.openxmlformats.org/officeDocument/2006/relationships/hyperlink" Target="https://www.fisheries.noaa.gov/s3/2023-08/Killer-Whale-Eastern-North-Pacific-2022.pdf" TargetMode="External"/><Relationship Id="rId1078" Type="http://schemas.openxmlformats.org/officeDocument/2006/relationships/hyperlink" Target="https://media.fisheries.noaa.gov/2022-08/2021-NorthernElephant-California%20Breeding%20Stock.pdf" TargetMode="External"/><Relationship Id="rId1285" Type="http://schemas.openxmlformats.org/officeDocument/2006/relationships/hyperlink" Target="https://media.fisheries.noaa.gov/2021-08/2020-Pacific-SARS-Rissos.pdf" TargetMode="External"/><Relationship Id="rId1492" Type="http://schemas.openxmlformats.org/officeDocument/2006/relationships/hyperlink" Target="https://www.fisheries.noaa.gov/s3/2023-06/STELLERSEALIONEumetopiasjubatusWesternU.S.Stock-.pdf" TargetMode="External"/><Relationship Id="rId308" Type="http://schemas.openxmlformats.org/officeDocument/2006/relationships/hyperlink" Target="https://media.fisheries.noaa.gov/2022-08/2021-HARBOR%20PORPOISE-Morro%20Bay%20Stock.pdf" TargetMode="External"/><Relationship Id="rId515" Type="http://schemas.openxmlformats.org/officeDocument/2006/relationships/hyperlink" Target="https://media.fisheries.noaa.gov/dam-migration/2019_sars_alaska_harbor_seal.pdf" TargetMode="External"/><Relationship Id="rId722" Type="http://schemas.openxmlformats.org/officeDocument/2006/relationships/hyperlink" Target="https://media.fisheries.noaa.gov/dam-migration/po2013sehr-owco_508.pdf" TargetMode="External"/><Relationship Id="rId1145" Type="http://schemas.openxmlformats.org/officeDocument/2006/relationships/hyperlink" Target="https://www.fisheries.noaa.gov/s3/2022-08/2021-NORTHERN-FUR-SEAL-Callorhinus-ursinus-Eastern-Pacific-Stock.pdf" TargetMode="External"/><Relationship Id="rId1352" Type="http://schemas.openxmlformats.org/officeDocument/2006/relationships/hyperlink" Target="https://media.fisheries.noaa.gov/dam-migration/2019_sars_alaska_steller_sea_lion_-_eastern_us.pdf" TargetMode="External"/><Relationship Id="rId1797" Type="http://schemas.openxmlformats.org/officeDocument/2006/relationships/hyperlink" Target="https://www.fisheries.noaa.gov/s3/2023-06/STELLERSEALIONEumetopiasjubatusWesternU.S.Stock-.pdf" TargetMode="External"/><Relationship Id="rId89" Type="http://schemas.openxmlformats.org/officeDocument/2006/relationships/hyperlink" Target="https://media.fisheries.noaa.gov/2022-08/2021-PacBluewhale-Eastern%20North%20Pacific%20Stock.pdf" TargetMode="External"/><Relationship Id="rId1005" Type="http://schemas.openxmlformats.org/officeDocument/2006/relationships/hyperlink" Target="https://www.fisheries.noaa.gov/s3/2023-08/North-Atlantic-Right-Whale-Western-Atlantic-2022.pdf" TargetMode="External"/><Relationship Id="rId1212" Type="http://schemas.openxmlformats.org/officeDocument/2006/relationships/hyperlink" Target="https://www.fisheries.noaa.gov/s3/2022-08/2021-NORTHERN-FUR-SEAL-Callorhinus-ursinus-Eastern-Pacific-Stock.pdf" TargetMode="External"/><Relationship Id="rId1657" Type="http://schemas.openxmlformats.org/officeDocument/2006/relationships/hyperlink" Target="https://www.fisheries.noaa.gov/s3/2023-06/STELLERSEALIONEumetopiasjubatusWesternU.S.Stock-.pdf" TargetMode="External"/><Relationship Id="rId1864" Type="http://schemas.openxmlformats.org/officeDocument/2006/relationships/hyperlink" Target="https://www.fisheries.noaa.gov/s3/2023-06/STELLERSEALIONEumetopiasjubatusWesternU.S.Stock-.pdf" TargetMode="External"/><Relationship Id="rId1517" Type="http://schemas.openxmlformats.org/officeDocument/2006/relationships/hyperlink" Target="https://www.fisheries.noaa.gov/s3/2023-06/STELLERSEALIONEumetopiasjubatusWesternU.S.Stock-.pdf" TargetMode="External"/><Relationship Id="rId1724" Type="http://schemas.openxmlformats.org/officeDocument/2006/relationships/hyperlink" Target="https://www.fisheries.noaa.gov/s3/2023-06/STELLERSEALIONEumetopiasjubatusWesternU.S.Stock-.pdf" TargetMode="External"/><Relationship Id="rId16" Type="http://schemas.openxmlformats.org/officeDocument/2006/relationships/hyperlink" Target="https://media.fisheries.noaa.gov/2022-08/pacific-2021-beaked-whale-mesoplodont.pdf" TargetMode="External"/><Relationship Id="rId165" Type="http://schemas.openxmlformats.org/officeDocument/2006/relationships/hyperlink" Target="https://media.fisheries.noaa.gov/dam-migration/ca_sea_lion_final_2018_sar.pdf" TargetMode="External"/><Relationship Id="rId372" Type="http://schemas.openxmlformats.org/officeDocument/2006/relationships/hyperlink" Target="https://media.fisheries.noaa.gov/2022-08/2021-HARBOR%20PORPOISE%20-Northern%20CaliforniaSouthern%20Oregon%20Stock.pdf" TargetMode="External"/><Relationship Id="rId677" Type="http://schemas.openxmlformats.org/officeDocument/2006/relationships/hyperlink" Target="https://media.fisheries.noaa.gov/dam-migration/po2014sehr-ca_508.pdf" TargetMode="External"/><Relationship Id="rId232" Type="http://schemas.openxmlformats.org/officeDocument/2006/relationships/hyperlink" Target="https://media.fisheries.noaa.gov/2022-08/2021-PACfinwhale-CaliforniaOregonWashington%20Stock.pdf" TargetMode="External"/><Relationship Id="rId884" Type="http://schemas.openxmlformats.org/officeDocument/2006/relationships/hyperlink" Target="https://media.fisheries.noaa.gov/2022-08/2021-LONG-BEAKED%20COMMON%20DOLPHIN-California%20Stock.pdf" TargetMode="External"/><Relationship Id="rId537" Type="http://schemas.openxmlformats.org/officeDocument/2006/relationships/hyperlink" Target="https://media.fisheries.noaa.gov/dam-migration/2019_sars_alaska_harbor_seal.pdf" TargetMode="External"/><Relationship Id="rId744" Type="http://schemas.openxmlformats.org/officeDocument/2006/relationships/hyperlink" Target="https://media.fisheries.noaa.gov/2022-08/2021-HumpbackWhale-CaliforniaOregonWashington%20Stock.pdf" TargetMode="External"/><Relationship Id="rId951" Type="http://schemas.openxmlformats.org/officeDocument/2006/relationships/hyperlink" Target="https://www.fisheries.noaa.gov/s3/2023-08/North-Atlantic-Right-Whale-Western-Atlantic-2022.pdf" TargetMode="External"/><Relationship Id="rId1167" Type="http://schemas.openxmlformats.org/officeDocument/2006/relationships/hyperlink" Target="https://www.fisheries.noaa.gov/s3/2022-08/2021-NORTHERN-FUR-SEAL-Callorhinus-ursinus-Eastern-Pacific-Stock.pdf" TargetMode="External"/><Relationship Id="rId1374" Type="http://schemas.openxmlformats.org/officeDocument/2006/relationships/hyperlink" Target="https://media.fisheries.noaa.gov/dam-migration/2019_sars_alaska_steller_sea_lion_-_eastern_us.pdf" TargetMode="External"/><Relationship Id="rId1581" Type="http://schemas.openxmlformats.org/officeDocument/2006/relationships/hyperlink" Target="https://www.fisheries.noaa.gov/s3/2023-06/STELLERSEALIONEumetopiasjubatusWesternU.S.Stock-.pdf" TargetMode="External"/><Relationship Id="rId1679" Type="http://schemas.openxmlformats.org/officeDocument/2006/relationships/hyperlink" Target="https://www.fisheries.noaa.gov/s3/2023-06/STELLERSEALIONEumetopiasjubatusWesternU.S.Stock-.pdf" TargetMode="External"/><Relationship Id="rId80" Type="http://schemas.openxmlformats.org/officeDocument/2006/relationships/hyperlink" Target="https://media.fisheries.noaa.gov/2022-08/2021-PacBluewhale-Eastern%20North%20Pacific%20Stock.pdf" TargetMode="External"/><Relationship Id="rId604" Type="http://schemas.openxmlformats.org/officeDocument/2006/relationships/hyperlink" Target="https://media.fisheries.noaa.gov/dam-migration/2019_sars_alaska_harbor_seal.pdf" TargetMode="External"/><Relationship Id="rId811" Type="http://schemas.openxmlformats.org/officeDocument/2006/relationships/hyperlink" Target="https://s3.amazonaws.com/media.fisheries.noaa.gov/2020-10/2019%20humpback%20whale%20gulf%20of%20Maine%20508.pdf?null" TargetMode="External"/><Relationship Id="rId1027" Type="http://schemas.openxmlformats.org/officeDocument/2006/relationships/hyperlink" Target="https://media.fisheries.noaa.gov/2022-08/2021-NorthernElephant-California%20Breeding%20Stock.pdf" TargetMode="External"/><Relationship Id="rId1234" Type="http://schemas.openxmlformats.org/officeDocument/2006/relationships/hyperlink" Target="https://media.fisheries.noaa.gov/2022-08/2021-NorthernRWdolphin-CaliforniaOregonWashington%20Stock.pdf" TargetMode="External"/><Relationship Id="rId1441" Type="http://schemas.openxmlformats.org/officeDocument/2006/relationships/hyperlink" Target="https://media.fisheries.noaa.gov/dam-migration/2019_sars_alaska_steller_sea_lion_-_eastern_us.pdf" TargetMode="External"/><Relationship Id="rId1886" Type="http://schemas.openxmlformats.org/officeDocument/2006/relationships/hyperlink" Target="https://media.fisheries.noaa.gov/2021-08/2020-Pacific-SARS-stripeddolphin_hawaii.pdf" TargetMode="External"/><Relationship Id="rId909" Type="http://schemas.openxmlformats.org/officeDocument/2006/relationships/hyperlink" Target="https://media.fisheries.noaa.gov/2022-08/2021-PACminke-CaliforniaOregonWashington%20Stock.pdf" TargetMode="External"/><Relationship Id="rId1301" Type="http://schemas.openxmlformats.org/officeDocument/2006/relationships/hyperlink" Target="https://media.fisheries.noaa.gov/2022-08/2021-shortbeak-common-dolphin-CaliforniaOregonWashington%20Stock.pdf" TargetMode="External"/><Relationship Id="rId1539" Type="http://schemas.openxmlformats.org/officeDocument/2006/relationships/hyperlink" Target="https://www.fisheries.noaa.gov/s3/2023-06/STELLERSEALIONEumetopiasjubatusWesternU.S.Stock-.pdf" TargetMode="External"/><Relationship Id="rId1746" Type="http://schemas.openxmlformats.org/officeDocument/2006/relationships/hyperlink" Target="https://www.fisheries.noaa.gov/s3/2023-06/STELLERSEALIONEumetopiasjubatusWesternU.S.Stock-.pdf" TargetMode="External"/><Relationship Id="rId38" Type="http://schemas.openxmlformats.org/officeDocument/2006/relationships/hyperlink" Target="https://www.fisheries.noaa.gov/s3/2023-05/2021BELUGA-WHALE-Delphinapterus-leucas-Cook-Inlet-Stock.pdf" TargetMode="External"/><Relationship Id="rId1606" Type="http://schemas.openxmlformats.org/officeDocument/2006/relationships/hyperlink" Target="https://www.fisheries.noaa.gov/s3/2023-06/STELLERSEALIONEumetopiasjubatusWesternU.S.Stock-.pdf" TargetMode="External"/><Relationship Id="rId1813" Type="http://schemas.openxmlformats.org/officeDocument/2006/relationships/hyperlink" Target="https://www.fisheries.noaa.gov/s3/2023-06/STELLERSEALIONEumetopiasjubatusWesternU.S.Stock-.pdf" TargetMode="External"/><Relationship Id="rId187" Type="http://schemas.openxmlformats.org/officeDocument/2006/relationships/hyperlink" Target="https://media.fisheries.noaa.gov/dam-migration/ca_sea_lion_final_2018_sar.pdf" TargetMode="External"/><Relationship Id="rId394" Type="http://schemas.openxmlformats.org/officeDocument/2006/relationships/hyperlink" Target="https://media.fisheries.noaa.gov/dam-migration/2019_sars_alaska_harbor_seal.pdf" TargetMode="External"/><Relationship Id="rId254" Type="http://schemas.openxmlformats.org/officeDocument/2006/relationships/hyperlink" Target="https://www.fisheries.noaa.gov/s3/2021-08/2020-Pacific-SARS-Eastern-GrayWhale-dragged-.pdf" TargetMode="External"/><Relationship Id="rId699" Type="http://schemas.openxmlformats.org/officeDocument/2006/relationships/hyperlink" Target="https://media.fisheries.noaa.gov/dam-migration/po2013sehr-owco_508.pdf" TargetMode="External"/><Relationship Id="rId1091" Type="http://schemas.openxmlformats.org/officeDocument/2006/relationships/hyperlink" Target="https://media.fisheries.noaa.gov/2022-08/2021-NorthernElephant-California%20Breeding%20Stock.pdf" TargetMode="External"/><Relationship Id="rId114" Type="http://schemas.openxmlformats.org/officeDocument/2006/relationships/hyperlink" Target="https://media.fisheries.noaa.gov/dam-migration/ca_sea_lion_final_2018_sar.pdf" TargetMode="External"/><Relationship Id="rId461" Type="http://schemas.openxmlformats.org/officeDocument/2006/relationships/hyperlink" Target="https://media.fisheries.noaa.gov/dam-migration/2019_sars_alaska_harbor_seal.pdf" TargetMode="External"/><Relationship Id="rId559" Type="http://schemas.openxmlformats.org/officeDocument/2006/relationships/hyperlink" Target="https://media.fisheries.noaa.gov/dam-migration/2019_sars_alaska_harbor_seal.pdf" TargetMode="External"/><Relationship Id="rId766" Type="http://schemas.openxmlformats.org/officeDocument/2006/relationships/hyperlink" Target="https://media.fisheries.noaa.gov/2022-08/2021-HumpbackWhale-CaliforniaOregonWashington%20Stock.pdf" TargetMode="External"/><Relationship Id="rId1189" Type="http://schemas.openxmlformats.org/officeDocument/2006/relationships/hyperlink" Target="https://www.fisheries.noaa.gov/s3/2022-08/2021-NORTHERN-FUR-SEAL-Callorhinus-ursinus-Eastern-Pacific-Stock.pdf" TargetMode="External"/><Relationship Id="rId1396" Type="http://schemas.openxmlformats.org/officeDocument/2006/relationships/hyperlink" Target="https://media.fisheries.noaa.gov/dam-migration/2019_sars_alaska_steller_sea_lion_-_eastern_us.pdf" TargetMode="External"/><Relationship Id="rId321" Type="http://schemas.openxmlformats.org/officeDocument/2006/relationships/hyperlink" Target="https://media.fisheries.noaa.gov/2022-08/2021-HARBOR%20PORPOISE-Morro%20Bay%20Stock.pdf" TargetMode="External"/><Relationship Id="rId419" Type="http://schemas.openxmlformats.org/officeDocument/2006/relationships/hyperlink" Target="https://media.fisheries.noaa.gov/dam-migration/2019_sars_alaska_harbor_seal.pdf" TargetMode="External"/><Relationship Id="rId626" Type="http://schemas.openxmlformats.org/officeDocument/2006/relationships/hyperlink" Target="https://media.fisheries.noaa.gov/dam-migration/2019_sars_alaska_harbor_seal.pdf" TargetMode="External"/><Relationship Id="rId973" Type="http://schemas.openxmlformats.org/officeDocument/2006/relationships/hyperlink" Target="https://www.fisheries.noaa.gov/s3/2023-08/North-Atlantic-Right-Whale-Western-Atlantic-2022.pdf" TargetMode="External"/><Relationship Id="rId1049" Type="http://schemas.openxmlformats.org/officeDocument/2006/relationships/hyperlink" Target="https://media.fisheries.noaa.gov/2022-08/2021-NorthernElephant-California%20Breeding%20Stock.pdf" TargetMode="External"/><Relationship Id="rId1256" Type="http://schemas.openxmlformats.org/officeDocument/2006/relationships/hyperlink" Target="https://www.fws.gov/sites/default/files/documents/northern-sea-otter-washington-stock-assessment-report-july-2018.pdf" TargetMode="External"/><Relationship Id="rId833" Type="http://schemas.openxmlformats.org/officeDocument/2006/relationships/hyperlink" Target="https://www.fisheries.noaa.gov/s3/2023-08/Killer-Whale-Eastern-North-Pacific-2022.pdf" TargetMode="External"/><Relationship Id="rId1116" Type="http://schemas.openxmlformats.org/officeDocument/2006/relationships/hyperlink" Target="https://media.fisheries.noaa.gov/2022-08/2021-NorthernElephant-California%20Breeding%20Stock.pdf" TargetMode="External"/><Relationship Id="rId1463" Type="http://schemas.openxmlformats.org/officeDocument/2006/relationships/hyperlink" Target="https://media.fisheries.noaa.gov/dam-migration/2019_sars_alaska_steller_sea_lion_-_eastern_us.pdf" TargetMode="External"/><Relationship Id="rId1670" Type="http://schemas.openxmlformats.org/officeDocument/2006/relationships/hyperlink" Target="https://www.fisheries.noaa.gov/s3/2023-06/STELLERSEALIONEumetopiasjubatusWesternU.S.Stock-.pdf" TargetMode="External"/><Relationship Id="rId1768" Type="http://schemas.openxmlformats.org/officeDocument/2006/relationships/hyperlink" Target="https://www.fisheries.noaa.gov/s3/2023-06/STELLERSEALIONEumetopiasjubatusWesternU.S.Stock-.pdf" TargetMode="External"/><Relationship Id="rId900" Type="http://schemas.openxmlformats.org/officeDocument/2006/relationships/hyperlink" Target="https://media.fisheries.noaa.gov/dam-migration/pacific-2017-mes_beaked_whales-caorwa-508.pdf" TargetMode="External"/><Relationship Id="rId1323" Type="http://schemas.openxmlformats.org/officeDocument/2006/relationships/hyperlink" Target="https://www.fws.gov/sites/default/files/documents/southern-sea-otter-stock-assessment-report.pdf" TargetMode="External"/><Relationship Id="rId1530" Type="http://schemas.openxmlformats.org/officeDocument/2006/relationships/hyperlink" Target="https://www.fisheries.noaa.gov/s3/2023-06/STELLERSEALIONEumetopiasjubatusWesternU.S.Stock-.pdf" TargetMode="External"/><Relationship Id="rId1628" Type="http://schemas.openxmlformats.org/officeDocument/2006/relationships/hyperlink" Target="https://www.fisheries.noaa.gov/s3/2023-06/STELLERSEALIONEumetopiasjubatusWesternU.S.Stock-.pdf" TargetMode="External"/><Relationship Id="rId1835" Type="http://schemas.openxmlformats.org/officeDocument/2006/relationships/hyperlink" Target="https://www.fisheries.noaa.gov/s3/2023-06/STELLERSEALIONEumetopiasjubatusWesternU.S.Stock-.pdf" TargetMode="External"/><Relationship Id="rId276" Type="http://schemas.openxmlformats.org/officeDocument/2006/relationships/hyperlink" Target="https://media.fisheries.noaa.gov/2022-08/2021-HARBOR%20PORPOISE-San%20Francisco-Russian%20River%20Stock.pdf" TargetMode="External"/><Relationship Id="rId483" Type="http://schemas.openxmlformats.org/officeDocument/2006/relationships/hyperlink" Target="https://media.fisheries.noaa.gov/dam-migration/2019_sars_alaska_harbor_seal.pdf" TargetMode="External"/><Relationship Id="rId690" Type="http://schemas.openxmlformats.org/officeDocument/2006/relationships/hyperlink" Target="https://media.fisheries.noaa.gov/dam-migration/po2014sehr-ca_508.pdf" TargetMode="External"/><Relationship Id="rId136" Type="http://schemas.openxmlformats.org/officeDocument/2006/relationships/hyperlink" Target="https://media.fisheries.noaa.gov/dam-migration/ca_sea_lion_final_2018_sar.pdf" TargetMode="External"/><Relationship Id="rId343" Type="http://schemas.openxmlformats.org/officeDocument/2006/relationships/hyperlink" Target="https://media.fisheries.noaa.gov/2022-08/2021-HARBOR%20PORPOISE-Monterey%20Bay%20Stock.pdf" TargetMode="External"/><Relationship Id="rId550" Type="http://schemas.openxmlformats.org/officeDocument/2006/relationships/hyperlink" Target="https://media.fisheries.noaa.gov/dam-migration/2019_sars_alaska_harbor_seal.pdf" TargetMode="External"/><Relationship Id="rId788" Type="http://schemas.openxmlformats.org/officeDocument/2006/relationships/hyperlink" Target="https://s3.amazonaws.com/media.fisheries.noaa.gov/2020-10/2019%20humpback%20whale%20gulf%20of%20Maine%20508.pdf?null" TargetMode="External"/><Relationship Id="rId995" Type="http://schemas.openxmlformats.org/officeDocument/2006/relationships/hyperlink" Target="https://www.fisheries.noaa.gov/s3/2023-08/North-Atlantic-Right-Whale-Western-Atlantic-2022.pdf" TargetMode="External"/><Relationship Id="rId1180" Type="http://schemas.openxmlformats.org/officeDocument/2006/relationships/hyperlink" Target="https://www.fisheries.noaa.gov/s3/2022-08/2021-NORTHERN-FUR-SEAL-Callorhinus-ursinus-Eastern-Pacific-Stock.pdf" TargetMode="External"/><Relationship Id="rId203" Type="http://schemas.openxmlformats.org/officeDocument/2006/relationships/hyperlink" Target="https://media.fisheries.noaa.gov/2022-08/2021-DALL'S%20PORPOISE%20-%20CaliforniaOregonWashington%20Stock.pdf" TargetMode="External"/><Relationship Id="rId648" Type="http://schemas.openxmlformats.org/officeDocument/2006/relationships/hyperlink" Target="https://media.fisheries.noaa.gov/dam-migration/po2014sehr-ca_508.pdf" TargetMode="External"/><Relationship Id="rId855" Type="http://schemas.openxmlformats.org/officeDocument/2006/relationships/hyperlink" Target="https://www.fisheries.noaa.gov/s3/2023-08/Killer-Whale-Eastern-North-Pacific-2022.pdf" TargetMode="External"/><Relationship Id="rId1040" Type="http://schemas.openxmlformats.org/officeDocument/2006/relationships/hyperlink" Target="https://media.fisheries.noaa.gov/2022-08/2021-NorthernElephant-California%20Breeding%20Stock.pdf" TargetMode="External"/><Relationship Id="rId1278" Type="http://schemas.openxmlformats.org/officeDocument/2006/relationships/hyperlink" Target="https://www.fisheries.noaa.gov/s3/2022-08/2021-PACWHITESIDE-CaliforniaOregonWashington-Northern-and-Southern-Stocks.pdf" TargetMode="External"/><Relationship Id="rId1485" Type="http://schemas.openxmlformats.org/officeDocument/2006/relationships/hyperlink" Target="https://www.fisheries.noaa.gov/s3/2023-06/STELLERSEALIONEumetopiasjubatusWesternU.S.Stock-.pdf" TargetMode="External"/><Relationship Id="rId1692" Type="http://schemas.openxmlformats.org/officeDocument/2006/relationships/hyperlink" Target="https://www.fisheries.noaa.gov/s3/2023-06/STELLERSEALIONEumetopiasjubatusWesternU.S.Stock-.pdf" TargetMode="External"/><Relationship Id="rId410" Type="http://schemas.openxmlformats.org/officeDocument/2006/relationships/hyperlink" Target="https://media.fisheries.noaa.gov/dam-migration/2019_sars_alaska_harbor_seal.pdf" TargetMode="External"/><Relationship Id="rId508" Type="http://schemas.openxmlformats.org/officeDocument/2006/relationships/hyperlink" Target="https://media.fisheries.noaa.gov/dam-migration/2019_sars_alaska_harbor_seal.pdf" TargetMode="External"/><Relationship Id="rId715" Type="http://schemas.openxmlformats.org/officeDocument/2006/relationships/hyperlink" Target="https://media.fisheries.noaa.gov/dam-migration/po2013sehr-wain_508.pdf" TargetMode="External"/><Relationship Id="rId922" Type="http://schemas.openxmlformats.org/officeDocument/2006/relationships/hyperlink" Target="https://www.fisheries.noaa.gov/s3/2023-08/North-Atlantic-Right-Whale-Western-Atlantic-2022.pdf" TargetMode="External"/><Relationship Id="rId1138" Type="http://schemas.openxmlformats.org/officeDocument/2006/relationships/hyperlink" Target="https://media.fisheries.noaa.gov/2022-08/2021-NorthernElephant-California%20Breeding%20Stock.pdf" TargetMode="External"/><Relationship Id="rId1345" Type="http://schemas.openxmlformats.org/officeDocument/2006/relationships/hyperlink" Target="https://media.fisheries.noaa.gov/dam-migration/2019_sars_spermwhale_caorwa.pdf" TargetMode="External"/><Relationship Id="rId1552" Type="http://schemas.openxmlformats.org/officeDocument/2006/relationships/hyperlink" Target="https://www.fisheries.noaa.gov/s3/2023-06/STELLERSEALIONEumetopiasjubatusWesternU.S.Stock-.pdf" TargetMode="External"/><Relationship Id="rId1205" Type="http://schemas.openxmlformats.org/officeDocument/2006/relationships/hyperlink" Target="https://www.fisheries.noaa.gov/s3/2022-08/2021-NORTHERN-FUR-SEAL-Callorhinus-ursinus-Eastern-Pacific-Stock.pdf" TargetMode="External"/><Relationship Id="rId1857" Type="http://schemas.openxmlformats.org/officeDocument/2006/relationships/hyperlink" Target="https://www.fisheries.noaa.gov/s3/2023-06/STELLERSEALIONEumetopiasjubatusWesternU.S.Stock-.pdf" TargetMode="External"/><Relationship Id="rId51" Type="http://schemas.openxmlformats.org/officeDocument/2006/relationships/hyperlink" Target="https://media.fisheries.noaa.gov/2022-08/2021-PacBluewhale-Eastern%20North%20Pacific%20Stock.pdf" TargetMode="External"/><Relationship Id="rId1412" Type="http://schemas.openxmlformats.org/officeDocument/2006/relationships/hyperlink" Target="https://media.fisheries.noaa.gov/dam-migration/2019_sars_alaska_steller_sea_lion_-_eastern_us.pdf" TargetMode="External"/><Relationship Id="rId1717" Type="http://schemas.openxmlformats.org/officeDocument/2006/relationships/hyperlink" Target="https://www.fisheries.noaa.gov/s3/2023-06/STELLERSEALIONEumetopiasjubatusWesternU.S.Stock-.pdf" TargetMode="External"/><Relationship Id="rId298" Type="http://schemas.openxmlformats.org/officeDocument/2006/relationships/hyperlink" Target="https://media.fisheries.noaa.gov/2022-08/2021-HARBOR%20PORPOISE-San%20Francisco-Russian%20River%20Stock.pdf" TargetMode="External"/><Relationship Id="rId158" Type="http://schemas.openxmlformats.org/officeDocument/2006/relationships/hyperlink" Target="https://media.fisheries.noaa.gov/dam-migration/ca_sea_lion_final_2018_sar.pdf" TargetMode="External"/><Relationship Id="rId365" Type="http://schemas.openxmlformats.org/officeDocument/2006/relationships/hyperlink" Target="https://media.fisheries.noaa.gov/2022-08/2021-HARBOR%20PORPOISE%20-Northern%20CaliforniaSouthern%20Oregon%20Stock.pdf" TargetMode="External"/><Relationship Id="rId572" Type="http://schemas.openxmlformats.org/officeDocument/2006/relationships/hyperlink" Target="https://media.fisheries.noaa.gov/dam-migration/2019_sars_alaska_harbor_seal.pdf" TargetMode="External"/><Relationship Id="rId225" Type="http://schemas.openxmlformats.org/officeDocument/2006/relationships/hyperlink" Target="https://media.fisheries.noaa.gov/2022-08/2021-PACfinwhale-CaliforniaOregonWashington%20Stock.pdf" TargetMode="External"/><Relationship Id="rId432" Type="http://schemas.openxmlformats.org/officeDocument/2006/relationships/hyperlink" Target="https://media.fisheries.noaa.gov/dam-migration/2019_sars_alaska_harbor_seal.pdf" TargetMode="External"/><Relationship Id="rId877" Type="http://schemas.openxmlformats.org/officeDocument/2006/relationships/hyperlink" Target="https://www.fisheries.noaa.gov/s3/2023-08/Killer-Whale-Eastern-North-Pacific-2022.pdf" TargetMode="External"/><Relationship Id="rId1062" Type="http://schemas.openxmlformats.org/officeDocument/2006/relationships/hyperlink" Target="https://media.fisheries.noaa.gov/2022-08/2021-NorthernElephant-California%20Breeding%20Stock.pdf" TargetMode="External"/><Relationship Id="rId737" Type="http://schemas.openxmlformats.org/officeDocument/2006/relationships/hyperlink" Target="https://www.fisheries.noaa.gov/s3/2023-08/Monk-Seal-2022.pdf" TargetMode="External"/><Relationship Id="rId944" Type="http://schemas.openxmlformats.org/officeDocument/2006/relationships/hyperlink" Target="https://www.fisheries.noaa.gov/s3/2023-08/North-Atlantic-Right-Whale-Western-Atlantic-2022.pdf" TargetMode="External"/><Relationship Id="rId1367" Type="http://schemas.openxmlformats.org/officeDocument/2006/relationships/hyperlink" Target="https://media.fisheries.noaa.gov/dam-migration/2019_sars_alaska_steller_sea_lion_-_eastern_us.pdf" TargetMode="External"/><Relationship Id="rId1574" Type="http://schemas.openxmlformats.org/officeDocument/2006/relationships/hyperlink" Target="https://www.fisheries.noaa.gov/s3/2023-06/STELLERSEALIONEumetopiasjubatusWesternU.S.Stock-.pdf" TargetMode="External"/><Relationship Id="rId1781" Type="http://schemas.openxmlformats.org/officeDocument/2006/relationships/hyperlink" Target="https://www.fisheries.noaa.gov/s3/2023-06/STELLERSEALIONEumetopiasjubatusWesternU.S.Stock-.pdf" TargetMode="External"/><Relationship Id="rId73" Type="http://schemas.openxmlformats.org/officeDocument/2006/relationships/hyperlink" Target="https://media.fisheries.noaa.gov/2022-08/2021-PacBluewhale-Eastern%20North%20Pacific%20Stock.pdf" TargetMode="External"/><Relationship Id="rId804" Type="http://schemas.openxmlformats.org/officeDocument/2006/relationships/hyperlink" Target="https://s3.amazonaws.com/media.fisheries.noaa.gov/2020-10/2019%20humpback%20whale%20gulf%20of%20Maine%20508.pdf?null" TargetMode="External"/><Relationship Id="rId1227" Type="http://schemas.openxmlformats.org/officeDocument/2006/relationships/hyperlink" Target="https://www.fisheries.noaa.gov/s3/2022-08/2021-NORTHERN-FUR-SEAL-Callorhinus-ursinus-Eastern-Pacific-Stock.pdf" TargetMode="External"/><Relationship Id="rId1434" Type="http://schemas.openxmlformats.org/officeDocument/2006/relationships/hyperlink" Target="https://media.fisheries.noaa.gov/dam-migration/2019_sars_alaska_steller_sea_lion_-_eastern_us.pdf" TargetMode="External"/><Relationship Id="rId1641" Type="http://schemas.openxmlformats.org/officeDocument/2006/relationships/hyperlink" Target="https://www.fisheries.noaa.gov/s3/2023-06/STELLERSEALIONEumetopiasjubatusWesternU.S.Stock-.pdf" TargetMode="External"/><Relationship Id="rId1879" Type="http://schemas.openxmlformats.org/officeDocument/2006/relationships/hyperlink" Target="https://media.fisheries.noaa.gov/2022-08/2021-STRIPED%20DOLPHIN-CaliforniaOregonWashington-Stock.pdf" TargetMode="External"/><Relationship Id="rId1501" Type="http://schemas.openxmlformats.org/officeDocument/2006/relationships/hyperlink" Target="https://www.fisheries.noaa.gov/s3/2023-06/STELLERSEALIONEumetopiasjubatusWesternU.S.Stock-.pdf" TargetMode="External"/><Relationship Id="rId1739" Type="http://schemas.openxmlformats.org/officeDocument/2006/relationships/hyperlink" Target="https://www.fisheries.noaa.gov/s3/2023-06/STELLERSEALIONEumetopiasjubatusWesternU.S.Stock-.pdf" TargetMode="External"/><Relationship Id="rId1806" Type="http://schemas.openxmlformats.org/officeDocument/2006/relationships/hyperlink" Target="https://www.fisheries.noaa.gov/s3/2023-06/STELLERSEALIONEumetopiasjubatusWesternU.S.Stock-.pdf" TargetMode="External"/><Relationship Id="rId387" Type="http://schemas.openxmlformats.org/officeDocument/2006/relationships/hyperlink" Target="https://media.fisheries.noaa.gov/dam-migration/2019_sars_alaska_harbor_seal.pdf" TargetMode="External"/><Relationship Id="rId594" Type="http://schemas.openxmlformats.org/officeDocument/2006/relationships/hyperlink" Target="https://media.fisheries.noaa.gov/dam-migration/2019_sars_alaska_harbor_seal.pdf" TargetMode="External"/><Relationship Id="rId247" Type="http://schemas.openxmlformats.org/officeDocument/2006/relationships/hyperlink" Target="https://www.fisheries.noaa.gov/s3/2021-08/2020-Pacific-SARS-Eastern-GrayWhale-dragged-.pdf" TargetMode="External"/><Relationship Id="rId899" Type="http://schemas.openxmlformats.org/officeDocument/2006/relationships/hyperlink" Target="https://media.fisheries.noaa.gov/dam-migration/pacific-2017-mes_beaked_whales-caorwa-508.pdf" TargetMode="External"/><Relationship Id="rId1084" Type="http://schemas.openxmlformats.org/officeDocument/2006/relationships/hyperlink" Target="https://media.fisheries.noaa.gov/2022-08/2021-NorthernElephant-California%20Breeding%20Stock.pdf" TargetMode="External"/><Relationship Id="rId107" Type="http://schemas.openxmlformats.org/officeDocument/2006/relationships/hyperlink" Target="https://www.fisheries.noaa.gov/s3/2023-08/Bowhead-Whale-WAS-2022.pdf" TargetMode="External"/><Relationship Id="rId454" Type="http://schemas.openxmlformats.org/officeDocument/2006/relationships/hyperlink" Target="https://media.fisheries.noaa.gov/dam-migration/2019_sars_alaska_harbor_seal.pdf" TargetMode="External"/><Relationship Id="rId661" Type="http://schemas.openxmlformats.org/officeDocument/2006/relationships/hyperlink" Target="https://media.fisheries.noaa.gov/dam-migration/po2014sehr-ca_508.pdf" TargetMode="External"/><Relationship Id="rId759" Type="http://schemas.openxmlformats.org/officeDocument/2006/relationships/hyperlink" Target="https://media.fisheries.noaa.gov/2022-08/2021-HumpbackWhale-CaliforniaOregonWashington%20Stock.pdf" TargetMode="External"/><Relationship Id="rId966" Type="http://schemas.openxmlformats.org/officeDocument/2006/relationships/hyperlink" Target="https://www.fisheries.noaa.gov/s3/2023-08/North-Atlantic-Right-Whale-Western-Atlantic-2022.pdf" TargetMode="External"/><Relationship Id="rId1291" Type="http://schemas.openxmlformats.org/officeDocument/2006/relationships/hyperlink" Target="https://media.fisheries.noaa.gov/2022-08/2021-shortbeak-common-dolphin-CaliforniaOregonWashington%20Stock.pdf" TargetMode="External"/><Relationship Id="rId1389" Type="http://schemas.openxmlformats.org/officeDocument/2006/relationships/hyperlink" Target="https://media.fisheries.noaa.gov/dam-migration/2019_sars_alaska_steller_sea_lion_-_eastern_us.pdf" TargetMode="External"/><Relationship Id="rId1596" Type="http://schemas.openxmlformats.org/officeDocument/2006/relationships/hyperlink" Target="https://www.fisheries.noaa.gov/s3/2023-06/STELLERSEALIONEumetopiasjubatusWesternU.S.Stock-.pdf" TargetMode="External"/><Relationship Id="rId314" Type="http://schemas.openxmlformats.org/officeDocument/2006/relationships/hyperlink" Target="https://media.fisheries.noaa.gov/2022-08/2021-HARBOR%20PORPOISE-Morro%20Bay%20Stock.pdf" TargetMode="External"/><Relationship Id="rId521" Type="http://schemas.openxmlformats.org/officeDocument/2006/relationships/hyperlink" Target="https://media.fisheries.noaa.gov/dam-migration/2019_sars_alaska_harbor_seal.pdf" TargetMode="External"/><Relationship Id="rId619" Type="http://schemas.openxmlformats.org/officeDocument/2006/relationships/hyperlink" Target="https://media.fisheries.noaa.gov/dam-migration/2019_sars_alaska_harbor_seal.pdf" TargetMode="External"/><Relationship Id="rId1151" Type="http://schemas.openxmlformats.org/officeDocument/2006/relationships/hyperlink" Target="https://www.fisheries.noaa.gov/s3/2022-08/2021-NORTHERN-FUR-SEAL-Callorhinus-ursinus-Eastern-Pacific-Stock.pdf" TargetMode="External"/><Relationship Id="rId1249" Type="http://schemas.openxmlformats.org/officeDocument/2006/relationships/hyperlink" Target="https://www.fws.gov/sites/default/files/documents/northern-sea-otter-washington-stock-assessment-report-july-2018.pdf" TargetMode="External"/><Relationship Id="rId95" Type="http://schemas.openxmlformats.org/officeDocument/2006/relationships/hyperlink" Target="https://media.fisheries.noaa.gov/2022-08/2021-PacBluewhale-Eastern%20North%20Pacific%20Stock.pdf" TargetMode="External"/><Relationship Id="rId826" Type="http://schemas.openxmlformats.org/officeDocument/2006/relationships/hyperlink" Target="https://s3.amazonaws.com/media.fisheries.noaa.gov/2020-10/2019%20humpback%20whale%20gulf%20of%20Maine%20508.pdf?null" TargetMode="External"/><Relationship Id="rId1011" Type="http://schemas.openxmlformats.org/officeDocument/2006/relationships/hyperlink" Target="https://media.fisheries.noaa.gov/2022-08/2021-NorthernElephant-California%20Breeding%20Stock.pdf" TargetMode="External"/><Relationship Id="rId1109" Type="http://schemas.openxmlformats.org/officeDocument/2006/relationships/hyperlink" Target="https://media.fisheries.noaa.gov/2022-08/2021-NorthernElephant-California%20Breeding%20Stock.pdf" TargetMode="External"/><Relationship Id="rId1456" Type="http://schemas.openxmlformats.org/officeDocument/2006/relationships/hyperlink" Target="https://media.fisheries.noaa.gov/dam-migration/2019_sars_alaska_steller_sea_lion_-_eastern_us.pdf" TargetMode="External"/><Relationship Id="rId1663" Type="http://schemas.openxmlformats.org/officeDocument/2006/relationships/hyperlink" Target="https://www.fisheries.noaa.gov/s3/2023-06/STELLERSEALIONEumetopiasjubatusWesternU.S.Stock-.pdf" TargetMode="External"/><Relationship Id="rId1870" Type="http://schemas.openxmlformats.org/officeDocument/2006/relationships/hyperlink" Target="https://www.fisheries.noaa.gov/s3/2023-06/STELLERSEALIONEumetopiasjubatusWesternU.S.Stock-.pdf" TargetMode="External"/><Relationship Id="rId1316" Type="http://schemas.openxmlformats.org/officeDocument/2006/relationships/hyperlink" Target="https://www.fws.gov/sites/default/files/documents/southern-sea-otter-stock-assessment-report.pdf" TargetMode="External"/><Relationship Id="rId1523" Type="http://schemas.openxmlformats.org/officeDocument/2006/relationships/hyperlink" Target="https://www.fisheries.noaa.gov/s3/2023-06/STELLERSEALIONEumetopiasjubatusWesternU.S.Stock-.pdf" TargetMode="External"/><Relationship Id="rId1730" Type="http://schemas.openxmlformats.org/officeDocument/2006/relationships/hyperlink" Target="https://www.fisheries.noaa.gov/s3/2023-06/STELLERSEALIONEumetopiasjubatusWesternU.S.Stock-.pdf" TargetMode="External"/><Relationship Id="rId22" Type="http://schemas.openxmlformats.org/officeDocument/2006/relationships/hyperlink" Target="https://media.fisheries.noaa.gov/2022-08/pacific-2021-beaked-whale-mesoplodont.pdf" TargetMode="External"/><Relationship Id="rId1828" Type="http://schemas.openxmlformats.org/officeDocument/2006/relationships/hyperlink" Target="https://www.fisheries.noaa.gov/s3/2023-06/STELLERSEALIONEumetopiasjubatusWesternU.S.Stock-.pdf" TargetMode="External"/><Relationship Id="rId171" Type="http://schemas.openxmlformats.org/officeDocument/2006/relationships/hyperlink" Target="https://media.fisheries.noaa.gov/dam-migration/ca_sea_lion_final_2018_sar.pdf" TargetMode="External"/><Relationship Id="rId269" Type="http://schemas.openxmlformats.org/officeDocument/2006/relationships/hyperlink" Target="https://www.fisheries.noaa.gov/s3/2021-08/2020-Pacific-SARS-Eastern-GrayWhale-dragged-.pdf" TargetMode="External"/><Relationship Id="rId476" Type="http://schemas.openxmlformats.org/officeDocument/2006/relationships/hyperlink" Target="https://media.fisheries.noaa.gov/dam-migration/2019_sars_alaska_harbor_seal.pdf" TargetMode="External"/><Relationship Id="rId683" Type="http://schemas.openxmlformats.org/officeDocument/2006/relationships/hyperlink" Target="https://media.fisheries.noaa.gov/dam-migration/po2014sehr-ca_508.pdf" TargetMode="External"/><Relationship Id="rId890" Type="http://schemas.openxmlformats.org/officeDocument/2006/relationships/hyperlink" Target="https://media.fisheries.noaa.gov/2022-08/2021-LONG-BEAKED%20COMMON%20DOLPHIN-California%20Stock.pdf" TargetMode="External"/><Relationship Id="rId129" Type="http://schemas.openxmlformats.org/officeDocument/2006/relationships/hyperlink" Target="https://media.fisheries.noaa.gov/dam-migration/ca_sea_lion_final_2018_sar.pdf" TargetMode="External"/><Relationship Id="rId336" Type="http://schemas.openxmlformats.org/officeDocument/2006/relationships/hyperlink" Target="https://media.fisheries.noaa.gov/2022-08/2021-HARBOR%20PORPOISE-Monterey%20Bay%20Stock.pdf" TargetMode="External"/><Relationship Id="rId543" Type="http://schemas.openxmlformats.org/officeDocument/2006/relationships/hyperlink" Target="https://media.fisheries.noaa.gov/dam-migration/2019_sars_alaska_harbor_seal.pdf" TargetMode="External"/><Relationship Id="rId988" Type="http://schemas.openxmlformats.org/officeDocument/2006/relationships/hyperlink" Target="https://www.fisheries.noaa.gov/s3/2023-08/North-Atlantic-Right-Whale-Western-Atlantic-2022.pdf" TargetMode="External"/><Relationship Id="rId1173" Type="http://schemas.openxmlformats.org/officeDocument/2006/relationships/hyperlink" Target="https://www.fisheries.noaa.gov/s3/2022-08/2021-NORTHERN-FUR-SEAL-Callorhinus-ursinus-Eastern-Pacific-Stock.pdf" TargetMode="External"/><Relationship Id="rId1380" Type="http://schemas.openxmlformats.org/officeDocument/2006/relationships/hyperlink" Target="https://media.fisheries.noaa.gov/dam-migration/2019_sars_alaska_steller_sea_lion_-_eastern_us.pdf" TargetMode="External"/><Relationship Id="rId403" Type="http://schemas.openxmlformats.org/officeDocument/2006/relationships/hyperlink" Target="https://media.fisheries.noaa.gov/dam-migration/2019_sars_alaska_harbor_seal.pdf" TargetMode="External"/><Relationship Id="rId750" Type="http://schemas.openxmlformats.org/officeDocument/2006/relationships/hyperlink" Target="https://media.fisheries.noaa.gov/2022-08/2021-HumpbackWhale-CaliforniaOregonWashington%20Stock.pdf" TargetMode="External"/><Relationship Id="rId848" Type="http://schemas.openxmlformats.org/officeDocument/2006/relationships/hyperlink" Target="https://www.fisheries.noaa.gov/s3/2023-08/Killer-Whale-Eastern-North-Pacific-2022.pdf" TargetMode="External"/><Relationship Id="rId1033" Type="http://schemas.openxmlformats.org/officeDocument/2006/relationships/hyperlink" Target="https://media.fisheries.noaa.gov/2022-08/2021-NorthernElephant-California%20Breeding%20Stock.pdf" TargetMode="External"/><Relationship Id="rId1478" Type="http://schemas.openxmlformats.org/officeDocument/2006/relationships/hyperlink" Target="https://www.fisheries.noaa.gov/s3/2023-06/STELLERSEALIONEumetopiasjubatusWesternU.S.Stock-.pdf" TargetMode="External"/><Relationship Id="rId1685" Type="http://schemas.openxmlformats.org/officeDocument/2006/relationships/hyperlink" Target="https://www.fisheries.noaa.gov/s3/2023-06/STELLERSEALIONEumetopiasjubatusWesternU.S.Stock-.pdf" TargetMode="External"/><Relationship Id="rId1892" Type="http://schemas.openxmlformats.org/officeDocument/2006/relationships/vmlDrawing" Target="../drawings/vmlDrawing2.vml"/><Relationship Id="rId610" Type="http://schemas.openxmlformats.org/officeDocument/2006/relationships/hyperlink" Target="https://media.fisheries.noaa.gov/dam-migration/2019_sars_alaska_harbor_seal.pdf" TargetMode="External"/><Relationship Id="rId708" Type="http://schemas.openxmlformats.org/officeDocument/2006/relationships/hyperlink" Target="https://media.fisheries.noaa.gov/dam-migration/po2013sehr-wain_508.pdf" TargetMode="External"/><Relationship Id="rId915" Type="http://schemas.openxmlformats.org/officeDocument/2006/relationships/hyperlink" Target="https://media.fisheries.noaa.gov/2022-08/2021-PACminke-CaliforniaOregonWashington%20Stock.pdf" TargetMode="External"/><Relationship Id="rId1240" Type="http://schemas.openxmlformats.org/officeDocument/2006/relationships/hyperlink" Target="https://media.fisheries.noaa.gov/2022-08/2021-NorthernRWdolphin-CaliforniaOregonWashington%20Stock.pdf" TargetMode="External"/><Relationship Id="rId1338" Type="http://schemas.openxmlformats.org/officeDocument/2006/relationships/hyperlink" Target="https://www.fws.gov/sites/default/files/documents/southern-sea-otter-stock-assessment-report.pdf" TargetMode="External"/><Relationship Id="rId1545" Type="http://schemas.openxmlformats.org/officeDocument/2006/relationships/hyperlink" Target="https://www.fisheries.noaa.gov/s3/2023-06/STELLERSEALIONEumetopiasjubatusWesternU.S.Stock-.pdf" TargetMode="External"/><Relationship Id="rId1100" Type="http://schemas.openxmlformats.org/officeDocument/2006/relationships/hyperlink" Target="https://media.fisheries.noaa.gov/2022-08/2021-NorthernElephant-California%20Breeding%20Stock.pdf" TargetMode="External"/><Relationship Id="rId1405" Type="http://schemas.openxmlformats.org/officeDocument/2006/relationships/hyperlink" Target="https://media.fisheries.noaa.gov/dam-migration/2019_sars_alaska_steller_sea_lion_-_eastern_us.pdf" TargetMode="External"/><Relationship Id="rId1752" Type="http://schemas.openxmlformats.org/officeDocument/2006/relationships/hyperlink" Target="https://www.fisheries.noaa.gov/s3/2023-06/STELLERSEALIONEumetopiasjubatusWesternU.S.Stock-.pdf" TargetMode="External"/><Relationship Id="rId44" Type="http://schemas.openxmlformats.org/officeDocument/2006/relationships/hyperlink" Target="https://www.fisheries.noaa.gov/s3/2023-05/2021BELUGA-WHALE-Delphinapterus-leucas-Cook-Inlet-Stock.pdf" TargetMode="External"/><Relationship Id="rId1612" Type="http://schemas.openxmlformats.org/officeDocument/2006/relationships/hyperlink" Target="https://www.fisheries.noaa.gov/s3/2023-06/STELLERSEALIONEumetopiasjubatusWesternU.S.Stock-.pdf" TargetMode="External"/><Relationship Id="rId193" Type="http://schemas.openxmlformats.org/officeDocument/2006/relationships/hyperlink" Target="https://www.fisheries.noaa.gov/s3/2023-08/Cuviers-CAORWA-2022.pdf" TargetMode="External"/><Relationship Id="rId498" Type="http://schemas.openxmlformats.org/officeDocument/2006/relationships/hyperlink" Target="https://media.fisheries.noaa.gov/dam-migration/2019_sars_alaska_harbor_seal.pdf" TargetMode="External"/><Relationship Id="rId260" Type="http://schemas.openxmlformats.org/officeDocument/2006/relationships/hyperlink" Target="https://www.fisheries.noaa.gov/s3/2021-08/2020-Pacific-SARS-Eastern-GrayWhale-dragged-.pdf" TargetMode="External"/><Relationship Id="rId120" Type="http://schemas.openxmlformats.org/officeDocument/2006/relationships/hyperlink" Target="https://media.fisheries.noaa.gov/dam-migration/ca_sea_lion_final_2018_sar.pdf" TargetMode="External"/><Relationship Id="rId358" Type="http://schemas.openxmlformats.org/officeDocument/2006/relationships/hyperlink" Target="https://media.fisheries.noaa.gov/2022-08/2021-HARBOR%20PORPOISE-Monterey%20Bay%20Stock.pdf" TargetMode="External"/><Relationship Id="rId565" Type="http://schemas.openxmlformats.org/officeDocument/2006/relationships/hyperlink" Target="https://media.fisheries.noaa.gov/dam-migration/2019_sars_alaska_harbor_seal.pdf" TargetMode="External"/><Relationship Id="rId772" Type="http://schemas.openxmlformats.org/officeDocument/2006/relationships/hyperlink" Target="https://media.fisheries.noaa.gov/2022-08/2021-HumpbackWhale-CaliforniaOregonWashington%20Stock.pdf" TargetMode="External"/><Relationship Id="rId1195" Type="http://schemas.openxmlformats.org/officeDocument/2006/relationships/hyperlink" Target="https://www.fisheries.noaa.gov/s3/2022-08/2021-NORTHERN-FUR-SEAL-Callorhinus-ursinus-Eastern-Pacific-Stock.pdf" TargetMode="External"/><Relationship Id="rId218" Type="http://schemas.openxmlformats.org/officeDocument/2006/relationships/hyperlink" Target="https://media.fisheries.noaa.gov/2022-08/2021-DALL'S%20PORPOISE%20-%20CaliforniaOregonWashington%20Stock.pdf" TargetMode="External"/><Relationship Id="rId425" Type="http://schemas.openxmlformats.org/officeDocument/2006/relationships/hyperlink" Target="https://media.fisheries.noaa.gov/dam-migration/2019_sars_alaska_harbor_seal.pdf" TargetMode="External"/><Relationship Id="rId632" Type="http://schemas.openxmlformats.org/officeDocument/2006/relationships/hyperlink" Target="https://media.fisheries.noaa.gov/dam-migration/2019_sars_alaska_harbor_seal.pdf" TargetMode="External"/><Relationship Id="rId1055" Type="http://schemas.openxmlformats.org/officeDocument/2006/relationships/hyperlink" Target="https://media.fisheries.noaa.gov/2022-08/2021-NorthernElephant-California%20Breeding%20Stock.pdf" TargetMode="External"/><Relationship Id="rId1262" Type="http://schemas.openxmlformats.org/officeDocument/2006/relationships/hyperlink" Target="https://www.fws.gov/sites/default/files/documents/northern-sea-otter-washington-stock-assessment-report-july-2018.pdf" TargetMode="External"/><Relationship Id="rId937" Type="http://schemas.openxmlformats.org/officeDocument/2006/relationships/hyperlink" Target="https://www.fisheries.noaa.gov/s3/2023-08/North-Atlantic-Right-Whale-Western-Atlantic-2022.pdf" TargetMode="External"/><Relationship Id="rId1122" Type="http://schemas.openxmlformats.org/officeDocument/2006/relationships/hyperlink" Target="https://media.fisheries.noaa.gov/2022-08/2021-NorthernElephant-California%20Breeding%20Stock.pdf" TargetMode="External"/><Relationship Id="rId1567" Type="http://schemas.openxmlformats.org/officeDocument/2006/relationships/hyperlink" Target="https://www.fisheries.noaa.gov/s3/2023-06/STELLERSEALIONEumetopiasjubatusWesternU.S.Stock-.pdf" TargetMode="External"/><Relationship Id="rId1774" Type="http://schemas.openxmlformats.org/officeDocument/2006/relationships/hyperlink" Target="https://www.fisheries.noaa.gov/s3/2023-06/STELLERSEALIONEumetopiasjubatusWesternU.S.Stock-.pdf" TargetMode="External"/><Relationship Id="rId66" Type="http://schemas.openxmlformats.org/officeDocument/2006/relationships/hyperlink" Target="https://media.fisheries.noaa.gov/2022-08/2021-PacBluewhale-Eastern%20North%20Pacific%20Stock.pdf" TargetMode="External"/><Relationship Id="rId1427" Type="http://schemas.openxmlformats.org/officeDocument/2006/relationships/hyperlink" Target="https://media.fisheries.noaa.gov/dam-migration/2019_sars_alaska_steller_sea_lion_-_eastern_us.pdf" TargetMode="External"/><Relationship Id="rId1634" Type="http://schemas.openxmlformats.org/officeDocument/2006/relationships/hyperlink" Target="https://www.fisheries.noaa.gov/s3/2023-06/STELLERSEALIONEumetopiasjubatusWesternU.S.Stock-.pdf" TargetMode="External"/><Relationship Id="rId1841" Type="http://schemas.openxmlformats.org/officeDocument/2006/relationships/hyperlink" Target="https://www.fisheries.noaa.gov/s3/2023-06/STELLERSEALIONEumetopiasjubatusWesternU.S.Stock-.pdf" TargetMode="External"/><Relationship Id="rId1701" Type="http://schemas.openxmlformats.org/officeDocument/2006/relationships/hyperlink" Target="https://www.fisheries.noaa.gov/s3/2023-06/STELLERSEALIONEumetopiasjubatusWesternU.S.Stock-.pdf" TargetMode="External"/><Relationship Id="rId282" Type="http://schemas.openxmlformats.org/officeDocument/2006/relationships/hyperlink" Target="https://media.fisheries.noaa.gov/2022-08/2021-HARBOR%20PORPOISE-San%20Francisco-Russian%20River%20Stock.pdf" TargetMode="External"/><Relationship Id="rId587" Type="http://schemas.openxmlformats.org/officeDocument/2006/relationships/hyperlink" Target="https://media.fisheries.noaa.gov/dam-migration/2019_sars_alaska_harbor_seal.pdf" TargetMode="External"/><Relationship Id="rId8" Type="http://schemas.openxmlformats.org/officeDocument/2006/relationships/hyperlink" Target="https://media.fisheries.noaa.gov/2022-08/pacific-2021-beaked-whale-mesoplodont.pdf" TargetMode="External"/><Relationship Id="rId142" Type="http://schemas.openxmlformats.org/officeDocument/2006/relationships/hyperlink" Target="https://media.fisheries.noaa.gov/dam-migration/ca_sea_lion_final_2018_sar.pdf" TargetMode="External"/><Relationship Id="rId447" Type="http://schemas.openxmlformats.org/officeDocument/2006/relationships/hyperlink" Target="https://media.fisheries.noaa.gov/dam-migration/2019_sars_alaska_harbor_seal.pdf" TargetMode="External"/><Relationship Id="rId794" Type="http://schemas.openxmlformats.org/officeDocument/2006/relationships/hyperlink" Target="https://s3.amazonaws.com/media.fisheries.noaa.gov/2020-10/2019%20humpback%20whale%20gulf%20of%20Maine%20508.pdf?null" TargetMode="External"/><Relationship Id="rId1077" Type="http://schemas.openxmlformats.org/officeDocument/2006/relationships/hyperlink" Target="https://media.fisheries.noaa.gov/2022-08/2021-NorthernElephant-California%20Breeding%20Stock.pdf" TargetMode="External"/><Relationship Id="rId654" Type="http://schemas.openxmlformats.org/officeDocument/2006/relationships/hyperlink" Target="https://media.fisheries.noaa.gov/dam-migration/po2014sehr-ca_508.pdf" TargetMode="External"/><Relationship Id="rId861" Type="http://schemas.openxmlformats.org/officeDocument/2006/relationships/hyperlink" Target="https://www.fisheries.noaa.gov/s3/2023-08/Killer-Whale-Eastern-North-Pacific-2022.pdf" TargetMode="External"/><Relationship Id="rId959" Type="http://schemas.openxmlformats.org/officeDocument/2006/relationships/hyperlink" Target="https://www.fisheries.noaa.gov/s3/2023-08/North-Atlantic-Right-Whale-Western-Atlantic-2022.pdf" TargetMode="External"/><Relationship Id="rId1284" Type="http://schemas.openxmlformats.org/officeDocument/2006/relationships/hyperlink" Target="https://media.fisheries.noaa.gov/2021-08/2020-Pacific-SARS-Rissos.pdf" TargetMode="External"/><Relationship Id="rId1491" Type="http://schemas.openxmlformats.org/officeDocument/2006/relationships/hyperlink" Target="https://www.fisheries.noaa.gov/s3/2023-06/STELLERSEALIONEumetopiasjubatusWesternU.S.Stock-.pdf" TargetMode="External"/><Relationship Id="rId1589" Type="http://schemas.openxmlformats.org/officeDocument/2006/relationships/hyperlink" Target="https://www.fisheries.noaa.gov/s3/2023-06/STELLERSEALIONEumetopiasjubatusWesternU.S.Stock-.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002/1438-390X.1014"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ildlife-species.az.ec.gc.ca/species-risk-registry/virtual_sara/files/cosewic/Sas-NorthernFurSeal-v00-2022-eng.pdf" TargetMode="External"/><Relationship Id="rId117" Type="http://schemas.openxmlformats.org/officeDocument/2006/relationships/hyperlink" Target="https://wildlife-species.az.ec.gc.ca/species-risk-registry/virtual_sara/files/cosewic/Sas-NorthernFurSeal-v00-2022-eng.pdf" TargetMode="External"/><Relationship Id="rId21" Type="http://schemas.openxmlformats.org/officeDocument/2006/relationships/hyperlink" Target="https://wildlife-species.az.ec.gc.ca/species-risk-registry/virtual_sara/files/cosewic/Sas-NorthernFurSeal-v00-2022-eng.pdf" TargetMode="External"/><Relationship Id="rId42" Type="http://schemas.openxmlformats.org/officeDocument/2006/relationships/hyperlink" Target="https://wildlife-species.az.ec.gc.ca/species-risk-registry/virtual_sara/files/cosewic/Sas-NorthernFurSeal-v00-2022-eng.pdf" TargetMode="External"/><Relationship Id="rId47" Type="http://schemas.openxmlformats.org/officeDocument/2006/relationships/hyperlink" Target="https://wildlife-species.az.ec.gc.ca/species-risk-registry/virtual_sara/files/cosewic/Sas-NorthernFurSeal-v00-2022-eng.pdf" TargetMode="External"/><Relationship Id="rId63" Type="http://schemas.openxmlformats.org/officeDocument/2006/relationships/hyperlink" Target="https://wildlife-species.az.ec.gc.ca/species-risk-registry/virtual_sara/files/cosewic/Sas-NorthernFurSeal-v00-2022-eng.pdf" TargetMode="External"/><Relationship Id="rId68" Type="http://schemas.openxmlformats.org/officeDocument/2006/relationships/hyperlink" Target="https://wildlife-species.az.ec.gc.ca/species-risk-registry/virtual_sara/files/cosewic/Sas-NorthernFurSeal-v00-2022-eng.pdf" TargetMode="External"/><Relationship Id="rId84" Type="http://schemas.openxmlformats.org/officeDocument/2006/relationships/hyperlink" Target="https://wildlife-species.az.ec.gc.ca/species-risk-registry/virtual_sara/files/cosewic/Sas-NorthernFurSeal-v00-2022-eng.pdf" TargetMode="External"/><Relationship Id="rId89" Type="http://schemas.openxmlformats.org/officeDocument/2006/relationships/hyperlink" Target="https://wildlife-species.az.ec.gc.ca/species-risk-registry/virtual_sara/files/cosewic/Sas-NorthernFurSeal-v00-2022-eng.pdf" TargetMode="External"/><Relationship Id="rId112" Type="http://schemas.openxmlformats.org/officeDocument/2006/relationships/hyperlink" Target="https://wildlife-species.az.ec.gc.ca/species-risk-registry/virtual_sara/files/cosewic/Sas-NorthernFurSeal-v00-2022-eng.pdf" TargetMode="External"/><Relationship Id="rId16" Type="http://schemas.openxmlformats.org/officeDocument/2006/relationships/hyperlink" Target="https://wildlife-species.az.ec.gc.ca/species-risk-registry/virtual_sara/files/cosewic/Sas-NorthernFurSeal-v00-2022-eng.pdf" TargetMode="External"/><Relationship Id="rId107" Type="http://schemas.openxmlformats.org/officeDocument/2006/relationships/hyperlink" Target="https://wildlife-species.az.ec.gc.ca/species-risk-registry/virtual_sara/files/cosewic/Sas-NorthernFurSeal-v00-2022-eng.pdf" TargetMode="External"/><Relationship Id="rId11" Type="http://schemas.openxmlformats.org/officeDocument/2006/relationships/hyperlink" Target="https://wildlife-species.az.ec.gc.ca/species-risk-registry/virtual_sara/files/cosewic/Sas-NorthernFurSeal-v00-2022-eng.pdf" TargetMode="External"/><Relationship Id="rId32" Type="http://schemas.openxmlformats.org/officeDocument/2006/relationships/hyperlink" Target="https://wildlife-species.az.ec.gc.ca/species-risk-registry/virtual_sara/files/cosewic/Sas-NorthernFurSeal-v00-2022-eng.pdf" TargetMode="External"/><Relationship Id="rId37" Type="http://schemas.openxmlformats.org/officeDocument/2006/relationships/hyperlink" Target="https://wildlife-species.az.ec.gc.ca/species-risk-registry/virtual_sara/files/cosewic/Sas-NorthernFurSeal-v00-2022-eng.pdf" TargetMode="External"/><Relationship Id="rId53" Type="http://schemas.openxmlformats.org/officeDocument/2006/relationships/hyperlink" Target="https://wildlife-species.az.ec.gc.ca/species-risk-registry/virtual_sara/files/cosewic/Sas-NorthernFurSeal-v00-2022-eng.pdf" TargetMode="External"/><Relationship Id="rId58" Type="http://schemas.openxmlformats.org/officeDocument/2006/relationships/hyperlink" Target="https://wildlife-species.az.ec.gc.ca/species-risk-registry/virtual_sara/files/cosewic/Sas-NorthernFurSeal-v00-2022-eng.pdf" TargetMode="External"/><Relationship Id="rId74" Type="http://schemas.openxmlformats.org/officeDocument/2006/relationships/hyperlink" Target="https://wildlife-species.az.ec.gc.ca/species-risk-registry/virtual_sara/files/cosewic/Sas-NorthernFurSeal-v00-2022-eng.pdf" TargetMode="External"/><Relationship Id="rId79" Type="http://schemas.openxmlformats.org/officeDocument/2006/relationships/hyperlink" Target="https://wildlife-species.az.ec.gc.ca/species-risk-registry/virtual_sara/files/cosewic/Sas-NorthernFurSeal-v00-2022-eng.pdf" TargetMode="External"/><Relationship Id="rId102" Type="http://schemas.openxmlformats.org/officeDocument/2006/relationships/hyperlink" Target="https://wildlife-species.az.ec.gc.ca/species-risk-registry/virtual_sara/files/cosewic/Sas-NorthernFurSeal-v00-2022-eng.pdf" TargetMode="External"/><Relationship Id="rId5" Type="http://schemas.openxmlformats.org/officeDocument/2006/relationships/hyperlink" Target="https://wildlife-species.az.ec.gc.ca/species-risk-registry/virtual_sara/files/cosewic/Sas-NorthernFurSeal-v00-2022-eng.pdf" TargetMode="External"/><Relationship Id="rId90" Type="http://schemas.openxmlformats.org/officeDocument/2006/relationships/hyperlink" Target="https://wildlife-species.az.ec.gc.ca/species-risk-registry/virtual_sara/files/cosewic/Sas-NorthernFurSeal-v00-2022-eng.pdf" TargetMode="External"/><Relationship Id="rId95" Type="http://schemas.openxmlformats.org/officeDocument/2006/relationships/hyperlink" Target="https://wildlife-species.az.ec.gc.ca/species-risk-registry/virtual_sara/files/cosewic/Sas-NorthernFurSeal-v00-2022-eng.pdf" TargetMode="External"/><Relationship Id="rId22" Type="http://schemas.openxmlformats.org/officeDocument/2006/relationships/hyperlink" Target="https://wildlife-species.az.ec.gc.ca/species-risk-registry/virtual_sara/files/cosewic/Sas-NorthernFurSeal-v00-2022-eng.pdf" TargetMode="External"/><Relationship Id="rId27" Type="http://schemas.openxmlformats.org/officeDocument/2006/relationships/hyperlink" Target="https://wildlife-species.az.ec.gc.ca/species-risk-registry/virtual_sara/files/cosewic/Sas-NorthernFurSeal-v00-2022-eng.pdf" TargetMode="External"/><Relationship Id="rId43" Type="http://schemas.openxmlformats.org/officeDocument/2006/relationships/hyperlink" Target="https://wildlife-species.az.ec.gc.ca/species-risk-registry/virtual_sara/files/cosewic/Sas-NorthernFurSeal-v00-2022-eng.pdf" TargetMode="External"/><Relationship Id="rId48" Type="http://schemas.openxmlformats.org/officeDocument/2006/relationships/hyperlink" Target="https://wildlife-species.az.ec.gc.ca/species-risk-registry/virtual_sara/files/cosewic/Sas-NorthernFurSeal-v00-2022-eng.pdf" TargetMode="External"/><Relationship Id="rId64" Type="http://schemas.openxmlformats.org/officeDocument/2006/relationships/hyperlink" Target="https://wildlife-species.az.ec.gc.ca/species-risk-registry/virtual_sara/files/cosewic/Sas-NorthernFurSeal-v00-2022-eng.pdf" TargetMode="External"/><Relationship Id="rId69" Type="http://schemas.openxmlformats.org/officeDocument/2006/relationships/hyperlink" Target="https://wildlife-species.az.ec.gc.ca/species-risk-registry/virtual_sara/files/cosewic/Sas-NorthernFurSeal-v00-2022-eng.pdf" TargetMode="External"/><Relationship Id="rId113" Type="http://schemas.openxmlformats.org/officeDocument/2006/relationships/hyperlink" Target="https://wildlife-species.az.ec.gc.ca/species-risk-registry/virtual_sara/files/cosewic/Sas-NorthernFurSeal-v00-2022-eng.pdf" TargetMode="External"/><Relationship Id="rId118" Type="http://schemas.openxmlformats.org/officeDocument/2006/relationships/hyperlink" Target="https://wildlife-species.az.ec.gc.ca/species-risk-registry/virtual_sara/files/cosewic/Sas-NorthernFurSeal-v00-2022-eng.pdf" TargetMode="External"/><Relationship Id="rId80" Type="http://schemas.openxmlformats.org/officeDocument/2006/relationships/hyperlink" Target="https://wildlife-species.az.ec.gc.ca/species-risk-registry/virtual_sara/files/cosewic/Sas-NorthernFurSeal-v00-2022-eng.pdf" TargetMode="External"/><Relationship Id="rId85" Type="http://schemas.openxmlformats.org/officeDocument/2006/relationships/hyperlink" Target="https://wildlife-species.az.ec.gc.ca/species-risk-registry/virtual_sara/files/cosewic/Sas-NorthernFurSeal-v00-2022-eng.pdf" TargetMode="External"/><Relationship Id="rId12" Type="http://schemas.openxmlformats.org/officeDocument/2006/relationships/hyperlink" Target="https://wildlife-species.az.ec.gc.ca/species-risk-registry/virtual_sara/files/cosewic/Sas-NorthernFurSeal-v00-2022-eng.pdf" TargetMode="External"/><Relationship Id="rId17" Type="http://schemas.openxmlformats.org/officeDocument/2006/relationships/hyperlink" Target="https://wildlife-species.az.ec.gc.ca/species-risk-registry/virtual_sara/files/cosewic/Sas-NorthernFurSeal-v00-2022-eng.pdf" TargetMode="External"/><Relationship Id="rId33" Type="http://schemas.openxmlformats.org/officeDocument/2006/relationships/hyperlink" Target="https://wildlife-species.az.ec.gc.ca/species-risk-registry/virtual_sara/files/cosewic/Sas-NorthernFurSeal-v00-2022-eng.pdf" TargetMode="External"/><Relationship Id="rId38" Type="http://schemas.openxmlformats.org/officeDocument/2006/relationships/hyperlink" Target="https://wildlife-species.az.ec.gc.ca/species-risk-registry/virtual_sara/files/cosewic/Sas-NorthernFurSeal-v00-2022-eng.pdf" TargetMode="External"/><Relationship Id="rId59" Type="http://schemas.openxmlformats.org/officeDocument/2006/relationships/hyperlink" Target="https://wildlife-species.az.ec.gc.ca/species-risk-registry/virtual_sara/files/cosewic/Sas-NorthernFurSeal-v00-2022-eng.pdf" TargetMode="External"/><Relationship Id="rId103" Type="http://schemas.openxmlformats.org/officeDocument/2006/relationships/hyperlink" Target="https://wildlife-species.az.ec.gc.ca/species-risk-registry/virtual_sara/files/cosewic/Sas-NorthernFurSeal-v00-2022-eng.pdf" TargetMode="External"/><Relationship Id="rId108" Type="http://schemas.openxmlformats.org/officeDocument/2006/relationships/hyperlink" Target="https://wildlife-species.az.ec.gc.ca/species-risk-registry/virtual_sara/files/cosewic/Sas-NorthernFurSeal-v00-2022-eng.pdf" TargetMode="External"/><Relationship Id="rId54" Type="http://schemas.openxmlformats.org/officeDocument/2006/relationships/hyperlink" Target="https://wildlife-species.az.ec.gc.ca/species-risk-registry/virtual_sara/files/cosewic/Sas-NorthernFurSeal-v00-2022-eng.pdf" TargetMode="External"/><Relationship Id="rId70" Type="http://schemas.openxmlformats.org/officeDocument/2006/relationships/hyperlink" Target="https://wildlife-species.az.ec.gc.ca/species-risk-registry/virtual_sara/files/cosewic/Sas-NorthernFurSeal-v00-2022-eng.pdf" TargetMode="External"/><Relationship Id="rId75" Type="http://schemas.openxmlformats.org/officeDocument/2006/relationships/hyperlink" Target="https://wildlife-species.az.ec.gc.ca/species-risk-registry/virtual_sara/files/cosewic/Sas-NorthernFurSeal-v00-2022-eng.pdf" TargetMode="External"/><Relationship Id="rId91" Type="http://schemas.openxmlformats.org/officeDocument/2006/relationships/hyperlink" Target="https://wildlife-species.az.ec.gc.ca/species-risk-registry/virtual_sara/files/cosewic/Sas-NorthernFurSeal-v00-2022-eng.pdf" TargetMode="External"/><Relationship Id="rId96" Type="http://schemas.openxmlformats.org/officeDocument/2006/relationships/hyperlink" Target="https://wildlife-species.az.ec.gc.ca/species-risk-registry/virtual_sara/files/cosewic/Sas-NorthernFurSeal-v00-2022-eng.pdf" TargetMode="External"/><Relationship Id="rId1" Type="http://schemas.openxmlformats.org/officeDocument/2006/relationships/hyperlink" Target="https://wildlife-species.az.ec.gc.ca/species-risk-registry/virtual_sara/files/cosewic/Sas-NorthernFurSeal-v00-2022-eng.pdf" TargetMode="External"/><Relationship Id="rId6" Type="http://schemas.openxmlformats.org/officeDocument/2006/relationships/hyperlink" Target="https://wildlife-species.az.ec.gc.ca/species-risk-registry/virtual_sara/files/cosewic/Sas-NorthernFurSeal-v00-2022-eng.pdf" TargetMode="External"/><Relationship Id="rId23" Type="http://schemas.openxmlformats.org/officeDocument/2006/relationships/hyperlink" Target="https://wildlife-species.az.ec.gc.ca/species-risk-registry/virtual_sara/files/cosewic/Sas-NorthernFurSeal-v00-2022-eng.pdf" TargetMode="External"/><Relationship Id="rId28" Type="http://schemas.openxmlformats.org/officeDocument/2006/relationships/hyperlink" Target="https://wildlife-species.az.ec.gc.ca/species-risk-registry/virtual_sara/files/cosewic/Sas-NorthernFurSeal-v00-2022-eng.pdf" TargetMode="External"/><Relationship Id="rId49" Type="http://schemas.openxmlformats.org/officeDocument/2006/relationships/hyperlink" Target="https://wildlife-species.az.ec.gc.ca/species-risk-registry/virtual_sara/files/cosewic/Sas-NorthernFurSeal-v00-2022-eng.pdf" TargetMode="External"/><Relationship Id="rId114" Type="http://schemas.openxmlformats.org/officeDocument/2006/relationships/hyperlink" Target="https://wildlife-species.az.ec.gc.ca/species-risk-registry/virtual_sara/files/cosewic/Sas-NorthernFurSeal-v00-2022-eng.pdf" TargetMode="External"/><Relationship Id="rId119" Type="http://schemas.openxmlformats.org/officeDocument/2006/relationships/hyperlink" Target="https://wildlife-species.az.ec.gc.ca/species-risk-registry/virtual_sara/files/cosewic/Sas-NorthernFurSeal-v00-2022-eng.pdf" TargetMode="External"/><Relationship Id="rId44" Type="http://schemas.openxmlformats.org/officeDocument/2006/relationships/hyperlink" Target="https://wildlife-species.az.ec.gc.ca/species-risk-registry/virtual_sara/files/cosewic/Sas-NorthernFurSeal-v00-2022-eng.pdf" TargetMode="External"/><Relationship Id="rId60" Type="http://schemas.openxmlformats.org/officeDocument/2006/relationships/hyperlink" Target="https://wildlife-species.az.ec.gc.ca/species-risk-registry/virtual_sara/files/cosewic/Sas-NorthernFurSeal-v00-2022-eng.pdf" TargetMode="External"/><Relationship Id="rId65" Type="http://schemas.openxmlformats.org/officeDocument/2006/relationships/hyperlink" Target="https://wildlife-species.az.ec.gc.ca/species-risk-registry/virtual_sara/files/cosewic/Sas-NorthernFurSeal-v00-2022-eng.pdf" TargetMode="External"/><Relationship Id="rId81" Type="http://schemas.openxmlformats.org/officeDocument/2006/relationships/hyperlink" Target="https://wildlife-species.az.ec.gc.ca/species-risk-registry/virtual_sara/files/cosewic/Sas-NorthernFurSeal-v00-2022-eng.pdf" TargetMode="External"/><Relationship Id="rId86" Type="http://schemas.openxmlformats.org/officeDocument/2006/relationships/hyperlink" Target="https://wildlife-species.az.ec.gc.ca/species-risk-registry/virtual_sara/files/cosewic/Sas-NorthernFurSeal-v00-2022-eng.pdf" TargetMode="External"/><Relationship Id="rId4" Type="http://schemas.openxmlformats.org/officeDocument/2006/relationships/hyperlink" Target="https://wildlife-species.az.ec.gc.ca/species-risk-registry/virtual_sara/files/cosewic/Sas-NorthernFurSeal-v00-2022-eng.pdf" TargetMode="External"/><Relationship Id="rId9" Type="http://schemas.openxmlformats.org/officeDocument/2006/relationships/hyperlink" Target="https://wildlife-species.az.ec.gc.ca/species-risk-registry/virtual_sara/files/cosewic/Sas-NorthernFurSeal-v00-2022-eng.pdf" TargetMode="External"/><Relationship Id="rId13" Type="http://schemas.openxmlformats.org/officeDocument/2006/relationships/hyperlink" Target="https://wildlife-species.az.ec.gc.ca/species-risk-registry/virtual_sara/files/cosewic/Sas-NorthernFurSeal-v00-2022-eng.pdf" TargetMode="External"/><Relationship Id="rId18" Type="http://schemas.openxmlformats.org/officeDocument/2006/relationships/hyperlink" Target="https://wildlife-species.az.ec.gc.ca/species-risk-registry/virtual_sara/files/cosewic/Sas-NorthernFurSeal-v00-2022-eng.pdf" TargetMode="External"/><Relationship Id="rId39" Type="http://schemas.openxmlformats.org/officeDocument/2006/relationships/hyperlink" Target="https://wildlife-species.az.ec.gc.ca/species-risk-registry/virtual_sara/files/cosewic/Sas-NorthernFurSeal-v00-2022-eng.pdf" TargetMode="External"/><Relationship Id="rId109" Type="http://schemas.openxmlformats.org/officeDocument/2006/relationships/hyperlink" Target="https://wildlife-species.az.ec.gc.ca/species-risk-registry/virtual_sara/files/cosewic/Sas-NorthernFurSeal-v00-2022-eng.pdf" TargetMode="External"/><Relationship Id="rId34" Type="http://schemas.openxmlformats.org/officeDocument/2006/relationships/hyperlink" Target="https://wildlife-species.az.ec.gc.ca/species-risk-registry/virtual_sara/files/cosewic/Sas-NorthernFurSeal-v00-2022-eng.pdf" TargetMode="External"/><Relationship Id="rId50" Type="http://schemas.openxmlformats.org/officeDocument/2006/relationships/hyperlink" Target="https://wildlife-species.az.ec.gc.ca/species-risk-registry/virtual_sara/files/cosewic/Sas-NorthernFurSeal-v00-2022-eng.pdf" TargetMode="External"/><Relationship Id="rId55" Type="http://schemas.openxmlformats.org/officeDocument/2006/relationships/hyperlink" Target="https://wildlife-species.az.ec.gc.ca/species-risk-registry/virtual_sara/files/cosewic/Sas-NorthernFurSeal-v00-2022-eng.pdf" TargetMode="External"/><Relationship Id="rId76" Type="http://schemas.openxmlformats.org/officeDocument/2006/relationships/hyperlink" Target="https://wildlife-species.az.ec.gc.ca/species-risk-registry/virtual_sara/files/cosewic/Sas-NorthernFurSeal-v00-2022-eng.pdf" TargetMode="External"/><Relationship Id="rId97" Type="http://schemas.openxmlformats.org/officeDocument/2006/relationships/hyperlink" Target="https://wildlife-species.az.ec.gc.ca/species-risk-registry/virtual_sara/files/cosewic/Sas-NorthernFurSeal-v00-2022-eng.pdf" TargetMode="External"/><Relationship Id="rId104" Type="http://schemas.openxmlformats.org/officeDocument/2006/relationships/hyperlink" Target="https://wildlife-species.az.ec.gc.ca/species-risk-registry/virtual_sara/files/cosewic/Sas-NorthernFurSeal-v00-2022-eng.pdf" TargetMode="External"/><Relationship Id="rId120" Type="http://schemas.openxmlformats.org/officeDocument/2006/relationships/hyperlink" Target="https://wildlife-species.az.ec.gc.ca/species-risk-registry/virtual_sara/files/cosewic/Sas-NorthernFurSeal-v00-2022-eng.pdf" TargetMode="External"/><Relationship Id="rId7" Type="http://schemas.openxmlformats.org/officeDocument/2006/relationships/hyperlink" Target="https://wildlife-species.az.ec.gc.ca/species-risk-registry/virtual_sara/files/cosewic/Sas-NorthernFurSeal-v00-2022-eng.pdf" TargetMode="External"/><Relationship Id="rId71" Type="http://schemas.openxmlformats.org/officeDocument/2006/relationships/hyperlink" Target="https://wildlife-species.az.ec.gc.ca/species-risk-registry/virtual_sara/files/cosewic/Sas-NorthernFurSeal-v00-2022-eng.pdf" TargetMode="External"/><Relationship Id="rId92" Type="http://schemas.openxmlformats.org/officeDocument/2006/relationships/hyperlink" Target="https://wildlife-species.az.ec.gc.ca/species-risk-registry/virtual_sara/files/cosewic/Sas-NorthernFurSeal-v00-2022-eng.pdf" TargetMode="External"/><Relationship Id="rId2" Type="http://schemas.openxmlformats.org/officeDocument/2006/relationships/hyperlink" Target="https://wildlife-species.az.ec.gc.ca/species-risk-registry/virtual_sara/files/cosewic/Sas-NorthernFurSeal-v00-2022-eng.pdf" TargetMode="External"/><Relationship Id="rId29" Type="http://schemas.openxmlformats.org/officeDocument/2006/relationships/hyperlink" Target="https://wildlife-species.az.ec.gc.ca/species-risk-registry/virtual_sara/files/cosewic/Sas-NorthernFurSeal-v00-2022-eng.pdf" TargetMode="External"/><Relationship Id="rId24" Type="http://schemas.openxmlformats.org/officeDocument/2006/relationships/hyperlink" Target="https://wildlife-species.az.ec.gc.ca/species-risk-registry/virtual_sara/files/cosewic/Sas-NorthernFurSeal-v00-2022-eng.pdf" TargetMode="External"/><Relationship Id="rId40" Type="http://schemas.openxmlformats.org/officeDocument/2006/relationships/hyperlink" Target="https://wildlife-species.az.ec.gc.ca/species-risk-registry/virtual_sara/files/cosewic/Sas-NorthernFurSeal-v00-2022-eng.pdf" TargetMode="External"/><Relationship Id="rId45" Type="http://schemas.openxmlformats.org/officeDocument/2006/relationships/hyperlink" Target="https://wildlife-species.az.ec.gc.ca/species-risk-registry/virtual_sara/files/cosewic/Sas-NorthernFurSeal-v00-2022-eng.pdf" TargetMode="External"/><Relationship Id="rId66" Type="http://schemas.openxmlformats.org/officeDocument/2006/relationships/hyperlink" Target="https://wildlife-species.az.ec.gc.ca/species-risk-registry/virtual_sara/files/cosewic/Sas-NorthernFurSeal-v00-2022-eng.pdf" TargetMode="External"/><Relationship Id="rId87" Type="http://schemas.openxmlformats.org/officeDocument/2006/relationships/hyperlink" Target="https://wildlife-species.az.ec.gc.ca/species-risk-registry/virtual_sara/files/cosewic/Sas-NorthernFurSeal-v00-2022-eng.pdf" TargetMode="External"/><Relationship Id="rId110" Type="http://schemas.openxmlformats.org/officeDocument/2006/relationships/hyperlink" Target="https://wildlife-species.az.ec.gc.ca/species-risk-registry/virtual_sara/files/cosewic/Sas-NorthernFurSeal-v00-2022-eng.pdf" TargetMode="External"/><Relationship Id="rId115" Type="http://schemas.openxmlformats.org/officeDocument/2006/relationships/hyperlink" Target="https://wildlife-species.az.ec.gc.ca/species-risk-registry/virtual_sara/files/cosewic/Sas-NorthernFurSeal-v00-2022-eng.pdf" TargetMode="External"/><Relationship Id="rId61" Type="http://schemas.openxmlformats.org/officeDocument/2006/relationships/hyperlink" Target="https://wildlife-species.az.ec.gc.ca/species-risk-registry/virtual_sara/files/cosewic/Sas-NorthernFurSeal-v00-2022-eng.pdf" TargetMode="External"/><Relationship Id="rId82" Type="http://schemas.openxmlformats.org/officeDocument/2006/relationships/hyperlink" Target="https://wildlife-species.az.ec.gc.ca/species-risk-registry/virtual_sara/files/cosewic/Sas-NorthernFurSeal-v00-2022-eng.pdf" TargetMode="External"/><Relationship Id="rId19" Type="http://schemas.openxmlformats.org/officeDocument/2006/relationships/hyperlink" Target="https://wildlife-species.az.ec.gc.ca/species-risk-registry/virtual_sara/files/cosewic/Sas-NorthernFurSeal-v00-2022-eng.pdf" TargetMode="External"/><Relationship Id="rId14" Type="http://schemas.openxmlformats.org/officeDocument/2006/relationships/hyperlink" Target="https://wildlife-species.az.ec.gc.ca/species-risk-registry/virtual_sara/files/cosewic/Sas-NorthernFurSeal-v00-2022-eng.pdf" TargetMode="External"/><Relationship Id="rId30" Type="http://schemas.openxmlformats.org/officeDocument/2006/relationships/hyperlink" Target="https://wildlife-species.az.ec.gc.ca/species-risk-registry/virtual_sara/files/cosewic/Sas-NorthernFurSeal-v00-2022-eng.pdf" TargetMode="External"/><Relationship Id="rId35" Type="http://schemas.openxmlformats.org/officeDocument/2006/relationships/hyperlink" Target="https://wildlife-species.az.ec.gc.ca/species-risk-registry/virtual_sara/files/cosewic/Sas-NorthernFurSeal-v00-2022-eng.pdf" TargetMode="External"/><Relationship Id="rId56" Type="http://schemas.openxmlformats.org/officeDocument/2006/relationships/hyperlink" Target="https://wildlife-species.az.ec.gc.ca/species-risk-registry/virtual_sara/files/cosewic/Sas-NorthernFurSeal-v00-2022-eng.pdf" TargetMode="External"/><Relationship Id="rId77" Type="http://schemas.openxmlformats.org/officeDocument/2006/relationships/hyperlink" Target="https://wildlife-species.az.ec.gc.ca/species-risk-registry/virtual_sara/files/cosewic/Sas-NorthernFurSeal-v00-2022-eng.pdf" TargetMode="External"/><Relationship Id="rId100" Type="http://schemas.openxmlformats.org/officeDocument/2006/relationships/hyperlink" Target="https://wildlife-species.az.ec.gc.ca/species-risk-registry/virtual_sara/files/cosewic/Sas-NorthernFurSeal-v00-2022-eng.pdf" TargetMode="External"/><Relationship Id="rId105" Type="http://schemas.openxmlformats.org/officeDocument/2006/relationships/hyperlink" Target="https://wildlife-species.az.ec.gc.ca/species-risk-registry/virtual_sara/files/cosewic/Sas-NorthernFurSeal-v00-2022-eng.pdf" TargetMode="External"/><Relationship Id="rId8" Type="http://schemas.openxmlformats.org/officeDocument/2006/relationships/hyperlink" Target="https://wildlife-species.az.ec.gc.ca/species-risk-registry/virtual_sara/files/cosewic/Sas-NorthernFurSeal-v00-2022-eng.pdf" TargetMode="External"/><Relationship Id="rId51" Type="http://schemas.openxmlformats.org/officeDocument/2006/relationships/hyperlink" Target="https://wildlife-species.az.ec.gc.ca/species-risk-registry/virtual_sara/files/cosewic/Sas-NorthernFurSeal-v00-2022-eng.pdf" TargetMode="External"/><Relationship Id="rId72" Type="http://schemas.openxmlformats.org/officeDocument/2006/relationships/hyperlink" Target="https://wildlife-species.az.ec.gc.ca/species-risk-registry/virtual_sara/files/cosewic/Sas-NorthernFurSeal-v00-2022-eng.pdf" TargetMode="External"/><Relationship Id="rId93" Type="http://schemas.openxmlformats.org/officeDocument/2006/relationships/hyperlink" Target="https://wildlife-species.az.ec.gc.ca/species-risk-registry/virtual_sara/files/cosewic/Sas-NorthernFurSeal-v00-2022-eng.pdf" TargetMode="External"/><Relationship Id="rId98" Type="http://schemas.openxmlformats.org/officeDocument/2006/relationships/hyperlink" Target="https://wildlife-species.az.ec.gc.ca/species-risk-registry/virtual_sara/files/cosewic/Sas-NorthernFurSeal-v00-2022-eng.pdf" TargetMode="External"/><Relationship Id="rId121" Type="http://schemas.openxmlformats.org/officeDocument/2006/relationships/hyperlink" Target="https://wildlife-species.az.ec.gc.ca/species-risk-registry/virtual_sara/files/cosewic/Sas-NorthernFurSeal-v00-2022-eng.pdf" TargetMode="External"/><Relationship Id="rId3" Type="http://schemas.openxmlformats.org/officeDocument/2006/relationships/hyperlink" Target="https://wildlife-species.az.ec.gc.ca/species-risk-registry/virtual_sara/files/cosewic/Sas-NorthernFurSeal-v00-2022-eng.pdf" TargetMode="External"/><Relationship Id="rId25" Type="http://schemas.openxmlformats.org/officeDocument/2006/relationships/hyperlink" Target="https://wildlife-species.az.ec.gc.ca/species-risk-registry/virtual_sara/files/cosewic/Sas-NorthernFurSeal-v00-2022-eng.pdf" TargetMode="External"/><Relationship Id="rId46" Type="http://schemas.openxmlformats.org/officeDocument/2006/relationships/hyperlink" Target="https://wildlife-species.az.ec.gc.ca/species-risk-registry/virtual_sara/files/cosewic/Sas-NorthernFurSeal-v00-2022-eng.pdf" TargetMode="External"/><Relationship Id="rId67" Type="http://schemas.openxmlformats.org/officeDocument/2006/relationships/hyperlink" Target="https://wildlife-species.az.ec.gc.ca/species-risk-registry/virtual_sara/files/cosewic/Sas-NorthernFurSeal-v00-2022-eng.pdf" TargetMode="External"/><Relationship Id="rId116" Type="http://schemas.openxmlformats.org/officeDocument/2006/relationships/hyperlink" Target="https://wildlife-species.az.ec.gc.ca/species-risk-registry/virtual_sara/files/cosewic/Sas-NorthernFurSeal-v00-2022-eng.pdf" TargetMode="External"/><Relationship Id="rId20" Type="http://schemas.openxmlformats.org/officeDocument/2006/relationships/hyperlink" Target="https://wildlife-species.az.ec.gc.ca/species-risk-registry/virtual_sara/files/cosewic/Sas-NorthernFurSeal-v00-2022-eng.pdf" TargetMode="External"/><Relationship Id="rId41" Type="http://schemas.openxmlformats.org/officeDocument/2006/relationships/hyperlink" Target="https://wildlife-species.az.ec.gc.ca/species-risk-registry/virtual_sara/files/cosewic/Sas-NorthernFurSeal-v00-2022-eng.pdf" TargetMode="External"/><Relationship Id="rId62" Type="http://schemas.openxmlformats.org/officeDocument/2006/relationships/hyperlink" Target="https://wildlife-species.az.ec.gc.ca/species-risk-registry/virtual_sara/files/cosewic/Sas-NorthernFurSeal-v00-2022-eng.pdf" TargetMode="External"/><Relationship Id="rId83" Type="http://schemas.openxmlformats.org/officeDocument/2006/relationships/hyperlink" Target="https://wildlife-species.az.ec.gc.ca/species-risk-registry/virtual_sara/files/cosewic/Sas-NorthernFurSeal-v00-2022-eng.pdf" TargetMode="External"/><Relationship Id="rId88" Type="http://schemas.openxmlformats.org/officeDocument/2006/relationships/hyperlink" Target="https://wildlife-species.az.ec.gc.ca/species-risk-registry/virtual_sara/files/cosewic/Sas-NorthernFurSeal-v00-2022-eng.pdf" TargetMode="External"/><Relationship Id="rId111" Type="http://schemas.openxmlformats.org/officeDocument/2006/relationships/hyperlink" Target="https://wildlife-species.az.ec.gc.ca/species-risk-registry/virtual_sara/files/cosewic/Sas-NorthernFurSeal-v00-2022-eng.pdf" TargetMode="External"/><Relationship Id="rId15" Type="http://schemas.openxmlformats.org/officeDocument/2006/relationships/hyperlink" Target="https://wildlife-species.az.ec.gc.ca/species-risk-registry/virtual_sara/files/cosewic/Sas-NorthernFurSeal-v00-2022-eng.pdf" TargetMode="External"/><Relationship Id="rId36" Type="http://schemas.openxmlformats.org/officeDocument/2006/relationships/hyperlink" Target="https://wildlife-species.az.ec.gc.ca/species-risk-registry/virtual_sara/files/cosewic/Sas-NorthernFurSeal-v00-2022-eng.pdf" TargetMode="External"/><Relationship Id="rId57" Type="http://schemas.openxmlformats.org/officeDocument/2006/relationships/hyperlink" Target="https://wildlife-species.az.ec.gc.ca/species-risk-registry/virtual_sara/files/cosewic/Sas-NorthernFurSeal-v00-2022-eng.pdf" TargetMode="External"/><Relationship Id="rId106" Type="http://schemas.openxmlformats.org/officeDocument/2006/relationships/hyperlink" Target="https://wildlife-species.az.ec.gc.ca/species-risk-registry/virtual_sara/files/cosewic/Sas-NorthernFurSeal-v00-2022-eng.pdf" TargetMode="External"/><Relationship Id="rId10" Type="http://schemas.openxmlformats.org/officeDocument/2006/relationships/hyperlink" Target="https://wildlife-species.az.ec.gc.ca/species-risk-registry/virtual_sara/files/cosewic/Sas-NorthernFurSeal-v00-2022-eng.pdf" TargetMode="External"/><Relationship Id="rId31" Type="http://schemas.openxmlformats.org/officeDocument/2006/relationships/hyperlink" Target="https://wildlife-species.az.ec.gc.ca/species-risk-registry/virtual_sara/files/cosewic/Sas-NorthernFurSeal-v00-2022-eng.pdf" TargetMode="External"/><Relationship Id="rId52" Type="http://schemas.openxmlformats.org/officeDocument/2006/relationships/hyperlink" Target="https://wildlife-species.az.ec.gc.ca/species-risk-registry/virtual_sara/files/cosewic/Sas-NorthernFurSeal-v00-2022-eng.pdf" TargetMode="External"/><Relationship Id="rId73" Type="http://schemas.openxmlformats.org/officeDocument/2006/relationships/hyperlink" Target="https://wildlife-species.az.ec.gc.ca/species-risk-registry/virtual_sara/files/cosewic/Sas-NorthernFurSeal-v00-2022-eng.pdf" TargetMode="External"/><Relationship Id="rId78" Type="http://schemas.openxmlformats.org/officeDocument/2006/relationships/hyperlink" Target="https://wildlife-species.az.ec.gc.ca/species-risk-registry/virtual_sara/files/cosewic/Sas-NorthernFurSeal-v00-2022-eng.pdf" TargetMode="External"/><Relationship Id="rId94" Type="http://schemas.openxmlformats.org/officeDocument/2006/relationships/hyperlink" Target="https://wildlife-species.az.ec.gc.ca/species-risk-registry/virtual_sara/files/cosewic/Sas-NorthernFurSeal-v00-2022-eng.pdf" TargetMode="External"/><Relationship Id="rId99" Type="http://schemas.openxmlformats.org/officeDocument/2006/relationships/hyperlink" Target="https://wildlife-species.az.ec.gc.ca/species-risk-registry/virtual_sara/files/cosewic/Sas-NorthernFurSeal-v00-2022-eng.pdf" TargetMode="External"/><Relationship Id="rId101" Type="http://schemas.openxmlformats.org/officeDocument/2006/relationships/hyperlink" Target="https://wildlife-species.az.ec.gc.ca/species-risk-registry/virtual_sara/files/cosewic/Sas-NorthernFurSeal-v00-2022-eng.pdf"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media.fisheries.noaa.gov/dam-migration/po2013sehr-owco_508.pdf" TargetMode="External"/><Relationship Id="rId21" Type="http://schemas.openxmlformats.org/officeDocument/2006/relationships/hyperlink" Target="https://media.fisheries.noaa.gov/dam-migration/po2013sehr-owco_508.pdf" TargetMode="External"/><Relationship Id="rId42" Type="http://schemas.openxmlformats.org/officeDocument/2006/relationships/hyperlink" Target="https://media.fisheries.noaa.gov/dam-migration/po2014sehr-ca_508.pdf" TargetMode="External"/><Relationship Id="rId47" Type="http://schemas.openxmlformats.org/officeDocument/2006/relationships/hyperlink" Target="https://media.fisheries.noaa.gov/dam-migration/po2014sehr-ca_508.pdf" TargetMode="External"/><Relationship Id="rId63" Type="http://schemas.openxmlformats.org/officeDocument/2006/relationships/hyperlink" Target="https://media.fisheries.noaa.gov/dam-migration/po2014sehr-ca_508.pdf" TargetMode="External"/><Relationship Id="rId68" Type="http://schemas.openxmlformats.org/officeDocument/2006/relationships/hyperlink" Target="https://media.fisheries.noaa.gov/dam-migration/po2014sehr-ca_508.pdf" TargetMode="External"/><Relationship Id="rId84" Type="http://schemas.openxmlformats.org/officeDocument/2006/relationships/hyperlink" Target="https://media.fisheries.noaa.gov/dam-migration/po2014sehr-ca_508.pdf" TargetMode="External"/><Relationship Id="rId16" Type="http://schemas.openxmlformats.org/officeDocument/2006/relationships/hyperlink" Target="https://media.fisheries.noaa.gov/dam-migration/po2013sehr-owco_508.pdf" TargetMode="External"/><Relationship Id="rId11" Type="http://schemas.openxmlformats.org/officeDocument/2006/relationships/hyperlink" Target="https://media.fisheries.noaa.gov/dam-migration/po2013sehr-owco_508.pdf" TargetMode="External"/><Relationship Id="rId32" Type="http://schemas.openxmlformats.org/officeDocument/2006/relationships/hyperlink" Target="https://media.fisheries.noaa.gov/dam-migration/po2013sehr-owco_508.pdf" TargetMode="External"/><Relationship Id="rId37" Type="http://schemas.openxmlformats.org/officeDocument/2006/relationships/hyperlink" Target="https://media.fisheries.noaa.gov/dam-migration/po2014sehr-ca_508.pdf" TargetMode="External"/><Relationship Id="rId53" Type="http://schemas.openxmlformats.org/officeDocument/2006/relationships/hyperlink" Target="https://media.fisheries.noaa.gov/dam-migration/po2014sehr-ca_508.pdf" TargetMode="External"/><Relationship Id="rId58" Type="http://schemas.openxmlformats.org/officeDocument/2006/relationships/hyperlink" Target="https://media.fisheries.noaa.gov/dam-migration/po2014sehr-ca_508.pdf" TargetMode="External"/><Relationship Id="rId74" Type="http://schemas.openxmlformats.org/officeDocument/2006/relationships/hyperlink" Target="https://media.fisheries.noaa.gov/dam-migration/po2014sehr-ca_508.pdf" TargetMode="External"/><Relationship Id="rId79" Type="http://schemas.openxmlformats.org/officeDocument/2006/relationships/hyperlink" Target="https://media.fisheries.noaa.gov/dam-migration/po2014sehr-ca_508.pdf" TargetMode="External"/><Relationship Id="rId5" Type="http://schemas.openxmlformats.org/officeDocument/2006/relationships/hyperlink" Target="https://media.fisheries.noaa.gov/dam-migration/po2013sehr-owco_508.pdf" TargetMode="External"/><Relationship Id="rId19" Type="http://schemas.openxmlformats.org/officeDocument/2006/relationships/hyperlink" Target="https://media.fisheries.noaa.gov/dam-migration/po2013sehr-owco_508.pdf" TargetMode="External"/><Relationship Id="rId14" Type="http://schemas.openxmlformats.org/officeDocument/2006/relationships/hyperlink" Target="https://media.fisheries.noaa.gov/dam-migration/po2013sehr-owco_508.pdf" TargetMode="External"/><Relationship Id="rId22" Type="http://schemas.openxmlformats.org/officeDocument/2006/relationships/hyperlink" Target="https://media.fisheries.noaa.gov/dam-migration/po2013sehr-owco_508.pdf" TargetMode="External"/><Relationship Id="rId27" Type="http://schemas.openxmlformats.org/officeDocument/2006/relationships/hyperlink" Target="https://media.fisheries.noaa.gov/dam-migration/po2013sehr-owco_508.pdf" TargetMode="External"/><Relationship Id="rId30" Type="http://schemas.openxmlformats.org/officeDocument/2006/relationships/hyperlink" Target="https://media.fisheries.noaa.gov/dam-migration/po2013sehr-owco_508.pdf" TargetMode="External"/><Relationship Id="rId35" Type="http://schemas.openxmlformats.org/officeDocument/2006/relationships/hyperlink" Target="https://media.fisheries.noaa.gov/dam-migration/po2014sehr-ca_508.pdf" TargetMode="External"/><Relationship Id="rId43" Type="http://schemas.openxmlformats.org/officeDocument/2006/relationships/hyperlink" Target="https://media.fisheries.noaa.gov/dam-migration/po2014sehr-ca_508.pdf" TargetMode="External"/><Relationship Id="rId48" Type="http://schemas.openxmlformats.org/officeDocument/2006/relationships/hyperlink" Target="https://media.fisheries.noaa.gov/dam-migration/po2014sehr-ca_508.pdf" TargetMode="External"/><Relationship Id="rId56" Type="http://schemas.openxmlformats.org/officeDocument/2006/relationships/hyperlink" Target="https://media.fisheries.noaa.gov/dam-migration/po2014sehr-ca_508.pdf" TargetMode="External"/><Relationship Id="rId64" Type="http://schemas.openxmlformats.org/officeDocument/2006/relationships/hyperlink" Target="https://media.fisheries.noaa.gov/dam-migration/po2014sehr-ca_508.pdf" TargetMode="External"/><Relationship Id="rId69" Type="http://schemas.openxmlformats.org/officeDocument/2006/relationships/hyperlink" Target="https://media.fisheries.noaa.gov/dam-migration/po2014sehr-ca_508.pdf" TargetMode="External"/><Relationship Id="rId77" Type="http://schemas.openxmlformats.org/officeDocument/2006/relationships/hyperlink" Target="https://media.fisheries.noaa.gov/dam-migration/po2014sehr-ca_508.pdf" TargetMode="External"/><Relationship Id="rId8" Type="http://schemas.openxmlformats.org/officeDocument/2006/relationships/hyperlink" Target="https://media.fisheries.noaa.gov/dam-migration/po2013sehr-owco_508.pdf" TargetMode="External"/><Relationship Id="rId51" Type="http://schemas.openxmlformats.org/officeDocument/2006/relationships/hyperlink" Target="https://media.fisheries.noaa.gov/dam-migration/po2014sehr-ca_508.pdf" TargetMode="External"/><Relationship Id="rId72" Type="http://schemas.openxmlformats.org/officeDocument/2006/relationships/hyperlink" Target="https://media.fisheries.noaa.gov/dam-migration/po2014sehr-ca_508.pdf" TargetMode="External"/><Relationship Id="rId80" Type="http://schemas.openxmlformats.org/officeDocument/2006/relationships/hyperlink" Target="https://media.fisheries.noaa.gov/dam-migration/po2014sehr-ca_508.pdf" TargetMode="External"/><Relationship Id="rId85" Type="http://schemas.openxmlformats.org/officeDocument/2006/relationships/hyperlink" Target="https://media.fisheries.noaa.gov/dam-migration/po2014sehr-ca_508.pdf" TargetMode="External"/><Relationship Id="rId3" Type="http://schemas.openxmlformats.org/officeDocument/2006/relationships/hyperlink" Target="https://media.fisheries.noaa.gov/dam-migration/po2013sehr-owco_508.pdf" TargetMode="External"/><Relationship Id="rId12" Type="http://schemas.openxmlformats.org/officeDocument/2006/relationships/hyperlink" Target="https://media.fisheries.noaa.gov/dam-migration/po2013sehr-owco_508.pdf" TargetMode="External"/><Relationship Id="rId17" Type="http://schemas.openxmlformats.org/officeDocument/2006/relationships/hyperlink" Target="https://media.fisheries.noaa.gov/dam-migration/po2013sehr-owco_508.pdf" TargetMode="External"/><Relationship Id="rId25" Type="http://schemas.openxmlformats.org/officeDocument/2006/relationships/hyperlink" Target="https://media.fisheries.noaa.gov/dam-migration/po2013sehr-owco_508.pdf" TargetMode="External"/><Relationship Id="rId33" Type="http://schemas.openxmlformats.org/officeDocument/2006/relationships/hyperlink" Target="https://media.fisheries.noaa.gov/dam-migration/po2013sehr-owco_508.pdf" TargetMode="External"/><Relationship Id="rId38" Type="http://schemas.openxmlformats.org/officeDocument/2006/relationships/hyperlink" Target="https://media.fisheries.noaa.gov/dam-migration/po2014sehr-ca_508.pdf" TargetMode="External"/><Relationship Id="rId46" Type="http://schemas.openxmlformats.org/officeDocument/2006/relationships/hyperlink" Target="https://media.fisheries.noaa.gov/dam-migration/po2014sehr-ca_508.pdf" TargetMode="External"/><Relationship Id="rId59" Type="http://schemas.openxmlformats.org/officeDocument/2006/relationships/hyperlink" Target="https://media.fisheries.noaa.gov/dam-migration/po2014sehr-ca_508.pdf" TargetMode="External"/><Relationship Id="rId67" Type="http://schemas.openxmlformats.org/officeDocument/2006/relationships/hyperlink" Target="https://media.fisheries.noaa.gov/dam-migration/po2014sehr-ca_508.pdf" TargetMode="External"/><Relationship Id="rId20" Type="http://schemas.openxmlformats.org/officeDocument/2006/relationships/hyperlink" Target="https://media.fisheries.noaa.gov/dam-migration/po2013sehr-owco_508.pdf" TargetMode="External"/><Relationship Id="rId41" Type="http://schemas.openxmlformats.org/officeDocument/2006/relationships/hyperlink" Target="https://media.fisheries.noaa.gov/dam-migration/po2014sehr-ca_508.pdf" TargetMode="External"/><Relationship Id="rId54" Type="http://schemas.openxmlformats.org/officeDocument/2006/relationships/hyperlink" Target="https://media.fisheries.noaa.gov/dam-migration/po2014sehr-ca_508.pdf" TargetMode="External"/><Relationship Id="rId62" Type="http://schemas.openxmlformats.org/officeDocument/2006/relationships/hyperlink" Target="https://media.fisheries.noaa.gov/dam-migration/po2014sehr-ca_508.pdf" TargetMode="External"/><Relationship Id="rId70" Type="http://schemas.openxmlformats.org/officeDocument/2006/relationships/hyperlink" Target="https://media.fisheries.noaa.gov/dam-migration/po2014sehr-ca_508.pdf" TargetMode="External"/><Relationship Id="rId75" Type="http://schemas.openxmlformats.org/officeDocument/2006/relationships/hyperlink" Target="https://media.fisheries.noaa.gov/dam-migration/po2014sehr-ca_508.pdf" TargetMode="External"/><Relationship Id="rId83" Type="http://schemas.openxmlformats.org/officeDocument/2006/relationships/hyperlink" Target="https://media.fisheries.noaa.gov/dam-migration/po2014sehr-ca_508.pdf" TargetMode="External"/><Relationship Id="rId1" Type="http://schemas.openxmlformats.org/officeDocument/2006/relationships/hyperlink" Target="https://media.fisheries.noaa.gov/dam-migration/po2013sehr-owco_508.pdf" TargetMode="External"/><Relationship Id="rId6" Type="http://schemas.openxmlformats.org/officeDocument/2006/relationships/hyperlink" Target="https://media.fisheries.noaa.gov/dam-migration/po2013sehr-owco_508.pdf" TargetMode="External"/><Relationship Id="rId15" Type="http://schemas.openxmlformats.org/officeDocument/2006/relationships/hyperlink" Target="https://media.fisheries.noaa.gov/dam-migration/po2013sehr-owco_508.pdf" TargetMode="External"/><Relationship Id="rId23" Type="http://schemas.openxmlformats.org/officeDocument/2006/relationships/hyperlink" Target="https://media.fisheries.noaa.gov/dam-migration/po2013sehr-owco_508.pdf" TargetMode="External"/><Relationship Id="rId28" Type="http://schemas.openxmlformats.org/officeDocument/2006/relationships/hyperlink" Target="https://media.fisheries.noaa.gov/dam-migration/po2013sehr-owco_508.pdf" TargetMode="External"/><Relationship Id="rId36" Type="http://schemas.openxmlformats.org/officeDocument/2006/relationships/hyperlink" Target="https://media.fisheries.noaa.gov/dam-migration/po2014sehr-ca_508.pdf" TargetMode="External"/><Relationship Id="rId49" Type="http://schemas.openxmlformats.org/officeDocument/2006/relationships/hyperlink" Target="https://media.fisheries.noaa.gov/dam-migration/po2014sehr-ca_508.pdf" TargetMode="External"/><Relationship Id="rId57" Type="http://schemas.openxmlformats.org/officeDocument/2006/relationships/hyperlink" Target="https://media.fisheries.noaa.gov/dam-migration/po2014sehr-ca_508.pdf" TargetMode="External"/><Relationship Id="rId10" Type="http://schemas.openxmlformats.org/officeDocument/2006/relationships/hyperlink" Target="https://media.fisheries.noaa.gov/dam-migration/po2013sehr-owco_508.pdf" TargetMode="External"/><Relationship Id="rId31" Type="http://schemas.openxmlformats.org/officeDocument/2006/relationships/hyperlink" Target="https://media.fisheries.noaa.gov/dam-migration/po2013sehr-owco_508.pdf" TargetMode="External"/><Relationship Id="rId44" Type="http://schemas.openxmlformats.org/officeDocument/2006/relationships/hyperlink" Target="https://media.fisheries.noaa.gov/dam-migration/po2014sehr-ca_508.pdf" TargetMode="External"/><Relationship Id="rId52" Type="http://schemas.openxmlformats.org/officeDocument/2006/relationships/hyperlink" Target="https://media.fisheries.noaa.gov/dam-migration/po2014sehr-ca_508.pdf" TargetMode="External"/><Relationship Id="rId60" Type="http://schemas.openxmlformats.org/officeDocument/2006/relationships/hyperlink" Target="https://media.fisheries.noaa.gov/dam-migration/po2014sehr-ca_508.pdf" TargetMode="External"/><Relationship Id="rId65" Type="http://schemas.openxmlformats.org/officeDocument/2006/relationships/hyperlink" Target="https://media.fisheries.noaa.gov/dam-migration/po2014sehr-ca_508.pdf" TargetMode="External"/><Relationship Id="rId73" Type="http://schemas.openxmlformats.org/officeDocument/2006/relationships/hyperlink" Target="https://media.fisheries.noaa.gov/dam-migration/po2014sehr-ca_508.pdf" TargetMode="External"/><Relationship Id="rId78" Type="http://schemas.openxmlformats.org/officeDocument/2006/relationships/hyperlink" Target="https://media.fisheries.noaa.gov/dam-migration/po2014sehr-ca_508.pdf" TargetMode="External"/><Relationship Id="rId81" Type="http://schemas.openxmlformats.org/officeDocument/2006/relationships/hyperlink" Target="https://media.fisheries.noaa.gov/dam-migration/po2014sehr-ca_508.pdf" TargetMode="External"/><Relationship Id="rId86" Type="http://schemas.openxmlformats.org/officeDocument/2006/relationships/hyperlink" Target="https://media.fisheries.noaa.gov/dam-migration/po2014sehr-ca_508.pdf" TargetMode="External"/><Relationship Id="rId4" Type="http://schemas.openxmlformats.org/officeDocument/2006/relationships/hyperlink" Target="https://media.fisheries.noaa.gov/dam-migration/po2013sehr-owco_508.pdf" TargetMode="External"/><Relationship Id="rId9" Type="http://schemas.openxmlformats.org/officeDocument/2006/relationships/hyperlink" Target="https://media.fisheries.noaa.gov/dam-migration/po2013sehr-owco_508.pdf" TargetMode="External"/><Relationship Id="rId13" Type="http://schemas.openxmlformats.org/officeDocument/2006/relationships/hyperlink" Target="https://media.fisheries.noaa.gov/dam-migration/po2013sehr-owco_508.pdf" TargetMode="External"/><Relationship Id="rId18" Type="http://schemas.openxmlformats.org/officeDocument/2006/relationships/hyperlink" Target="https://media.fisheries.noaa.gov/dam-migration/po2013sehr-owco_508.pdf" TargetMode="External"/><Relationship Id="rId39" Type="http://schemas.openxmlformats.org/officeDocument/2006/relationships/hyperlink" Target="https://media.fisheries.noaa.gov/dam-migration/po2014sehr-ca_508.pdf" TargetMode="External"/><Relationship Id="rId34" Type="http://schemas.openxmlformats.org/officeDocument/2006/relationships/hyperlink" Target="https://media.fisheries.noaa.gov/dam-migration/po2013sehr-owco_508.pdf" TargetMode="External"/><Relationship Id="rId50" Type="http://schemas.openxmlformats.org/officeDocument/2006/relationships/hyperlink" Target="https://media.fisheries.noaa.gov/dam-migration/po2014sehr-ca_508.pdf" TargetMode="External"/><Relationship Id="rId55" Type="http://schemas.openxmlformats.org/officeDocument/2006/relationships/hyperlink" Target="https://media.fisheries.noaa.gov/dam-migration/po2014sehr-ca_508.pdf" TargetMode="External"/><Relationship Id="rId76" Type="http://schemas.openxmlformats.org/officeDocument/2006/relationships/hyperlink" Target="https://media.fisheries.noaa.gov/dam-migration/po2014sehr-ca_508.pdf" TargetMode="External"/><Relationship Id="rId7" Type="http://schemas.openxmlformats.org/officeDocument/2006/relationships/hyperlink" Target="https://media.fisheries.noaa.gov/dam-migration/po2013sehr-owco_508.pdf" TargetMode="External"/><Relationship Id="rId71" Type="http://schemas.openxmlformats.org/officeDocument/2006/relationships/hyperlink" Target="https://media.fisheries.noaa.gov/dam-migration/po2014sehr-ca_508.pdf" TargetMode="External"/><Relationship Id="rId2" Type="http://schemas.openxmlformats.org/officeDocument/2006/relationships/hyperlink" Target="https://media.fisheries.noaa.gov/dam-migration/po2013sehr-owco_508.pdf" TargetMode="External"/><Relationship Id="rId29" Type="http://schemas.openxmlformats.org/officeDocument/2006/relationships/hyperlink" Target="https://media.fisheries.noaa.gov/dam-migration/po2013sehr-owco_508.pdf" TargetMode="External"/><Relationship Id="rId24" Type="http://schemas.openxmlformats.org/officeDocument/2006/relationships/hyperlink" Target="https://media.fisheries.noaa.gov/dam-migration/po2013sehr-owco_508.pdf" TargetMode="External"/><Relationship Id="rId40" Type="http://schemas.openxmlformats.org/officeDocument/2006/relationships/hyperlink" Target="https://media.fisheries.noaa.gov/dam-migration/po2014sehr-ca_508.pdf" TargetMode="External"/><Relationship Id="rId45" Type="http://schemas.openxmlformats.org/officeDocument/2006/relationships/hyperlink" Target="https://media.fisheries.noaa.gov/dam-migration/po2014sehr-ca_508.pdf" TargetMode="External"/><Relationship Id="rId66" Type="http://schemas.openxmlformats.org/officeDocument/2006/relationships/hyperlink" Target="https://media.fisheries.noaa.gov/dam-migration/po2014sehr-ca_508.pdf" TargetMode="External"/><Relationship Id="rId61" Type="http://schemas.openxmlformats.org/officeDocument/2006/relationships/hyperlink" Target="https://media.fisheries.noaa.gov/dam-migration/po2014sehr-ca_508.pdf" TargetMode="External"/><Relationship Id="rId82" Type="http://schemas.openxmlformats.org/officeDocument/2006/relationships/hyperlink" Target="https://media.fisheries.noaa.gov/dam-migration/po2014sehr-ca_508.pdf"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repository.library.noaa.gov/view/noaa/22947" TargetMode="External"/><Relationship Id="rId18" Type="http://schemas.openxmlformats.org/officeDocument/2006/relationships/hyperlink" Target="https://swfsc-publications.fisheries.noaa.gov/publications/TM/SWFSC/NOAA-TM-NMFS-SWFSC-585.pdf" TargetMode="External"/><Relationship Id="rId26" Type="http://schemas.openxmlformats.org/officeDocument/2006/relationships/hyperlink" Target="https://repository.library.noaa.gov/view/noaa/24756" TargetMode="External"/><Relationship Id="rId39" Type="http://schemas.openxmlformats.org/officeDocument/2006/relationships/hyperlink" Target="https://repository.library.noaa.gov/view/noaa/32061" TargetMode="External"/><Relationship Id="rId21" Type="http://schemas.openxmlformats.org/officeDocument/2006/relationships/hyperlink" Target="https://www.adfg.alaska.gov/static/home/library/pdfs/wildlife/research_pdfs/status_belukha_whales_cook_inlet_ch_15_donald_calkins.pdf" TargetMode="External"/><Relationship Id="rId34" Type="http://schemas.openxmlformats.org/officeDocument/2006/relationships/hyperlink" Target="https://repository.library.noaa.gov/view/noaa/29276" TargetMode="External"/><Relationship Id="rId42" Type="http://schemas.openxmlformats.org/officeDocument/2006/relationships/hyperlink" Target="https://repository.library.noaa.gov/view/noaa/32061" TargetMode="External"/><Relationship Id="rId47" Type="http://schemas.openxmlformats.org/officeDocument/2006/relationships/hyperlink" Target="http://ctfs.si.edu/Public/pdfs/LowryConditEtAl_AqMamm2014.pdf" TargetMode="External"/><Relationship Id="rId50" Type="http://schemas.openxmlformats.org/officeDocument/2006/relationships/hyperlink" Target="https://www.fisheries.noaa.gov/s3/2023-12/2023-SSLsurveyreport-PR2023-08.pdf" TargetMode="External"/><Relationship Id="rId55" Type="http://schemas.openxmlformats.org/officeDocument/2006/relationships/hyperlink" Target="https://swfsc-publications.fisheries.noaa.gov/publications/CR/2008/08Low.pdf" TargetMode="External"/><Relationship Id="rId7" Type="http://schemas.openxmlformats.org/officeDocument/2006/relationships/hyperlink" Target="https://swfsc-publications.fisheries.noaa.gov/publications/CR/2023/2023Eguchi.pdf" TargetMode="External"/><Relationship Id="rId2" Type="http://schemas.openxmlformats.org/officeDocument/2006/relationships/hyperlink" Target="https://repository.library.noaa.gov/view/noaa/27104" TargetMode="External"/><Relationship Id="rId16" Type="http://schemas.openxmlformats.org/officeDocument/2006/relationships/hyperlink" Target="https://swfsc-publications.fisheries.noaa.gov/publications/TM/SWFSC/NOAA-TM-NMFS-SWFSC-585.pdf" TargetMode="External"/><Relationship Id="rId29" Type="http://schemas.openxmlformats.org/officeDocument/2006/relationships/hyperlink" Target="https://repository.library.noaa.gov/view/noaa/29276" TargetMode="External"/><Relationship Id="rId11" Type="http://schemas.openxmlformats.org/officeDocument/2006/relationships/hyperlink" Target="https://repository.library.noaa.gov/view/noaa/22947" TargetMode="External"/><Relationship Id="rId24" Type="http://schemas.openxmlformats.org/officeDocument/2006/relationships/hyperlink" Target="https://apps-afsc.fisheries.noaa.gov/documents/PR2019-09.pdf" TargetMode="External"/><Relationship Id="rId32" Type="http://schemas.openxmlformats.org/officeDocument/2006/relationships/hyperlink" Target="https://repository.library.noaa.gov/view/noaa/27826" TargetMode="External"/><Relationship Id="rId37" Type="http://schemas.openxmlformats.org/officeDocument/2006/relationships/hyperlink" Target="https://repository.library.noaa.gov/view/noaa/29276" TargetMode="External"/><Relationship Id="rId40" Type="http://schemas.openxmlformats.org/officeDocument/2006/relationships/hyperlink" Target="https://repository.library.noaa.gov/view/noaa/32061" TargetMode="External"/><Relationship Id="rId45" Type="http://schemas.openxmlformats.org/officeDocument/2006/relationships/hyperlink" Target="http://ctfs.si.edu/Public/pdfs/LowryConditEtAl_AqMamm2014.pdf" TargetMode="External"/><Relationship Id="rId53" Type="http://schemas.openxmlformats.org/officeDocument/2006/relationships/hyperlink" Target="https://www.researchgate.net/publication/229660031_Trends_in_abundance_and_current_status_of_harbor_seals_in_Oregon_1977-2003/link/5c82963a299bf1268d485024/download?_tp=eyJjb250ZXh0Ijp7ImZpcnN0UGFnZSI6InB1YmxpY2F0aW9uIiwicGFnZSI6InB1YmxpY2F0aW9uIn19" TargetMode="External"/><Relationship Id="rId58" Type="http://schemas.openxmlformats.org/officeDocument/2006/relationships/hyperlink" Target="https://wdfw.wa.gov/sites/default/files/publications/00431/wdfw00431.pdf" TargetMode="External"/><Relationship Id="rId5" Type="http://schemas.openxmlformats.org/officeDocument/2006/relationships/hyperlink" Target="https://repository.library.noaa.gov/view/noaa/54171" TargetMode="External"/><Relationship Id="rId19" Type="http://schemas.openxmlformats.org/officeDocument/2006/relationships/hyperlink" Target="https://repository.library.noaa.gov/view/noaa/27826" TargetMode="External"/><Relationship Id="rId4" Type="http://schemas.openxmlformats.org/officeDocument/2006/relationships/hyperlink" Target="https://repository.library.noaa.gov/view/noaa/27826" TargetMode="External"/><Relationship Id="rId9" Type="http://schemas.openxmlformats.org/officeDocument/2006/relationships/hyperlink" Target="https://repository.library.noaa.gov/view/noaa/27826" TargetMode="External"/><Relationship Id="rId14" Type="http://schemas.openxmlformats.org/officeDocument/2006/relationships/hyperlink" Target="https://swfsc-publications.fisheries.noaa.gov/publications/TM/SWFSC/NOAA-TM-NMFS-SWFSC-585.pdf" TargetMode="External"/><Relationship Id="rId22" Type="http://schemas.openxmlformats.org/officeDocument/2006/relationships/hyperlink" Target="https://repository.library.noaa.gov/view/noaa/8690" TargetMode="External"/><Relationship Id="rId27" Type="http://schemas.openxmlformats.org/officeDocument/2006/relationships/hyperlink" Target="https://www.mmc.gov/priority-topics/species-of-concern/southern-resident-killer-whale/population/" TargetMode="External"/><Relationship Id="rId30" Type="http://schemas.openxmlformats.org/officeDocument/2006/relationships/hyperlink" Target="https://repository.library.noaa.gov/view/noaa/27826" TargetMode="External"/><Relationship Id="rId35" Type="http://schemas.openxmlformats.org/officeDocument/2006/relationships/hyperlink" Target="https://repository.library.noaa.gov/view/noaa/27826" TargetMode="External"/><Relationship Id="rId43" Type="http://schemas.openxmlformats.org/officeDocument/2006/relationships/hyperlink" Target="https://onlinelibrary.wiley.com/doi/10.1111/ddi.12663" TargetMode="External"/><Relationship Id="rId48" Type="http://schemas.openxmlformats.org/officeDocument/2006/relationships/hyperlink" Target="https://repository.library.noaa.gov/view/noaa/62458" TargetMode="External"/><Relationship Id="rId56" Type="http://schemas.openxmlformats.org/officeDocument/2006/relationships/hyperlink" Target="https://swfsc-publications.fisheries.noaa.gov/publications/CR/2008/08Low.pdf" TargetMode="External"/><Relationship Id="rId8" Type="http://schemas.openxmlformats.org/officeDocument/2006/relationships/hyperlink" Target="https://swfsc-publications.fisheries.noaa.gov/publications/CR/2023/2023Eguchi.pdf" TargetMode="External"/><Relationship Id="rId51" Type="http://schemas.openxmlformats.org/officeDocument/2006/relationships/hyperlink" Target="https://www.fisheries.noaa.gov/s3/2023-12/2023-SSLsurveyreport-PR2023-08.pdf" TargetMode="External"/><Relationship Id="rId3" Type="http://schemas.openxmlformats.org/officeDocument/2006/relationships/hyperlink" Target="https://www.north-slope.org/wp-content/uploads/2022/03/Givens_et_al-2016-Environmetrics.2011_abundance_bowhead_whale_final.pdf" TargetMode="External"/><Relationship Id="rId12" Type="http://schemas.openxmlformats.org/officeDocument/2006/relationships/hyperlink" Target="https://repository.library.noaa.gov/view/noaa/22947" TargetMode="External"/><Relationship Id="rId17" Type="http://schemas.openxmlformats.org/officeDocument/2006/relationships/hyperlink" Target="https://repository.library.noaa.gov/view/noaa/41020" TargetMode="External"/><Relationship Id="rId25" Type="http://schemas.openxmlformats.org/officeDocument/2006/relationships/hyperlink" Target="https://repository.library.noaa.gov/view/noaa/24756" TargetMode="External"/><Relationship Id="rId33" Type="http://schemas.openxmlformats.org/officeDocument/2006/relationships/hyperlink" Target="https://repository.library.noaa.gov/view/noaa/29004" TargetMode="External"/><Relationship Id="rId38" Type="http://schemas.openxmlformats.org/officeDocument/2006/relationships/hyperlink" Target="https://repository.library.noaa.gov/view/noaa/27826" TargetMode="External"/><Relationship Id="rId46" Type="http://schemas.openxmlformats.org/officeDocument/2006/relationships/hyperlink" Target="http://ctfs.si.edu/Public/pdfs/LowryConditEtAl_AqMamm2014.pdf" TargetMode="External"/><Relationship Id="rId59" Type="http://schemas.openxmlformats.org/officeDocument/2006/relationships/hyperlink" Target="https://pubs.usgs.gov/ds/1118/ds1118.pdf" TargetMode="External"/><Relationship Id="rId20" Type="http://schemas.openxmlformats.org/officeDocument/2006/relationships/hyperlink" Target="https://swfsc-publications.fisheries.noaa.gov/publications/TM/SWFSC/NOAA-TM-NMFS-SWFSC-585.pdf" TargetMode="External"/><Relationship Id="rId41" Type="http://schemas.openxmlformats.org/officeDocument/2006/relationships/hyperlink" Target="https://repository.library.noaa.gov/view/noaa/32061" TargetMode="External"/><Relationship Id="rId54" Type="http://schemas.openxmlformats.org/officeDocument/2006/relationships/hyperlink" Target="https://wdfw.wa.gov/sites/default/files/publications/00431/wdfw00431.pdf" TargetMode="External"/><Relationship Id="rId1" Type="http://schemas.openxmlformats.org/officeDocument/2006/relationships/hyperlink" Target="https://repository.library.noaa.gov/view/noaa/27826" TargetMode="External"/><Relationship Id="rId6" Type="http://schemas.openxmlformats.org/officeDocument/2006/relationships/hyperlink" Target="https://swfsc-publications.fisheries.noaa.gov/publications/CR/2023/2023Eguchi.pdf" TargetMode="External"/><Relationship Id="rId15" Type="http://schemas.openxmlformats.org/officeDocument/2006/relationships/hyperlink" Target="https://repository.library.noaa.gov/view/noaa/27826" TargetMode="External"/><Relationship Id="rId23" Type="http://schemas.openxmlformats.org/officeDocument/2006/relationships/hyperlink" Target="https://spo.nmfs.noaa.gov/sites/default/files/pdf-content/MFR/mfr771/mfr7712.pdf" TargetMode="External"/><Relationship Id="rId28" Type="http://schemas.openxmlformats.org/officeDocument/2006/relationships/hyperlink" Target="https://repository.library.noaa.gov/view/noaa/29004" TargetMode="External"/><Relationship Id="rId36" Type="http://schemas.openxmlformats.org/officeDocument/2006/relationships/hyperlink" Target="https://repository.library.noaa.gov/view/noaa/29004" TargetMode="External"/><Relationship Id="rId49" Type="http://schemas.openxmlformats.org/officeDocument/2006/relationships/hyperlink" Target="https://www.fisheries.noaa.gov/s3/2023-12/2023-SSLsurveyreport-PR2023-08.pdf" TargetMode="External"/><Relationship Id="rId57" Type="http://schemas.openxmlformats.org/officeDocument/2006/relationships/hyperlink" Target="https://swfsc-publications.fisheries.noaa.gov/publications/CR/2008/08Low.pdf" TargetMode="External"/><Relationship Id="rId10" Type="http://schemas.openxmlformats.org/officeDocument/2006/relationships/hyperlink" Target="https://repository.library.noaa.gov/view/noaa/27104" TargetMode="External"/><Relationship Id="rId31" Type="http://schemas.openxmlformats.org/officeDocument/2006/relationships/hyperlink" Target="https://repository.library.noaa.gov/view/noaa/27826" TargetMode="External"/><Relationship Id="rId44" Type="http://schemas.openxmlformats.org/officeDocument/2006/relationships/hyperlink" Target="https://repository.library.noaa.gov/view/noaa/27826" TargetMode="External"/><Relationship Id="rId52" Type="http://schemas.openxmlformats.org/officeDocument/2006/relationships/hyperlink" Target="https://www.fisheries.noaa.gov/s3/2023-12/2023-SSLsurveyreport-PR2023-08.pdf" TargetMode="External"/><Relationship Id="rId60" Type="http://schemas.openxmlformats.org/officeDocument/2006/relationships/hyperlink" Target="https://www.fws.gov/sites/default/files/documents/SeaOtter_WASURV2016.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00"/>
  <sheetViews>
    <sheetView tabSelected="1" workbookViewId="0">
      <pane ySplit="1" topLeftCell="A2" activePane="bottomLeft" state="frozen"/>
      <selection pane="bottomLeft" activeCell="G5" sqref="G5"/>
    </sheetView>
  </sheetViews>
  <sheetFormatPr baseColWidth="10" defaultColWidth="12.6640625" defaultRowHeight="15.75" customHeight="1"/>
  <cols>
    <col min="2" max="2" width="18.6640625" customWidth="1"/>
    <col min="3" max="3" width="56" customWidth="1"/>
    <col min="5" max="6" width="23.6640625" customWidth="1"/>
    <col min="7" max="7" width="51.1640625" customWidth="1"/>
    <col min="8" max="8" width="21.1640625" customWidth="1"/>
    <col min="9" max="9" width="13" customWidth="1"/>
    <col min="10" max="10" width="45.6640625" customWidth="1"/>
    <col min="11" max="11" width="13.1640625" customWidth="1"/>
    <col min="12" max="12" width="18.83203125" customWidth="1"/>
    <col min="13" max="13" width="30.6640625" customWidth="1"/>
    <col min="14" max="14" width="18.6640625" customWidth="1"/>
    <col min="15" max="15" width="38.5" customWidth="1"/>
    <col min="16" max="16" width="23.5" customWidth="1"/>
    <col min="17" max="18" width="27.6640625" customWidth="1"/>
    <col min="19" max="19" width="37.6640625" customWidth="1"/>
  </cols>
  <sheetData>
    <row r="1" spans="1:31" ht="22.5" customHeight="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3"/>
      <c r="U1" s="3"/>
      <c r="V1" s="3"/>
      <c r="W1" s="3"/>
      <c r="X1" s="3"/>
      <c r="Y1" s="3"/>
      <c r="Z1" s="3"/>
      <c r="AA1" s="3"/>
      <c r="AB1" s="3"/>
      <c r="AC1" s="3"/>
      <c r="AD1" s="3"/>
      <c r="AE1" s="3"/>
    </row>
    <row r="2" spans="1:31" ht="22.5" customHeight="1">
      <c r="A2" s="4" t="s">
        <v>19</v>
      </c>
      <c r="B2" s="4">
        <v>2019</v>
      </c>
      <c r="C2" s="4" t="s">
        <v>20</v>
      </c>
      <c r="D2" s="4">
        <v>2018</v>
      </c>
      <c r="E2" s="4">
        <v>233515</v>
      </c>
      <c r="F2" s="5" t="s">
        <v>21</v>
      </c>
      <c r="G2" s="4" t="s">
        <v>22</v>
      </c>
      <c r="H2" s="4">
        <v>1</v>
      </c>
      <c r="I2" s="4">
        <v>14011</v>
      </c>
      <c r="J2" s="4" t="s">
        <v>23</v>
      </c>
      <c r="K2" s="4" t="s">
        <v>24</v>
      </c>
      <c r="L2" s="4">
        <v>183481</v>
      </c>
      <c r="M2" s="4" t="s">
        <v>25</v>
      </c>
      <c r="N2" s="4" t="s">
        <v>26</v>
      </c>
      <c r="O2" s="6" t="s">
        <v>27</v>
      </c>
      <c r="P2" s="6" t="s">
        <v>28</v>
      </c>
      <c r="Q2" s="4" t="s">
        <v>29</v>
      </c>
      <c r="R2" s="4" t="s">
        <v>30</v>
      </c>
    </row>
    <row r="3" spans="1:31" ht="22.5" customHeight="1">
      <c r="A3" s="4" t="s">
        <v>19</v>
      </c>
      <c r="B3" s="4">
        <v>2015</v>
      </c>
      <c r="C3" s="4" t="s">
        <v>31</v>
      </c>
      <c r="D3" s="4">
        <v>2012</v>
      </c>
      <c r="E3" s="4">
        <v>27348</v>
      </c>
      <c r="F3" s="5" t="s">
        <v>32</v>
      </c>
      <c r="G3" s="4" t="s">
        <v>33</v>
      </c>
      <c r="H3" s="4">
        <v>1</v>
      </c>
      <c r="I3" s="4">
        <v>1641</v>
      </c>
      <c r="J3" s="4" t="s">
        <v>23</v>
      </c>
      <c r="K3" s="4" t="s">
        <v>24</v>
      </c>
      <c r="L3" s="4" t="s">
        <v>34</v>
      </c>
      <c r="M3" s="4" t="s">
        <v>35</v>
      </c>
      <c r="N3" s="4" t="s">
        <v>36</v>
      </c>
      <c r="O3" s="6" t="s">
        <v>37</v>
      </c>
      <c r="P3" s="6" t="s">
        <v>38</v>
      </c>
      <c r="Q3" s="4" t="s">
        <v>29</v>
      </c>
      <c r="R3" s="4" t="s">
        <v>30</v>
      </c>
    </row>
    <row r="4" spans="1:31" ht="22.5" customHeight="1">
      <c r="A4" s="4" t="s">
        <v>19</v>
      </c>
      <c r="B4" s="4">
        <v>2014</v>
      </c>
      <c r="C4" s="4" t="s">
        <v>39</v>
      </c>
      <c r="D4" s="4" t="s">
        <v>34</v>
      </c>
      <c r="E4" s="4" t="s">
        <v>34</v>
      </c>
      <c r="F4" s="5" t="s">
        <v>34</v>
      </c>
      <c r="G4" s="4" t="s">
        <v>40</v>
      </c>
      <c r="H4" s="4" t="s">
        <v>34</v>
      </c>
      <c r="I4" s="4" t="s">
        <v>34</v>
      </c>
      <c r="J4" s="4" t="s">
        <v>41</v>
      </c>
      <c r="K4" s="4" t="s">
        <v>24</v>
      </c>
      <c r="L4" s="4" t="s">
        <v>34</v>
      </c>
      <c r="M4" s="4" t="s">
        <v>42</v>
      </c>
      <c r="N4" s="4" t="s">
        <v>43</v>
      </c>
      <c r="O4" s="6" t="s">
        <v>44</v>
      </c>
      <c r="P4" s="6" t="s">
        <v>45</v>
      </c>
      <c r="Q4" s="4" t="s">
        <v>29</v>
      </c>
      <c r="R4" s="4" t="s">
        <v>30</v>
      </c>
    </row>
    <row r="5" spans="1:31" ht="22.5" customHeight="1">
      <c r="A5" s="4" t="s">
        <v>19</v>
      </c>
      <c r="B5" s="4">
        <v>2014</v>
      </c>
      <c r="C5" s="4" t="s">
        <v>46</v>
      </c>
      <c r="D5" s="4" t="s">
        <v>34</v>
      </c>
      <c r="E5" s="4" t="s">
        <v>34</v>
      </c>
      <c r="F5" s="5" t="s">
        <v>34</v>
      </c>
      <c r="G5" s="4" t="s">
        <v>47</v>
      </c>
      <c r="H5" s="4" t="s">
        <v>34</v>
      </c>
      <c r="I5" s="4" t="s">
        <v>34</v>
      </c>
      <c r="J5" s="4" t="s">
        <v>48</v>
      </c>
      <c r="K5" s="4" t="s">
        <v>24</v>
      </c>
      <c r="L5" s="4" t="s">
        <v>34</v>
      </c>
      <c r="M5" s="4" t="s">
        <v>42</v>
      </c>
      <c r="N5" s="4" t="s">
        <v>43</v>
      </c>
      <c r="O5" s="6" t="s">
        <v>44</v>
      </c>
      <c r="P5" s="6" t="s">
        <v>45</v>
      </c>
      <c r="Q5" s="4" t="s">
        <v>29</v>
      </c>
      <c r="R5" s="4" t="s">
        <v>30</v>
      </c>
      <c r="S5" s="4" t="s">
        <v>49</v>
      </c>
    </row>
    <row r="6" spans="1:31" ht="22.5" customHeight="1">
      <c r="A6" s="4" t="s">
        <v>19</v>
      </c>
      <c r="B6" s="4">
        <v>2014</v>
      </c>
      <c r="C6" s="4" t="s">
        <v>50</v>
      </c>
      <c r="D6" s="4" t="s">
        <v>34</v>
      </c>
      <c r="E6" s="4" t="s">
        <v>34</v>
      </c>
      <c r="F6" s="5" t="s">
        <v>34</v>
      </c>
      <c r="G6" s="4" t="s">
        <v>51</v>
      </c>
      <c r="H6" s="4" t="s">
        <v>34</v>
      </c>
      <c r="I6" s="4" t="s">
        <v>34</v>
      </c>
      <c r="J6" s="4" t="s">
        <v>48</v>
      </c>
      <c r="K6" s="4" t="s">
        <v>24</v>
      </c>
      <c r="L6" s="4" t="s">
        <v>34</v>
      </c>
      <c r="M6" s="4" t="s">
        <v>42</v>
      </c>
      <c r="N6" s="4" t="s">
        <v>52</v>
      </c>
      <c r="O6" s="6" t="s">
        <v>53</v>
      </c>
      <c r="P6" s="6" t="s">
        <v>54</v>
      </c>
      <c r="Q6" s="4" t="s">
        <v>29</v>
      </c>
      <c r="R6" s="4" t="s">
        <v>30</v>
      </c>
      <c r="S6" s="4" t="s">
        <v>55</v>
      </c>
    </row>
    <row r="7" spans="1:31" ht="22.5" customHeight="1">
      <c r="A7" s="4" t="s">
        <v>19</v>
      </c>
      <c r="B7" s="4">
        <v>2022</v>
      </c>
      <c r="C7" s="4" t="s">
        <v>56</v>
      </c>
      <c r="D7" s="4">
        <v>2013</v>
      </c>
      <c r="E7" s="4">
        <v>85369</v>
      </c>
      <c r="F7" s="5" t="s">
        <v>57</v>
      </c>
      <c r="G7" s="111" t="s">
        <v>1346</v>
      </c>
      <c r="H7" s="4">
        <v>1</v>
      </c>
      <c r="I7" s="4">
        <v>5122</v>
      </c>
      <c r="J7" s="4" t="s">
        <v>23</v>
      </c>
      <c r="K7" s="4" t="s">
        <v>24</v>
      </c>
      <c r="L7" s="4" t="s">
        <v>34</v>
      </c>
      <c r="M7" s="4" t="s">
        <v>35</v>
      </c>
      <c r="N7" s="4" t="s">
        <v>58</v>
      </c>
      <c r="O7" s="6" t="s">
        <v>59</v>
      </c>
      <c r="P7" s="6" t="s">
        <v>60</v>
      </c>
      <c r="Q7" s="4" t="s">
        <v>29</v>
      </c>
      <c r="R7" s="4" t="s">
        <v>30</v>
      </c>
    </row>
    <row r="8" spans="1:31" ht="22.5" hidden="1" customHeight="1">
      <c r="A8" s="4" t="s">
        <v>19</v>
      </c>
      <c r="B8" s="4">
        <v>2020</v>
      </c>
      <c r="C8" s="4" t="s">
        <v>61</v>
      </c>
      <c r="D8" s="4">
        <v>2013</v>
      </c>
      <c r="E8" s="4">
        <v>31019</v>
      </c>
      <c r="F8" s="5" t="s">
        <v>32</v>
      </c>
      <c r="G8" s="111" t="s">
        <v>62</v>
      </c>
      <c r="H8" s="4">
        <v>0.5</v>
      </c>
      <c r="I8" s="4" t="s">
        <v>63</v>
      </c>
      <c r="J8" s="4" t="s">
        <v>23</v>
      </c>
      <c r="K8" s="4" t="s">
        <v>25</v>
      </c>
      <c r="L8" s="4" t="s">
        <v>34</v>
      </c>
      <c r="M8" s="4" t="s">
        <v>35</v>
      </c>
      <c r="N8" s="4" t="s">
        <v>64</v>
      </c>
      <c r="O8" s="6" t="s">
        <v>37</v>
      </c>
      <c r="P8" s="6" t="s">
        <v>65</v>
      </c>
      <c r="Q8" s="4" t="s">
        <v>66</v>
      </c>
      <c r="R8" s="4" t="s">
        <v>67</v>
      </c>
      <c r="S8" s="4" t="s">
        <v>68</v>
      </c>
    </row>
    <row r="9" spans="1:31" ht="22.5" customHeight="1">
      <c r="A9" s="4" t="s">
        <v>19</v>
      </c>
      <c r="B9" s="4">
        <v>2015</v>
      </c>
      <c r="C9" s="4" t="s">
        <v>69</v>
      </c>
      <c r="D9" s="4">
        <v>2013</v>
      </c>
      <c r="E9" s="4">
        <v>7524</v>
      </c>
      <c r="F9" s="5" t="s">
        <v>32</v>
      </c>
      <c r="G9" s="4" t="s">
        <v>70</v>
      </c>
      <c r="H9" s="4">
        <v>1</v>
      </c>
      <c r="I9" s="4">
        <v>451</v>
      </c>
      <c r="J9" s="4" t="s">
        <v>71</v>
      </c>
      <c r="K9" s="4" t="s">
        <v>24</v>
      </c>
      <c r="L9" s="4" t="s">
        <v>34</v>
      </c>
      <c r="M9" s="4" t="s">
        <v>35</v>
      </c>
      <c r="N9" s="4" t="s">
        <v>72</v>
      </c>
      <c r="O9" s="6" t="s">
        <v>73</v>
      </c>
      <c r="P9" s="6" t="s">
        <v>74</v>
      </c>
      <c r="Q9" s="4" t="s">
        <v>29</v>
      </c>
      <c r="R9" s="4" t="s">
        <v>30</v>
      </c>
    </row>
    <row r="10" spans="1:31" ht="22.5" hidden="1" customHeight="1">
      <c r="A10" s="4" t="s">
        <v>19</v>
      </c>
      <c r="B10" s="4">
        <v>2024</v>
      </c>
      <c r="C10" s="4" t="s">
        <v>75</v>
      </c>
      <c r="D10" s="4">
        <v>2021</v>
      </c>
      <c r="E10" s="4">
        <v>1444</v>
      </c>
      <c r="F10" s="5" t="s">
        <v>76</v>
      </c>
      <c r="G10" s="111" t="s">
        <v>77</v>
      </c>
      <c r="H10" s="4">
        <v>0.1</v>
      </c>
      <c r="I10" s="4">
        <v>5.0999999999999996</v>
      </c>
      <c r="J10" s="4" t="s">
        <v>78</v>
      </c>
      <c r="K10" s="4" t="s">
        <v>25</v>
      </c>
      <c r="L10" s="4" t="s">
        <v>34</v>
      </c>
      <c r="M10" s="4" t="s">
        <v>24</v>
      </c>
      <c r="N10" s="4" t="s">
        <v>79</v>
      </c>
      <c r="O10" s="6" t="s">
        <v>80</v>
      </c>
      <c r="P10" s="6" t="s">
        <v>81</v>
      </c>
      <c r="Q10" s="4" t="s">
        <v>66</v>
      </c>
      <c r="R10" s="4" t="s">
        <v>82</v>
      </c>
      <c r="S10" s="4"/>
    </row>
    <row r="11" spans="1:31" ht="22.5" hidden="1" customHeight="1">
      <c r="A11" s="4" t="s">
        <v>19</v>
      </c>
      <c r="B11" s="4">
        <v>2022</v>
      </c>
      <c r="C11" s="4" t="s">
        <v>83</v>
      </c>
      <c r="D11" s="4">
        <v>2012</v>
      </c>
      <c r="E11" s="4">
        <v>2698</v>
      </c>
      <c r="F11" s="5" t="s">
        <v>84</v>
      </c>
      <c r="G11" s="111" t="s">
        <v>85</v>
      </c>
      <c r="H11" s="4">
        <v>0.5</v>
      </c>
      <c r="I11" s="4">
        <v>65</v>
      </c>
      <c r="J11" s="4" t="s">
        <v>23</v>
      </c>
      <c r="K11" s="4" t="s">
        <v>24</v>
      </c>
      <c r="L11" s="4" t="s">
        <v>34</v>
      </c>
      <c r="M11" s="4" t="s">
        <v>35</v>
      </c>
      <c r="N11" s="4" t="s">
        <v>86</v>
      </c>
      <c r="O11" s="6">
        <v>0</v>
      </c>
      <c r="P11" s="6">
        <v>0</v>
      </c>
      <c r="Q11" s="4" t="s">
        <v>29</v>
      </c>
      <c r="R11" s="4" t="s">
        <v>30</v>
      </c>
      <c r="S11" s="4"/>
    </row>
    <row r="12" spans="1:31" ht="22.5" hidden="1" customHeight="1">
      <c r="A12" s="4" t="s">
        <v>19</v>
      </c>
      <c r="B12" s="4">
        <v>2022</v>
      </c>
      <c r="C12" s="4" t="s">
        <v>87</v>
      </c>
      <c r="D12" s="4">
        <v>2013</v>
      </c>
      <c r="E12" s="4">
        <v>2421</v>
      </c>
      <c r="F12" s="5" t="s">
        <v>84</v>
      </c>
      <c r="G12" s="111" t="s">
        <v>88</v>
      </c>
      <c r="H12" s="4">
        <v>0.5</v>
      </c>
      <c r="I12" s="4">
        <v>35</v>
      </c>
      <c r="J12" s="4" t="s">
        <v>23</v>
      </c>
      <c r="K12" s="4" t="s">
        <v>24</v>
      </c>
      <c r="L12" s="4" t="s">
        <v>34</v>
      </c>
      <c r="M12" s="4" t="s">
        <v>35</v>
      </c>
      <c r="N12" s="4" t="s">
        <v>64</v>
      </c>
      <c r="O12" s="6" t="s">
        <v>89</v>
      </c>
      <c r="P12" s="6" t="s">
        <v>90</v>
      </c>
      <c r="Q12" s="4" t="s">
        <v>29</v>
      </c>
      <c r="R12" s="4" t="s">
        <v>30</v>
      </c>
      <c r="S12" s="4"/>
    </row>
    <row r="13" spans="1:31" ht="22.5" hidden="1" customHeight="1">
      <c r="A13" s="4" t="s">
        <v>19</v>
      </c>
      <c r="B13" s="4">
        <v>2022</v>
      </c>
      <c r="C13" s="4" t="s">
        <v>91</v>
      </c>
      <c r="D13" s="4">
        <v>2017</v>
      </c>
      <c r="E13" s="4">
        <v>4811</v>
      </c>
      <c r="F13" s="5" t="s">
        <v>84</v>
      </c>
      <c r="G13" s="111" t="s">
        <v>92</v>
      </c>
      <c r="H13" s="4">
        <v>0.5</v>
      </c>
      <c r="I13" s="4">
        <v>73</v>
      </c>
      <c r="J13" s="4" t="s">
        <v>23</v>
      </c>
      <c r="K13" s="4" t="s">
        <v>24</v>
      </c>
      <c r="L13" s="4" t="s">
        <v>34</v>
      </c>
      <c r="M13" s="4" t="s">
        <v>35</v>
      </c>
      <c r="N13" s="4" t="s">
        <v>86</v>
      </c>
      <c r="O13" s="6" t="s">
        <v>89</v>
      </c>
      <c r="P13" s="6" t="s">
        <v>93</v>
      </c>
      <c r="Q13" s="4" t="s">
        <v>29</v>
      </c>
      <c r="R13" s="4" t="s">
        <v>30</v>
      </c>
      <c r="S13" s="4"/>
    </row>
    <row r="14" spans="1:31" ht="22.5" hidden="1" customHeight="1">
      <c r="A14" s="4" t="s">
        <v>19</v>
      </c>
      <c r="B14" s="4">
        <v>2024</v>
      </c>
      <c r="C14" s="4" t="s">
        <v>94</v>
      </c>
      <c r="D14" s="4">
        <v>2016</v>
      </c>
      <c r="E14" s="4">
        <v>9759</v>
      </c>
      <c r="F14" s="5" t="s">
        <v>84</v>
      </c>
      <c r="G14" s="4" t="s">
        <v>95</v>
      </c>
      <c r="H14" s="4">
        <v>1</v>
      </c>
      <c r="I14" s="4">
        <v>195</v>
      </c>
      <c r="J14" s="4" t="s">
        <v>35</v>
      </c>
      <c r="K14" s="4" t="s">
        <v>24</v>
      </c>
      <c r="L14" s="4" t="s">
        <v>34</v>
      </c>
      <c r="M14" s="4" t="s">
        <v>25</v>
      </c>
      <c r="N14" s="4" t="s">
        <v>79</v>
      </c>
      <c r="O14" s="6">
        <v>0</v>
      </c>
      <c r="P14" s="6">
        <v>0</v>
      </c>
      <c r="Q14" s="4" t="s">
        <v>29</v>
      </c>
      <c r="R14" s="4" t="s">
        <v>30</v>
      </c>
      <c r="S14" s="4"/>
    </row>
    <row r="15" spans="1:31" ht="22.5" hidden="1" customHeight="1">
      <c r="A15" s="4" t="s">
        <v>19</v>
      </c>
      <c r="B15" s="4">
        <v>2024</v>
      </c>
      <c r="C15" s="4" t="s">
        <v>96</v>
      </c>
      <c r="D15" s="4">
        <v>2023</v>
      </c>
      <c r="E15" s="4">
        <v>5332</v>
      </c>
      <c r="F15" s="5" t="s">
        <v>84</v>
      </c>
      <c r="G15" s="4" t="s">
        <v>95</v>
      </c>
      <c r="H15" s="4">
        <v>0.5</v>
      </c>
      <c r="I15" s="4">
        <v>53</v>
      </c>
      <c r="J15" s="4" t="s">
        <v>35</v>
      </c>
      <c r="K15" s="4" t="s">
        <v>24</v>
      </c>
      <c r="L15" s="4" t="s">
        <v>34</v>
      </c>
      <c r="M15" s="4" t="s">
        <v>35</v>
      </c>
      <c r="N15" s="4" t="s">
        <v>79</v>
      </c>
      <c r="O15" s="6">
        <v>0</v>
      </c>
      <c r="P15" s="6">
        <v>0</v>
      </c>
      <c r="Q15" s="4" t="s">
        <v>29</v>
      </c>
      <c r="R15" s="4" t="s">
        <v>30</v>
      </c>
      <c r="S15" s="4"/>
    </row>
    <row r="16" spans="1:31" ht="22.5" hidden="1" customHeight="1">
      <c r="A16" s="4" t="s">
        <v>19</v>
      </c>
      <c r="B16" s="4">
        <v>2024</v>
      </c>
      <c r="C16" s="4" t="s">
        <v>97</v>
      </c>
      <c r="D16" s="4">
        <v>2023</v>
      </c>
      <c r="E16" s="4">
        <v>16068</v>
      </c>
      <c r="F16" s="5" t="s">
        <v>84</v>
      </c>
      <c r="G16" s="4" t="s">
        <v>95</v>
      </c>
      <c r="H16" s="4">
        <v>0.5</v>
      </c>
      <c r="I16" s="4">
        <v>161</v>
      </c>
      <c r="J16" s="4" t="s">
        <v>35</v>
      </c>
      <c r="K16" s="4" t="s">
        <v>24</v>
      </c>
      <c r="L16" s="4" t="s">
        <v>34</v>
      </c>
      <c r="M16" s="4" t="s">
        <v>35</v>
      </c>
      <c r="N16" s="4" t="s">
        <v>98</v>
      </c>
      <c r="O16" s="6" t="s">
        <v>99</v>
      </c>
      <c r="P16" s="6" t="s">
        <v>100</v>
      </c>
      <c r="Q16" s="4" t="s">
        <v>29</v>
      </c>
      <c r="R16" s="4" t="s">
        <v>30</v>
      </c>
      <c r="S16" s="4"/>
    </row>
    <row r="17" spans="1:19" ht="22.5" hidden="1" customHeight="1">
      <c r="A17" s="4" t="s">
        <v>19</v>
      </c>
      <c r="B17" s="4">
        <v>2017</v>
      </c>
      <c r="C17" s="4" t="s">
        <v>101</v>
      </c>
      <c r="D17" s="4">
        <v>2015</v>
      </c>
      <c r="E17" s="4">
        <v>8308</v>
      </c>
      <c r="F17" s="5" t="s">
        <v>84</v>
      </c>
      <c r="G17" s="4" t="s">
        <v>95</v>
      </c>
      <c r="H17" s="4">
        <v>0.4</v>
      </c>
      <c r="I17" s="4">
        <v>66</v>
      </c>
      <c r="J17" s="4" t="s">
        <v>35</v>
      </c>
      <c r="K17" s="4" t="s">
        <v>24</v>
      </c>
      <c r="L17" s="4" t="s">
        <v>34</v>
      </c>
      <c r="M17" s="4" t="s">
        <v>35</v>
      </c>
      <c r="N17" s="4" t="s">
        <v>102</v>
      </c>
      <c r="O17" s="6" t="s">
        <v>103</v>
      </c>
      <c r="P17" s="6" t="s">
        <v>104</v>
      </c>
      <c r="Q17" s="4" t="s">
        <v>29</v>
      </c>
      <c r="R17" s="4" t="s">
        <v>30</v>
      </c>
      <c r="S17" s="4"/>
    </row>
    <row r="18" spans="1:19" ht="22.5" hidden="1" customHeight="1">
      <c r="A18" s="4" t="s">
        <v>19</v>
      </c>
      <c r="B18" s="4">
        <v>2022</v>
      </c>
      <c r="C18" s="4" t="s">
        <v>105</v>
      </c>
      <c r="D18" s="4">
        <v>2018</v>
      </c>
      <c r="E18" s="4">
        <v>10286</v>
      </c>
      <c r="F18" s="5" t="s">
        <v>106</v>
      </c>
      <c r="G18" s="4" t="s">
        <v>95</v>
      </c>
      <c r="H18" s="4">
        <v>0.48</v>
      </c>
      <c r="I18" s="4">
        <v>99</v>
      </c>
      <c r="J18" s="4" t="s">
        <v>35</v>
      </c>
      <c r="K18" s="4" t="s">
        <v>24</v>
      </c>
      <c r="L18" s="4" t="s">
        <v>34</v>
      </c>
      <c r="M18" s="4" t="s">
        <v>35</v>
      </c>
      <c r="N18" s="4" t="s">
        <v>58</v>
      </c>
      <c r="O18" s="6" t="s">
        <v>107</v>
      </c>
      <c r="P18" s="6" t="s">
        <v>108</v>
      </c>
      <c r="Q18" s="4" t="s">
        <v>29</v>
      </c>
      <c r="R18" s="4" t="s">
        <v>30</v>
      </c>
      <c r="S18" s="4"/>
    </row>
    <row r="19" spans="1:19" ht="22.5" hidden="1" customHeight="1">
      <c r="A19" s="4" t="s">
        <v>19</v>
      </c>
      <c r="B19" s="4">
        <v>2022</v>
      </c>
      <c r="C19" s="4" t="s">
        <v>109</v>
      </c>
      <c r="D19" s="4">
        <v>2018</v>
      </c>
      <c r="E19" s="4">
        <v>29090</v>
      </c>
      <c r="F19" s="5" t="s">
        <v>106</v>
      </c>
      <c r="G19" s="4" t="s">
        <v>95</v>
      </c>
      <c r="H19" s="4">
        <v>0.48</v>
      </c>
      <c r="I19" s="4">
        <v>279</v>
      </c>
      <c r="J19" s="4" t="s">
        <v>35</v>
      </c>
      <c r="K19" s="4" t="s">
        <v>24</v>
      </c>
      <c r="L19" s="4" t="s">
        <v>34</v>
      </c>
      <c r="M19" s="4" t="s">
        <v>35</v>
      </c>
      <c r="N19" s="4" t="s">
        <v>58</v>
      </c>
      <c r="O19" s="6" t="s">
        <v>107</v>
      </c>
      <c r="P19" s="6" t="s">
        <v>110</v>
      </c>
      <c r="Q19" s="4" t="s">
        <v>29</v>
      </c>
      <c r="R19" s="4" t="s">
        <v>30</v>
      </c>
      <c r="S19" s="4"/>
    </row>
    <row r="20" spans="1:19" ht="22.5" hidden="1" customHeight="1">
      <c r="A20" s="4" t="s">
        <v>19</v>
      </c>
      <c r="B20" s="4">
        <v>2017</v>
      </c>
      <c r="C20" s="4" t="s">
        <v>111</v>
      </c>
      <c r="D20" s="4">
        <v>2014</v>
      </c>
      <c r="E20" s="4">
        <v>4817</v>
      </c>
      <c r="F20" s="5" t="s">
        <v>112</v>
      </c>
      <c r="G20" s="4" t="s">
        <v>95</v>
      </c>
      <c r="H20" s="4">
        <v>0.48</v>
      </c>
      <c r="I20" s="4">
        <v>46</v>
      </c>
      <c r="J20" s="4" t="s">
        <v>35</v>
      </c>
      <c r="K20" s="4" t="s">
        <v>24</v>
      </c>
      <c r="L20" s="4" t="s">
        <v>34</v>
      </c>
      <c r="M20" s="4" t="s">
        <v>35</v>
      </c>
      <c r="N20" s="4" t="s">
        <v>113</v>
      </c>
      <c r="O20" s="6" t="s">
        <v>114</v>
      </c>
      <c r="P20" s="6" t="s">
        <v>115</v>
      </c>
      <c r="Q20" s="4" t="s">
        <v>29</v>
      </c>
      <c r="R20" s="4" t="s">
        <v>30</v>
      </c>
      <c r="S20" s="4"/>
    </row>
    <row r="21" spans="1:19" ht="22.5" hidden="1" customHeight="1">
      <c r="A21" s="4" t="s">
        <v>19</v>
      </c>
      <c r="B21" s="4">
        <v>2017</v>
      </c>
      <c r="C21" s="4" t="s">
        <v>116</v>
      </c>
      <c r="D21" s="4">
        <v>2011</v>
      </c>
      <c r="E21" s="4">
        <v>346</v>
      </c>
      <c r="F21" s="5" t="s">
        <v>117</v>
      </c>
      <c r="G21" s="4" t="s">
        <v>95</v>
      </c>
      <c r="H21" s="4">
        <v>0.48</v>
      </c>
      <c r="I21" s="4">
        <v>3.3</v>
      </c>
      <c r="J21" s="4" t="s">
        <v>23</v>
      </c>
      <c r="K21" s="4" t="s">
        <v>24</v>
      </c>
      <c r="L21" s="4" t="s">
        <v>34</v>
      </c>
      <c r="M21" s="4" t="s">
        <v>35</v>
      </c>
      <c r="N21" s="4" t="s">
        <v>118</v>
      </c>
      <c r="O21" s="6" t="s">
        <v>119</v>
      </c>
      <c r="P21" s="6" t="s">
        <v>120</v>
      </c>
      <c r="Q21" s="4" t="s">
        <v>29</v>
      </c>
      <c r="R21" s="4" t="s">
        <v>30</v>
      </c>
      <c r="S21" s="4"/>
    </row>
    <row r="22" spans="1:19" ht="22.5" hidden="1" customHeight="1">
      <c r="A22" s="4" t="s">
        <v>19</v>
      </c>
      <c r="B22" s="4">
        <v>2022</v>
      </c>
      <c r="C22" s="4" t="s">
        <v>121</v>
      </c>
      <c r="D22" s="4">
        <v>2018</v>
      </c>
      <c r="E22" s="4">
        <v>2048</v>
      </c>
      <c r="F22" s="5" t="s">
        <v>106</v>
      </c>
      <c r="G22" s="4" t="s">
        <v>95</v>
      </c>
      <c r="H22" s="4">
        <v>0.48</v>
      </c>
      <c r="I22" s="4">
        <v>19.7</v>
      </c>
      <c r="J22" s="4" t="s">
        <v>35</v>
      </c>
      <c r="K22" s="4" t="s">
        <v>24</v>
      </c>
      <c r="L22" s="4" t="s">
        <v>34</v>
      </c>
      <c r="M22" s="4" t="s">
        <v>35</v>
      </c>
      <c r="N22" s="4" t="s">
        <v>58</v>
      </c>
      <c r="O22" s="6" t="s">
        <v>122</v>
      </c>
      <c r="P22" s="6" t="s">
        <v>123</v>
      </c>
      <c r="Q22" s="4" t="s">
        <v>29</v>
      </c>
      <c r="R22" s="4" t="s">
        <v>30</v>
      </c>
      <c r="S22" s="4"/>
    </row>
    <row r="23" spans="1:19" ht="22.5" hidden="1" customHeight="1">
      <c r="A23" s="4" t="s">
        <v>19</v>
      </c>
      <c r="B23" s="4">
        <v>2022</v>
      </c>
      <c r="C23" s="4" t="s">
        <v>124</v>
      </c>
      <c r="D23" s="4">
        <v>2018</v>
      </c>
      <c r="E23" s="4">
        <v>23448</v>
      </c>
      <c r="F23" s="5" t="s">
        <v>106</v>
      </c>
      <c r="G23" s="4" t="s">
        <v>95</v>
      </c>
      <c r="H23" s="4">
        <v>0.48</v>
      </c>
      <c r="I23" s="4">
        <v>225</v>
      </c>
      <c r="J23" s="4" t="s">
        <v>35</v>
      </c>
      <c r="K23" s="4" t="s">
        <v>24</v>
      </c>
      <c r="L23" s="4" t="s">
        <v>34</v>
      </c>
      <c r="M23" s="4" t="s">
        <v>35</v>
      </c>
      <c r="N23" s="4" t="s">
        <v>86</v>
      </c>
      <c r="O23" s="6" t="s">
        <v>119</v>
      </c>
      <c r="P23" s="6" t="s">
        <v>125</v>
      </c>
      <c r="Q23" s="4" t="s">
        <v>29</v>
      </c>
      <c r="R23" s="4" t="s">
        <v>30</v>
      </c>
      <c r="S23" s="4"/>
    </row>
    <row r="24" spans="1:19" ht="22.5" hidden="1" customHeight="1">
      <c r="A24" s="4" t="s">
        <v>19</v>
      </c>
      <c r="B24" s="4">
        <v>2022</v>
      </c>
      <c r="C24" s="4" t="s">
        <v>126</v>
      </c>
      <c r="D24" s="4">
        <v>2018</v>
      </c>
      <c r="E24" s="4">
        <v>888971</v>
      </c>
      <c r="F24" s="5" t="s">
        <v>106</v>
      </c>
      <c r="G24" s="4" t="s">
        <v>95</v>
      </c>
      <c r="H24" s="4">
        <v>0.5</v>
      </c>
      <c r="I24" s="4">
        <v>8889</v>
      </c>
      <c r="J24" s="4" t="s">
        <v>127</v>
      </c>
      <c r="K24" s="4" t="s">
        <v>24</v>
      </c>
      <c r="L24" s="4" t="s">
        <v>34</v>
      </c>
      <c r="M24" s="4" t="s">
        <v>35</v>
      </c>
      <c r="N24" s="4" t="s">
        <v>86</v>
      </c>
      <c r="O24" s="6" t="s">
        <v>37</v>
      </c>
      <c r="P24" s="6" t="s">
        <v>128</v>
      </c>
      <c r="Q24" s="4" t="s">
        <v>29</v>
      </c>
      <c r="R24" s="4" t="s">
        <v>30</v>
      </c>
      <c r="S24" s="4"/>
    </row>
    <row r="25" spans="1:19" ht="22.5" hidden="1" customHeight="1">
      <c r="A25" s="4" t="s">
        <v>19</v>
      </c>
      <c r="B25" s="4">
        <v>2022</v>
      </c>
      <c r="C25" s="4" t="s">
        <v>129</v>
      </c>
      <c r="D25" s="4">
        <v>2018</v>
      </c>
      <c r="E25" s="4">
        <v>69636</v>
      </c>
      <c r="F25" s="5" t="s">
        <v>106</v>
      </c>
      <c r="G25" s="4" t="s">
        <v>95</v>
      </c>
      <c r="H25" s="4">
        <v>0.48</v>
      </c>
      <c r="I25" s="4">
        <v>668</v>
      </c>
      <c r="J25" s="4" t="s">
        <v>35</v>
      </c>
      <c r="K25" s="4" t="s">
        <v>24</v>
      </c>
      <c r="L25" s="4" t="s">
        <v>34</v>
      </c>
      <c r="M25" s="4" t="s">
        <v>35</v>
      </c>
      <c r="N25" s="4" t="s">
        <v>86</v>
      </c>
      <c r="O25" s="6" t="s">
        <v>130</v>
      </c>
      <c r="P25" s="6" t="s">
        <v>131</v>
      </c>
      <c r="Q25" s="4" t="s">
        <v>29</v>
      </c>
      <c r="R25" s="4" t="s">
        <v>30</v>
      </c>
      <c r="S25" s="4"/>
    </row>
    <row r="26" spans="1:19" ht="22.5" hidden="1" customHeight="1">
      <c r="A26" s="4" t="s">
        <v>19</v>
      </c>
      <c r="B26" s="4">
        <v>2022</v>
      </c>
      <c r="C26" s="4" t="s">
        <v>132</v>
      </c>
      <c r="D26" s="4">
        <v>2018</v>
      </c>
      <c r="E26" s="4">
        <v>17024</v>
      </c>
      <c r="F26" s="5" t="s">
        <v>106</v>
      </c>
      <c r="G26" s="4" t="s">
        <v>95</v>
      </c>
      <c r="H26" s="4">
        <v>0.48</v>
      </c>
      <c r="I26" s="4">
        <v>163</v>
      </c>
      <c r="J26" s="4" t="s">
        <v>35</v>
      </c>
      <c r="K26" s="4" t="s">
        <v>24</v>
      </c>
      <c r="L26" s="4" t="s">
        <v>34</v>
      </c>
      <c r="M26" s="4" t="s">
        <v>35</v>
      </c>
      <c r="N26" s="4" t="s">
        <v>58</v>
      </c>
      <c r="O26" s="6" t="s">
        <v>107</v>
      </c>
      <c r="P26" s="6" t="s">
        <v>133</v>
      </c>
      <c r="Q26" s="4" t="s">
        <v>29</v>
      </c>
      <c r="R26" s="4" t="s">
        <v>30</v>
      </c>
      <c r="S26" s="4"/>
    </row>
    <row r="27" spans="1:19" ht="22.5" hidden="1" customHeight="1">
      <c r="A27" s="4" t="s">
        <v>19</v>
      </c>
      <c r="B27" s="4">
        <v>2022</v>
      </c>
      <c r="C27" s="4" t="s">
        <v>134</v>
      </c>
      <c r="D27" s="4">
        <v>2012</v>
      </c>
      <c r="E27" s="4">
        <v>276</v>
      </c>
      <c r="F27" s="5" t="s">
        <v>117</v>
      </c>
      <c r="G27" s="4" t="s">
        <v>135</v>
      </c>
      <c r="H27" s="4">
        <v>0.5</v>
      </c>
      <c r="I27" s="4">
        <v>2.8</v>
      </c>
      <c r="J27" s="4" t="s">
        <v>136</v>
      </c>
      <c r="K27" s="4" t="s">
        <v>24</v>
      </c>
      <c r="L27" s="4" t="s">
        <v>34</v>
      </c>
      <c r="M27" s="4" t="s">
        <v>35</v>
      </c>
      <c r="N27" s="4" t="s">
        <v>137</v>
      </c>
      <c r="O27" s="6">
        <v>0</v>
      </c>
      <c r="P27" s="6">
        <v>0</v>
      </c>
      <c r="Q27" s="4" t="s">
        <v>29</v>
      </c>
      <c r="R27" s="4" t="s">
        <v>30</v>
      </c>
      <c r="S27" s="4"/>
    </row>
    <row r="28" spans="1:19" ht="22.5" hidden="1" customHeight="1">
      <c r="A28" s="4" t="s">
        <v>19</v>
      </c>
      <c r="B28" s="4">
        <v>2023</v>
      </c>
      <c r="C28" s="4" t="s">
        <v>138</v>
      </c>
      <c r="D28" s="4">
        <v>2021</v>
      </c>
      <c r="E28" s="4">
        <v>74</v>
      </c>
      <c r="F28" s="5" t="s">
        <v>139</v>
      </c>
      <c r="G28" s="111" t="s">
        <v>140</v>
      </c>
      <c r="H28" s="4">
        <v>0.1</v>
      </c>
      <c r="I28" s="4">
        <v>0.13</v>
      </c>
      <c r="J28" s="4" t="s">
        <v>141</v>
      </c>
      <c r="K28" s="4" t="s">
        <v>25</v>
      </c>
      <c r="L28" s="4" t="s">
        <v>34</v>
      </c>
      <c r="M28" s="4" t="s">
        <v>35</v>
      </c>
      <c r="N28" s="4" t="s">
        <v>142</v>
      </c>
      <c r="O28" s="6" t="s">
        <v>34</v>
      </c>
      <c r="P28" s="6" t="s">
        <v>34</v>
      </c>
      <c r="Q28" s="4" t="s">
        <v>66</v>
      </c>
      <c r="R28" s="4" t="s">
        <v>82</v>
      </c>
      <c r="S28" s="4"/>
    </row>
    <row r="29" spans="1:19" ht="22.5" hidden="1" customHeight="1">
      <c r="A29" s="4" t="s">
        <v>19</v>
      </c>
      <c r="B29" s="4">
        <v>2017</v>
      </c>
      <c r="C29" s="4" t="s">
        <v>143</v>
      </c>
      <c r="D29" s="4">
        <v>2014</v>
      </c>
      <c r="E29" s="4">
        <v>466</v>
      </c>
      <c r="F29" s="5" t="s">
        <v>112</v>
      </c>
      <c r="G29" s="4" t="s">
        <v>95</v>
      </c>
      <c r="H29" s="4">
        <v>0.48</v>
      </c>
      <c r="I29" s="4">
        <v>4.5</v>
      </c>
      <c r="J29" s="4" t="s">
        <v>35</v>
      </c>
      <c r="K29" s="4" t="s">
        <v>24</v>
      </c>
      <c r="L29" s="4" t="s">
        <v>34</v>
      </c>
      <c r="M29" s="4" t="s">
        <v>35</v>
      </c>
      <c r="N29" s="4" t="s">
        <v>113</v>
      </c>
      <c r="O29" s="7" t="s">
        <v>144</v>
      </c>
      <c r="P29" s="6" t="s">
        <v>145</v>
      </c>
      <c r="Q29" s="4" t="s">
        <v>29</v>
      </c>
      <c r="R29" s="4" t="s">
        <v>30</v>
      </c>
      <c r="S29" s="4"/>
    </row>
    <row r="30" spans="1:19" ht="22.5" hidden="1" customHeight="1">
      <c r="A30" s="4" t="s">
        <v>19</v>
      </c>
      <c r="B30" s="4">
        <v>2022</v>
      </c>
      <c r="C30" s="4" t="s">
        <v>146</v>
      </c>
      <c r="D30" s="4">
        <v>2022</v>
      </c>
      <c r="E30" s="4">
        <v>894</v>
      </c>
      <c r="F30" s="5" t="s">
        <v>106</v>
      </c>
      <c r="G30" s="4" t="s">
        <v>95</v>
      </c>
      <c r="H30" s="4">
        <v>0.5</v>
      </c>
      <c r="I30" s="4">
        <v>8.9</v>
      </c>
      <c r="J30" s="4" t="s">
        <v>23</v>
      </c>
      <c r="K30" s="4" t="s">
        <v>24</v>
      </c>
      <c r="L30" s="4" t="s">
        <v>34</v>
      </c>
      <c r="M30" s="4" t="s">
        <v>35</v>
      </c>
      <c r="N30" s="4" t="s">
        <v>86</v>
      </c>
      <c r="O30" s="7">
        <v>0</v>
      </c>
      <c r="P30" s="6" t="s">
        <v>90</v>
      </c>
      <c r="Q30" s="4" t="s">
        <v>29</v>
      </c>
      <c r="R30" s="4" t="s">
        <v>30</v>
      </c>
      <c r="S30" s="4"/>
    </row>
    <row r="31" spans="1:19" ht="22.5" hidden="1" customHeight="1">
      <c r="A31" s="4" t="s">
        <v>19</v>
      </c>
      <c r="B31" s="4">
        <v>2018</v>
      </c>
      <c r="C31" s="4" t="s">
        <v>147</v>
      </c>
      <c r="D31" s="4">
        <v>2014</v>
      </c>
      <c r="E31" s="4">
        <v>1967</v>
      </c>
      <c r="F31" s="5" t="s">
        <v>112</v>
      </c>
      <c r="G31" s="4" t="s">
        <v>95</v>
      </c>
      <c r="H31" s="4">
        <v>0.5</v>
      </c>
      <c r="I31" s="4">
        <v>20</v>
      </c>
      <c r="J31" s="4" t="s">
        <v>23</v>
      </c>
      <c r="K31" s="4" t="s">
        <v>24</v>
      </c>
      <c r="L31" s="4" t="s">
        <v>34</v>
      </c>
      <c r="M31" s="4" t="s">
        <v>35</v>
      </c>
      <c r="N31" s="4" t="s">
        <v>148</v>
      </c>
      <c r="O31" s="7" t="s">
        <v>149</v>
      </c>
      <c r="P31" s="6" t="s">
        <v>150</v>
      </c>
      <c r="Q31" s="4" t="s">
        <v>29</v>
      </c>
      <c r="R31" s="4" t="s">
        <v>30</v>
      </c>
      <c r="S31" s="4" t="s">
        <v>151</v>
      </c>
    </row>
    <row r="32" spans="1:19" ht="22.5" hidden="1" customHeight="1">
      <c r="A32" s="4" t="s">
        <v>19</v>
      </c>
      <c r="B32" s="4">
        <v>2022</v>
      </c>
      <c r="C32" s="4" t="s">
        <v>152</v>
      </c>
      <c r="D32" s="4">
        <v>2016</v>
      </c>
      <c r="E32" s="4">
        <v>4214</v>
      </c>
      <c r="F32" s="5" t="s">
        <v>153</v>
      </c>
      <c r="G32" s="4" t="s">
        <v>95</v>
      </c>
      <c r="H32" s="4">
        <v>0.5</v>
      </c>
      <c r="I32" s="4">
        <v>42</v>
      </c>
      <c r="J32" s="4" t="s">
        <v>141</v>
      </c>
      <c r="K32" s="4" t="s">
        <v>24</v>
      </c>
      <c r="L32" s="4" t="s">
        <v>34</v>
      </c>
      <c r="M32" s="4" t="s">
        <v>35</v>
      </c>
      <c r="N32" s="4" t="s">
        <v>154</v>
      </c>
      <c r="O32" s="7" t="s">
        <v>149</v>
      </c>
      <c r="P32" s="6" t="s">
        <v>155</v>
      </c>
      <c r="Q32" s="4" t="s">
        <v>29</v>
      </c>
      <c r="R32" s="4" t="s">
        <v>30</v>
      </c>
      <c r="S32" s="4"/>
    </row>
    <row r="33" spans="1:19" ht="22.5" hidden="1" customHeight="1">
      <c r="A33" s="4" t="s">
        <v>19</v>
      </c>
      <c r="B33" s="4">
        <v>2017</v>
      </c>
      <c r="C33" s="4" t="s">
        <v>156</v>
      </c>
      <c r="D33" s="4">
        <v>2014</v>
      </c>
      <c r="E33" s="4">
        <v>1924</v>
      </c>
      <c r="F33" s="5" t="s">
        <v>112</v>
      </c>
      <c r="G33" s="4" t="s">
        <v>95</v>
      </c>
      <c r="H33" s="4">
        <v>0.5</v>
      </c>
      <c r="I33" s="4">
        <v>19</v>
      </c>
      <c r="J33" s="4" t="s">
        <v>35</v>
      </c>
      <c r="K33" s="4" t="s">
        <v>24</v>
      </c>
      <c r="L33" s="4" t="s">
        <v>34</v>
      </c>
      <c r="M33" s="4" t="s">
        <v>35</v>
      </c>
      <c r="N33" s="4" t="s">
        <v>118</v>
      </c>
      <c r="O33" s="7" t="s">
        <v>149</v>
      </c>
      <c r="P33" s="6">
        <v>0</v>
      </c>
      <c r="Q33" s="4" t="s">
        <v>29</v>
      </c>
      <c r="R33" s="4" t="s">
        <v>30</v>
      </c>
      <c r="S33" s="4"/>
    </row>
    <row r="34" spans="1:19" ht="22.5" hidden="1" customHeight="1">
      <c r="A34" s="4" t="s">
        <v>19</v>
      </c>
      <c r="B34" s="4">
        <v>2017</v>
      </c>
      <c r="C34" s="4" t="s">
        <v>157</v>
      </c>
      <c r="D34" s="4" t="s">
        <v>34</v>
      </c>
      <c r="E34" s="4" t="s">
        <v>34</v>
      </c>
      <c r="F34" s="5" t="s">
        <v>34</v>
      </c>
      <c r="G34" s="4" t="s">
        <v>95</v>
      </c>
      <c r="H34" s="4">
        <v>0.5</v>
      </c>
      <c r="I34" s="4" t="s">
        <v>34</v>
      </c>
      <c r="J34" s="4" t="s">
        <v>35</v>
      </c>
      <c r="K34" s="4" t="s">
        <v>24</v>
      </c>
      <c r="L34" s="4" t="s">
        <v>34</v>
      </c>
      <c r="M34" s="4" t="s">
        <v>35</v>
      </c>
      <c r="N34" s="4" t="s">
        <v>118</v>
      </c>
      <c r="O34" s="7" t="s">
        <v>149</v>
      </c>
      <c r="P34" s="6">
        <v>0</v>
      </c>
      <c r="Q34" s="4" t="s">
        <v>29</v>
      </c>
      <c r="R34" s="4" t="s">
        <v>30</v>
      </c>
      <c r="S34" s="4"/>
    </row>
    <row r="35" spans="1:19" ht="22.5" hidden="1" customHeight="1">
      <c r="A35" s="4" t="s">
        <v>19</v>
      </c>
      <c r="B35" s="4">
        <v>2024</v>
      </c>
      <c r="C35" s="4" t="s">
        <v>158</v>
      </c>
      <c r="D35" s="4">
        <v>2018</v>
      </c>
      <c r="E35" s="4">
        <v>2011</v>
      </c>
      <c r="F35" s="5" t="s">
        <v>106</v>
      </c>
      <c r="G35" s="4" t="s">
        <v>95</v>
      </c>
      <c r="H35" s="4">
        <v>0.1</v>
      </c>
      <c r="I35" s="4">
        <v>4</v>
      </c>
      <c r="J35" s="4" t="s">
        <v>35</v>
      </c>
      <c r="K35" s="4" t="s">
        <v>25</v>
      </c>
      <c r="L35" s="4" t="s">
        <v>34</v>
      </c>
      <c r="M35" s="4" t="s">
        <v>35</v>
      </c>
      <c r="N35" s="4" t="s">
        <v>159</v>
      </c>
      <c r="O35" s="7" t="s">
        <v>107</v>
      </c>
      <c r="P35" s="6" t="s">
        <v>160</v>
      </c>
      <c r="Q35" s="4" t="s">
        <v>66</v>
      </c>
      <c r="R35" s="4" t="s">
        <v>82</v>
      </c>
      <c r="S35" s="4"/>
    </row>
    <row r="36" spans="1:19" ht="22.5" hidden="1" customHeight="1">
      <c r="A36" s="4" t="s">
        <v>19</v>
      </c>
      <c r="B36" s="4">
        <v>2021</v>
      </c>
      <c r="C36" s="4" t="s">
        <v>161</v>
      </c>
      <c r="D36" s="4">
        <v>2016</v>
      </c>
      <c r="E36" s="4">
        <v>25849</v>
      </c>
      <c r="F36" s="5" t="s">
        <v>162</v>
      </c>
      <c r="G36" s="111" t="s">
        <v>163</v>
      </c>
      <c r="H36" s="4">
        <v>1</v>
      </c>
      <c r="I36" s="4">
        <v>801</v>
      </c>
      <c r="J36" s="4" t="s">
        <v>23</v>
      </c>
      <c r="K36" s="4" t="s">
        <v>24</v>
      </c>
      <c r="L36" s="4" t="s">
        <v>34</v>
      </c>
      <c r="M36" s="4" t="s">
        <v>25</v>
      </c>
      <c r="N36" s="4" t="s">
        <v>164</v>
      </c>
      <c r="O36" s="6" t="s">
        <v>165</v>
      </c>
      <c r="P36" s="6" t="s">
        <v>166</v>
      </c>
      <c r="Q36" s="4" t="s">
        <v>29</v>
      </c>
      <c r="R36" s="4" t="s">
        <v>30</v>
      </c>
      <c r="S36" s="4" t="s">
        <v>167</v>
      </c>
    </row>
    <row r="37" spans="1:19" ht="22.5" hidden="1" customHeight="1">
      <c r="A37" s="4" t="s">
        <v>19</v>
      </c>
      <c r="B37" s="4">
        <v>2021</v>
      </c>
      <c r="C37" s="4" t="s">
        <v>168</v>
      </c>
      <c r="D37" s="4">
        <v>2016</v>
      </c>
      <c r="E37" s="4">
        <v>271</v>
      </c>
      <c r="F37" s="5" t="s">
        <v>117</v>
      </c>
      <c r="G37" s="111" t="s">
        <v>169</v>
      </c>
      <c r="H37" s="4">
        <v>0.1</v>
      </c>
      <c r="I37" s="4">
        <v>0.12</v>
      </c>
      <c r="J37" s="4" t="s">
        <v>170</v>
      </c>
      <c r="K37" s="4" t="s">
        <v>25</v>
      </c>
      <c r="L37" s="4" t="s">
        <v>34</v>
      </c>
      <c r="M37" s="4" t="s">
        <v>35</v>
      </c>
      <c r="N37" s="4" t="s">
        <v>34</v>
      </c>
      <c r="O37" s="6" t="s">
        <v>34</v>
      </c>
      <c r="P37" s="6" t="s">
        <v>34</v>
      </c>
      <c r="Q37" s="4" t="s">
        <v>66</v>
      </c>
      <c r="R37" s="4" t="s">
        <v>82</v>
      </c>
      <c r="S37" s="4"/>
    </row>
    <row r="38" spans="1:19" ht="22.5" hidden="1" customHeight="1">
      <c r="A38" s="4" t="s">
        <v>19</v>
      </c>
      <c r="B38" s="4">
        <v>2023</v>
      </c>
      <c r="C38" s="4" t="s">
        <v>171</v>
      </c>
      <c r="D38" s="4">
        <v>2021</v>
      </c>
      <c r="E38" s="4">
        <v>1496</v>
      </c>
      <c r="F38" s="5" t="s">
        <v>117</v>
      </c>
      <c r="G38" s="111" t="s">
        <v>172</v>
      </c>
      <c r="H38" s="4">
        <v>0.1</v>
      </c>
      <c r="I38" s="4">
        <v>3.5</v>
      </c>
      <c r="J38" s="4" t="s">
        <v>35</v>
      </c>
      <c r="K38" s="4" t="s">
        <v>25</v>
      </c>
      <c r="L38" s="4" t="s">
        <v>34</v>
      </c>
      <c r="M38" s="4" t="s">
        <v>35</v>
      </c>
      <c r="N38" s="8" t="s">
        <v>154</v>
      </c>
      <c r="O38" s="7" t="s">
        <v>173</v>
      </c>
      <c r="P38" s="7" t="s">
        <v>174</v>
      </c>
      <c r="Q38" s="4" t="s">
        <v>66</v>
      </c>
      <c r="R38" s="4" t="s">
        <v>82</v>
      </c>
      <c r="S38" s="4"/>
    </row>
    <row r="39" spans="1:19" ht="22.5" hidden="1" customHeight="1">
      <c r="A39" s="4" t="s">
        <v>19</v>
      </c>
      <c r="B39" s="4">
        <v>2023</v>
      </c>
      <c r="C39" s="4" t="s">
        <v>175</v>
      </c>
      <c r="D39" s="4">
        <v>2021</v>
      </c>
      <c r="E39" s="4">
        <v>3185</v>
      </c>
      <c r="F39" s="5" t="s">
        <v>117</v>
      </c>
      <c r="G39" s="111" t="s">
        <v>172</v>
      </c>
      <c r="H39" s="4">
        <v>0.5</v>
      </c>
      <c r="I39" s="4">
        <v>43</v>
      </c>
      <c r="J39" s="4" t="s">
        <v>35</v>
      </c>
      <c r="K39" s="4" t="s">
        <v>25</v>
      </c>
      <c r="L39" s="4" t="s">
        <v>34</v>
      </c>
      <c r="M39" s="4" t="s">
        <v>35</v>
      </c>
      <c r="N39" s="8" t="s">
        <v>154</v>
      </c>
      <c r="O39" s="7" t="s">
        <v>176</v>
      </c>
      <c r="P39" s="7" t="s">
        <v>177</v>
      </c>
      <c r="Q39" s="4" t="s">
        <v>66</v>
      </c>
      <c r="R39" s="4" t="s">
        <v>67</v>
      </c>
      <c r="S39" s="4"/>
    </row>
    <row r="40" spans="1:19" ht="22.5" hidden="1" customHeight="1">
      <c r="A40" s="4" t="s">
        <v>19</v>
      </c>
      <c r="B40" s="4">
        <v>2024</v>
      </c>
      <c r="C40" s="4" t="s">
        <v>178</v>
      </c>
      <c r="D40" s="4">
        <v>2018</v>
      </c>
      <c r="E40" s="4">
        <v>1767</v>
      </c>
      <c r="F40" s="5" t="s">
        <v>117</v>
      </c>
      <c r="G40" s="4" t="s">
        <v>95</v>
      </c>
      <c r="H40" s="4">
        <v>0.2</v>
      </c>
      <c r="I40" s="4">
        <v>4.0999999999999996</v>
      </c>
      <c r="J40" s="4" t="s">
        <v>35</v>
      </c>
      <c r="K40" s="4" t="s">
        <v>25</v>
      </c>
      <c r="L40" s="4" t="s">
        <v>34</v>
      </c>
      <c r="M40" s="4" t="s">
        <v>35</v>
      </c>
      <c r="N40" s="8" t="s">
        <v>79</v>
      </c>
      <c r="O40" s="7" t="s">
        <v>179</v>
      </c>
      <c r="P40" s="7" t="s">
        <v>180</v>
      </c>
      <c r="Q40" s="4" t="s">
        <v>66</v>
      </c>
      <c r="R40" s="4" t="s">
        <v>82</v>
      </c>
      <c r="S40" s="4"/>
    </row>
    <row r="41" spans="1:19" ht="22.5" hidden="1" customHeight="1">
      <c r="A41" s="4" t="s">
        <v>19</v>
      </c>
      <c r="B41" s="4">
        <v>2024</v>
      </c>
      <c r="C41" s="4" t="s">
        <v>181</v>
      </c>
      <c r="D41" s="4">
        <v>2018</v>
      </c>
      <c r="E41" s="4">
        <v>7970</v>
      </c>
      <c r="F41" s="5" t="s">
        <v>106</v>
      </c>
      <c r="G41" s="4" t="s">
        <v>95</v>
      </c>
      <c r="H41" s="4">
        <v>0.5</v>
      </c>
      <c r="I41" s="4">
        <v>80</v>
      </c>
      <c r="J41" s="4" t="s">
        <v>23</v>
      </c>
      <c r="K41" s="4" t="s">
        <v>25</v>
      </c>
      <c r="L41" s="4" t="s">
        <v>34</v>
      </c>
      <c r="M41" s="4" t="s">
        <v>35</v>
      </c>
      <c r="N41" s="8" t="s">
        <v>79</v>
      </c>
      <c r="O41" s="7" t="s">
        <v>179</v>
      </c>
      <c r="P41" s="7" t="s">
        <v>182</v>
      </c>
      <c r="Q41" s="4" t="s">
        <v>66</v>
      </c>
      <c r="R41" s="4" t="s">
        <v>82</v>
      </c>
      <c r="S41" s="4"/>
    </row>
    <row r="42" spans="1:19" ht="22.5" hidden="1" customHeight="1">
      <c r="A42" s="4" t="s">
        <v>19</v>
      </c>
      <c r="B42" s="4">
        <v>2024</v>
      </c>
      <c r="C42" s="4" t="s">
        <v>183</v>
      </c>
      <c r="D42" s="4">
        <v>2014</v>
      </c>
      <c r="E42" s="4">
        <v>625</v>
      </c>
      <c r="F42" s="5" t="s">
        <v>112</v>
      </c>
      <c r="G42" s="4" t="s">
        <v>95</v>
      </c>
      <c r="H42" s="4">
        <v>0.1</v>
      </c>
      <c r="I42" s="4">
        <v>1.25</v>
      </c>
      <c r="J42" s="4" t="s">
        <v>35</v>
      </c>
      <c r="K42" s="4" t="s">
        <v>25</v>
      </c>
      <c r="L42" s="4" t="s">
        <v>34</v>
      </c>
      <c r="M42" s="4" t="s">
        <v>35</v>
      </c>
      <c r="N42" s="8" t="s">
        <v>79</v>
      </c>
      <c r="O42" s="7" t="s">
        <v>149</v>
      </c>
      <c r="P42" s="7">
        <v>0</v>
      </c>
      <c r="Q42" s="4" t="s">
        <v>66</v>
      </c>
      <c r="R42" s="4" t="s">
        <v>82</v>
      </c>
      <c r="S42" s="4"/>
    </row>
    <row r="43" spans="1:19" ht="22.5" hidden="1" customHeight="1">
      <c r="A43" s="4" t="s">
        <v>19</v>
      </c>
      <c r="B43" s="4">
        <v>2024</v>
      </c>
      <c r="C43" s="4" t="s">
        <v>184</v>
      </c>
      <c r="D43" s="4">
        <v>2018</v>
      </c>
      <c r="E43" s="4">
        <v>509</v>
      </c>
      <c r="F43" s="5" t="s">
        <v>106</v>
      </c>
      <c r="G43" s="4" t="s">
        <v>95</v>
      </c>
      <c r="H43" s="4">
        <v>0.4</v>
      </c>
      <c r="I43" s="4">
        <v>4.0999999999999996</v>
      </c>
      <c r="J43" s="4" t="s">
        <v>35</v>
      </c>
      <c r="K43" s="4" t="s">
        <v>24</v>
      </c>
      <c r="L43" s="4" t="s">
        <v>34</v>
      </c>
      <c r="M43" s="4" t="s">
        <v>35</v>
      </c>
      <c r="N43" s="8" t="s">
        <v>79</v>
      </c>
      <c r="O43" s="7" t="s">
        <v>185</v>
      </c>
      <c r="P43" s="7" t="s">
        <v>186</v>
      </c>
      <c r="Q43" s="4" t="s">
        <v>29</v>
      </c>
      <c r="R43" s="4" t="s">
        <v>30</v>
      </c>
      <c r="S43" s="4"/>
    </row>
    <row r="44" spans="1:19" ht="22.5" hidden="1" customHeight="1">
      <c r="A44" s="4" t="s">
        <v>19</v>
      </c>
      <c r="B44" s="4">
        <v>2015</v>
      </c>
      <c r="C44" s="4" t="s">
        <v>187</v>
      </c>
      <c r="D44" s="4" t="s">
        <v>34</v>
      </c>
      <c r="E44" s="4" t="s">
        <v>34</v>
      </c>
      <c r="F44" s="5" t="s">
        <v>34</v>
      </c>
      <c r="G44" s="5" t="s">
        <v>34</v>
      </c>
      <c r="H44" s="5" t="s">
        <v>34</v>
      </c>
      <c r="I44" s="5" t="s">
        <v>34</v>
      </c>
      <c r="J44" s="4" t="s">
        <v>35</v>
      </c>
      <c r="K44" s="4" t="s">
        <v>24</v>
      </c>
      <c r="L44" s="4" t="s">
        <v>34</v>
      </c>
      <c r="M44" s="4" t="s">
        <v>35</v>
      </c>
      <c r="N44" s="8" t="s">
        <v>188</v>
      </c>
      <c r="O44" s="7" t="s">
        <v>149</v>
      </c>
      <c r="P44" s="7">
        <v>0</v>
      </c>
      <c r="Q44" s="4" t="s">
        <v>29</v>
      </c>
      <c r="R44" s="4" t="s">
        <v>30</v>
      </c>
      <c r="S44" s="4"/>
    </row>
    <row r="45" spans="1:19" ht="22.5" hidden="1" customHeight="1">
      <c r="A45" s="4" t="s">
        <v>19</v>
      </c>
      <c r="B45" s="4">
        <v>2024</v>
      </c>
      <c r="C45" s="4" t="s">
        <v>189</v>
      </c>
      <c r="D45" s="4">
        <v>2020</v>
      </c>
      <c r="E45" s="4">
        <v>56782</v>
      </c>
      <c r="F45" s="5" t="s">
        <v>106</v>
      </c>
      <c r="G45" s="4" t="s">
        <v>95</v>
      </c>
      <c r="H45" s="5">
        <v>0.45</v>
      </c>
      <c r="I45" s="5">
        <v>511</v>
      </c>
      <c r="J45" s="4" t="s">
        <v>35</v>
      </c>
      <c r="K45" s="4" t="s">
        <v>24</v>
      </c>
      <c r="L45" s="4" t="s">
        <v>34</v>
      </c>
      <c r="M45" s="4" t="s">
        <v>35</v>
      </c>
      <c r="N45" s="8" t="s">
        <v>79</v>
      </c>
      <c r="O45" s="7" t="s">
        <v>144</v>
      </c>
      <c r="P45" s="7" t="s">
        <v>100</v>
      </c>
      <c r="Q45" s="4" t="s">
        <v>29</v>
      </c>
      <c r="R45" s="4" t="s">
        <v>30</v>
      </c>
      <c r="S45" s="4"/>
    </row>
    <row r="46" spans="1:19" ht="22.5" hidden="1" customHeight="1">
      <c r="A46" s="4" t="s">
        <v>19</v>
      </c>
      <c r="B46" s="4">
        <v>2011</v>
      </c>
      <c r="C46" s="4" t="s">
        <v>190</v>
      </c>
      <c r="D46" s="4" t="s">
        <v>34</v>
      </c>
      <c r="E46" s="4" t="s">
        <v>191</v>
      </c>
      <c r="F46" s="5" t="s">
        <v>34</v>
      </c>
      <c r="G46" s="4" t="s">
        <v>95</v>
      </c>
      <c r="H46" s="5">
        <v>0.4</v>
      </c>
      <c r="I46" s="5" t="s">
        <v>192</v>
      </c>
      <c r="J46" s="4" t="s">
        <v>35</v>
      </c>
      <c r="K46" s="4" t="s">
        <v>24</v>
      </c>
      <c r="L46" s="4" t="s">
        <v>34</v>
      </c>
      <c r="M46" s="4" t="s">
        <v>35</v>
      </c>
      <c r="N46" s="8" t="s">
        <v>193</v>
      </c>
      <c r="O46" s="7" t="s">
        <v>149</v>
      </c>
      <c r="P46" s="7" t="s">
        <v>194</v>
      </c>
      <c r="Q46" s="4" t="s">
        <v>29</v>
      </c>
      <c r="R46" s="4" t="s">
        <v>30</v>
      </c>
      <c r="S46" s="4"/>
    </row>
    <row r="47" spans="1:19" ht="22.5" hidden="1" customHeight="1">
      <c r="A47" s="4" t="s">
        <v>19</v>
      </c>
      <c r="B47" s="4">
        <v>2024</v>
      </c>
      <c r="C47" s="4" t="s">
        <v>195</v>
      </c>
      <c r="D47" s="4">
        <v>2020</v>
      </c>
      <c r="E47" s="4">
        <v>5283</v>
      </c>
      <c r="F47" s="5" t="s">
        <v>106</v>
      </c>
      <c r="G47" s="4" t="s">
        <v>95</v>
      </c>
      <c r="H47" s="5">
        <v>0.5</v>
      </c>
      <c r="I47" s="5">
        <v>53</v>
      </c>
      <c r="J47" s="4" t="s">
        <v>35</v>
      </c>
      <c r="K47" s="4" t="s">
        <v>24</v>
      </c>
      <c r="L47" s="4" t="s">
        <v>34</v>
      </c>
      <c r="M47" s="4" t="s">
        <v>35</v>
      </c>
      <c r="N47" s="8" t="s">
        <v>79</v>
      </c>
      <c r="O47" s="7" t="s">
        <v>144</v>
      </c>
      <c r="P47" s="7">
        <v>0</v>
      </c>
      <c r="Q47" s="4" t="s">
        <v>29</v>
      </c>
      <c r="R47" s="4" t="s">
        <v>30</v>
      </c>
      <c r="S47" s="4"/>
    </row>
    <row r="48" spans="1:19" ht="22.5" hidden="1" customHeight="1">
      <c r="A48" s="4" t="s">
        <v>19</v>
      </c>
      <c r="B48" s="4">
        <v>2024</v>
      </c>
      <c r="C48" s="4" t="s">
        <v>196</v>
      </c>
      <c r="D48" s="4">
        <v>2018</v>
      </c>
      <c r="E48" s="4">
        <v>92</v>
      </c>
      <c r="F48" s="5" t="s">
        <v>117</v>
      </c>
      <c r="G48" s="4" t="s">
        <v>95</v>
      </c>
      <c r="H48" s="5">
        <v>0.5</v>
      </c>
      <c r="I48" s="5">
        <v>0.9</v>
      </c>
      <c r="J48" s="4" t="s">
        <v>197</v>
      </c>
      <c r="K48" s="4" t="s">
        <v>24</v>
      </c>
      <c r="L48" s="4" t="s">
        <v>34</v>
      </c>
      <c r="M48" s="4" t="s">
        <v>35</v>
      </c>
      <c r="N48" s="8" t="s">
        <v>79</v>
      </c>
      <c r="O48" s="7" t="s">
        <v>144</v>
      </c>
      <c r="P48" s="7" t="s">
        <v>198</v>
      </c>
      <c r="Q48" s="4" t="s">
        <v>29</v>
      </c>
      <c r="R48" s="4" t="s">
        <v>30</v>
      </c>
      <c r="S48" s="4"/>
    </row>
    <row r="49" spans="1:19" ht="22.5" hidden="1" customHeight="1">
      <c r="A49" s="4" t="s">
        <v>19</v>
      </c>
      <c r="B49" s="4">
        <v>2024</v>
      </c>
      <c r="C49" s="4" t="s">
        <v>199</v>
      </c>
      <c r="D49" s="4">
        <v>2018</v>
      </c>
      <c r="E49" s="4">
        <v>97</v>
      </c>
      <c r="F49" s="5" t="s">
        <v>117</v>
      </c>
      <c r="G49" s="4" t="s">
        <v>95</v>
      </c>
      <c r="H49" s="5">
        <v>0.5</v>
      </c>
      <c r="I49" s="5">
        <v>1</v>
      </c>
      <c r="J49" s="4" t="s">
        <v>197</v>
      </c>
      <c r="K49" s="4" t="s">
        <v>24</v>
      </c>
      <c r="L49" s="4" t="s">
        <v>34</v>
      </c>
      <c r="M49" s="4" t="s">
        <v>35</v>
      </c>
      <c r="N49" s="8" t="s">
        <v>79</v>
      </c>
      <c r="O49" s="7" t="s">
        <v>144</v>
      </c>
      <c r="P49" s="7" t="s">
        <v>198</v>
      </c>
      <c r="Q49" s="4" t="s">
        <v>29</v>
      </c>
      <c r="R49" s="4" t="s">
        <v>30</v>
      </c>
      <c r="S49" s="4"/>
    </row>
    <row r="50" spans="1:19" ht="22.5" hidden="1" customHeight="1">
      <c r="A50" s="4" t="s">
        <v>19</v>
      </c>
      <c r="B50" s="4">
        <v>2024</v>
      </c>
      <c r="C50" s="4" t="s">
        <v>200</v>
      </c>
      <c r="D50" s="4">
        <v>2018</v>
      </c>
      <c r="E50" s="4">
        <v>64</v>
      </c>
      <c r="F50" s="5" t="s">
        <v>117</v>
      </c>
      <c r="G50" s="4" t="s">
        <v>95</v>
      </c>
      <c r="H50" s="5">
        <v>0.5</v>
      </c>
      <c r="I50" s="5">
        <v>0.6</v>
      </c>
      <c r="J50" s="4" t="s">
        <v>197</v>
      </c>
      <c r="K50" s="4" t="s">
        <v>24</v>
      </c>
      <c r="L50" s="4" t="s">
        <v>34</v>
      </c>
      <c r="M50" s="4" t="s">
        <v>35</v>
      </c>
      <c r="N50" s="8" t="s">
        <v>201</v>
      </c>
      <c r="O50" s="7" t="s">
        <v>144</v>
      </c>
      <c r="P50" s="7" t="s">
        <v>198</v>
      </c>
      <c r="Q50" s="4" t="s">
        <v>29</v>
      </c>
      <c r="R50" s="4" t="s">
        <v>30</v>
      </c>
      <c r="S50" s="4"/>
    </row>
    <row r="51" spans="1:19" ht="22.5" hidden="1" customHeight="1">
      <c r="A51" s="4" t="s">
        <v>19</v>
      </c>
      <c r="B51" s="4">
        <v>2024</v>
      </c>
      <c r="C51" s="4" t="s">
        <v>202</v>
      </c>
      <c r="D51" s="4">
        <v>2018</v>
      </c>
      <c r="E51" s="4">
        <v>96</v>
      </c>
      <c r="F51" s="5" t="s">
        <v>117</v>
      </c>
      <c r="G51" s="4" t="s">
        <v>95</v>
      </c>
      <c r="H51" s="5">
        <v>0.5</v>
      </c>
      <c r="I51" s="5">
        <v>1</v>
      </c>
      <c r="J51" s="4" t="s">
        <v>203</v>
      </c>
      <c r="K51" s="4" t="s">
        <v>24</v>
      </c>
      <c r="L51" s="4" t="s">
        <v>34</v>
      </c>
      <c r="M51" s="4" t="s">
        <v>35</v>
      </c>
      <c r="N51" s="8" t="s">
        <v>201</v>
      </c>
      <c r="O51" s="7" t="s">
        <v>144</v>
      </c>
      <c r="P51" s="7" t="s">
        <v>198</v>
      </c>
      <c r="Q51" s="4" t="s">
        <v>29</v>
      </c>
      <c r="R51" s="4" t="s">
        <v>30</v>
      </c>
      <c r="S51" s="4"/>
    </row>
    <row r="52" spans="1:19" ht="22.5" hidden="1" customHeight="1">
      <c r="A52" s="4" t="s">
        <v>19</v>
      </c>
      <c r="B52" s="4">
        <v>2024</v>
      </c>
      <c r="C52" s="4" t="s">
        <v>204</v>
      </c>
      <c r="D52" s="4">
        <v>2020</v>
      </c>
      <c r="E52" s="4">
        <v>15783</v>
      </c>
      <c r="F52" s="5" t="s">
        <v>106</v>
      </c>
      <c r="G52" s="4" t="s">
        <v>95</v>
      </c>
      <c r="H52" s="5">
        <v>0.5</v>
      </c>
      <c r="I52" s="5">
        <v>158</v>
      </c>
      <c r="J52" s="4" t="s">
        <v>35</v>
      </c>
      <c r="K52" s="4" t="s">
        <v>24</v>
      </c>
      <c r="L52" s="4" t="s">
        <v>34</v>
      </c>
      <c r="M52" s="4" t="s">
        <v>35</v>
      </c>
      <c r="N52" s="8" t="s">
        <v>201</v>
      </c>
      <c r="O52" s="7" t="s">
        <v>144</v>
      </c>
      <c r="P52" s="7" t="s">
        <v>198</v>
      </c>
      <c r="Q52" s="4" t="s">
        <v>29</v>
      </c>
      <c r="R52" s="4" t="s">
        <v>30</v>
      </c>
      <c r="S52" s="4"/>
    </row>
    <row r="53" spans="1:19" ht="22.5" hidden="1" customHeight="1">
      <c r="A53" s="4" t="s">
        <v>19</v>
      </c>
      <c r="B53" s="4">
        <v>2024</v>
      </c>
      <c r="C53" s="4" t="s">
        <v>205</v>
      </c>
      <c r="D53" s="4" t="s">
        <v>34</v>
      </c>
      <c r="E53" s="4" t="s">
        <v>34</v>
      </c>
      <c r="F53" s="5" t="s">
        <v>34</v>
      </c>
      <c r="G53" s="4" t="s">
        <v>95</v>
      </c>
      <c r="H53" s="5">
        <v>0.5</v>
      </c>
      <c r="I53" s="5" t="s">
        <v>34</v>
      </c>
      <c r="J53" s="4" t="s">
        <v>35</v>
      </c>
      <c r="K53" s="4" t="s">
        <v>24</v>
      </c>
      <c r="L53" s="4" t="s">
        <v>34</v>
      </c>
      <c r="M53" s="4" t="s">
        <v>35</v>
      </c>
      <c r="N53" s="8" t="s">
        <v>201</v>
      </c>
      <c r="O53" s="7" t="s">
        <v>144</v>
      </c>
      <c r="P53" s="7">
        <v>0</v>
      </c>
      <c r="Q53" s="4" t="s">
        <v>29</v>
      </c>
      <c r="R53" s="4" t="s">
        <v>30</v>
      </c>
      <c r="S53" s="4"/>
    </row>
    <row r="54" spans="1:19" ht="22.5" hidden="1" customHeight="1">
      <c r="A54" s="4" t="s">
        <v>19</v>
      </c>
      <c r="B54" s="4">
        <v>2024</v>
      </c>
      <c r="C54" s="4" t="s">
        <v>206</v>
      </c>
      <c r="D54" s="4" t="s">
        <v>34</v>
      </c>
      <c r="E54" s="4" t="s">
        <v>34</v>
      </c>
      <c r="F54" s="5" t="s">
        <v>34</v>
      </c>
      <c r="G54" s="4" t="s">
        <v>95</v>
      </c>
      <c r="H54" s="5">
        <v>0.5</v>
      </c>
      <c r="I54" s="5" t="s">
        <v>34</v>
      </c>
      <c r="J54" s="4" t="s">
        <v>35</v>
      </c>
      <c r="K54" s="4" t="s">
        <v>24</v>
      </c>
      <c r="L54" s="4" t="s">
        <v>34</v>
      </c>
      <c r="M54" s="4" t="s">
        <v>35</v>
      </c>
      <c r="N54" s="8" t="s">
        <v>201</v>
      </c>
      <c r="O54" s="7" t="s">
        <v>144</v>
      </c>
      <c r="P54" s="7">
        <v>0</v>
      </c>
      <c r="Q54" s="4" t="s">
        <v>29</v>
      </c>
      <c r="R54" s="4" t="s">
        <v>30</v>
      </c>
      <c r="S54" s="4"/>
    </row>
    <row r="55" spans="1:19" ht="22.5" hidden="1" customHeight="1">
      <c r="A55" s="4" t="s">
        <v>19</v>
      </c>
      <c r="B55" s="4">
        <v>2024</v>
      </c>
      <c r="C55" s="4" t="s">
        <v>207</v>
      </c>
      <c r="D55" s="4" t="s">
        <v>34</v>
      </c>
      <c r="E55" s="4" t="s">
        <v>34</v>
      </c>
      <c r="F55" s="5" t="s">
        <v>34</v>
      </c>
      <c r="G55" s="4" t="s">
        <v>95</v>
      </c>
      <c r="H55" s="5">
        <v>0.5</v>
      </c>
      <c r="I55" s="5" t="s">
        <v>34</v>
      </c>
      <c r="J55" s="4" t="s">
        <v>35</v>
      </c>
      <c r="K55" s="4" t="s">
        <v>24</v>
      </c>
      <c r="L55" s="4" t="s">
        <v>34</v>
      </c>
      <c r="M55" s="4" t="s">
        <v>35</v>
      </c>
      <c r="N55" s="8" t="s">
        <v>201</v>
      </c>
      <c r="O55" s="7" t="s">
        <v>144</v>
      </c>
      <c r="P55" s="7">
        <v>0</v>
      </c>
      <c r="Q55" s="4" t="s">
        <v>29</v>
      </c>
      <c r="R55" s="4" t="s">
        <v>30</v>
      </c>
      <c r="S55" s="4"/>
    </row>
    <row r="56" spans="1:19" ht="22.5" hidden="1" customHeight="1">
      <c r="A56" s="4" t="s">
        <v>19</v>
      </c>
      <c r="B56" s="4">
        <v>2024</v>
      </c>
      <c r="C56" s="4" t="s">
        <v>208</v>
      </c>
      <c r="D56" s="4">
        <v>2020</v>
      </c>
      <c r="E56" s="4">
        <v>53839</v>
      </c>
      <c r="F56" s="5" t="s">
        <v>106</v>
      </c>
      <c r="G56" s="4" t="s">
        <v>95</v>
      </c>
      <c r="H56" s="5">
        <v>0.5</v>
      </c>
      <c r="I56" s="5">
        <v>538</v>
      </c>
      <c r="J56" s="4" t="s">
        <v>35</v>
      </c>
      <c r="K56" s="4" t="s">
        <v>24</v>
      </c>
      <c r="L56" s="4" t="s">
        <v>34</v>
      </c>
      <c r="M56" s="4" t="s">
        <v>35</v>
      </c>
      <c r="N56" s="8" t="s">
        <v>201</v>
      </c>
      <c r="O56" s="7" t="s">
        <v>144</v>
      </c>
      <c r="P56" s="7">
        <v>0</v>
      </c>
      <c r="Q56" s="4" t="s">
        <v>29</v>
      </c>
      <c r="R56" s="4" t="s">
        <v>30</v>
      </c>
      <c r="S56" s="4"/>
    </row>
    <row r="57" spans="1:19" ht="22.5" hidden="1" customHeight="1">
      <c r="A57" s="4" t="s">
        <v>19</v>
      </c>
      <c r="B57" s="4">
        <v>2019</v>
      </c>
      <c r="C57" s="4" t="s">
        <v>209</v>
      </c>
      <c r="D57" s="4">
        <v>2012</v>
      </c>
      <c r="E57" s="4">
        <v>617</v>
      </c>
      <c r="F57" s="5" t="s">
        <v>112</v>
      </c>
      <c r="G57" s="4" t="s">
        <v>95</v>
      </c>
      <c r="H57" s="5">
        <v>0.5</v>
      </c>
      <c r="I57" s="5">
        <v>6.2</v>
      </c>
      <c r="J57" s="4" t="s">
        <v>35</v>
      </c>
      <c r="K57" s="4" t="s">
        <v>24</v>
      </c>
      <c r="L57" s="4" t="s">
        <v>34</v>
      </c>
      <c r="M57" s="4" t="s">
        <v>35</v>
      </c>
      <c r="N57" s="8" t="s">
        <v>137</v>
      </c>
      <c r="O57" s="7" t="s">
        <v>144</v>
      </c>
      <c r="P57" s="7">
        <v>0</v>
      </c>
      <c r="Q57" s="4" t="s">
        <v>29</v>
      </c>
      <c r="R57" s="4" t="s">
        <v>30</v>
      </c>
      <c r="S57" s="4"/>
    </row>
    <row r="58" spans="1:19" ht="22.5" hidden="1" customHeight="1">
      <c r="A58" s="4" t="s">
        <v>19</v>
      </c>
      <c r="B58" s="4">
        <v>2019</v>
      </c>
      <c r="C58" s="4" t="s">
        <v>210</v>
      </c>
      <c r="D58" s="4" t="s">
        <v>34</v>
      </c>
      <c r="E58" s="4" t="s">
        <v>34</v>
      </c>
      <c r="F58" s="5" t="s">
        <v>34</v>
      </c>
      <c r="G58" s="4" t="s">
        <v>95</v>
      </c>
      <c r="H58" s="5">
        <v>0.5</v>
      </c>
      <c r="I58" s="5" t="s">
        <v>34</v>
      </c>
      <c r="J58" s="4" t="s">
        <v>35</v>
      </c>
      <c r="K58" s="4" t="s">
        <v>24</v>
      </c>
      <c r="L58" s="4" t="s">
        <v>34</v>
      </c>
      <c r="M58" s="4" t="s">
        <v>35</v>
      </c>
      <c r="N58" s="8" t="s">
        <v>137</v>
      </c>
      <c r="O58" s="7" t="s">
        <v>144</v>
      </c>
      <c r="P58" s="7">
        <v>0</v>
      </c>
      <c r="Q58" s="4" t="s">
        <v>29</v>
      </c>
      <c r="R58" s="4" t="s">
        <v>30</v>
      </c>
      <c r="S58" s="4"/>
    </row>
    <row r="59" spans="1:19" ht="22.5" hidden="1" customHeight="1">
      <c r="A59" s="4" t="s">
        <v>19</v>
      </c>
      <c r="B59" s="4">
        <v>2019</v>
      </c>
      <c r="C59" s="4" t="s">
        <v>211</v>
      </c>
      <c r="D59" s="4" t="s">
        <v>34</v>
      </c>
      <c r="E59" s="4" t="s">
        <v>34</v>
      </c>
      <c r="F59" s="5" t="s">
        <v>34</v>
      </c>
      <c r="G59" s="4" t="s">
        <v>95</v>
      </c>
      <c r="H59" s="5">
        <v>0.5</v>
      </c>
      <c r="I59" s="5" t="s">
        <v>34</v>
      </c>
      <c r="J59" s="4" t="s">
        <v>35</v>
      </c>
      <c r="K59" s="4" t="s">
        <v>24</v>
      </c>
      <c r="L59" s="4" t="s">
        <v>34</v>
      </c>
      <c r="M59" s="4" t="s">
        <v>35</v>
      </c>
      <c r="N59" s="8" t="s">
        <v>137</v>
      </c>
      <c r="O59" s="7" t="s">
        <v>144</v>
      </c>
      <c r="P59" s="7">
        <v>0</v>
      </c>
      <c r="Q59" s="4" t="s">
        <v>29</v>
      </c>
      <c r="R59" s="4" t="s">
        <v>30</v>
      </c>
      <c r="S59" s="4"/>
    </row>
    <row r="60" spans="1:19" ht="22.5" hidden="1" customHeight="1">
      <c r="A60" s="4" t="s">
        <v>19</v>
      </c>
      <c r="B60" s="4">
        <v>2019</v>
      </c>
      <c r="C60" s="4" t="s">
        <v>212</v>
      </c>
      <c r="D60" s="4" t="s">
        <v>34</v>
      </c>
      <c r="E60" s="4" t="s">
        <v>34</v>
      </c>
      <c r="F60" s="5" t="s">
        <v>34</v>
      </c>
      <c r="G60" s="4" t="s">
        <v>95</v>
      </c>
      <c r="H60" s="5">
        <v>0.5</v>
      </c>
      <c r="I60" s="5" t="s">
        <v>34</v>
      </c>
      <c r="J60" s="4" t="s">
        <v>35</v>
      </c>
      <c r="K60" s="4" t="s">
        <v>24</v>
      </c>
      <c r="L60" s="4" t="s">
        <v>34</v>
      </c>
      <c r="M60" s="4" t="s">
        <v>35</v>
      </c>
      <c r="N60" s="8" t="s">
        <v>137</v>
      </c>
      <c r="O60" s="7" t="s">
        <v>144</v>
      </c>
      <c r="P60" s="7">
        <v>0</v>
      </c>
      <c r="Q60" s="4" t="s">
        <v>29</v>
      </c>
      <c r="R60" s="4" t="s">
        <v>30</v>
      </c>
      <c r="S60" s="4"/>
    </row>
    <row r="61" spans="1:19" ht="22.5" hidden="1" customHeight="1">
      <c r="A61" s="4" t="s">
        <v>19</v>
      </c>
      <c r="B61" s="4">
        <v>2019</v>
      </c>
      <c r="C61" s="4" t="s">
        <v>213</v>
      </c>
      <c r="D61" s="4" t="s">
        <v>34</v>
      </c>
      <c r="E61" s="4" t="s">
        <v>34</v>
      </c>
      <c r="F61" s="5" t="s">
        <v>34</v>
      </c>
      <c r="G61" s="4" t="s">
        <v>95</v>
      </c>
      <c r="H61" s="5">
        <v>0.5</v>
      </c>
      <c r="I61" s="5" t="s">
        <v>34</v>
      </c>
      <c r="J61" s="4" t="s">
        <v>35</v>
      </c>
      <c r="K61" s="4" t="s">
        <v>24</v>
      </c>
      <c r="L61" s="4" t="s">
        <v>34</v>
      </c>
      <c r="M61" s="4" t="s">
        <v>35</v>
      </c>
      <c r="N61" s="8" t="s">
        <v>137</v>
      </c>
      <c r="O61" s="7" t="s">
        <v>144</v>
      </c>
      <c r="P61" s="7">
        <v>0</v>
      </c>
      <c r="Q61" s="4" t="s">
        <v>29</v>
      </c>
      <c r="R61" s="4" t="s">
        <v>30</v>
      </c>
      <c r="S61" s="4"/>
    </row>
    <row r="62" spans="1:19" ht="22.5" hidden="1" customHeight="1">
      <c r="A62" s="4" t="s">
        <v>19</v>
      </c>
      <c r="B62" s="4">
        <v>2019</v>
      </c>
      <c r="C62" s="4" t="s">
        <v>214</v>
      </c>
      <c r="D62" s="4" t="s">
        <v>34</v>
      </c>
      <c r="E62" s="4" t="s">
        <v>34</v>
      </c>
      <c r="F62" s="5" t="s">
        <v>34</v>
      </c>
      <c r="G62" s="4" t="s">
        <v>95</v>
      </c>
      <c r="H62" s="5">
        <v>0.5</v>
      </c>
      <c r="I62" s="5" t="s">
        <v>34</v>
      </c>
      <c r="J62" s="4" t="s">
        <v>35</v>
      </c>
      <c r="K62" s="4" t="s">
        <v>24</v>
      </c>
      <c r="L62" s="4" t="s">
        <v>34</v>
      </c>
      <c r="M62" s="4" t="s">
        <v>35</v>
      </c>
      <c r="N62" s="8" t="s">
        <v>137</v>
      </c>
      <c r="O62" s="7" t="s">
        <v>144</v>
      </c>
      <c r="P62" s="7">
        <v>0</v>
      </c>
      <c r="Q62" s="4" t="s">
        <v>29</v>
      </c>
      <c r="R62" s="4" t="s">
        <v>30</v>
      </c>
      <c r="S62" s="4"/>
    </row>
    <row r="63" spans="1:19" ht="22.5" hidden="1" customHeight="1">
      <c r="A63" s="4" t="s">
        <v>19</v>
      </c>
      <c r="B63" s="4">
        <v>2019</v>
      </c>
      <c r="C63" s="4" t="s">
        <v>215</v>
      </c>
      <c r="D63" s="4" t="s">
        <v>34</v>
      </c>
      <c r="E63" s="4" t="s">
        <v>216</v>
      </c>
      <c r="F63" s="5" t="s">
        <v>34</v>
      </c>
      <c r="G63" s="4" t="s">
        <v>95</v>
      </c>
      <c r="H63" s="5">
        <v>0.5</v>
      </c>
      <c r="I63" s="5" t="s">
        <v>217</v>
      </c>
      <c r="J63" s="4" t="s">
        <v>35</v>
      </c>
      <c r="K63" s="4" t="s">
        <v>24</v>
      </c>
      <c r="L63" s="4" t="s">
        <v>34</v>
      </c>
      <c r="M63" s="4" t="s">
        <v>35</v>
      </c>
      <c r="N63" s="8" t="s">
        <v>137</v>
      </c>
      <c r="O63" s="7" t="s">
        <v>144</v>
      </c>
      <c r="P63" s="7">
        <v>0</v>
      </c>
      <c r="Q63" s="4" t="s">
        <v>29</v>
      </c>
      <c r="R63" s="4" t="s">
        <v>30</v>
      </c>
      <c r="S63" s="4"/>
    </row>
    <row r="64" spans="1:19" ht="22.5" hidden="1" customHeight="1">
      <c r="A64" s="4" t="s">
        <v>19</v>
      </c>
      <c r="B64" s="4">
        <v>2024</v>
      </c>
      <c r="C64" s="4" t="s">
        <v>218</v>
      </c>
      <c r="D64" s="4">
        <v>2020</v>
      </c>
      <c r="E64" s="4">
        <v>51055</v>
      </c>
      <c r="F64" s="5" t="s">
        <v>106</v>
      </c>
      <c r="G64" s="4" t="s">
        <v>95</v>
      </c>
      <c r="H64" s="5">
        <v>0.5</v>
      </c>
      <c r="I64" s="5">
        <v>511</v>
      </c>
      <c r="J64" s="4" t="s">
        <v>35</v>
      </c>
      <c r="K64" s="4" t="s">
        <v>24</v>
      </c>
      <c r="L64" s="4" t="s">
        <v>34</v>
      </c>
      <c r="M64" s="4" t="s">
        <v>35</v>
      </c>
      <c r="N64" s="8" t="s">
        <v>79</v>
      </c>
      <c r="O64" s="7" t="s">
        <v>144</v>
      </c>
      <c r="P64" s="7">
        <v>0</v>
      </c>
      <c r="Q64" s="4" t="s">
        <v>29</v>
      </c>
      <c r="R64" s="4" t="s">
        <v>30</v>
      </c>
      <c r="S64" s="4"/>
    </row>
    <row r="65" spans="1:19" ht="22.5" hidden="1" customHeight="1">
      <c r="A65" s="4" t="s">
        <v>19</v>
      </c>
      <c r="B65" s="4">
        <v>2021</v>
      </c>
      <c r="C65" s="4" t="s">
        <v>219</v>
      </c>
      <c r="D65" s="4">
        <v>2017</v>
      </c>
      <c r="E65" s="4">
        <v>24068</v>
      </c>
      <c r="F65" s="5" t="s">
        <v>112</v>
      </c>
      <c r="G65" s="4" t="s">
        <v>95</v>
      </c>
      <c r="H65" s="5">
        <v>0.5</v>
      </c>
      <c r="I65" s="5">
        <v>241</v>
      </c>
      <c r="J65" s="4" t="s">
        <v>35</v>
      </c>
      <c r="K65" s="4" t="s">
        <v>24</v>
      </c>
      <c r="L65" s="4" t="s">
        <v>34</v>
      </c>
      <c r="M65" s="4" t="s">
        <v>35</v>
      </c>
      <c r="N65" s="8" t="s">
        <v>164</v>
      </c>
      <c r="O65" s="7" t="s">
        <v>144</v>
      </c>
      <c r="P65" s="7">
        <v>0</v>
      </c>
      <c r="Q65" s="4" t="s">
        <v>29</v>
      </c>
      <c r="R65" s="4" t="s">
        <v>30</v>
      </c>
      <c r="S65" s="4"/>
    </row>
    <row r="66" spans="1:19" ht="22.5" hidden="1" customHeight="1">
      <c r="A66" s="4" t="s">
        <v>19</v>
      </c>
      <c r="B66" s="4">
        <v>2021</v>
      </c>
      <c r="C66" s="4" t="s">
        <v>220</v>
      </c>
      <c r="D66" s="4" t="s">
        <v>34</v>
      </c>
      <c r="E66" s="4" t="s">
        <v>34</v>
      </c>
      <c r="F66" s="5" t="s">
        <v>34</v>
      </c>
      <c r="G66" s="4" t="s">
        <v>95</v>
      </c>
      <c r="H66" s="5">
        <v>0.5</v>
      </c>
      <c r="I66" s="5" t="s">
        <v>34</v>
      </c>
      <c r="J66" s="4" t="s">
        <v>35</v>
      </c>
      <c r="K66" s="4" t="s">
        <v>24</v>
      </c>
      <c r="L66" s="4" t="s">
        <v>34</v>
      </c>
      <c r="M66" s="4" t="s">
        <v>35</v>
      </c>
      <c r="N66" s="8" t="s">
        <v>164</v>
      </c>
      <c r="O66" s="7" t="s">
        <v>144</v>
      </c>
      <c r="P66" s="7">
        <v>0</v>
      </c>
      <c r="Q66" s="4" t="s">
        <v>29</v>
      </c>
      <c r="R66" s="4" t="s">
        <v>30</v>
      </c>
      <c r="S66" s="4"/>
    </row>
    <row r="67" spans="1:19" ht="22.5" hidden="1" customHeight="1">
      <c r="A67" s="4" t="s">
        <v>19</v>
      </c>
      <c r="B67" s="4">
        <v>2021</v>
      </c>
      <c r="C67" s="4" t="s">
        <v>221</v>
      </c>
      <c r="D67" s="4">
        <v>2017</v>
      </c>
      <c r="E67" s="4">
        <v>23301</v>
      </c>
      <c r="F67" s="5" t="s">
        <v>112</v>
      </c>
      <c r="G67" s="4" t="s">
        <v>95</v>
      </c>
      <c r="H67" s="5">
        <v>0.5</v>
      </c>
      <c r="I67" s="5">
        <v>233</v>
      </c>
      <c r="J67" s="4" t="s">
        <v>35</v>
      </c>
      <c r="K67" s="4" t="s">
        <v>24</v>
      </c>
      <c r="L67" s="4" t="s">
        <v>34</v>
      </c>
      <c r="M67" s="4" t="s">
        <v>35</v>
      </c>
      <c r="N67" s="8" t="s">
        <v>164</v>
      </c>
      <c r="O67" s="7" t="s">
        <v>144</v>
      </c>
      <c r="P67" s="7">
        <v>0</v>
      </c>
      <c r="Q67" s="4" t="s">
        <v>29</v>
      </c>
      <c r="R67" s="4" t="s">
        <v>30</v>
      </c>
      <c r="S67" s="4"/>
    </row>
    <row r="68" spans="1:19" ht="22.5" hidden="1" customHeight="1">
      <c r="A68" s="4" t="s">
        <v>19</v>
      </c>
      <c r="B68" s="4">
        <v>2021</v>
      </c>
      <c r="C68" s="4" t="s">
        <v>222</v>
      </c>
      <c r="D68" s="4">
        <v>2017</v>
      </c>
      <c r="E68" s="4">
        <v>5885</v>
      </c>
      <c r="F68" s="5" t="s">
        <v>112</v>
      </c>
      <c r="G68" s="4" t="s">
        <v>95</v>
      </c>
      <c r="H68" s="5">
        <v>0.5</v>
      </c>
      <c r="I68" s="5">
        <v>59</v>
      </c>
      <c r="J68" s="4" t="s">
        <v>35</v>
      </c>
      <c r="K68" s="4" t="s">
        <v>24</v>
      </c>
      <c r="L68" s="4" t="s">
        <v>34</v>
      </c>
      <c r="M68" s="4" t="s">
        <v>35</v>
      </c>
      <c r="N68" s="8" t="s">
        <v>164</v>
      </c>
      <c r="O68" s="7" t="s">
        <v>144</v>
      </c>
      <c r="P68" s="7">
        <v>0</v>
      </c>
      <c r="Q68" s="4" t="s">
        <v>29</v>
      </c>
      <c r="R68" s="4" t="s">
        <v>30</v>
      </c>
      <c r="S68" s="4"/>
    </row>
    <row r="69" spans="1:19" ht="22.5" hidden="1" customHeight="1">
      <c r="A69" s="4" t="s">
        <v>19</v>
      </c>
      <c r="B69" s="4">
        <v>2024</v>
      </c>
      <c r="C69" s="4" t="s">
        <v>223</v>
      </c>
      <c r="D69" s="4">
        <v>2015</v>
      </c>
      <c r="E69" s="4">
        <v>149</v>
      </c>
      <c r="F69" s="5" t="s">
        <v>224</v>
      </c>
      <c r="G69" s="4" t="s">
        <v>95</v>
      </c>
      <c r="H69" s="5">
        <v>0.1</v>
      </c>
      <c r="I69" s="5">
        <v>0.3</v>
      </c>
      <c r="J69" s="4" t="s">
        <v>141</v>
      </c>
      <c r="K69" s="4" t="s">
        <v>25</v>
      </c>
      <c r="L69" s="4" t="s">
        <v>34</v>
      </c>
      <c r="M69" s="4" t="s">
        <v>35</v>
      </c>
      <c r="N69" s="8" t="s">
        <v>79</v>
      </c>
      <c r="O69" s="7" t="s">
        <v>149</v>
      </c>
      <c r="P69" s="7">
        <v>0.1</v>
      </c>
      <c r="Q69" s="4" t="s">
        <v>66</v>
      </c>
      <c r="R69" s="4" t="s">
        <v>82</v>
      </c>
      <c r="S69" s="4"/>
    </row>
    <row r="70" spans="1:19" ht="22.5" hidden="1" customHeight="1">
      <c r="A70" s="4" t="s">
        <v>19</v>
      </c>
      <c r="B70" s="4">
        <v>2024</v>
      </c>
      <c r="C70" s="4" t="s">
        <v>225</v>
      </c>
      <c r="D70" s="4">
        <v>2017</v>
      </c>
      <c r="E70" s="4">
        <v>4152</v>
      </c>
      <c r="F70" s="5" t="s">
        <v>112</v>
      </c>
      <c r="G70" s="4" t="s">
        <v>95</v>
      </c>
      <c r="H70" s="5">
        <v>0.44</v>
      </c>
      <c r="I70" s="5">
        <v>36</v>
      </c>
      <c r="J70" s="4" t="s">
        <v>35</v>
      </c>
      <c r="K70" s="4" t="s">
        <v>24</v>
      </c>
      <c r="L70" s="4" t="s">
        <v>34</v>
      </c>
      <c r="M70" s="4" t="s">
        <v>35</v>
      </c>
      <c r="N70" s="8" t="s">
        <v>79</v>
      </c>
      <c r="O70" s="7" t="s">
        <v>149</v>
      </c>
      <c r="P70" s="7">
        <v>47</v>
      </c>
      <c r="Q70" s="4" t="s">
        <v>29</v>
      </c>
      <c r="R70" s="4" t="s">
        <v>30</v>
      </c>
      <c r="S70" s="4"/>
    </row>
    <row r="71" spans="1:19" ht="22.5" hidden="1" customHeight="1">
      <c r="A71" s="4" t="s">
        <v>19</v>
      </c>
      <c r="B71" s="4">
        <v>2024</v>
      </c>
      <c r="C71" s="4" t="s">
        <v>226</v>
      </c>
      <c r="D71" s="4">
        <v>2017</v>
      </c>
      <c r="E71" s="4">
        <v>178</v>
      </c>
      <c r="F71" s="5" t="s">
        <v>112</v>
      </c>
      <c r="G71" s="4" t="s">
        <v>95</v>
      </c>
      <c r="H71" s="5">
        <v>0.4</v>
      </c>
      <c r="I71" s="5">
        <v>1.43</v>
      </c>
      <c r="J71" s="4" t="s">
        <v>35</v>
      </c>
      <c r="K71" s="4" t="s">
        <v>24</v>
      </c>
      <c r="L71" s="4" t="s">
        <v>34</v>
      </c>
      <c r="M71" s="4" t="s">
        <v>35</v>
      </c>
      <c r="N71" s="8" t="s">
        <v>201</v>
      </c>
      <c r="O71" s="7" t="s">
        <v>149</v>
      </c>
      <c r="P71" s="7">
        <v>0.16</v>
      </c>
      <c r="Q71" s="4" t="s">
        <v>29</v>
      </c>
      <c r="R71" s="4" t="s">
        <v>30</v>
      </c>
      <c r="S71" s="4"/>
    </row>
    <row r="72" spans="1:19" ht="22.5" hidden="1" customHeight="1">
      <c r="A72" s="4" t="s">
        <v>19</v>
      </c>
      <c r="B72" s="4">
        <v>2012</v>
      </c>
      <c r="C72" s="4" t="s">
        <v>227</v>
      </c>
      <c r="D72" s="4">
        <v>2005</v>
      </c>
      <c r="E72" s="4">
        <v>806</v>
      </c>
      <c r="F72" s="5" t="s">
        <v>112</v>
      </c>
      <c r="G72" s="4" t="s">
        <v>95</v>
      </c>
      <c r="H72" s="5">
        <v>0.4</v>
      </c>
      <c r="I72" s="5">
        <v>6.4</v>
      </c>
      <c r="J72" s="4" t="s">
        <v>35</v>
      </c>
      <c r="K72" s="4" t="s">
        <v>24</v>
      </c>
      <c r="L72" s="4" t="s">
        <v>34</v>
      </c>
      <c r="M72" s="4" t="s">
        <v>35</v>
      </c>
      <c r="N72" s="8" t="s">
        <v>228</v>
      </c>
      <c r="O72" s="7" t="s">
        <v>149</v>
      </c>
      <c r="P72" s="7">
        <v>0.3</v>
      </c>
      <c r="Q72" s="4" t="s">
        <v>29</v>
      </c>
      <c r="R72" s="4" t="s">
        <v>30</v>
      </c>
      <c r="S72" s="4"/>
    </row>
    <row r="73" spans="1:19" ht="22.5" hidden="1" customHeight="1">
      <c r="A73" s="4" t="s">
        <v>19</v>
      </c>
      <c r="B73" s="4">
        <v>2011</v>
      </c>
      <c r="C73" s="4" t="s">
        <v>229</v>
      </c>
      <c r="D73" s="4" t="s">
        <v>34</v>
      </c>
      <c r="E73" s="4" t="s">
        <v>230</v>
      </c>
      <c r="F73" s="4" t="s">
        <v>34</v>
      </c>
      <c r="G73" s="4" t="s">
        <v>95</v>
      </c>
      <c r="H73" s="5">
        <v>0.4</v>
      </c>
      <c r="I73" s="5" t="s">
        <v>231</v>
      </c>
      <c r="J73" s="4" t="s">
        <v>35</v>
      </c>
      <c r="K73" s="4" t="s">
        <v>24</v>
      </c>
      <c r="L73" s="4" t="s">
        <v>34</v>
      </c>
      <c r="M73" s="4" t="s">
        <v>35</v>
      </c>
      <c r="N73" s="8" t="s">
        <v>193</v>
      </c>
      <c r="O73" s="7" t="s">
        <v>149</v>
      </c>
      <c r="P73" s="7">
        <v>7.8</v>
      </c>
      <c r="Q73" s="4" t="s">
        <v>29</v>
      </c>
      <c r="R73" s="4" t="s">
        <v>30</v>
      </c>
      <c r="S73" s="4"/>
    </row>
    <row r="74" spans="1:19" ht="22.5" hidden="1" customHeight="1">
      <c r="A74" s="4" t="s">
        <v>19</v>
      </c>
      <c r="B74" s="4">
        <v>2021</v>
      </c>
      <c r="C74" s="4" t="s">
        <v>232</v>
      </c>
      <c r="D74" s="4">
        <v>2017</v>
      </c>
      <c r="E74" s="4">
        <v>78</v>
      </c>
      <c r="F74" s="5" t="s">
        <v>112</v>
      </c>
      <c r="G74" s="4" t="s">
        <v>95</v>
      </c>
      <c r="H74" s="5">
        <v>0.5</v>
      </c>
      <c r="I74" s="5">
        <v>0.8</v>
      </c>
      <c r="J74" s="4" t="s">
        <v>35</v>
      </c>
      <c r="K74" s="4" t="s">
        <v>24</v>
      </c>
      <c r="L74" s="4" t="s">
        <v>34</v>
      </c>
      <c r="M74" s="4" t="s">
        <v>35</v>
      </c>
      <c r="N74" s="8" t="s">
        <v>164</v>
      </c>
      <c r="O74" s="7" t="s">
        <v>144</v>
      </c>
      <c r="P74" s="7">
        <v>0</v>
      </c>
      <c r="Q74" s="4" t="s">
        <v>29</v>
      </c>
      <c r="R74" s="4" t="s">
        <v>30</v>
      </c>
      <c r="S74" s="4"/>
    </row>
    <row r="75" spans="1:19" ht="22.5" hidden="1" customHeight="1">
      <c r="A75" s="4" t="s">
        <v>19</v>
      </c>
      <c r="B75" s="4">
        <v>2024</v>
      </c>
      <c r="C75" s="4" t="s">
        <v>233</v>
      </c>
      <c r="D75" s="4">
        <v>2020</v>
      </c>
      <c r="E75" s="4">
        <v>15894</v>
      </c>
      <c r="F75" s="5" t="s">
        <v>106</v>
      </c>
      <c r="G75" s="4" t="s">
        <v>95</v>
      </c>
      <c r="H75" s="5">
        <v>0.5</v>
      </c>
      <c r="I75" s="5">
        <v>159</v>
      </c>
      <c r="J75" s="4" t="s">
        <v>35</v>
      </c>
      <c r="K75" s="4" t="s">
        <v>24</v>
      </c>
      <c r="L75" s="4" t="s">
        <v>34</v>
      </c>
      <c r="M75" s="4" t="s">
        <v>35</v>
      </c>
      <c r="N75" s="8" t="s">
        <v>79</v>
      </c>
      <c r="O75" s="7" t="s">
        <v>144</v>
      </c>
      <c r="P75" s="7">
        <v>0</v>
      </c>
      <c r="Q75" s="4" t="s">
        <v>29</v>
      </c>
      <c r="R75" s="4" t="s">
        <v>30</v>
      </c>
      <c r="S75" s="4"/>
    </row>
    <row r="76" spans="1:19" ht="22.5" hidden="1" customHeight="1">
      <c r="A76" s="4" t="s">
        <v>19</v>
      </c>
      <c r="B76" s="4">
        <v>2021</v>
      </c>
      <c r="C76" s="4" t="s">
        <v>234</v>
      </c>
      <c r="D76" s="4">
        <v>2010</v>
      </c>
      <c r="E76" s="4">
        <v>564</v>
      </c>
      <c r="F76" s="5" t="s">
        <v>112</v>
      </c>
      <c r="G76" s="4" t="s">
        <v>95</v>
      </c>
      <c r="H76" s="5">
        <v>0.5</v>
      </c>
      <c r="I76" s="5">
        <v>5.6</v>
      </c>
      <c r="J76" s="4" t="s">
        <v>35</v>
      </c>
      <c r="K76" s="4" t="s">
        <v>24</v>
      </c>
      <c r="L76" s="4" t="s">
        <v>34</v>
      </c>
      <c r="M76" s="4" t="s">
        <v>35</v>
      </c>
      <c r="N76" s="8" t="s">
        <v>164</v>
      </c>
      <c r="O76" s="7" t="s">
        <v>144</v>
      </c>
      <c r="P76" s="7">
        <v>0</v>
      </c>
      <c r="Q76" s="4" t="s">
        <v>29</v>
      </c>
      <c r="R76" s="4" t="s">
        <v>30</v>
      </c>
      <c r="S76" s="4"/>
    </row>
    <row r="77" spans="1:19" ht="22.5" hidden="1" customHeight="1">
      <c r="A77" s="4" t="s">
        <v>19</v>
      </c>
      <c r="B77" s="4">
        <v>2021</v>
      </c>
      <c r="C77" s="4" t="s">
        <v>235</v>
      </c>
      <c r="D77" s="4">
        <v>2017</v>
      </c>
      <c r="E77" s="4">
        <v>1527</v>
      </c>
      <c r="F77" s="5" t="s">
        <v>112</v>
      </c>
      <c r="G77" s="4" t="s">
        <v>95</v>
      </c>
      <c r="H77" s="5">
        <v>0.5</v>
      </c>
      <c r="I77" s="5">
        <v>15</v>
      </c>
      <c r="J77" s="4" t="s">
        <v>35</v>
      </c>
      <c r="K77" s="4" t="s">
        <v>24</v>
      </c>
      <c r="L77" s="4" t="s">
        <v>34</v>
      </c>
      <c r="M77" s="4" t="s">
        <v>35</v>
      </c>
      <c r="N77" s="8" t="s">
        <v>164</v>
      </c>
      <c r="O77" s="7" t="s">
        <v>144</v>
      </c>
      <c r="P77" s="7">
        <v>0</v>
      </c>
      <c r="Q77" s="4" t="s">
        <v>29</v>
      </c>
      <c r="R77" s="4" t="s">
        <v>30</v>
      </c>
      <c r="S77" s="4"/>
    </row>
    <row r="78" spans="1:19" ht="22.5" hidden="1" customHeight="1">
      <c r="A78" s="4" t="s">
        <v>19</v>
      </c>
      <c r="B78" s="4">
        <v>2021</v>
      </c>
      <c r="C78" s="4" t="s">
        <v>236</v>
      </c>
      <c r="D78" s="4">
        <v>2010</v>
      </c>
      <c r="E78" s="4">
        <v>3180</v>
      </c>
      <c r="F78" s="5" t="s">
        <v>112</v>
      </c>
      <c r="G78" s="4" t="s">
        <v>95</v>
      </c>
      <c r="H78" s="5">
        <v>0.5</v>
      </c>
      <c r="I78" s="5">
        <v>32</v>
      </c>
      <c r="J78" s="4" t="s">
        <v>35</v>
      </c>
      <c r="K78" s="4" t="s">
        <v>24</v>
      </c>
      <c r="L78" s="4" t="s">
        <v>34</v>
      </c>
      <c r="M78" s="4" t="s">
        <v>35</v>
      </c>
      <c r="N78" s="8" t="s">
        <v>164</v>
      </c>
      <c r="O78" s="7" t="s">
        <v>144</v>
      </c>
      <c r="P78" s="7">
        <v>0</v>
      </c>
      <c r="Q78" s="4" t="s">
        <v>29</v>
      </c>
      <c r="R78" s="4" t="s">
        <v>30</v>
      </c>
      <c r="S78" s="4"/>
    </row>
    <row r="79" spans="1:19" ht="22.5" hidden="1" customHeight="1">
      <c r="A79" s="4" t="s">
        <v>19</v>
      </c>
      <c r="B79" s="4">
        <v>2021</v>
      </c>
      <c r="C79" s="4" t="s">
        <v>237</v>
      </c>
      <c r="D79" s="4">
        <v>2017</v>
      </c>
      <c r="E79" s="4">
        <v>25695</v>
      </c>
      <c r="F79" s="5" t="s">
        <v>112</v>
      </c>
      <c r="G79" s="4" t="s">
        <v>95</v>
      </c>
      <c r="H79" s="5">
        <v>0.5</v>
      </c>
      <c r="I79" s="5">
        <v>257</v>
      </c>
      <c r="J79" s="4" t="s">
        <v>35</v>
      </c>
      <c r="K79" s="4" t="s">
        <v>24</v>
      </c>
      <c r="L79" s="4" t="s">
        <v>34</v>
      </c>
      <c r="M79" s="4" t="s">
        <v>35</v>
      </c>
      <c r="N79" s="8" t="s">
        <v>164</v>
      </c>
      <c r="O79" s="7" t="s">
        <v>144</v>
      </c>
      <c r="P79" s="7">
        <v>0</v>
      </c>
      <c r="Q79" s="4" t="s">
        <v>29</v>
      </c>
      <c r="R79" s="4" t="s">
        <v>30</v>
      </c>
      <c r="S79" s="4"/>
    </row>
    <row r="80" spans="1:19" ht="22.5" hidden="1" customHeight="1">
      <c r="A80" s="4" t="s">
        <v>19</v>
      </c>
      <c r="B80" s="4">
        <v>2021</v>
      </c>
      <c r="C80" s="4" t="s">
        <v>238</v>
      </c>
      <c r="D80" s="4" t="s">
        <v>34</v>
      </c>
      <c r="E80" s="4" t="s">
        <v>34</v>
      </c>
      <c r="F80" s="4" t="s">
        <v>34</v>
      </c>
      <c r="G80" s="4" t="s">
        <v>95</v>
      </c>
      <c r="H80" s="5">
        <v>0.5</v>
      </c>
      <c r="I80" s="4" t="s">
        <v>34</v>
      </c>
      <c r="J80" s="4" t="s">
        <v>35</v>
      </c>
      <c r="K80" s="4" t="s">
        <v>24</v>
      </c>
      <c r="L80" s="4" t="s">
        <v>34</v>
      </c>
      <c r="M80" s="4" t="s">
        <v>35</v>
      </c>
      <c r="N80" s="8" t="s">
        <v>164</v>
      </c>
      <c r="O80" s="7" t="s">
        <v>144</v>
      </c>
      <c r="P80" s="7">
        <v>0</v>
      </c>
      <c r="Q80" s="4" t="s">
        <v>29</v>
      </c>
      <c r="R80" s="4" t="s">
        <v>30</v>
      </c>
      <c r="S80" s="4"/>
    </row>
    <row r="81" spans="1:19" ht="22.5" hidden="1" customHeight="1">
      <c r="A81" s="4" t="s">
        <v>19</v>
      </c>
      <c r="B81" s="4">
        <v>2021</v>
      </c>
      <c r="C81" s="4" t="s">
        <v>239</v>
      </c>
      <c r="D81" s="4">
        <v>2017</v>
      </c>
      <c r="E81" s="4">
        <v>4486</v>
      </c>
      <c r="F81" s="5" t="s">
        <v>106</v>
      </c>
      <c r="G81" s="4" t="s">
        <v>95</v>
      </c>
      <c r="H81" s="5">
        <v>0.2</v>
      </c>
      <c r="I81" s="4">
        <v>18</v>
      </c>
      <c r="J81" s="4" t="s">
        <v>35</v>
      </c>
      <c r="K81" s="4" t="s">
        <v>25</v>
      </c>
      <c r="L81" s="4" t="s">
        <v>34</v>
      </c>
      <c r="M81" s="4" t="s">
        <v>35</v>
      </c>
      <c r="N81" s="8" t="s">
        <v>164</v>
      </c>
      <c r="O81" s="7" t="s">
        <v>144</v>
      </c>
      <c r="P81" s="7">
        <v>0</v>
      </c>
      <c r="Q81" s="4" t="s">
        <v>66</v>
      </c>
      <c r="R81" s="4" t="s">
        <v>82</v>
      </c>
      <c r="S81" s="4"/>
    </row>
    <row r="82" spans="1:19" ht="22.5" hidden="1" customHeight="1">
      <c r="A82" s="4" t="s">
        <v>19</v>
      </c>
      <c r="B82" s="4">
        <v>2018</v>
      </c>
      <c r="C82" s="4" t="s">
        <v>240</v>
      </c>
      <c r="D82" s="4">
        <v>2010</v>
      </c>
      <c r="E82" s="4">
        <v>63</v>
      </c>
      <c r="F82" s="5" t="s">
        <v>112</v>
      </c>
      <c r="G82" s="4" t="s">
        <v>95</v>
      </c>
      <c r="H82" s="5">
        <v>0.1</v>
      </c>
      <c r="I82" s="4">
        <v>0.1</v>
      </c>
      <c r="J82" s="4" t="s">
        <v>35</v>
      </c>
      <c r="K82" s="4" t="s">
        <v>25</v>
      </c>
      <c r="L82" s="4" t="s">
        <v>34</v>
      </c>
      <c r="M82" s="4" t="s">
        <v>35</v>
      </c>
      <c r="N82" s="8" t="s">
        <v>148</v>
      </c>
      <c r="O82" s="7" t="s">
        <v>144</v>
      </c>
      <c r="P82" s="7">
        <v>0</v>
      </c>
      <c r="Q82" s="4" t="s">
        <v>66</v>
      </c>
      <c r="R82" s="4" t="s">
        <v>82</v>
      </c>
      <c r="S82" s="4"/>
    </row>
    <row r="83" spans="1:19" ht="22.5" hidden="1" customHeight="1">
      <c r="A83" s="4" t="s">
        <v>19</v>
      </c>
      <c r="B83" s="4">
        <v>2021</v>
      </c>
      <c r="C83" s="4" t="s">
        <v>241</v>
      </c>
      <c r="D83" s="4">
        <v>2017</v>
      </c>
      <c r="E83" s="4">
        <v>101</v>
      </c>
      <c r="F83" s="5" t="s">
        <v>112</v>
      </c>
      <c r="G83" s="4" t="s">
        <v>95</v>
      </c>
      <c r="H83" s="5">
        <v>0.1</v>
      </c>
      <c r="I83" s="4">
        <v>0.2</v>
      </c>
      <c r="J83" s="4" t="s">
        <v>35</v>
      </c>
      <c r="K83" s="4" t="s">
        <v>25</v>
      </c>
      <c r="L83" s="4" t="s">
        <v>34</v>
      </c>
      <c r="M83" s="4" t="s">
        <v>35</v>
      </c>
      <c r="N83" s="8" t="s">
        <v>164</v>
      </c>
      <c r="O83" s="7" t="s">
        <v>144</v>
      </c>
      <c r="P83" s="7">
        <v>0</v>
      </c>
      <c r="Q83" s="4" t="s">
        <v>66</v>
      </c>
      <c r="R83" s="4" t="s">
        <v>82</v>
      </c>
      <c r="S83" s="4"/>
    </row>
    <row r="84" spans="1:19" ht="22.5" hidden="1" customHeight="1">
      <c r="A84" s="4" t="s">
        <v>19</v>
      </c>
      <c r="B84" s="4">
        <v>2024</v>
      </c>
      <c r="C84" s="4" t="s">
        <v>242</v>
      </c>
      <c r="D84" s="4">
        <v>2020</v>
      </c>
      <c r="E84" s="4">
        <v>623</v>
      </c>
      <c r="F84" s="5" t="s">
        <v>112</v>
      </c>
      <c r="G84" s="4" t="s">
        <v>95</v>
      </c>
      <c r="H84" s="5">
        <v>0.5</v>
      </c>
      <c r="I84" s="4">
        <v>6.2</v>
      </c>
      <c r="J84" s="4" t="s">
        <v>35</v>
      </c>
      <c r="K84" s="4" t="s">
        <v>24</v>
      </c>
      <c r="L84" s="4" t="s">
        <v>34</v>
      </c>
      <c r="M84" s="4" t="s">
        <v>35</v>
      </c>
      <c r="N84" s="8" t="s">
        <v>79</v>
      </c>
      <c r="O84" s="7" t="s">
        <v>144</v>
      </c>
      <c r="P84" s="7">
        <v>0</v>
      </c>
      <c r="Q84" s="4" t="s">
        <v>29</v>
      </c>
      <c r="R84" s="4" t="s">
        <v>30</v>
      </c>
      <c r="S84" s="4"/>
    </row>
    <row r="85" spans="1:19" ht="22.5" hidden="1" customHeight="1">
      <c r="A85" s="4" t="s">
        <v>19</v>
      </c>
      <c r="B85" s="4">
        <v>2018</v>
      </c>
      <c r="C85" s="4" t="s">
        <v>243</v>
      </c>
      <c r="D85" s="4">
        <v>2010</v>
      </c>
      <c r="E85" s="4">
        <v>204</v>
      </c>
      <c r="F85" s="5" t="s">
        <v>112</v>
      </c>
      <c r="G85" s="4" t="s">
        <v>95</v>
      </c>
      <c r="H85" s="5">
        <v>0.1</v>
      </c>
      <c r="I85" s="4">
        <v>0.4</v>
      </c>
      <c r="J85" s="4" t="s">
        <v>35</v>
      </c>
      <c r="K85" s="4" t="s">
        <v>25</v>
      </c>
      <c r="L85" s="4" t="s">
        <v>34</v>
      </c>
      <c r="M85" s="4" t="s">
        <v>35</v>
      </c>
      <c r="N85" s="8" t="s">
        <v>148</v>
      </c>
      <c r="O85" s="7" t="s">
        <v>144</v>
      </c>
      <c r="P85" s="7">
        <v>0</v>
      </c>
      <c r="Q85" s="4" t="s">
        <v>66</v>
      </c>
      <c r="R85" s="4" t="s">
        <v>82</v>
      </c>
      <c r="S85" s="4"/>
    </row>
    <row r="86" spans="1:19" ht="22.5" hidden="1" customHeight="1">
      <c r="A86" s="4" t="s">
        <v>19</v>
      </c>
      <c r="B86" s="4">
        <v>2021</v>
      </c>
      <c r="C86" s="4" t="s">
        <v>244</v>
      </c>
      <c r="D86" s="4">
        <v>2017</v>
      </c>
      <c r="E86" s="4">
        <v>212</v>
      </c>
      <c r="F86" s="5" t="s">
        <v>112</v>
      </c>
      <c r="G86" s="4" t="s">
        <v>95</v>
      </c>
      <c r="H86" s="5">
        <v>0.5</v>
      </c>
      <c r="I86" s="4">
        <v>2.1</v>
      </c>
      <c r="J86" s="4" t="s">
        <v>35</v>
      </c>
      <c r="K86" s="4" t="s">
        <v>24</v>
      </c>
      <c r="L86" s="4" t="s">
        <v>34</v>
      </c>
      <c r="M86" s="4" t="s">
        <v>35</v>
      </c>
      <c r="N86" s="8" t="s">
        <v>164</v>
      </c>
      <c r="O86" s="7" t="s">
        <v>144</v>
      </c>
      <c r="P86" s="7">
        <v>0</v>
      </c>
      <c r="Q86" s="4" t="s">
        <v>29</v>
      </c>
      <c r="R86" s="4" t="s">
        <v>30</v>
      </c>
      <c r="S86" s="4"/>
    </row>
    <row r="87" spans="1:19" ht="22.5" hidden="1" customHeight="1">
      <c r="A87" s="4" t="s">
        <v>19</v>
      </c>
      <c r="B87" s="4">
        <v>2009</v>
      </c>
      <c r="C87" s="4" t="s">
        <v>245</v>
      </c>
      <c r="D87" s="4" t="s">
        <v>34</v>
      </c>
      <c r="E87" s="4">
        <v>150</v>
      </c>
      <c r="F87" s="5" t="s">
        <v>246</v>
      </c>
      <c r="G87" s="111" t="s">
        <v>247</v>
      </c>
      <c r="H87" s="5">
        <v>0.1</v>
      </c>
      <c r="I87" s="4">
        <v>0.8</v>
      </c>
      <c r="J87" s="4" t="s">
        <v>35</v>
      </c>
      <c r="K87" s="4" t="s">
        <v>25</v>
      </c>
      <c r="L87" s="4" t="s">
        <v>34</v>
      </c>
      <c r="M87" s="4" t="s">
        <v>35</v>
      </c>
      <c r="N87" s="8" t="s">
        <v>34</v>
      </c>
      <c r="O87" s="8" t="s">
        <v>34</v>
      </c>
      <c r="P87" s="8" t="s">
        <v>34</v>
      </c>
      <c r="Q87" s="4" t="s">
        <v>66</v>
      </c>
      <c r="R87" s="4" t="s">
        <v>82</v>
      </c>
      <c r="S87" s="4"/>
    </row>
    <row r="88" spans="1:19" ht="13">
      <c r="F88" s="9"/>
      <c r="G88" s="9"/>
      <c r="O88" s="10"/>
      <c r="P88" s="10"/>
    </row>
    <row r="89" spans="1:19" ht="13">
      <c r="F89" s="9"/>
      <c r="G89" s="9"/>
      <c r="O89" s="10"/>
      <c r="P89" s="10"/>
    </row>
    <row r="90" spans="1:19" ht="13">
      <c r="F90" s="9"/>
      <c r="O90" s="10"/>
      <c r="P90" s="10"/>
    </row>
    <row r="91" spans="1:19" ht="13">
      <c r="F91" s="9"/>
      <c r="O91" s="10"/>
      <c r="P91" s="10"/>
    </row>
    <row r="92" spans="1:19" ht="13">
      <c r="F92" s="9"/>
      <c r="O92" s="10"/>
      <c r="P92" s="10"/>
    </row>
    <row r="93" spans="1:19" ht="13">
      <c r="F93" s="9"/>
      <c r="O93" s="10"/>
      <c r="P93" s="10"/>
    </row>
    <row r="94" spans="1:19" ht="13">
      <c r="F94" s="9"/>
      <c r="O94" s="10"/>
      <c r="P94" s="10"/>
    </row>
    <row r="95" spans="1:19" ht="13">
      <c r="F95" s="9"/>
      <c r="O95" s="10"/>
      <c r="P95" s="10"/>
    </row>
    <row r="96" spans="1:19" ht="13">
      <c r="F96" s="9"/>
      <c r="O96" s="10"/>
      <c r="P96" s="10"/>
    </row>
    <row r="97" spans="6:16" ht="13">
      <c r="F97" s="9"/>
      <c r="O97" s="10"/>
      <c r="P97" s="10"/>
    </row>
    <row r="98" spans="6:16" ht="13">
      <c r="F98" s="9"/>
      <c r="O98" s="10"/>
      <c r="P98" s="10"/>
    </row>
    <row r="99" spans="6:16" ht="13">
      <c r="F99" s="9"/>
      <c r="O99" s="10"/>
      <c r="P99" s="10"/>
    </row>
    <row r="100" spans="6:16" ht="13">
      <c r="F100" s="9"/>
      <c r="O100" s="10"/>
      <c r="P100" s="10"/>
    </row>
    <row r="101" spans="6:16" ht="13">
      <c r="F101" s="9"/>
      <c r="O101" s="10"/>
      <c r="P101" s="10"/>
    </row>
    <row r="102" spans="6:16" ht="13">
      <c r="F102" s="9"/>
      <c r="O102" s="10"/>
      <c r="P102" s="10"/>
    </row>
    <row r="103" spans="6:16" ht="13">
      <c r="F103" s="9"/>
      <c r="O103" s="10"/>
      <c r="P103" s="10"/>
    </row>
    <row r="104" spans="6:16" ht="13">
      <c r="F104" s="9"/>
      <c r="O104" s="10"/>
      <c r="P104" s="10"/>
    </row>
    <row r="105" spans="6:16" ht="13">
      <c r="F105" s="9"/>
      <c r="O105" s="10"/>
      <c r="P105" s="10"/>
    </row>
    <row r="106" spans="6:16" ht="13">
      <c r="F106" s="9"/>
      <c r="O106" s="10"/>
      <c r="P106" s="10"/>
    </row>
    <row r="107" spans="6:16" ht="13">
      <c r="F107" s="9"/>
      <c r="O107" s="10"/>
      <c r="P107" s="10"/>
    </row>
    <row r="108" spans="6:16" ht="13">
      <c r="F108" s="9"/>
      <c r="O108" s="10"/>
      <c r="P108" s="10"/>
    </row>
    <row r="109" spans="6:16" ht="13">
      <c r="F109" s="9"/>
      <c r="O109" s="10"/>
      <c r="P109" s="10"/>
    </row>
    <row r="110" spans="6:16" ht="13">
      <c r="F110" s="9"/>
      <c r="O110" s="10"/>
      <c r="P110" s="10"/>
    </row>
    <row r="111" spans="6:16" ht="13">
      <c r="F111" s="9"/>
      <c r="O111" s="10"/>
      <c r="P111" s="10"/>
    </row>
    <row r="112" spans="6:16" ht="13">
      <c r="F112" s="9"/>
      <c r="O112" s="10"/>
      <c r="P112" s="10"/>
    </row>
    <row r="113" spans="6:16" ht="13">
      <c r="F113" s="9"/>
      <c r="O113" s="10"/>
      <c r="P113" s="10"/>
    </row>
    <row r="114" spans="6:16" ht="13">
      <c r="F114" s="9"/>
      <c r="O114" s="10"/>
      <c r="P114" s="10"/>
    </row>
    <row r="115" spans="6:16" ht="13">
      <c r="F115" s="9"/>
      <c r="O115" s="10"/>
      <c r="P115" s="10"/>
    </row>
    <row r="116" spans="6:16" ht="13">
      <c r="F116" s="9"/>
      <c r="O116" s="10"/>
      <c r="P116" s="10"/>
    </row>
    <row r="117" spans="6:16" ht="13">
      <c r="F117" s="9"/>
      <c r="O117" s="10"/>
      <c r="P117" s="10"/>
    </row>
    <row r="118" spans="6:16" ht="13">
      <c r="F118" s="9"/>
      <c r="O118" s="10"/>
      <c r="P118" s="10"/>
    </row>
    <row r="119" spans="6:16" ht="13">
      <c r="F119" s="9"/>
      <c r="O119" s="10"/>
      <c r="P119" s="10"/>
    </row>
    <row r="120" spans="6:16" ht="13">
      <c r="F120" s="9"/>
      <c r="O120" s="10"/>
      <c r="P120" s="10"/>
    </row>
    <row r="121" spans="6:16" ht="13">
      <c r="F121" s="9"/>
      <c r="O121" s="10"/>
      <c r="P121" s="10"/>
    </row>
    <row r="122" spans="6:16" ht="13">
      <c r="F122" s="9"/>
      <c r="O122" s="10"/>
      <c r="P122" s="10"/>
    </row>
    <row r="123" spans="6:16" ht="13">
      <c r="F123" s="9"/>
      <c r="O123" s="10"/>
      <c r="P123" s="10"/>
    </row>
    <row r="124" spans="6:16" ht="13">
      <c r="F124" s="9"/>
      <c r="O124" s="10"/>
      <c r="P124" s="10"/>
    </row>
    <row r="125" spans="6:16" ht="13">
      <c r="F125" s="9"/>
      <c r="O125" s="10"/>
      <c r="P125" s="10"/>
    </row>
    <row r="126" spans="6:16" ht="13">
      <c r="F126" s="9"/>
      <c r="O126" s="10"/>
      <c r="P126" s="10"/>
    </row>
    <row r="127" spans="6:16" ht="13">
      <c r="F127" s="9"/>
      <c r="O127" s="10"/>
      <c r="P127" s="10"/>
    </row>
    <row r="128" spans="6:16" ht="13">
      <c r="F128" s="9"/>
      <c r="O128" s="10"/>
      <c r="P128" s="10"/>
    </row>
    <row r="129" spans="6:16" ht="13">
      <c r="F129" s="9"/>
      <c r="O129" s="10"/>
      <c r="P129" s="10"/>
    </row>
    <row r="130" spans="6:16" ht="13">
      <c r="F130" s="9"/>
      <c r="O130" s="10"/>
      <c r="P130" s="10"/>
    </row>
    <row r="131" spans="6:16" ht="13">
      <c r="F131" s="9"/>
      <c r="O131" s="10"/>
      <c r="P131" s="10"/>
    </row>
    <row r="132" spans="6:16" ht="13">
      <c r="F132" s="9"/>
      <c r="O132" s="10"/>
      <c r="P132" s="10"/>
    </row>
    <row r="133" spans="6:16" ht="13">
      <c r="F133" s="9"/>
      <c r="O133" s="10"/>
      <c r="P133" s="10"/>
    </row>
    <row r="134" spans="6:16" ht="13">
      <c r="F134" s="9"/>
      <c r="O134" s="10"/>
      <c r="P134" s="10"/>
    </row>
    <row r="135" spans="6:16" ht="13">
      <c r="F135" s="9"/>
      <c r="O135" s="10"/>
      <c r="P135" s="10"/>
    </row>
    <row r="136" spans="6:16" ht="13">
      <c r="F136" s="9"/>
      <c r="O136" s="10"/>
      <c r="P136" s="10"/>
    </row>
    <row r="137" spans="6:16" ht="13">
      <c r="F137" s="9"/>
      <c r="O137" s="10"/>
      <c r="P137" s="10"/>
    </row>
    <row r="138" spans="6:16" ht="13">
      <c r="F138" s="9"/>
      <c r="O138" s="10"/>
      <c r="P138" s="10"/>
    </row>
    <row r="139" spans="6:16" ht="13">
      <c r="F139" s="9"/>
      <c r="O139" s="10"/>
      <c r="P139" s="10"/>
    </row>
    <row r="140" spans="6:16" ht="13">
      <c r="F140" s="9"/>
      <c r="O140" s="10"/>
      <c r="P140" s="10"/>
    </row>
    <row r="141" spans="6:16" ht="13">
      <c r="F141" s="9"/>
      <c r="O141" s="10"/>
      <c r="P141" s="10"/>
    </row>
    <row r="142" spans="6:16" ht="13">
      <c r="F142" s="9"/>
      <c r="O142" s="10"/>
      <c r="P142" s="10"/>
    </row>
    <row r="143" spans="6:16" ht="13">
      <c r="F143" s="9"/>
      <c r="O143" s="10"/>
      <c r="P143" s="10"/>
    </row>
    <row r="144" spans="6:16" ht="13">
      <c r="F144" s="9"/>
      <c r="O144" s="10"/>
      <c r="P144" s="10"/>
    </row>
    <row r="145" spans="6:16" ht="13">
      <c r="F145" s="9"/>
      <c r="O145" s="10"/>
      <c r="P145" s="10"/>
    </row>
    <row r="146" spans="6:16" ht="13">
      <c r="F146" s="9"/>
      <c r="O146" s="10"/>
      <c r="P146" s="10"/>
    </row>
    <row r="147" spans="6:16" ht="13">
      <c r="F147" s="9"/>
      <c r="O147" s="10"/>
      <c r="P147" s="10"/>
    </row>
    <row r="148" spans="6:16" ht="13">
      <c r="F148" s="9"/>
      <c r="O148" s="10"/>
      <c r="P148" s="10"/>
    </row>
    <row r="149" spans="6:16" ht="13">
      <c r="F149" s="9"/>
      <c r="O149" s="10"/>
      <c r="P149" s="10"/>
    </row>
    <row r="150" spans="6:16" ht="13">
      <c r="F150" s="9"/>
      <c r="O150" s="10"/>
      <c r="P150" s="10"/>
    </row>
    <row r="151" spans="6:16" ht="13">
      <c r="F151" s="9"/>
      <c r="O151" s="10"/>
      <c r="P151" s="10"/>
    </row>
    <row r="152" spans="6:16" ht="13">
      <c r="F152" s="9"/>
      <c r="O152" s="10"/>
      <c r="P152" s="10"/>
    </row>
    <row r="153" spans="6:16" ht="13">
      <c r="F153" s="9"/>
      <c r="O153" s="10"/>
      <c r="P153" s="10"/>
    </row>
    <row r="154" spans="6:16" ht="13">
      <c r="F154" s="9"/>
      <c r="O154" s="10"/>
      <c r="P154" s="10"/>
    </row>
    <row r="155" spans="6:16" ht="13">
      <c r="F155" s="9"/>
      <c r="O155" s="10"/>
      <c r="P155" s="10"/>
    </row>
    <row r="156" spans="6:16" ht="13">
      <c r="F156" s="9"/>
      <c r="O156" s="10"/>
      <c r="P156" s="10"/>
    </row>
    <row r="157" spans="6:16" ht="13">
      <c r="F157" s="9"/>
      <c r="O157" s="10"/>
      <c r="P157" s="10"/>
    </row>
    <row r="158" spans="6:16" ht="13">
      <c r="F158" s="9"/>
      <c r="O158" s="10"/>
      <c r="P158" s="10"/>
    </row>
    <row r="159" spans="6:16" ht="13">
      <c r="F159" s="9"/>
      <c r="O159" s="10"/>
      <c r="P159" s="10"/>
    </row>
    <row r="160" spans="6:16" ht="13">
      <c r="F160" s="9"/>
      <c r="O160" s="10"/>
      <c r="P160" s="10"/>
    </row>
    <row r="161" spans="6:16" ht="13">
      <c r="F161" s="9"/>
      <c r="O161" s="10"/>
      <c r="P161" s="10"/>
    </row>
    <row r="162" spans="6:16" ht="13">
      <c r="F162" s="9"/>
      <c r="O162" s="10"/>
      <c r="P162" s="10"/>
    </row>
    <row r="163" spans="6:16" ht="13">
      <c r="F163" s="9"/>
      <c r="O163" s="10"/>
      <c r="P163" s="10"/>
    </row>
    <row r="164" spans="6:16" ht="13">
      <c r="F164" s="9"/>
      <c r="O164" s="10"/>
      <c r="P164" s="10"/>
    </row>
    <row r="165" spans="6:16" ht="13">
      <c r="F165" s="9"/>
      <c r="O165" s="10"/>
      <c r="P165" s="10"/>
    </row>
    <row r="166" spans="6:16" ht="13">
      <c r="F166" s="9"/>
      <c r="O166" s="10"/>
      <c r="P166" s="10"/>
    </row>
    <row r="167" spans="6:16" ht="13">
      <c r="F167" s="9"/>
      <c r="O167" s="10"/>
      <c r="P167" s="10"/>
    </row>
    <row r="168" spans="6:16" ht="13">
      <c r="F168" s="9"/>
      <c r="O168" s="10"/>
      <c r="P168" s="10"/>
    </row>
    <row r="169" spans="6:16" ht="13">
      <c r="F169" s="9"/>
      <c r="O169" s="10"/>
      <c r="P169" s="10"/>
    </row>
    <row r="170" spans="6:16" ht="13">
      <c r="F170" s="9"/>
      <c r="O170" s="10"/>
      <c r="P170" s="10"/>
    </row>
    <row r="171" spans="6:16" ht="13">
      <c r="F171" s="9"/>
      <c r="O171" s="10"/>
      <c r="P171" s="10"/>
    </row>
    <row r="172" spans="6:16" ht="13">
      <c r="F172" s="9"/>
      <c r="O172" s="10"/>
      <c r="P172" s="10"/>
    </row>
    <row r="173" spans="6:16" ht="13">
      <c r="F173" s="9"/>
      <c r="O173" s="10"/>
      <c r="P173" s="10"/>
    </row>
    <row r="174" spans="6:16" ht="13">
      <c r="F174" s="9"/>
      <c r="O174" s="10"/>
      <c r="P174" s="10"/>
    </row>
    <row r="175" spans="6:16" ht="13">
      <c r="F175" s="9"/>
      <c r="O175" s="10"/>
      <c r="P175" s="10"/>
    </row>
    <row r="176" spans="6:16" ht="13">
      <c r="F176" s="9"/>
      <c r="O176" s="10"/>
      <c r="P176" s="10"/>
    </row>
    <row r="177" spans="6:16" ht="13">
      <c r="F177" s="9"/>
      <c r="O177" s="10"/>
      <c r="P177" s="10"/>
    </row>
    <row r="178" spans="6:16" ht="13">
      <c r="F178" s="9"/>
      <c r="O178" s="10"/>
      <c r="P178" s="10"/>
    </row>
    <row r="179" spans="6:16" ht="13">
      <c r="F179" s="9"/>
      <c r="O179" s="10"/>
      <c r="P179" s="10"/>
    </row>
    <row r="180" spans="6:16" ht="13">
      <c r="F180" s="9"/>
      <c r="O180" s="10"/>
      <c r="P180" s="10"/>
    </row>
    <row r="181" spans="6:16" ht="13">
      <c r="F181" s="9"/>
      <c r="O181" s="10"/>
      <c r="P181" s="10"/>
    </row>
    <row r="182" spans="6:16" ht="13">
      <c r="F182" s="9"/>
      <c r="O182" s="10"/>
      <c r="P182" s="10"/>
    </row>
    <row r="183" spans="6:16" ht="13">
      <c r="F183" s="9"/>
      <c r="O183" s="10"/>
      <c r="P183" s="10"/>
    </row>
    <row r="184" spans="6:16" ht="13">
      <c r="F184" s="9"/>
      <c r="O184" s="10"/>
      <c r="P184" s="10"/>
    </row>
    <row r="185" spans="6:16" ht="13">
      <c r="F185" s="9"/>
      <c r="O185" s="10"/>
      <c r="P185" s="10"/>
    </row>
    <row r="186" spans="6:16" ht="13">
      <c r="F186" s="9"/>
      <c r="O186" s="10"/>
      <c r="P186" s="10"/>
    </row>
    <row r="187" spans="6:16" ht="13">
      <c r="F187" s="9"/>
      <c r="O187" s="10"/>
      <c r="P187" s="10"/>
    </row>
    <row r="188" spans="6:16" ht="13">
      <c r="F188" s="9"/>
      <c r="O188" s="10"/>
      <c r="P188" s="10"/>
    </row>
    <row r="189" spans="6:16" ht="13">
      <c r="F189" s="9"/>
      <c r="O189" s="10"/>
      <c r="P189" s="10"/>
    </row>
    <row r="190" spans="6:16" ht="13">
      <c r="F190" s="9"/>
      <c r="O190" s="10"/>
      <c r="P190" s="10"/>
    </row>
    <row r="191" spans="6:16" ht="13">
      <c r="F191" s="9"/>
      <c r="O191" s="10"/>
      <c r="P191" s="10"/>
    </row>
    <row r="192" spans="6:16" ht="13">
      <c r="F192" s="9"/>
      <c r="O192" s="10"/>
      <c r="P192" s="10"/>
    </row>
    <row r="193" spans="6:16" ht="13">
      <c r="F193" s="9"/>
      <c r="O193" s="10"/>
      <c r="P193" s="10"/>
    </row>
    <row r="194" spans="6:16" ht="13">
      <c r="F194" s="9"/>
      <c r="O194" s="10"/>
      <c r="P194" s="10"/>
    </row>
    <row r="195" spans="6:16" ht="13">
      <c r="F195" s="9"/>
      <c r="O195" s="10"/>
      <c r="P195" s="10"/>
    </row>
    <row r="196" spans="6:16" ht="13">
      <c r="F196" s="9"/>
      <c r="O196" s="10"/>
      <c r="P196" s="10"/>
    </row>
    <row r="197" spans="6:16" ht="13">
      <c r="F197" s="9"/>
      <c r="O197" s="10"/>
      <c r="P197" s="10"/>
    </row>
    <row r="198" spans="6:16" ht="13">
      <c r="F198" s="9"/>
      <c r="O198" s="10"/>
      <c r="P198" s="10"/>
    </row>
    <row r="199" spans="6:16" ht="13">
      <c r="F199" s="9"/>
      <c r="O199" s="10"/>
      <c r="P199" s="10"/>
    </row>
    <row r="200" spans="6:16" ht="13">
      <c r="F200" s="9"/>
      <c r="O200" s="10"/>
      <c r="P200" s="10"/>
    </row>
    <row r="201" spans="6:16" ht="13">
      <c r="F201" s="9"/>
      <c r="O201" s="10"/>
      <c r="P201" s="10"/>
    </row>
    <row r="202" spans="6:16" ht="13">
      <c r="F202" s="9"/>
      <c r="O202" s="10"/>
      <c r="P202" s="10"/>
    </row>
    <row r="203" spans="6:16" ht="13">
      <c r="F203" s="9"/>
      <c r="O203" s="10"/>
      <c r="P203" s="10"/>
    </row>
    <row r="204" spans="6:16" ht="13">
      <c r="F204" s="9"/>
      <c r="O204" s="10"/>
      <c r="P204" s="10"/>
    </row>
    <row r="205" spans="6:16" ht="13">
      <c r="F205" s="9"/>
      <c r="O205" s="10"/>
      <c r="P205" s="10"/>
    </row>
    <row r="206" spans="6:16" ht="13">
      <c r="F206" s="9"/>
      <c r="O206" s="10"/>
      <c r="P206" s="10"/>
    </row>
    <row r="207" spans="6:16" ht="13">
      <c r="F207" s="9"/>
      <c r="O207" s="10"/>
      <c r="P207" s="10"/>
    </row>
    <row r="208" spans="6:16" ht="13">
      <c r="F208" s="9"/>
      <c r="O208" s="10"/>
      <c r="P208" s="10"/>
    </row>
    <row r="209" spans="6:16" ht="13">
      <c r="F209" s="9"/>
      <c r="O209" s="10"/>
      <c r="P209" s="10"/>
    </row>
    <row r="210" spans="6:16" ht="13">
      <c r="F210" s="9"/>
      <c r="O210" s="10"/>
      <c r="P210" s="10"/>
    </row>
    <row r="211" spans="6:16" ht="13">
      <c r="F211" s="9"/>
      <c r="O211" s="10"/>
      <c r="P211" s="10"/>
    </row>
    <row r="212" spans="6:16" ht="13">
      <c r="F212" s="9"/>
      <c r="O212" s="10"/>
      <c r="P212" s="10"/>
    </row>
    <row r="213" spans="6:16" ht="13">
      <c r="F213" s="9"/>
      <c r="O213" s="10"/>
      <c r="P213" s="10"/>
    </row>
    <row r="214" spans="6:16" ht="13">
      <c r="F214" s="9"/>
      <c r="O214" s="10"/>
      <c r="P214" s="10"/>
    </row>
    <row r="215" spans="6:16" ht="13">
      <c r="F215" s="9"/>
      <c r="O215" s="10"/>
      <c r="P215" s="10"/>
    </row>
    <row r="216" spans="6:16" ht="13">
      <c r="F216" s="9"/>
      <c r="O216" s="10"/>
      <c r="P216" s="10"/>
    </row>
    <row r="217" spans="6:16" ht="13">
      <c r="F217" s="9"/>
      <c r="O217" s="10"/>
      <c r="P217" s="10"/>
    </row>
    <row r="218" spans="6:16" ht="13">
      <c r="F218" s="9"/>
      <c r="O218" s="10"/>
      <c r="P218" s="10"/>
    </row>
    <row r="219" spans="6:16" ht="13">
      <c r="F219" s="9"/>
      <c r="O219" s="10"/>
      <c r="P219" s="10"/>
    </row>
    <row r="220" spans="6:16" ht="13">
      <c r="F220" s="9"/>
      <c r="O220" s="10"/>
      <c r="P220" s="10"/>
    </row>
    <row r="221" spans="6:16" ht="13">
      <c r="F221" s="9"/>
      <c r="O221" s="10"/>
      <c r="P221" s="10"/>
    </row>
    <row r="222" spans="6:16" ht="13">
      <c r="F222" s="9"/>
      <c r="O222" s="10"/>
      <c r="P222" s="10"/>
    </row>
    <row r="223" spans="6:16" ht="13">
      <c r="F223" s="9"/>
      <c r="O223" s="10"/>
      <c r="P223" s="10"/>
    </row>
    <row r="224" spans="6:16" ht="13">
      <c r="F224" s="9"/>
      <c r="O224" s="10"/>
      <c r="P224" s="10"/>
    </row>
    <row r="225" spans="6:16" ht="13">
      <c r="F225" s="9"/>
      <c r="O225" s="10"/>
      <c r="P225" s="10"/>
    </row>
    <row r="226" spans="6:16" ht="13">
      <c r="F226" s="9"/>
      <c r="O226" s="10"/>
      <c r="P226" s="10"/>
    </row>
    <row r="227" spans="6:16" ht="13">
      <c r="F227" s="9"/>
      <c r="O227" s="10"/>
      <c r="P227" s="10"/>
    </row>
    <row r="228" spans="6:16" ht="13">
      <c r="F228" s="9"/>
      <c r="O228" s="10"/>
      <c r="P228" s="10"/>
    </row>
    <row r="229" spans="6:16" ht="13">
      <c r="F229" s="9"/>
      <c r="O229" s="10"/>
      <c r="P229" s="10"/>
    </row>
    <row r="230" spans="6:16" ht="13">
      <c r="F230" s="9"/>
      <c r="O230" s="10"/>
      <c r="P230" s="10"/>
    </row>
    <row r="231" spans="6:16" ht="13">
      <c r="F231" s="9"/>
      <c r="O231" s="10"/>
      <c r="P231" s="10"/>
    </row>
    <row r="232" spans="6:16" ht="13">
      <c r="F232" s="9"/>
      <c r="O232" s="10"/>
      <c r="P232" s="10"/>
    </row>
    <row r="233" spans="6:16" ht="13">
      <c r="F233" s="9"/>
      <c r="O233" s="10"/>
      <c r="P233" s="10"/>
    </row>
    <row r="234" spans="6:16" ht="13">
      <c r="F234" s="9"/>
      <c r="O234" s="10"/>
      <c r="P234" s="10"/>
    </row>
    <row r="235" spans="6:16" ht="13">
      <c r="F235" s="9"/>
      <c r="O235" s="10"/>
      <c r="P235" s="10"/>
    </row>
    <row r="236" spans="6:16" ht="13">
      <c r="F236" s="9"/>
      <c r="O236" s="10"/>
      <c r="P236" s="10"/>
    </row>
    <row r="237" spans="6:16" ht="13">
      <c r="F237" s="9"/>
      <c r="O237" s="10"/>
      <c r="P237" s="10"/>
    </row>
    <row r="238" spans="6:16" ht="13">
      <c r="F238" s="9"/>
      <c r="O238" s="10"/>
      <c r="P238" s="10"/>
    </row>
    <row r="239" spans="6:16" ht="13">
      <c r="F239" s="9"/>
      <c r="O239" s="10"/>
      <c r="P239" s="10"/>
    </row>
    <row r="240" spans="6:16" ht="13">
      <c r="F240" s="9"/>
      <c r="O240" s="10"/>
      <c r="P240" s="10"/>
    </row>
    <row r="241" spans="6:16" ht="13">
      <c r="F241" s="9"/>
      <c r="O241" s="10"/>
      <c r="P241" s="10"/>
    </row>
    <row r="242" spans="6:16" ht="13">
      <c r="F242" s="9"/>
      <c r="O242" s="10"/>
      <c r="P242" s="10"/>
    </row>
    <row r="243" spans="6:16" ht="13">
      <c r="F243" s="9"/>
      <c r="O243" s="10"/>
      <c r="P243" s="10"/>
    </row>
    <row r="244" spans="6:16" ht="13">
      <c r="F244" s="9"/>
      <c r="O244" s="10"/>
      <c r="P244" s="10"/>
    </row>
    <row r="245" spans="6:16" ht="13">
      <c r="F245" s="9"/>
      <c r="O245" s="10"/>
      <c r="P245" s="10"/>
    </row>
    <row r="246" spans="6:16" ht="13">
      <c r="F246" s="9"/>
      <c r="O246" s="10"/>
      <c r="P246" s="10"/>
    </row>
    <row r="247" spans="6:16" ht="13">
      <c r="F247" s="9"/>
      <c r="O247" s="10"/>
      <c r="P247" s="10"/>
    </row>
    <row r="248" spans="6:16" ht="13">
      <c r="F248" s="9"/>
      <c r="O248" s="10"/>
      <c r="P248" s="10"/>
    </row>
    <row r="249" spans="6:16" ht="13">
      <c r="F249" s="9"/>
      <c r="O249" s="10"/>
      <c r="P249" s="10"/>
    </row>
    <row r="250" spans="6:16" ht="13">
      <c r="F250" s="9"/>
      <c r="O250" s="10"/>
      <c r="P250" s="10"/>
    </row>
    <row r="251" spans="6:16" ht="13">
      <c r="F251" s="9"/>
      <c r="O251" s="10"/>
      <c r="P251" s="10"/>
    </row>
    <row r="252" spans="6:16" ht="13">
      <c r="F252" s="9"/>
      <c r="O252" s="10"/>
      <c r="P252" s="10"/>
    </row>
    <row r="253" spans="6:16" ht="13">
      <c r="F253" s="9"/>
      <c r="O253" s="10"/>
      <c r="P253" s="10"/>
    </row>
    <row r="254" spans="6:16" ht="13">
      <c r="F254" s="9"/>
      <c r="O254" s="10"/>
      <c r="P254" s="10"/>
    </row>
    <row r="255" spans="6:16" ht="13">
      <c r="F255" s="9"/>
      <c r="O255" s="10"/>
      <c r="P255" s="10"/>
    </row>
    <row r="256" spans="6:16" ht="13">
      <c r="F256" s="9"/>
      <c r="O256" s="10"/>
      <c r="P256" s="10"/>
    </row>
    <row r="257" spans="6:16" ht="13">
      <c r="F257" s="9"/>
      <c r="O257" s="10"/>
      <c r="P257" s="10"/>
    </row>
    <row r="258" spans="6:16" ht="13">
      <c r="F258" s="9"/>
      <c r="O258" s="10"/>
      <c r="P258" s="10"/>
    </row>
    <row r="259" spans="6:16" ht="13">
      <c r="F259" s="9"/>
      <c r="O259" s="10"/>
      <c r="P259" s="10"/>
    </row>
    <row r="260" spans="6:16" ht="13">
      <c r="F260" s="9"/>
      <c r="O260" s="10"/>
      <c r="P260" s="10"/>
    </row>
    <row r="261" spans="6:16" ht="13">
      <c r="F261" s="9"/>
      <c r="O261" s="10"/>
      <c r="P261" s="10"/>
    </row>
    <row r="262" spans="6:16" ht="13">
      <c r="F262" s="9"/>
      <c r="O262" s="10"/>
      <c r="P262" s="10"/>
    </row>
    <row r="263" spans="6:16" ht="13">
      <c r="F263" s="9"/>
      <c r="O263" s="10"/>
      <c r="P263" s="10"/>
    </row>
    <row r="264" spans="6:16" ht="13">
      <c r="F264" s="9"/>
      <c r="O264" s="10"/>
      <c r="P264" s="10"/>
    </row>
    <row r="265" spans="6:16" ht="13">
      <c r="F265" s="9"/>
      <c r="O265" s="10"/>
      <c r="P265" s="10"/>
    </row>
    <row r="266" spans="6:16" ht="13">
      <c r="F266" s="9"/>
      <c r="O266" s="10"/>
      <c r="P266" s="10"/>
    </row>
    <row r="267" spans="6:16" ht="13">
      <c r="F267" s="9"/>
      <c r="O267" s="10"/>
      <c r="P267" s="10"/>
    </row>
    <row r="268" spans="6:16" ht="13">
      <c r="F268" s="9"/>
      <c r="O268" s="10"/>
      <c r="P268" s="10"/>
    </row>
    <row r="269" spans="6:16" ht="13">
      <c r="F269" s="9"/>
      <c r="O269" s="10"/>
      <c r="P269" s="10"/>
    </row>
    <row r="270" spans="6:16" ht="13">
      <c r="F270" s="9"/>
      <c r="O270" s="10"/>
      <c r="P270" s="10"/>
    </row>
    <row r="271" spans="6:16" ht="13">
      <c r="F271" s="9"/>
      <c r="O271" s="10"/>
      <c r="P271" s="10"/>
    </row>
    <row r="272" spans="6:16" ht="13">
      <c r="F272" s="9"/>
      <c r="O272" s="10"/>
      <c r="P272" s="10"/>
    </row>
    <row r="273" spans="6:16" ht="13">
      <c r="F273" s="9"/>
      <c r="O273" s="10"/>
      <c r="P273" s="10"/>
    </row>
    <row r="274" spans="6:16" ht="13">
      <c r="F274" s="9"/>
      <c r="O274" s="10"/>
      <c r="P274" s="10"/>
    </row>
    <row r="275" spans="6:16" ht="13">
      <c r="F275" s="9"/>
      <c r="O275" s="10"/>
      <c r="P275" s="10"/>
    </row>
    <row r="276" spans="6:16" ht="13">
      <c r="F276" s="9"/>
      <c r="O276" s="10"/>
      <c r="P276" s="10"/>
    </row>
    <row r="277" spans="6:16" ht="13">
      <c r="F277" s="9"/>
      <c r="O277" s="10"/>
      <c r="P277" s="10"/>
    </row>
    <row r="278" spans="6:16" ht="13">
      <c r="F278" s="9"/>
      <c r="O278" s="10"/>
      <c r="P278" s="10"/>
    </row>
    <row r="279" spans="6:16" ht="13">
      <c r="F279" s="9"/>
      <c r="O279" s="10"/>
      <c r="P279" s="10"/>
    </row>
    <row r="280" spans="6:16" ht="13">
      <c r="F280" s="9"/>
      <c r="O280" s="10"/>
      <c r="P280" s="10"/>
    </row>
    <row r="281" spans="6:16" ht="13">
      <c r="F281" s="9"/>
      <c r="O281" s="10"/>
      <c r="P281" s="10"/>
    </row>
    <row r="282" spans="6:16" ht="13">
      <c r="F282" s="9"/>
      <c r="O282" s="10"/>
      <c r="P282" s="10"/>
    </row>
    <row r="283" spans="6:16" ht="13">
      <c r="F283" s="9"/>
      <c r="O283" s="10"/>
      <c r="P283" s="10"/>
    </row>
    <row r="284" spans="6:16" ht="13">
      <c r="F284" s="9"/>
      <c r="O284" s="10"/>
      <c r="P284" s="10"/>
    </row>
    <row r="285" spans="6:16" ht="13">
      <c r="F285" s="9"/>
      <c r="O285" s="10"/>
      <c r="P285" s="10"/>
    </row>
    <row r="286" spans="6:16" ht="13">
      <c r="F286" s="9"/>
      <c r="O286" s="10"/>
      <c r="P286" s="10"/>
    </row>
    <row r="287" spans="6:16" ht="13">
      <c r="F287" s="9"/>
      <c r="O287" s="10"/>
      <c r="P287" s="10"/>
    </row>
    <row r="288" spans="6:16" ht="13">
      <c r="F288" s="9"/>
      <c r="O288" s="10"/>
      <c r="P288" s="10"/>
    </row>
    <row r="289" spans="6:16" ht="13">
      <c r="F289" s="9"/>
      <c r="O289" s="10"/>
      <c r="P289" s="10"/>
    </row>
    <row r="290" spans="6:16" ht="13">
      <c r="F290" s="9"/>
      <c r="O290" s="10"/>
      <c r="P290" s="10"/>
    </row>
    <row r="291" spans="6:16" ht="13">
      <c r="F291" s="9"/>
      <c r="O291" s="10"/>
      <c r="P291" s="10"/>
    </row>
    <row r="292" spans="6:16" ht="13">
      <c r="F292" s="9"/>
      <c r="O292" s="10"/>
      <c r="P292" s="10"/>
    </row>
    <row r="293" spans="6:16" ht="13">
      <c r="F293" s="9"/>
      <c r="O293" s="10"/>
      <c r="P293" s="10"/>
    </row>
    <row r="294" spans="6:16" ht="13">
      <c r="F294" s="9"/>
      <c r="O294" s="10"/>
      <c r="P294" s="10"/>
    </row>
    <row r="295" spans="6:16" ht="13">
      <c r="F295" s="9"/>
      <c r="O295" s="10"/>
      <c r="P295" s="10"/>
    </row>
    <row r="296" spans="6:16" ht="13">
      <c r="F296" s="9"/>
      <c r="O296" s="10"/>
      <c r="P296" s="10"/>
    </row>
    <row r="297" spans="6:16" ht="13">
      <c r="F297" s="9"/>
      <c r="O297" s="10"/>
      <c r="P297" s="10"/>
    </row>
    <row r="298" spans="6:16" ht="13">
      <c r="F298" s="9"/>
      <c r="O298" s="10"/>
      <c r="P298" s="10"/>
    </row>
    <row r="299" spans="6:16" ht="13">
      <c r="F299" s="9"/>
      <c r="O299" s="10"/>
      <c r="P299" s="10"/>
    </row>
    <row r="300" spans="6:16" ht="13">
      <c r="F300" s="9"/>
      <c r="O300" s="10"/>
      <c r="P300" s="10"/>
    </row>
    <row r="301" spans="6:16" ht="13">
      <c r="F301" s="9"/>
      <c r="O301" s="10"/>
      <c r="P301" s="10"/>
    </row>
    <row r="302" spans="6:16" ht="13">
      <c r="F302" s="9"/>
      <c r="O302" s="10"/>
      <c r="P302" s="10"/>
    </row>
    <row r="303" spans="6:16" ht="13">
      <c r="F303" s="9"/>
      <c r="O303" s="10"/>
      <c r="P303" s="10"/>
    </row>
    <row r="304" spans="6:16" ht="13">
      <c r="F304" s="9"/>
      <c r="O304" s="10"/>
      <c r="P304" s="10"/>
    </row>
    <row r="305" spans="6:16" ht="13">
      <c r="F305" s="9"/>
      <c r="O305" s="10"/>
      <c r="P305" s="10"/>
    </row>
    <row r="306" spans="6:16" ht="13">
      <c r="F306" s="9"/>
      <c r="O306" s="10"/>
      <c r="P306" s="10"/>
    </row>
    <row r="307" spans="6:16" ht="13">
      <c r="F307" s="9"/>
      <c r="O307" s="10"/>
      <c r="P307" s="10"/>
    </row>
    <row r="308" spans="6:16" ht="13">
      <c r="F308" s="9"/>
      <c r="O308" s="10"/>
      <c r="P308" s="10"/>
    </row>
    <row r="309" spans="6:16" ht="13">
      <c r="F309" s="9"/>
      <c r="O309" s="10"/>
      <c r="P309" s="10"/>
    </row>
    <row r="310" spans="6:16" ht="13">
      <c r="F310" s="9"/>
      <c r="O310" s="10"/>
      <c r="P310" s="10"/>
    </row>
    <row r="311" spans="6:16" ht="13">
      <c r="F311" s="9"/>
      <c r="O311" s="10"/>
      <c r="P311" s="10"/>
    </row>
    <row r="312" spans="6:16" ht="13">
      <c r="F312" s="9"/>
      <c r="O312" s="10"/>
      <c r="P312" s="10"/>
    </row>
    <row r="313" spans="6:16" ht="13">
      <c r="F313" s="9"/>
      <c r="O313" s="10"/>
      <c r="P313" s="10"/>
    </row>
    <row r="314" spans="6:16" ht="13">
      <c r="F314" s="9"/>
      <c r="O314" s="10"/>
      <c r="P314" s="10"/>
    </row>
    <row r="315" spans="6:16" ht="13">
      <c r="F315" s="9"/>
      <c r="O315" s="10"/>
      <c r="P315" s="10"/>
    </row>
    <row r="316" spans="6:16" ht="13">
      <c r="F316" s="9"/>
      <c r="O316" s="10"/>
      <c r="P316" s="10"/>
    </row>
    <row r="317" spans="6:16" ht="13">
      <c r="F317" s="9"/>
      <c r="O317" s="10"/>
      <c r="P317" s="10"/>
    </row>
    <row r="318" spans="6:16" ht="13">
      <c r="F318" s="9"/>
      <c r="O318" s="10"/>
      <c r="P318" s="10"/>
    </row>
    <row r="319" spans="6:16" ht="13">
      <c r="F319" s="9"/>
      <c r="O319" s="10"/>
      <c r="P319" s="10"/>
    </row>
    <row r="320" spans="6:16" ht="13">
      <c r="F320" s="9"/>
      <c r="O320" s="10"/>
      <c r="P320" s="10"/>
    </row>
    <row r="321" spans="6:16" ht="13">
      <c r="F321" s="9"/>
      <c r="O321" s="10"/>
      <c r="P321" s="10"/>
    </row>
    <row r="322" spans="6:16" ht="13">
      <c r="F322" s="9"/>
      <c r="O322" s="10"/>
      <c r="P322" s="10"/>
    </row>
    <row r="323" spans="6:16" ht="13">
      <c r="F323" s="9"/>
      <c r="O323" s="10"/>
      <c r="P323" s="10"/>
    </row>
    <row r="324" spans="6:16" ht="13">
      <c r="F324" s="9"/>
      <c r="O324" s="10"/>
      <c r="P324" s="10"/>
    </row>
    <row r="325" spans="6:16" ht="13">
      <c r="F325" s="9"/>
      <c r="O325" s="10"/>
      <c r="P325" s="10"/>
    </row>
    <row r="326" spans="6:16" ht="13">
      <c r="F326" s="9"/>
      <c r="O326" s="10"/>
      <c r="P326" s="10"/>
    </row>
    <row r="327" spans="6:16" ht="13">
      <c r="F327" s="9"/>
      <c r="O327" s="10"/>
      <c r="P327" s="10"/>
    </row>
    <row r="328" spans="6:16" ht="13">
      <c r="F328" s="9"/>
      <c r="O328" s="10"/>
      <c r="P328" s="10"/>
    </row>
    <row r="329" spans="6:16" ht="13">
      <c r="F329" s="9"/>
      <c r="O329" s="10"/>
      <c r="P329" s="10"/>
    </row>
    <row r="330" spans="6:16" ht="13">
      <c r="F330" s="9"/>
      <c r="O330" s="10"/>
      <c r="P330" s="10"/>
    </row>
    <row r="331" spans="6:16" ht="13">
      <c r="F331" s="9"/>
      <c r="O331" s="10"/>
      <c r="P331" s="10"/>
    </row>
    <row r="332" spans="6:16" ht="13">
      <c r="F332" s="9"/>
      <c r="O332" s="10"/>
      <c r="P332" s="10"/>
    </row>
    <row r="333" spans="6:16" ht="13">
      <c r="F333" s="9"/>
      <c r="O333" s="10"/>
      <c r="P333" s="10"/>
    </row>
    <row r="334" spans="6:16" ht="13">
      <c r="F334" s="9"/>
      <c r="O334" s="10"/>
      <c r="P334" s="10"/>
    </row>
    <row r="335" spans="6:16" ht="13">
      <c r="F335" s="9"/>
      <c r="O335" s="10"/>
      <c r="P335" s="10"/>
    </row>
    <row r="336" spans="6:16" ht="13">
      <c r="F336" s="9"/>
      <c r="O336" s="10"/>
      <c r="P336" s="10"/>
    </row>
    <row r="337" spans="6:16" ht="13">
      <c r="F337" s="9"/>
      <c r="O337" s="10"/>
      <c r="P337" s="10"/>
    </row>
    <row r="338" spans="6:16" ht="13">
      <c r="F338" s="9"/>
      <c r="O338" s="10"/>
      <c r="P338" s="10"/>
    </row>
    <row r="339" spans="6:16" ht="13">
      <c r="F339" s="9"/>
      <c r="O339" s="10"/>
      <c r="P339" s="10"/>
    </row>
    <row r="340" spans="6:16" ht="13">
      <c r="F340" s="9"/>
      <c r="O340" s="10"/>
      <c r="P340" s="10"/>
    </row>
    <row r="341" spans="6:16" ht="13">
      <c r="F341" s="9"/>
      <c r="O341" s="10"/>
      <c r="P341" s="10"/>
    </row>
    <row r="342" spans="6:16" ht="13">
      <c r="F342" s="9"/>
      <c r="O342" s="10"/>
      <c r="P342" s="10"/>
    </row>
    <row r="343" spans="6:16" ht="13">
      <c r="F343" s="9"/>
      <c r="O343" s="10"/>
      <c r="P343" s="10"/>
    </row>
    <row r="344" spans="6:16" ht="13">
      <c r="F344" s="9"/>
      <c r="O344" s="10"/>
      <c r="P344" s="10"/>
    </row>
    <row r="345" spans="6:16" ht="13">
      <c r="F345" s="9"/>
      <c r="O345" s="10"/>
      <c r="P345" s="10"/>
    </row>
    <row r="346" spans="6:16" ht="13">
      <c r="F346" s="9"/>
      <c r="O346" s="10"/>
      <c r="P346" s="10"/>
    </row>
    <row r="347" spans="6:16" ht="13">
      <c r="F347" s="9"/>
      <c r="O347" s="10"/>
      <c r="P347" s="10"/>
    </row>
    <row r="348" spans="6:16" ht="13">
      <c r="F348" s="9"/>
      <c r="O348" s="10"/>
      <c r="P348" s="10"/>
    </row>
    <row r="349" spans="6:16" ht="13">
      <c r="F349" s="9"/>
      <c r="O349" s="10"/>
      <c r="P349" s="10"/>
    </row>
    <row r="350" spans="6:16" ht="13">
      <c r="F350" s="9"/>
      <c r="O350" s="10"/>
      <c r="P350" s="10"/>
    </row>
    <row r="351" spans="6:16" ht="13">
      <c r="F351" s="9"/>
      <c r="O351" s="10"/>
      <c r="P351" s="10"/>
    </row>
    <row r="352" spans="6:16" ht="13">
      <c r="F352" s="9"/>
      <c r="O352" s="10"/>
      <c r="P352" s="10"/>
    </row>
    <row r="353" spans="6:16" ht="13">
      <c r="F353" s="9"/>
      <c r="O353" s="10"/>
      <c r="P353" s="10"/>
    </row>
    <row r="354" spans="6:16" ht="13">
      <c r="F354" s="9"/>
      <c r="O354" s="10"/>
      <c r="P354" s="10"/>
    </row>
    <row r="355" spans="6:16" ht="13">
      <c r="F355" s="9"/>
      <c r="O355" s="10"/>
      <c r="P355" s="10"/>
    </row>
    <row r="356" spans="6:16" ht="13">
      <c r="F356" s="9"/>
      <c r="O356" s="10"/>
      <c r="P356" s="10"/>
    </row>
    <row r="357" spans="6:16" ht="13">
      <c r="F357" s="9"/>
      <c r="O357" s="10"/>
      <c r="P357" s="10"/>
    </row>
    <row r="358" spans="6:16" ht="13">
      <c r="F358" s="9"/>
      <c r="O358" s="10"/>
      <c r="P358" s="10"/>
    </row>
    <row r="359" spans="6:16" ht="13">
      <c r="F359" s="9"/>
      <c r="O359" s="10"/>
      <c r="P359" s="10"/>
    </row>
    <row r="360" spans="6:16" ht="13">
      <c r="F360" s="9"/>
      <c r="O360" s="10"/>
      <c r="P360" s="10"/>
    </row>
    <row r="361" spans="6:16" ht="13">
      <c r="F361" s="9"/>
      <c r="O361" s="10"/>
      <c r="P361" s="10"/>
    </row>
    <row r="362" spans="6:16" ht="13">
      <c r="F362" s="9"/>
      <c r="O362" s="10"/>
      <c r="P362" s="10"/>
    </row>
    <row r="363" spans="6:16" ht="13">
      <c r="F363" s="9"/>
      <c r="O363" s="10"/>
      <c r="P363" s="10"/>
    </row>
    <row r="364" spans="6:16" ht="13">
      <c r="F364" s="9"/>
      <c r="O364" s="10"/>
      <c r="P364" s="10"/>
    </row>
    <row r="365" spans="6:16" ht="13">
      <c r="F365" s="9"/>
      <c r="O365" s="10"/>
      <c r="P365" s="10"/>
    </row>
    <row r="366" spans="6:16" ht="13">
      <c r="F366" s="9"/>
      <c r="O366" s="10"/>
      <c r="P366" s="10"/>
    </row>
    <row r="367" spans="6:16" ht="13">
      <c r="F367" s="9"/>
      <c r="O367" s="10"/>
      <c r="P367" s="10"/>
    </row>
    <row r="368" spans="6:16" ht="13">
      <c r="F368" s="9"/>
      <c r="O368" s="10"/>
      <c r="P368" s="10"/>
    </row>
    <row r="369" spans="6:16" ht="13">
      <c r="F369" s="9"/>
      <c r="O369" s="10"/>
      <c r="P369" s="10"/>
    </row>
    <row r="370" spans="6:16" ht="13">
      <c r="F370" s="9"/>
      <c r="O370" s="10"/>
      <c r="P370" s="10"/>
    </row>
    <row r="371" spans="6:16" ht="13">
      <c r="F371" s="9"/>
      <c r="O371" s="10"/>
      <c r="P371" s="10"/>
    </row>
    <row r="372" spans="6:16" ht="13">
      <c r="F372" s="9"/>
      <c r="O372" s="10"/>
      <c r="P372" s="10"/>
    </row>
    <row r="373" spans="6:16" ht="13">
      <c r="F373" s="9"/>
      <c r="O373" s="10"/>
      <c r="P373" s="10"/>
    </row>
    <row r="374" spans="6:16" ht="13">
      <c r="F374" s="9"/>
      <c r="O374" s="10"/>
      <c r="P374" s="10"/>
    </row>
    <row r="375" spans="6:16" ht="13">
      <c r="F375" s="9"/>
      <c r="O375" s="10"/>
      <c r="P375" s="10"/>
    </row>
    <row r="376" spans="6:16" ht="13">
      <c r="F376" s="9"/>
      <c r="O376" s="10"/>
      <c r="P376" s="10"/>
    </row>
    <row r="377" spans="6:16" ht="13">
      <c r="F377" s="9"/>
      <c r="O377" s="10"/>
      <c r="P377" s="10"/>
    </row>
    <row r="378" spans="6:16" ht="13">
      <c r="F378" s="9"/>
      <c r="O378" s="10"/>
      <c r="P378" s="10"/>
    </row>
    <row r="379" spans="6:16" ht="13">
      <c r="F379" s="9"/>
      <c r="O379" s="10"/>
      <c r="P379" s="10"/>
    </row>
    <row r="380" spans="6:16" ht="13">
      <c r="F380" s="9"/>
      <c r="O380" s="10"/>
      <c r="P380" s="10"/>
    </row>
    <row r="381" spans="6:16" ht="13">
      <c r="F381" s="9"/>
      <c r="O381" s="10"/>
      <c r="P381" s="10"/>
    </row>
    <row r="382" spans="6:16" ht="13">
      <c r="F382" s="9"/>
      <c r="O382" s="10"/>
      <c r="P382" s="10"/>
    </row>
    <row r="383" spans="6:16" ht="13">
      <c r="F383" s="9"/>
      <c r="O383" s="10"/>
      <c r="P383" s="10"/>
    </row>
    <row r="384" spans="6:16" ht="13">
      <c r="F384" s="9"/>
      <c r="O384" s="10"/>
      <c r="P384" s="10"/>
    </row>
    <row r="385" spans="6:16" ht="13">
      <c r="F385" s="9"/>
      <c r="O385" s="10"/>
      <c r="P385" s="10"/>
    </row>
    <row r="386" spans="6:16" ht="13">
      <c r="F386" s="9"/>
      <c r="O386" s="10"/>
      <c r="P386" s="10"/>
    </row>
    <row r="387" spans="6:16" ht="13">
      <c r="F387" s="9"/>
      <c r="O387" s="10"/>
      <c r="P387" s="10"/>
    </row>
    <row r="388" spans="6:16" ht="13">
      <c r="F388" s="9"/>
      <c r="O388" s="10"/>
      <c r="P388" s="10"/>
    </row>
    <row r="389" spans="6:16" ht="13">
      <c r="F389" s="9"/>
      <c r="O389" s="10"/>
      <c r="P389" s="10"/>
    </row>
    <row r="390" spans="6:16" ht="13">
      <c r="F390" s="9"/>
      <c r="O390" s="10"/>
      <c r="P390" s="10"/>
    </row>
    <row r="391" spans="6:16" ht="13">
      <c r="F391" s="9"/>
      <c r="O391" s="10"/>
      <c r="P391" s="10"/>
    </row>
    <row r="392" spans="6:16" ht="13">
      <c r="F392" s="9"/>
      <c r="O392" s="10"/>
      <c r="P392" s="10"/>
    </row>
    <row r="393" spans="6:16" ht="13">
      <c r="F393" s="9"/>
      <c r="O393" s="10"/>
      <c r="P393" s="10"/>
    </row>
    <row r="394" spans="6:16" ht="13">
      <c r="F394" s="9"/>
      <c r="O394" s="10"/>
      <c r="P394" s="10"/>
    </row>
    <row r="395" spans="6:16" ht="13">
      <c r="F395" s="9"/>
      <c r="O395" s="10"/>
      <c r="P395" s="10"/>
    </row>
    <row r="396" spans="6:16" ht="13">
      <c r="F396" s="9"/>
      <c r="O396" s="10"/>
      <c r="P396" s="10"/>
    </row>
    <row r="397" spans="6:16" ht="13">
      <c r="F397" s="9"/>
      <c r="O397" s="10"/>
      <c r="P397" s="10"/>
    </row>
    <row r="398" spans="6:16" ht="13">
      <c r="F398" s="9"/>
      <c r="O398" s="10"/>
      <c r="P398" s="10"/>
    </row>
    <row r="399" spans="6:16" ht="13">
      <c r="F399" s="9"/>
      <c r="O399" s="10"/>
      <c r="P399" s="10"/>
    </row>
    <row r="400" spans="6:16" ht="13">
      <c r="F400" s="9"/>
      <c r="O400" s="10"/>
      <c r="P400" s="10"/>
    </row>
    <row r="401" spans="6:16" ht="13">
      <c r="F401" s="9"/>
      <c r="O401" s="10"/>
      <c r="P401" s="10"/>
    </row>
    <row r="402" spans="6:16" ht="13">
      <c r="F402" s="9"/>
      <c r="O402" s="10"/>
      <c r="P402" s="10"/>
    </row>
    <row r="403" spans="6:16" ht="13">
      <c r="F403" s="9"/>
      <c r="O403" s="10"/>
      <c r="P403" s="10"/>
    </row>
    <row r="404" spans="6:16" ht="13">
      <c r="F404" s="9"/>
      <c r="O404" s="10"/>
      <c r="P404" s="10"/>
    </row>
    <row r="405" spans="6:16" ht="13">
      <c r="F405" s="9"/>
      <c r="O405" s="10"/>
      <c r="P405" s="10"/>
    </row>
    <row r="406" spans="6:16" ht="13">
      <c r="F406" s="9"/>
      <c r="O406" s="10"/>
      <c r="P406" s="10"/>
    </row>
    <row r="407" spans="6:16" ht="13">
      <c r="F407" s="9"/>
      <c r="O407" s="10"/>
      <c r="P407" s="10"/>
    </row>
    <row r="408" spans="6:16" ht="13">
      <c r="F408" s="9"/>
      <c r="O408" s="10"/>
      <c r="P408" s="10"/>
    </row>
    <row r="409" spans="6:16" ht="13">
      <c r="F409" s="9"/>
      <c r="O409" s="10"/>
      <c r="P409" s="10"/>
    </row>
    <row r="410" spans="6:16" ht="13">
      <c r="F410" s="9"/>
      <c r="O410" s="10"/>
      <c r="P410" s="10"/>
    </row>
    <row r="411" spans="6:16" ht="13">
      <c r="F411" s="9"/>
      <c r="O411" s="10"/>
      <c r="P411" s="10"/>
    </row>
    <row r="412" spans="6:16" ht="13">
      <c r="F412" s="9"/>
      <c r="O412" s="10"/>
      <c r="P412" s="10"/>
    </row>
    <row r="413" spans="6:16" ht="13">
      <c r="F413" s="9"/>
      <c r="O413" s="10"/>
      <c r="P413" s="10"/>
    </row>
    <row r="414" spans="6:16" ht="13">
      <c r="F414" s="9"/>
      <c r="O414" s="10"/>
      <c r="P414" s="10"/>
    </row>
    <row r="415" spans="6:16" ht="13">
      <c r="F415" s="9"/>
      <c r="O415" s="10"/>
      <c r="P415" s="10"/>
    </row>
    <row r="416" spans="6:16" ht="13">
      <c r="F416" s="9"/>
      <c r="O416" s="10"/>
      <c r="P416" s="10"/>
    </row>
    <row r="417" spans="6:16" ht="13">
      <c r="F417" s="9"/>
      <c r="O417" s="10"/>
      <c r="P417" s="10"/>
    </row>
    <row r="418" spans="6:16" ht="13">
      <c r="F418" s="9"/>
      <c r="O418" s="10"/>
      <c r="P418" s="10"/>
    </row>
    <row r="419" spans="6:16" ht="13">
      <c r="F419" s="9"/>
      <c r="O419" s="10"/>
      <c r="P419" s="10"/>
    </row>
    <row r="420" spans="6:16" ht="13">
      <c r="F420" s="9"/>
      <c r="O420" s="10"/>
      <c r="P420" s="10"/>
    </row>
    <row r="421" spans="6:16" ht="13">
      <c r="F421" s="9"/>
      <c r="O421" s="10"/>
      <c r="P421" s="10"/>
    </row>
    <row r="422" spans="6:16" ht="13">
      <c r="F422" s="9"/>
      <c r="O422" s="10"/>
      <c r="P422" s="10"/>
    </row>
    <row r="423" spans="6:16" ht="13">
      <c r="F423" s="9"/>
      <c r="O423" s="10"/>
      <c r="P423" s="10"/>
    </row>
    <row r="424" spans="6:16" ht="13">
      <c r="F424" s="9"/>
      <c r="O424" s="10"/>
      <c r="P424" s="10"/>
    </row>
    <row r="425" spans="6:16" ht="13">
      <c r="F425" s="9"/>
      <c r="O425" s="10"/>
      <c r="P425" s="10"/>
    </row>
    <row r="426" spans="6:16" ht="13">
      <c r="F426" s="9"/>
      <c r="O426" s="10"/>
      <c r="P426" s="10"/>
    </row>
    <row r="427" spans="6:16" ht="13">
      <c r="F427" s="9"/>
      <c r="O427" s="10"/>
      <c r="P427" s="10"/>
    </row>
    <row r="428" spans="6:16" ht="13">
      <c r="F428" s="9"/>
      <c r="O428" s="10"/>
      <c r="P428" s="10"/>
    </row>
    <row r="429" spans="6:16" ht="13">
      <c r="F429" s="9"/>
      <c r="O429" s="10"/>
      <c r="P429" s="10"/>
    </row>
    <row r="430" spans="6:16" ht="13">
      <c r="F430" s="9"/>
      <c r="O430" s="10"/>
      <c r="P430" s="10"/>
    </row>
    <row r="431" spans="6:16" ht="13">
      <c r="F431" s="9"/>
      <c r="O431" s="10"/>
      <c r="P431" s="10"/>
    </row>
    <row r="432" spans="6:16" ht="13">
      <c r="F432" s="9"/>
      <c r="O432" s="10"/>
      <c r="P432" s="10"/>
    </row>
    <row r="433" spans="6:16" ht="13">
      <c r="F433" s="9"/>
      <c r="O433" s="10"/>
      <c r="P433" s="10"/>
    </row>
    <row r="434" spans="6:16" ht="13">
      <c r="F434" s="9"/>
      <c r="O434" s="10"/>
      <c r="P434" s="10"/>
    </row>
    <row r="435" spans="6:16" ht="13">
      <c r="F435" s="9"/>
      <c r="O435" s="10"/>
      <c r="P435" s="10"/>
    </row>
    <row r="436" spans="6:16" ht="13">
      <c r="F436" s="9"/>
      <c r="O436" s="10"/>
      <c r="P436" s="10"/>
    </row>
    <row r="437" spans="6:16" ht="13">
      <c r="F437" s="9"/>
      <c r="O437" s="10"/>
      <c r="P437" s="10"/>
    </row>
    <row r="438" spans="6:16" ht="13">
      <c r="F438" s="9"/>
      <c r="O438" s="10"/>
      <c r="P438" s="10"/>
    </row>
    <row r="439" spans="6:16" ht="13">
      <c r="F439" s="9"/>
      <c r="O439" s="10"/>
      <c r="P439" s="10"/>
    </row>
    <row r="440" spans="6:16" ht="13">
      <c r="F440" s="9"/>
      <c r="O440" s="10"/>
      <c r="P440" s="10"/>
    </row>
    <row r="441" spans="6:16" ht="13">
      <c r="F441" s="9"/>
      <c r="O441" s="10"/>
      <c r="P441" s="10"/>
    </row>
    <row r="442" spans="6:16" ht="13">
      <c r="F442" s="9"/>
      <c r="O442" s="10"/>
      <c r="P442" s="10"/>
    </row>
    <row r="443" spans="6:16" ht="13">
      <c r="F443" s="9"/>
      <c r="O443" s="10"/>
      <c r="P443" s="10"/>
    </row>
    <row r="444" spans="6:16" ht="13">
      <c r="F444" s="9"/>
      <c r="O444" s="10"/>
      <c r="P444" s="10"/>
    </row>
    <row r="445" spans="6:16" ht="13">
      <c r="F445" s="9"/>
      <c r="O445" s="10"/>
      <c r="P445" s="10"/>
    </row>
    <row r="446" spans="6:16" ht="13">
      <c r="F446" s="9"/>
      <c r="O446" s="10"/>
      <c r="P446" s="10"/>
    </row>
    <row r="447" spans="6:16" ht="13">
      <c r="F447" s="9"/>
      <c r="O447" s="10"/>
      <c r="P447" s="10"/>
    </row>
    <row r="448" spans="6:16" ht="13">
      <c r="F448" s="9"/>
      <c r="O448" s="10"/>
      <c r="P448" s="10"/>
    </row>
    <row r="449" spans="6:16" ht="13">
      <c r="F449" s="9"/>
      <c r="O449" s="10"/>
      <c r="P449" s="10"/>
    </row>
    <row r="450" spans="6:16" ht="13">
      <c r="F450" s="9"/>
      <c r="O450" s="10"/>
      <c r="P450" s="10"/>
    </row>
    <row r="451" spans="6:16" ht="13">
      <c r="F451" s="9"/>
      <c r="O451" s="10"/>
      <c r="P451" s="10"/>
    </row>
    <row r="452" spans="6:16" ht="13">
      <c r="F452" s="9"/>
      <c r="O452" s="10"/>
      <c r="P452" s="10"/>
    </row>
    <row r="453" spans="6:16" ht="13">
      <c r="F453" s="9"/>
      <c r="O453" s="10"/>
      <c r="P453" s="10"/>
    </row>
    <row r="454" spans="6:16" ht="13">
      <c r="F454" s="9"/>
      <c r="O454" s="10"/>
      <c r="P454" s="10"/>
    </row>
    <row r="455" spans="6:16" ht="13">
      <c r="F455" s="9"/>
      <c r="O455" s="10"/>
      <c r="P455" s="10"/>
    </row>
    <row r="456" spans="6:16" ht="13">
      <c r="F456" s="9"/>
      <c r="O456" s="10"/>
      <c r="P456" s="10"/>
    </row>
    <row r="457" spans="6:16" ht="13">
      <c r="F457" s="9"/>
      <c r="O457" s="10"/>
      <c r="P457" s="10"/>
    </row>
    <row r="458" spans="6:16" ht="13">
      <c r="F458" s="9"/>
      <c r="O458" s="10"/>
      <c r="P458" s="10"/>
    </row>
    <row r="459" spans="6:16" ht="13">
      <c r="F459" s="9"/>
      <c r="O459" s="10"/>
      <c r="P459" s="10"/>
    </row>
    <row r="460" spans="6:16" ht="13">
      <c r="F460" s="9"/>
      <c r="O460" s="10"/>
      <c r="P460" s="10"/>
    </row>
    <row r="461" spans="6:16" ht="13">
      <c r="F461" s="9"/>
      <c r="O461" s="10"/>
      <c r="P461" s="10"/>
    </row>
    <row r="462" spans="6:16" ht="13">
      <c r="F462" s="9"/>
      <c r="O462" s="10"/>
      <c r="P462" s="10"/>
    </row>
    <row r="463" spans="6:16" ht="13">
      <c r="F463" s="9"/>
      <c r="O463" s="10"/>
      <c r="P463" s="10"/>
    </row>
    <row r="464" spans="6:16" ht="13">
      <c r="F464" s="9"/>
      <c r="O464" s="10"/>
      <c r="P464" s="10"/>
    </row>
    <row r="465" spans="6:16" ht="13">
      <c r="F465" s="9"/>
      <c r="O465" s="10"/>
      <c r="P465" s="10"/>
    </row>
    <row r="466" spans="6:16" ht="13">
      <c r="F466" s="9"/>
      <c r="O466" s="10"/>
      <c r="P466" s="10"/>
    </row>
    <row r="467" spans="6:16" ht="13">
      <c r="F467" s="9"/>
      <c r="O467" s="10"/>
      <c r="P467" s="10"/>
    </row>
    <row r="468" spans="6:16" ht="13">
      <c r="F468" s="9"/>
      <c r="O468" s="10"/>
      <c r="P468" s="10"/>
    </row>
    <row r="469" spans="6:16" ht="13">
      <c r="F469" s="9"/>
      <c r="O469" s="10"/>
      <c r="P469" s="10"/>
    </row>
    <row r="470" spans="6:16" ht="13">
      <c r="F470" s="9"/>
      <c r="O470" s="10"/>
      <c r="P470" s="10"/>
    </row>
    <row r="471" spans="6:16" ht="13">
      <c r="F471" s="9"/>
      <c r="O471" s="10"/>
      <c r="P471" s="10"/>
    </row>
    <row r="472" spans="6:16" ht="13">
      <c r="F472" s="9"/>
      <c r="O472" s="10"/>
      <c r="P472" s="10"/>
    </row>
    <row r="473" spans="6:16" ht="13">
      <c r="F473" s="9"/>
      <c r="O473" s="10"/>
      <c r="P473" s="10"/>
    </row>
    <row r="474" spans="6:16" ht="13">
      <c r="F474" s="9"/>
      <c r="O474" s="10"/>
      <c r="P474" s="10"/>
    </row>
    <row r="475" spans="6:16" ht="13">
      <c r="F475" s="9"/>
      <c r="O475" s="10"/>
      <c r="P475" s="10"/>
    </row>
    <row r="476" spans="6:16" ht="13">
      <c r="F476" s="9"/>
      <c r="O476" s="10"/>
      <c r="P476" s="10"/>
    </row>
    <row r="477" spans="6:16" ht="13">
      <c r="F477" s="9"/>
      <c r="O477" s="10"/>
      <c r="P477" s="10"/>
    </row>
    <row r="478" spans="6:16" ht="13">
      <c r="F478" s="9"/>
      <c r="O478" s="10"/>
      <c r="P478" s="10"/>
    </row>
    <row r="479" spans="6:16" ht="13">
      <c r="F479" s="9"/>
      <c r="O479" s="10"/>
      <c r="P479" s="10"/>
    </row>
    <row r="480" spans="6:16" ht="13">
      <c r="F480" s="9"/>
      <c r="O480" s="10"/>
      <c r="P480" s="10"/>
    </row>
    <row r="481" spans="6:16" ht="13">
      <c r="F481" s="9"/>
      <c r="O481" s="10"/>
      <c r="P481" s="10"/>
    </row>
    <row r="482" spans="6:16" ht="13">
      <c r="F482" s="9"/>
      <c r="O482" s="10"/>
      <c r="P482" s="10"/>
    </row>
    <row r="483" spans="6:16" ht="13">
      <c r="F483" s="9"/>
      <c r="O483" s="10"/>
      <c r="P483" s="10"/>
    </row>
    <row r="484" spans="6:16" ht="13">
      <c r="F484" s="9"/>
      <c r="O484" s="10"/>
      <c r="P484" s="10"/>
    </row>
    <row r="485" spans="6:16" ht="13">
      <c r="F485" s="9"/>
      <c r="O485" s="10"/>
      <c r="P485" s="10"/>
    </row>
    <row r="486" spans="6:16" ht="13">
      <c r="F486" s="9"/>
      <c r="O486" s="10"/>
      <c r="P486" s="10"/>
    </row>
    <row r="487" spans="6:16" ht="13">
      <c r="F487" s="9"/>
      <c r="O487" s="10"/>
      <c r="P487" s="10"/>
    </row>
    <row r="488" spans="6:16" ht="13">
      <c r="F488" s="9"/>
      <c r="O488" s="10"/>
      <c r="P488" s="10"/>
    </row>
    <row r="489" spans="6:16" ht="13">
      <c r="F489" s="9"/>
      <c r="O489" s="10"/>
      <c r="P489" s="10"/>
    </row>
    <row r="490" spans="6:16" ht="13">
      <c r="F490" s="9"/>
      <c r="O490" s="10"/>
      <c r="P490" s="10"/>
    </row>
    <row r="491" spans="6:16" ht="13">
      <c r="F491" s="9"/>
      <c r="O491" s="10"/>
      <c r="P491" s="10"/>
    </row>
    <row r="492" spans="6:16" ht="13">
      <c r="F492" s="9"/>
      <c r="O492" s="10"/>
      <c r="P492" s="10"/>
    </row>
    <row r="493" spans="6:16" ht="13">
      <c r="F493" s="9"/>
      <c r="O493" s="10"/>
      <c r="P493" s="10"/>
    </row>
    <row r="494" spans="6:16" ht="13">
      <c r="F494" s="9"/>
      <c r="O494" s="10"/>
      <c r="P494" s="10"/>
    </row>
    <row r="495" spans="6:16" ht="13">
      <c r="F495" s="9"/>
      <c r="O495" s="10"/>
      <c r="P495" s="10"/>
    </row>
    <row r="496" spans="6:16" ht="13">
      <c r="F496" s="9"/>
      <c r="O496" s="10"/>
      <c r="P496" s="10"/>
    </row>
    <row r="497" spans="6:16" ht="13">
      <c r="F497" s="9"/>
      <c r="O497" s="10"/>
      <c r="P497" s="10"/>
    </row>
    <row r="498" spans="6:16" ht="13">
      <c r="F498" s="9"/>
      <c r="O498" s="10"/>
      <c r="P498" s="10"/>
    </row>
    <row r="499" spans="6:16" ht="13">
      <c r="F499" s="9"/>
      <c r="O499" s="10"/>
      <c r="P499" s="10"/>
    </row>
    <row r="500" spans="6:16" ht="13">
      <c r="F500" s="9"/>
      <c r="O500" s="10"/>
      <c r="P500" s="10"/>
    </row>
    <row r="501" spans="6:16" ht="13">
      <c r="F501" s="9"/>
      <c r="O501" s="10"/>
      <c r="P501" s="10"/>
    </row>
    <row r="502" spans="6:16" ht="13">
      <c r="F502" s="9"/>
      <c r="O502" s="10"/>
      <c r="P502" s="10"/>
    </row>
    <row r="503" spans="6:16" ht="13">
      <c r="F503" s="9"/>
      <c r="O503" s="10"/>
      <c r="P503" s="10"/>
    </row>
    <row r="504" spans="6:16" ht="13">
      <c r="F504" s="9"/>
      <c r="O504" s="10"/>
      <c r="P504" s="10"/>
    </row>
    <row r="505" spans="6:16" ht="13">
      <c r="F505" s="9"/>
      <c r="O505" s="10"/>
      <c r="P505" s="10"/>
    </row>
    <row r="506" spans="6:16" ht="13">
      <c r="F506" s="9"/>
      <c r="O506" s="10"/>
      <c r="P506" s="10"/>
    </row>
    <row r="507" spans="6:16" ht="13">
      <c r="F507" s="9"/>
      <c r="O507" s="10"/>
      <c r="P507" s="10"/>
    </row>
    <row r="508" spans="6:16" ht="13">
      <c r="F508" s="9"/>
      <c r="O508" s="10"/>
      <c r="P508" s="10"/>
    </row>
    <row r="509" spans="6:16" ht="13">
      <c r="F509" s="9"/>
      <c r="O509" s="10"/>
      <c r="P509" s="10"/>
    </row>
    <row r="510" spans="6:16" ht="13">
      <c r="F510" s="9"/>
      <c r="O510" s="10"/>
      <c r="P510" s="10"/>
    </row>
    <row r="511" spans="6:16" ht="13">
      <c r="F511" s="9"/>
      <c r="O511" s="10"/>
      <c r="P511" s="10"/>
    </row>
    <row r="512" spans="6:16" ht="13">
      <c r="F512" s="9"/>
      <c r="O512" s="10"/>
      <c r="P512" s="10"/>
    </row>
    <row r="513" spans="6:16" ht="13">
      <c r="F513" s="9"/>
      <c r="O513" s="10"/>
      <c r="P513" s="10"/>
    </row>
    <row r="514" spans="6:16" ht="13">
      <c r="F514" s="9"/>
      <c r="O514" s="10"/>
      <c r="P514" s="10"/>
    </row>
    <row r="515" spans="6:16" ht="13">
      <c r="F515" s="9"/>
      <c r="O515" s="10"/>
      <c r="P515" s="10"/>
    </row>
    <row r="516" spans="6:16" ht="13">
      <c r="F516" s="9"/>
      <c r="O516" s="10"/>
      <c r="P516" s="10"/>
    </row>
    <row r="517" spans="6:16" ht="13">
      <c r="F517" s="9"/>
      <c r="O517" s="10"/>
      <c r="P517" s="10"/>
    </row>
    <row r="518" spans="6:16" ht="13">
      <c r="F518" s="9"/>
      <c r="O518" s="10"/>
      <c r="P518" s="10"/>
    </row>
    <row r="519" spans="6:16" ht="13">
      <c r="F519" s="9"/>
      <c r="O519" s="10"/>
      <c r="P519" s="10"/>
    </row>
    <row r="520" spans="6:16" ht="13">
      <c r="F520" s="9"/>
      <c r="O520" s="10"/>
      <c r="P520" s="10"/>
    </row>
    <row r="521" spans="6:16" ht="13">
      <c r="F521" s="9"/>
      <c r="O521" s="10"/>
      <c r="P521" s="10"/>
    </row>
    <row r="522" spans="6:16" ht="13">
      <c r="F522" s="9"/>
      <c r="O522" s="10"/>
      <c r="P522" s="10"/>
    </row>
    <row r="523" spans="6:16" ht="13">
      <c r="F523" s="9"/>
      <c r="O523" s="10"/>
      <c r="P523" s="10"/>
    </row>
    <row r="524" spans="6:16" ht="13">
      <c r="F524" s="9"/>
      <c r="O524" s="10"/>
      <c r="P524" s="10"/>
    </row>
    <row r="525" spans="6:16" ht="13">
      <c r="F525" s="9"/>
      <c r="O525" s="10"/>
      <c r="P525" s="10"/>
    </row>
    <row r="526" spans="6:16" ht="13">
      <c r="F526" s="9"/>
      <c r="O526" s="10"/>
      <c r="P526" s="10"/>
    </row>
    <row r="527" spans="6:16" ht="13">
      <c r="F527" s="9"/>
      <c r="O527" s="10"/>
      <c r="P527" s="10"/>
    </row>
    <row r="528" spans="6:16" ht="13">
      <c r="F528" s="9"/>
      <c r="O528" s="10"/>
      <c r="P528" s="10"/>
    </row>
    <row r="529" spans="6:16" ht="13">
      <c r="F529" s="9"/>
      <c r="O529" s="10"/>
      <c r="P529" s="10"/>
    </row>
    <row r="530" spans="6:16" ht="13">
      <c r="F530" s="9"/>
      <c r="O530" s="10"/>
      <c r="P530" s="10"/>
    </row>
    <row r="531" spans="6:16" ht="13">
      <c r="F531" s="9"/>
      <c r="O531" s="10"/>
      <c r="P531" s="10"/>
    </row>
    <row r="532" spans="6:16" ht="13">
      <c r="F532" s="9"/>
      <c r="O532" s="10"/>
      <c r="P532" s="10"/>
    </row>
    <row r="533" spans="6:16" ht="13">
      <c r="F533" s="9"/>
      <c r="O533" s="10"/>
      <c r="P533" s="10"/>
    </row>
    <row r="534" spans="6:16" ht="13">
      <c r="F534" s="9"/>
      <c r="O534" s="10"/>
      <c r="P534" s="10"/>
    </row>
    <row r="535" spans="6:16" ht="13">
      <c r="F535" s="9"/>
      <c r="O535" s="10"/>
      <c r="P535" s="10"/>
    </row>
    <row r="536" spans="6:16" ht="13">
      <c r="F536" s="9"/>
      <c r="O536" s="10"/>
      <c r="P536" s="10"/>
    </row>
    <row r="537" spans="6:16" ht="13">
      <c r="F537" s="9"/>
      <c r="O537" s="10"/>
      <c r="P537" s="10"/>
    </row>
    <row r="538" spans="6:16" ht="13">
      <c r="F538" s="9"/>
      <c r="O538" s="10"/>
      <c r="P538" s="10"/>
    </row>
    <row r="539" spans="6:16" ht="13">
      <c r="F539" s="9"/>
      <c r="O539" s="10"/>
      <c r="P539" s="10"/>
    </row>
    <row r="540" spans="6:16" ht="13">
      <c r="F540" s="9"/>
      <c r="O540" s="10"/>
      <c r="P540" s="10"/>
    </row>
    <row r="541" spans="6:16" ht="13">
      <c r="F541" s="9"/>
      <c r="O541" s="10"/>
      <c r="P541" s="10"/>
    </row>
    <row r="542" spans="6:16" ht="13">
      <c r="F542" s="9"/>
      <c r="O542" s="10"/>
      <c r="P542" s="10"/>
    </row>
    <row r="543" spans="6:16" ht="13">
      <c r="F543" s="9"/>
      <c r="O543" s="10"/>
      <c r="P543" s="10"/>
    </row>
    <row r="544" spans="6:16" ht="13">
      <c r="F544" s="9"/>
      <c r="O544" s="10"/>
      <c r="P544" s="10"/>
    </row>
    <row r="545" spans="6:16" ht="13">
      <c r="F545" s="9"/>
      <c r="O545" s="10"/>
      <c r="P545" s="10"/>
    </row>
    <row r="546" spans="6:16" ht="13">
      <c r="F546" s="9"/>
      <c r="O546" s="10"/>
      <c r="P546" s="10"/>
    </row>
    <row r="547" spans="6:16" ht="13">
      <c r="F547" s="9"/>
      <c r="O547" s="10"/>
      <c r="P547" s="10"/>
    </row>
    <row r="548" spans="6:16" ht="13">
      <c r="F548" s="9"/>
      <c r="O548" s="10"/>
      <c r="P548" s="10"/>
    </row>
    <row r="549" spans="6:16" ht="13">
      <c r="F549" s="9"/>
      <c r="O549" s="10"/>
      <c r="P549" s="10"/>
    </row>
    <row r="550" spans="6:16" ht="13">
      <c r="F550" s="9"/>
      <c r="O550" s="10"/>
      <c r="P550" s="10"/>
    </row>
    <row r="551" spans="6:16" ht="13">
      <c r="F551" s="9"/>
      <c r="O551" s="10"/>
      <c r="P551" s="10"/>
    </row>
    <row r="552" spans="6:16" ht="13">
      <c r="F552" s="9"/>
      <c r="O552" s="10"/>
      <c r="P552" s="10"/>
    </row>
    <row r="553" spans="6:16" ht="13">
      <c r="F553" s="9"/>
      <c r="O553" s="10"/>
      <c r="P553" s="10"/>
    </row>
    <row r="554" spans="6:16" ht="13">
      <c r="F554" s="9"/>
      <c r="O554" s="10"/>
      <c r="P554" s="10"/>
    </row>
    <row r="555" spans="6:16" ht="13">
      <c r="F555" s="9"/>
      <c r="O555" s="10"/>
      <c r="P555" s="10"/>
    </row>
    <row r="556" spans="6:16" ht="13">
      <c r="F556" s="9"/>
      <c r="O556" s="10"/>
      <c r="P556" s="10"/>
    </row>
    <row r="557" spans="6:16" ht="13">
      <c r="F557" s="9"/>
      <c r="O557" s="10"/>
      <c r="P557" s="10"/>
    </row>
    <row r="558" spans="6:16" ht="13">
      <c r="F558" s="9"/>
      <c r="O558" s="10"/>
      <c r="P558" s="10"/>
    </row>
    <row r="559" spans="6:16" ht="13">
      <c r="F559" s="9"/>
      <c r="O559" s="10"/>
      <c r="P559" s="10"/>
    </row>
    <row r="560" spans="6:16" ht="13">
      <c r="F560" s="9"/>
      <c r="O560" s="10"/>
      <c r="P560" s="10"/>
    </row>
    <row r="561" spans="6:16" ht="13">
      <c r="F561" s="9"/>
      <c r="O561" s="10"/>
      <c r="P561" s="10"/>
    </row>
    <row r="562" spans="6:16" ht="13">
      <c r="F562" s="9"/>
      <c r="O562" s="10"/>
      <c r="P562" s="10"/>
    </row>
    <row r="563" spans="6:16" ht="13">
      <c r="F563" s="9"/>
      <c r="O563" s="10"/>
      <c r="P563" s="10"/>
    </row>
    <row r="564" spans="6:16" ht="13">
      <c r="F564" s="9"/>
      <c r="O564" s="10"/>
      <c r="P564" s="10"/>
    </row>
    <row r="565" spans="6:16" ht="13">
      <c r="F565" s="9"/>
      <c r="O565" s="10"/>
      <c r="P565" s="10"/>
    </row>
    <row r="566" spans="6:16" ht="13">
      <c r="F566" s="9"/>
      <c r="O566" s="10"/>
      <c r="P566" s="10"/>
    </row>
    <row r="567" spans="6:16" ht="13">
      <c r="F567" s="9"/>
      <c r="O567" s="10"/>
      <c r="P567" s="10"/>
    </row>
    <row r="568" spans="6:16" ht="13">
      <c r="F568" s="9"/>
      <c r="O568" s="10"/>
      <c r="P568" s="10"/>
    </row>
    <row r="569" spans="6:16" ht="13">
      <c r="F569" s="9"/>
      <c r="O569" s="10"/>
      <c r="P569" s="10"/>
    </row>
    <row r="570" spans="6:16" ht="13">
      <c r="F570" s="9"/>
      <c r="O570" s="10"/>
      <c r="P570" s="10"/>
    </row>
    <row r="571" spans="6:16" ht="13">
      <c r="F571" s="9"/>
      <c r="O571" s="10"/>
      <c r="P571" s="10"/>
    </row>
    <row r="572" spans="6:16" ht="13">
      <c r="F572" s="9"/>
      <c r="O572" s="10"/>
      <c r="P572" s="10"/>
    </row>
    <row r="573" spans="6:16" ht="13">
      <c r="F573" s="9"/>
      <c r="O573" s="10"/>
      <c r="P573" s="10"/>
    </row>
    <row r="574" spans="6:16" ht="13">
      <c r="F574" s="9"/>
      <c r="O574" s="10"/>
      <c r="P574" s="10"/>
    </row>
    <row r="575" spans="6:16" ht="13">
      <c r="F575" s="9"/>
      <c r="O575" s="10"/>
      <c r="P575" s="10"/>
    </row>
    <row r="576" spans="6:16" ht="13">
      <c r="F576" s="9"/>
      <c r="O576" s="10"/>
      <c r="P576" s="10"/>
    </row>
    <row r="577" spans="6:16" ht="13">
      <c r="F577" s="9"/>
      <c r="O577" s="10"/>
      <c r="P577" s="10"/>
    </row>
    <row r="578" spans="6:16" ht="13">
      <c r="F578" s="9"/>
      <c r="O578" s="10"/>
      <c r="P578" s="10"/>
    </row>
    <row r="579" spans="6:16" ht="13">
      <c r="F579" s="9"/>
      <c r="O579" s="10"/>
      <c r="P579" s="10"/>
    </row>
    <row r="580" spans="6:16" ht="13">
      <c r="F580" s="9"/>
      <c r="O580" s="10"/>
      <c r="P580" s="10"/>
    </row>
    <row r="581" spans="6:16" ht="13">
      <c r="F581" s="9"/>
      <c r="O581" s="10"/>
      <c r="P581" s="10"/>
    </row>
    <row r="582" spans="6:16" ht="13">
      <c r="F582" s="9"/>
      <c r="O582" s="10"/>
      <c r="P582" s="10"/>
    </row>
    <row r="583" spans="6:16" ht="13">
      <c r="F583" s="9"/>
      <c r="O583" s="10"/>
      <c r="P583" s="10"/>
    </row>
    <row r="584" spans="6:16" ht="13">
      <c r="F584" s="9"/>
      <c r="O584" s="10"/>
      <c r="P584" s="10"/>
    </row>
    <row r="585" spans="6:16" ht="13">
      <c r="F585" s="9"/>
      <c r="O585" s="10"/>
      <c r="P585" s="10"/>
    </row>
    <row r="586" spans="6:16" ht="13">
      <c r="F586" s="9"/>
      <c r="O586" s="10"/>
      <c r="P586" s="10"/>
    </row>
    <row r="587" spans="6:16" ht="13">
      <c r="F587" s="9"/>
      <c r="O587" s="10"/>
      <c r="P587" s="10"/>
    </row>
    <row r="588" spans="6:16" ht="13">
      <c r="F588" s="9"/>
      <c r="O588" s="10"/>
      <c r="P588" s="10"/>
    </row>
    <row r="589" spans="6:16" ht="13">
      <c r="F589" s="9"/>
      <c r="O589" s="10"/>
      <c r="P589" s="10"/>
    </row>
    <row r="590" spans="6:16" ht="13">
      <c r="F590" s="9"/>
      <c r="O590" s="10"/>
      <c r="P590" s="10"/>
    </row>
    <row r="591" spans="6:16" ht="13">
      <c r="F591" s="9"/>
      <c r="O591" s="10"/>
      <c r="P591" s="10"/>
    </row>
    <row r="592" spans="6:16" ht="13">
      <c r="F592" s="9"/>
      <c r="O592" s="10"/>
      <c r="P592" s="10"/>
    </row>
    <row r="593" spans="6:16" ht="13">
      <c r="F593" s="9"/>
      <c r="O593" s="10"/>
      <c r="P593" s="10"/>
    </row>
    <row r="594" spans="6:16" ht="13">
      <c r="F594" s="9"/>
      <c r="O594" s="10"/>
      <c r="P594" s="10"/>
    </row>
    <row r="595" spans="6:16" ht="13">
      <c r="F595" s="9"/>
      <c r="O595" s="10"/>
      <c r="P595" s="10"/>
    </row>
    <row r="596" spans="6:16" ht="13">
      <c r="F596" s="9"/>
      <c r="O596" s="10"/>
      <c r="P596" s="10"/>
    </row>
    <row r="597" spans="6:16" ht="13">
      <c r="F597" s="9"/>
      <c r="O597" s="10"/>
      <c r="P597" s="10"/>
    </row>
    <row r="598" spans="6:16" ht="13">
      <c r="F598" s="9"/>
      <c r="O598" s="10"/>
      <c r="P598" s="10"/>
    </row>
    <row r="599" spans="6:16" ht="13">
      <c r="F599" s="9"/>
      <c r="O599" s="10"/>
      <c r="P599" s="10"/>
    </row>
    <row r="600" spans="6:16" ht="13">
      <c r="F600" s="9"/>
      <c r="O600" s="10"/>
      <c r="P600" s="10"/>
    </row>
    <row r="601" spans="6:16" ht="13">
      <c r="F601" s="9"/>
      <c r="O601" s="10"/>
      <c r="P601" s="10"/>
    </row>
    <row r="602" spans="6:16" ht="13">
      <c r="F602" s="9"/>
      <c r="O602" s="10"/>
      <c r="P602" s="10"/>
    </row>
    <row r="603" spans="6:16" ht="13">
      <c r="F603" s="9"/>
      <c r="O603" s="10"/>
      <c r="P603" s="10"/>
    </row>
    <row r="604" spans="6:16" ht="13">
      <c r="F604" s="9"/>
      <c r="O604" s="10"/>
      <c r="P604" s="10"/>
    </row>
    <row r="605" spans="6:16" ht="13">
      <c r="F605" s="9"/>
      <c r="O605" s="10"/>
      <c r="P605" s="10"/>
    </row>
    <row r="606" spans="6:16" ht="13">
      <c r="F606" s="9"/>
      <c r="O606" s="10"/>
      <c r="P606" s="10"/>
    </row>
    <row r="607" spans="6:16" ht="13">
      <c r="F607" s="9"/>
      <c r="O607" s="10"/>
      <c r="P607" s="10"/>
    </row>
    <row r="608" spans="6:16" ht="13">
      <c r="F608" s="9"/>
      <c r="O608" s="10"/>
      <c r="P608" s="10"/>
    </row>
    <row r="609" spans="6:16" ht="13">
      <c r="F609" s="9"/>
      <c r="O609" s="10"/>
      <c r="P609" s="10"/>
    </row>
    <row r="610" spans="6:16" ht="13">
      <c r="F610" s="9"/>
      <c r="O610" s="10"/>
      <c r="P610" s="10"/>
    </row>
    <row r="611" spans="6:16" ht="13">
      <c r="F611" s="9"/>
      <c r="O611" s="10"/>
      <c r="P611" s="10"/>
    </row>
    <row r="612" spans="6:16" ht="13">
      <c r="F612" s="9"/>
      <c r="O612" s="10"/>
      <c r="P612" s="10"/>
    </row>
    <row r="613" spans="6:16" ht="13">
      <c r="F613" s="9"/>
      <c r="O613" s="10"/>
      <c r="P613" s="10"/>
    </row>
    <row r="614" spans="6:16" ht="13">
      <c r="F614" s="9"/>
      <c r="O614" s="10"/>
      <c r="P614" s="10"/>
    </row>
    <row r="615" spans="6:16" ht="13">
      <c r="F615" s="9"/>
      <c r="O615" s="10"/>
      <c r="P615" s="10"/>
    </row>
    <row r="616" spans="6:16" ht="13">
      <c r="F616" s="9"/>
      <c r="O616" s="10"/>
      <c r="P616" s="10"/>
    </row>
    <row r="617" spans="6:16" ht="13">
      <c r="F617" s="9"/>
      <c r="O617" s="10"/>
      <c r="P617" s="10"/>
    </row>
    <row r="618" spans="6:16" ht="13">
      <c r="F618" s="9"/>
      <c r="O618" s="10"/>
      <c r="P618" s="10"/>
    </row>
    <row r="619" spans="6:16" ht="13">
      <c r="F619" s="9"/>
      <c r="O619" s="10"/>
      <c r="P619" s="10"/>
    </row>
    <row r="620" spans="6:16" ht="13">
      <c r="F620" s="9"/>
      <c r="O620" s="10"/>
      <c r="P620" s="10"/>
    </row>
    <row r="621" spans="6:16" ht="13">
      <c r="F621" s="9"/>
      <c r="O621" s="10"/>
      <c r="P621" s="10"/>
    </row>
    <row r="622" spans="6:16" ht="13">
      <c r="F622" s="9"/>
      <c r="O622" s="10"/>
      <c r="P622" s="10"/>
    </row>
    <row r="623" spans="6:16" ht="13">
      <c r="F623" s="9"/>
      <c r="O623" s="10"/>
      <c r="P623" s="10"/>
    </row>
    <row r="624" spans="6:16" ht="13">
      <c r="F624" s="9"/>
      <c r="O624" s="10"/>
      <c r="P624" s="10"/>
    </row>
    <row r="625" spans="6:16" ht="13">
      <c r="F625" s="9"/>
      <c r="O625" s="10"/>
      <c r="P625" s="10"/>
    </row>
    <row r="626" spans="6:16" ht="13">
      <c r="F626" s="9"/>
      <c r="O626" s="10"/>
      <c r="P626" s="10"/>
    </row>
    <row r="627" spans="6:16" ht="13">
      <c r="F627" s="9"/>
      <c r="O627" s="10"/>
      <c r="P627" s="10"/>
    </row>
    <row r="628" spans="6:16" ht="13">
      <c r="F628" s="9"/>
      <c r="O628" s="10"/>
      <c r="P628" s="10"/>
    </row>
    <row r="629" spans="6:16" ht="13">
      <c r="F629" s="9"/>
      <c r="O629" s="10"/>
      <c r="P629" s="10"/>
    </row>
    <row r="630" spans="6:16" ht="13">
      <c r="F630" s="9"/>
      <c r="O630" s="10"/>
      <c r="P630" s="10"/>
    </row>
    <row r="631" spans="6:16" ht="13">
      <c r="F631" s="9"/>
      <c r="O631" s="10"/>
      <c r="P631" s="10"/>
    </row>
    <row r="632" spans="6:16" ht="13">
      <c r="F632" s="9"/>
      <c r="O632" s="10"/>
      <c r="P632" s="10"/>
    </row>
    <row r="633" spans="6:16" ht="13">
      <c r="F633" s="9"/>
      <c r="O633" s="10"/>
      <c r="P633" s="10"/>
    </row>
    <row r="634" spans="6:16" ht="13">
      <c r="F634" s="9"/>
      <c r="O634" s="10"/>
      <c r="P634" s="10"/>
    </row>
    <row r="635" spans="6:16" ht="13">
      <c r="F635" s="9"/>
      <c r="O635" s="10"/>
      <c r="P635" s="10"/>
    </row>
    <row r="636" spans="6:16" ht="13">
      <c r="F636" s="9"/>
      <c r="O636" s="10"/>
      <c r="P636" s="10"/>
    </row>
    <row r="637" spans="6:16" ht="13">
      <c r="F637" s="9"/>
      <c r="O637" s="10"/>
      <c r="P637" s="10"/>
    </row>
    <row r="638" spans="6:16" ht="13">
      <c r="F638" s="9"/>
      <c r="O638" s="10"/>
      <c r="P638" s="10"/>
    </row>
    <row r="639" spans="6:16" ht="13">
      <c r="F639" s="9"/>
      <c r="O639" s="10"/>
      <c r="P639" s="10"/>
    </row>
    <row r="640" spans="6:16" ht="13">
      <c r="F640" s="9"/>
      <c r="O640" s="10"/>
      <c r="P640" s="10"/>
    </row>
    <row r="641" spans="6:16" ht="13">
      <c r="F641" s="9"/>
      <c r="O641" s="10"/>
      <c r="P641" s="10"/>
    </row>
    <row r="642" spans="6:16" ht="13">
      <c r="F642" s="9"/>
      <c r="O642" s="10"/>
      <c r="P642" s="10"/>
    </row>
    <row r="643" spans="6:16" ht="13">
      <c r="F643" s="9"/>
      <c r="O643" s="10"/>
      <c r="P643" s="10"/>
    </row>
    <row r="644" spans="6:16" ht="13">
      <c r="F644" s="9"/>
      <c r="O644" s="10"/>
      <c r="P644" s="10"/>
    </row>
    <row r="645" spans="6:16" ht="13">
      <c r="F645" s="9"/>
      <c r="O645" s="10"/>
      <c r="P645" s="10"/>
    </row>
    <row r="646" spans="6:16" ht="13">
      <c r="F646" s="9"/>
      <c r="O646" s="10"/>
      <c r="P646" s="10"/>
    </row>
    <row r="647" spans="6:16" ht="13">
      <c r="F647" s="9"/>
      <c r="O647" s="10"/>
      <c r="P647" s="10"/>
    </row>
    <row r="648" spans="6:16" ht="13">
      <c r="F648" s="9"/>
      <c r="O648" s="10"/>
      <c r="P648" s="10"/>
    </row>
    <row r="649" spans="6:16" ht="13">
      <c r="F649" s="9"/>
      <c r="O649" s="10"/>
      <c r="P649" s="10"/>
    </row>
    <row r="650" spans="6:16" ht="13">
      <c r="F650" s="9"/>
      <c r="O650" s="10"/>
      <c r="P650" s="10"/>
    </row>
    <row r="651" spans="6:16" ht="13">
      <c r="F651" s="9"/>
      <c r="O651" s="10"/>
      <c r="P651" s="10"/>
    </row>
    <row r="652" spans="6:16" ht="13">
      <c r="F652" s="9"/>
      <c r="O652" s="10"/>
      <c r="P652" s="10"/>
    </row>
    <row r="653" spans="6:16" ht="13">
      <c r="F653" s="9"/>
      <c r="O653" s="10"/>
      <c r="P653" s="10"/>
    </row>
    <row r="654" spans="6:16" ht="13">
      <c r="F654" s="9"/>
      <c r="O654" s="10"/>
      <c r="P654" s="10"/>
    </row>
    <row r="655" spans="6:16" ht="13">
      <c r="F655" s="9"/>
      <c r="O655" s="10"/>
      <c r="P655" s="10"/>
    </row>
    <row r="656" spans="6:16" ht="13">
      <c r="F656" s="9"/>
      <c r="O656" s="10"/>
      <c r="P656" s="10"/>
    </row>
    <row r="657" spans="6:16" ht="13">
      <c r="F657" s="9"/>
      <c r="O657" s="10"/>
      <c r="P657" s="10"/>
    </row>
    <row r="658" spans="6:16" ht="13">
      <c r="F658" s="9"/>
      <c r="O658" s="10"/>
      <c r="P658" s="10"/>
    </row>
    <row r="659" spans="6:16" ht="13">
      <c r="F659" s="9"/>
      <c r="O659" s="10"/>
      <c r="P659" s="10"/>
    </row>
    <row r="660" spans="6:16" ht="13">
      <c r="F660" s="9"/>
      <c r="O660" s="10"/>
      <c r="P660" s="10"/>
    </row>
    <row r="661" spans="6:16" ht="13">
      <c r="F661" s="9"/>
      <c r="O661" s="10"/>
      <c r="P661" s="10"/>
    </row>
    <row r="662" spans="6:16" ht="13">
      <c r="F662" s="9"/>
      <c r="O662" s="10"/>
      <c r="P662" s="10"/>
    </row>
    <row r="663" spans="6:16" ht="13">
      <c r="F663" s="9"/>
      <c r="O663" s="10"/>
      <c r="P663" s="10"/>
    </row>
    <row r="664" spans="6:16" ht="13">
      <c r="F664" s="9"/>
      <c r="O664" s="10"/>
      <c r="P664" s="10"/>
    </row>
    <row r="665" spans="6:16" ht="13">
      <c r="F665" s="9"/>
      <c r="O665" s="10"/>
      <c r="P665" s="10"/>
    </row>
    <row r="666" spans="6:16" ht="13">
      <c r="F666" s="9"/>
      <c r="O666" s="10"/>
      <c r="P666" s="10"/>
    </row>
    <row r="667" spans="6:16" ht="13">
      <c r="F667" s="9"/>
      <c r="O667" s="10"/>
      <c r="P667" s="10"/>
    </row>
    <row r="668" spans="6:16" ht="13">
      <c r="F668" s="9"/>
      <c r="O668" s="10"/>
      <c r="P668" s="10"/>
    </row>
    <row r="669" spans="6:16" ht="13">
      <c r="F669" s="9"/>
      <c r="O669" s="10"/>
      <c r="P669" s="10"/>
    </row>
    <row r="670" spans="6:16" ht="13">
      <c r="F670" s="9"/>
      <c r="O670" s="10"/>
      <c r="P670" s="10"/>
    </row>
    <row r="671" spans="6:16" ht="13">
      <c r="F671" s="9"/>
      <c r="O671" s="10"/>
      <c r="P671" s="10"/>
    </row>
    <row r="672" spans="6:16" ht="13">
      <c r="F672" s="9"/>
      <c r="O672" s="10"/>
      <c r="P672" s="10"/>
    </row>
    <row r="673" spans="6:16" ht="13">
      <c r="F673" s="9"/>
      <c r="O673" s="10"/>
      <c r="P673" s="10"/>
    </row>
    <row r="674" spans="6:16" ht="13">
      <c r="F674" s="9"/>
      <c r="O674" s="10"/>
      <c r="P674" s="10"/>
    </row>
    <row r="675" spans="6:16" ht="13">
      <c r="F675" s="9"/>
      <c r="O675" s="10"/>
      <c r="P675" s="10"/>
    </row>
    <row r="676" spans="6:16" ht="13">
      <c r="F676" s="9"/>
      <c r="O676" s="10"/>
      <c r="P676" s="10"/>
    </row>
    <row r="677" spans="6:16" ht="13">
      <c r="F677" s="9"/>
      <c r="O677" s="10"/>
      <c r="P677" s="10"/>
    </row>
    <row r="678" spans="6:16" ht="13">
      <c r="F678" s="9"/>
      <c r="O678" s="10"/>
      <c r="P678" s="10"/>
    </row>
    <row r="679" spans="6:16" ht="13">
      <c r="F679" s="9"/>
      <c r="O679" s="10"/>
      <c r="P679" s="10"/>
    </row>
    <row r="680" spans="6:16" ht="13">
      <c r="F680" s="9"/>
      <c r="O680" s="10"/>
      <c r="P680" s="10"/>
    </row>
    <row r="681" spans="6:16" ht="13">
      <c r="F681" s="9"/>
      <c r="O681" s="10"/>
      <c r="P681" s="10"/>
    </row>
    <row r="682" spans="6:16" ht="13">
      <c r="F682" s="9"/>
      <c r="O682" s="10"/>
      <c r="P682" s="10"/>
    </row>
    <row r="683" spans="6:16" ht="13">
      <c r="F683" s="9"/>
      <c r="O683" s="10"/>
      <c r="P683" s="10"/>
    </row>
    <row r="684" spans="6:16" ht="13">
      <c r="F684" s="9"/>
      <c r="O684" s="10"/>
      <c r="P684" s="10"/>
    </row>
    <row r="685" spans="6:16" ht="13">
      <c r="F685" s="9"/>
      <c r="O685" s="10"/>
      <c r="P685" s="10"/>
    </row>
    <row r="686" spans="6:16" ht="13">
      <c r="F686" s="9"/>
      <c r="O686" s="10"/>
      <c r="P686" s="10"/>
    </row>
    <row r="687" spans="6:16" ht="13">
      <c r="F687" s="9"/>
      <c r="O687" s="10"/>
      <c r="P687" s="10"/>
    </row>
    <row r="688" spans="6:16" ht="13">
      <c r="F688" s="9"/>
      <c r="O688" s="10"/>
      <c r="P688" s="10"/>
    </row>
    <row r="689" spans="6:16" ht="13">
      <c r="F689" s="9"/>
      <c r="O689" s="10"/>
      <c r="P689" s="10"/>
    </row>
    <row r="690" spans="6:16" ht="13">
      <c r="F690" s="9"/>
      <c r="O690" s="10"/>
      <c r="P690" s="10"/>
    </row>
    <row r="691" spans="6:16" ht="13">
      <c r="F691" s="9"/>
      <c r="O691" s="10"/>
      <c r="P691" s="10"/>
    </row>
    <row r="692" spans="6:16" ht="13">
      <c r="F692" s="9"/>
      <c r="O692" s="10"/>
      <c r="P692" s="10"/>
    </row>
    <row r="693" spans="6:16" ht="13">
      <c r="F693" s="9"/>
      <c r="O693" s="10"/>
      <c r="P693" s="10"/>
    </row>
    <row r="694" spans="6:16" ht="13">
      <c r="F694" s="9"/>
      <c r="O694" s="10"/>
      <c r="P694" s="10"/>
    </row>
    <row r="695" spans="6:16" ht="13">
      <c r="F695" s="9"/>
      <c r="O695" s="10"/>
      <c r="P695" s="10"/>
    </row>
    <row r="696" spans="6:16" ht="13">
      <c r="F696" s="9"/>
      <c r="O696" s="10"/>
      <c r="P696" s="10"/>
    </row>
    <row r="697" spans="6:16" ht="13">
      <c r="F697" s="9"/>
      <c r="O697" s="10"/>
      <c r="P697" s="10"/>
    </row>
    <row r="698" spans="6:16" ht="13">
      <c r="F698" s="9"/>
      <c r="O698" s="10"/>
      <c r="P698" s="10"/>
    </row>
    <row r="699" spans="6:16" ht="13">
      <c r="F699" s="9"/>
      <c r="O699" s="10"/>
      <c r="P699" s="10"/>
    </row>
    <row r="700" spans="6:16" ht="13">
      <c r="F700" s="9"/>
      <c r="O700" s="10"/>
      <c r="P700" s="10"/>
    </row>
    <row r="701" spans="6:16" ht="13">
      <c r="F701" s="9"/>
      <c r="O701" s="10"/>
      <c r="P701" s="10"/>
    </row>
    <row r="702" spans="6:16" ht="13">
      <c r="F702" s="9"/>
      <c r="O702" s="10"/>
      <c r="P702" s="10"/>
    </row>
    <row r="703" spans="6:16" ht="13">
      <c r="F703" s="9"/>
      <c r="O703" s="10"/>
      <c r="P703" s="10"/>
    </row>
    <row r="704" spans="6:16" ht="13">
      <c r="F704" s="9"/>
      <c r="O704" s="10"/>
      <c r="P704" s="10"/>
    </row>
    <row r="705" spans="6:16" ht="13">
      <c r="F705" s="9"/>
      <c r="O705" s="10"/>
      <c r="P705" s="10"/>
    </row>
    <row r="706" spans="6:16" ht="13">
      <c r="F706" s="9"/>
      <c r="O706" s="10"/>
      <c r="P706" s="10"/>
    </row>
    <row r="707" spans="6:16" ht="13">
      <c r="F707" s="9"/>
      <c r="O707" s="10"/>
      <c r="P707" s="10"/>
    </row>
    <row r="708" spans="6:16" ht="13">
      <c r="F708" s="9"/>
      <c r="O708" s="10"/>
      <c r="P708" s="10"/>
    </row>
    <row r="709" spans="6:16" ht="13">
      <c r="F709" s="9"/>
      <c r="O709" s="10"/>
      <c r="P709" s="10"/>
    </row>
    <row r="710" spans="6:16" ht="13">
      <c r="F710" s="9"/>
      <c r="O710" s="10"/>
      <c r="P710" s="10"/>
    </row>
    <row r="711" spans="6:16" ht="13">
      <c r="F711" s="9"/>
      <c r="O711" s="10"/>
      <c r="P711" s="10"/>
    </row>
    <row r="712" spans="6:16" ht="13">
      <c r="F712" s="9"/>
      <c r="O712" s="10"/>
      <c r="P712" s="10"/>
    </row>
    <row r="713" spans="6:16" ht="13">
      <c r="F713" s="9"/>
      <c r="O713" s="10"/>
      <c r="P713" s="10"/>
    </row>
    <row r="714" spans="6:16" ht="13">
      <c r="F714" s="9"/>
      <c r="O714" s="10"/>
      <c r="P714" s="10"/>
    </row>
    <row r="715" spans="6:16" ht="13">
      <c r="F715" s="9"/>
      <c r="O715" s="10"/>
      <c r="P715" s="10"/>
    </row>
    <row r="716" spans="6:16" ht="13">
      <c r="F716" s="9"/>
      <c r="O716" s="10"/>
      <c r="P716" s="10"/>
    </row>
    <row r="717" spans="6:16" ht="13">
      <c r="F717" s="9"/>
      <c r="O717" s="10"/>
      <c r="P717" s="10"/>
    </row>
    <row r="718" spans="6:16" ht="13">
      <c r="F718" s="9"/>
      <c r="O718" s="10"/>
      <c r="P718" s="10"/>
    </row>
    <row r="719" spans="6:16" ht="13">
      <c r="F719" s="9"/>
      <c r="O719" s="10"/>
      <c r="P719" s="10"/>
    </row>
    <row r="720" spans="6:16" ht="13">
      <c r="F720" s="9"/>
      <c r="O720" s="10"/>
      <c r="P720" s="10"/>
    </row>
    <row r="721" spans="6:16" ht="13">
      <c r="F721" s="9"/>
      <c r="O721" s="10"/>
      <c r="P721" s="10"/>
    </row>
    <row r="722" spans="6:16" ht="13">
      <c r="F722" s="9"/>
      <c r="O722" s="10"/>
      <c r="P722" s="10"/>
    </row>
    <row r="723" spans="6:16" ht="13">
      <c r="F723" s="9"/>
      <c r="O723" s="10"/>
      <c r="P723" s="10"/>
    </row>
    <row r="724" spans="6:16" ht="13">
      <c r="F724" s="9"/>
      <c r="O724" s="10"/>
      <c r="P724" s="10"/>
    </row>
    <row r="725" spans="6:16" ht="13">
      <c r="F725" s="9"/>
      <c r="O725" s="10"/>
      <c r="P725" s="10"/>
    </row>
    <row r="726" spans="6:16" ht="13">
      <c r="F726" s="9"/>
      <c r="O726" s="10"/>
      <c r="P726" s="10"/>
    </row>
    <row r="727" spans="6:16" ht="13">
      <c r="F727" s="9"/>
      <c r="O727" s="10"/>
      <c r="P727" s="10"/>
    </row>
    <row r="728" spans="6:16" ht="13">
      <c r="F728" s="9"/>
      <c r="O728" s="10"/>
      <c r="P728" s="10"/>
    </row>
    <row r="729" spans="6:16" ht="13">
      <c r="F729" s="9"/>
      <c r="O729" s="10"/>
      <c r="P729" s="10"/>
    </row>
    <row r="730" spans="6:16" ht="13">
      <c r="F730" s="9"/>
      <c r="O730" s="10"/>
      <c r="P730" s="10"/>
    </row>
    <row r="731" spans="6:16" ht="13">
      <c r="F731" s="9"/>
      <c r="O731" s="10"/>
      <c r="P731" s="10"/>
    </row>
    <row r="732" spans="6:16" ht="13">
      <c r="F732" s="9"/>
      <c r="O732" s="10"/>
      <c r="P732" s="10"/>
    </row>
    <row r="733" spans="6:16" ht="13">
      <c r="F733" s="9"/>
      <c r="O733" s="10"/>
      <c r="P733" s="10"/>
    </row>
    <row r="734" spans="6:16" ht="13">
      <c r="F734" s="9"/>
      <c r="O734" s="10"/>
      <c r="P734" s="10"/>
    </row>
    <row r="735" spans="6:16" ht="13">
      <c r="F735" s="9"/>
      <c r="O735" s="10"/>
      <c r="P735" s="10"/>
    </row>
    <row r="736" spans="6:16" ht="13">
      <c r="F736" s="9"/>
      <c r="O736" s="10"/>
      <c r="P736" s="10"/>
    </row>
    <row r="737" spans="6:16" ht="13">
      <c r="F737" s="9"/>
      <c r="O737" s="10"/>
      <c r="P737" s="10"/>
    </row>
    <row r="738" spans="6:16" ht="13">
      <c r="F738" s="9"/>
      <c r="O738" s="10"/>
      <c r="P738" s="10"/>
    </row>
    <row r="739" spans="6:16" ht="13">
      <c r="F739" s="9"/>
      <c r="O739" s="10"/>
      <c r="P739" s="10"/>
    </row>
    <row r="740" spans="6:16" ht="13">
      <c r="F740" s="9"/>
      <c r="O740" s="10"/>
      <c r="P740" s="10"/>
    </row>
    <row r="741" spans="6:16" ht="13">
      <c r="F741" s="9"/>
      <c r="O741" s="10"/>
      <c r="P741" s="10"/>
    </row>
    <row r="742" spans="6:16" ht="13">
      <c r="F742" s="9"/>
      <c r="O742" s="10"/>
      <c r="P742" s="10"/>
    </row>
    <row r="743" spans="6:16" ht="13">
      <c r="F743" s="9"/>
      <c r="O743" s="10"/>
      <c r="P743" s="10"/>
    </row>
    <row r="744" spans="6:16" ht="13">
      <c r="F744" s="9"/>
      <c r="O744" s="10"/>
      <c r="P744" s="10"/>
    </row>
    <row r="745" spans="6:16" ht="13">
      <c r="F745" s="9"/>
      <c r="O745" s="10"/>
      <c r="P745" s="10"/>
    </row>
    <row r="746" spans="6:16" ht="13">
      <c r="F746" s="9"/>
      <c r="O746" s="10"/>
      <c r="P746" s="10"/>
    </row>
    <row r="747" spans="6:16" ht="13">
      <c r="F747" s="9"/>
      <c r="O747" s="10"/>
      <c r="P747" s="10"/>
    </row>
    <row r="748" spans="6:16" ht="13">
      <c r="F748" s="9"/>
      <c r="O748" s="10"/>
      <c r="P748" s="10"/>
    </row>
    <row r="749" spans="6:16" ht="13">
      <c r="F749" s="9"/>
      <c r="O749" s="10"/>
      <c r="P749" s="10"/>
    </row>
    <row r="750" spans="6:16" ht="13">
      <c r="F750" s="9"/>
      <c r="O750" s="10"/>
      <c r="P750" s="10"/>
    </row>
    <row r="751" spans="6:16" ht="13">
      <c r="F751" s="9"/>
      <c r="O751" s="10"/>
      <c r="P751" s="10"/>
    </row>
    <row r="752" spans="6:16" ht="13">
      <c r="F752" s="9"/>
      <c r="O752" s="10"/>
      <c r="P752" s="10"/>
    </row>
    <row r="753" spans="6:16" ht="13">
      <c r="F753" s="9"/>
      <c r="O753" s="10"/>
      <c r="P753" s="10"/>
    </row>
    <row r="754" spans="6:16" ht="13">
      <c r="F754" s="9"/>
      <c r="O754" s="10"/>
      <c r="P754" s="10"/>
    </row>
    <row r="755" spans="6:16" ht="13">
      <c r="F755" s="9"/>
      <c r="O755" s="10"/>
      <c r="P755" s="10"/>
    </row>
    <row r="756" spans="6:16" ht="13">
      <c r="F756" s="9"/>
      <c r="O756" s="10"/>
      <c r="P756" s="10"/>
    </row>
    <row r="757" spans="6:16" ht="13">
      <c r="F757" s="9"/>
      <c r="O757" s="10"/>
      <c r="P757" s="10"/>
    </row>
    <row r="758" spans="6:16" ht="13">
      <c r="F758" s="9"/>
      <c r="O758" s="10"/>
      <c r="P758" s="10"/>
    </row>
    <row r="759" spans="6:16" ht="13">
      <c r="F759" s="9"/>
      <c r="O759" s="10"/>
      <c r="P759" s="10"/>
    </row>
    <row r="760" spans="6:16" ht="13">
      <c r="F760" s="9"/>
      <c r="O760" s="10"/>
      <c r="P760" s="10"/>
    </row>
    <row r="761" spans="6:16" ht="13">
      <c r="F761" s="9"/>
      <c r="O761" s="10"/>
      <c r="P761" s="10"/>
    </row>
    <row r="762" spans="6:16" ht="13">
      <c r="F762" s="9"/>
      <c r="O762" s="10"/>
      <c r="P762" s="10"/>
    </row>
    <row r="763" spans="6:16" ht="13">
      <c r="F763" s="9"/>
      <c r="O763" s="10"/>
      <c r="P763" s="10"/>
    </row>
    <row r="764" spans="6:16" ht="13">
      <c r="F764" s="9"/>
      <c r="O764" s="10"/>
      <c r="P764" s="10"/>
    </row>
    <row r="765" spans="6:16" ht="13">
      <c r="F765" s="9"/>
      <c r="O765" s="10"/>
      <c r="P765" s="10"/>
    </row>
    <row r="766" spans="6:16" ht="13">
      <c r="F766" s="9"/>
      <c r="O766" s="10"/>
      <c r="P766" s="10"/>
    </row>
    <row r="767" spans="6:16" ht="13">
      <c r="F767" s="9"/>
      <c r="O767" s="10"/>
      <c r="P767" s="10"/>
    </row>
    <row r="768" spans="6:16" ht="13">
      <c r="F768" s="9"/>
      <c r="O768" s="10"/>
      <c r="P768" s="10"/>
    </row>
    <row r="769" spans="6:16" ht="13">
      <c r="F769" s="9"/>
      <c r="O769" s="10"/>
      <c r="P769" s="10"/>
    </row>
    <row r="770" spans="6:16" ht="13">
      <c r="F770" s="9"/>
      <c r="O770" s="10"/>
      <c r="P770" s="10"/>
    </row>
    <row r="771" spans="6:16" ht="13">
      <c r="F771" s="9"/>
      <c r="O771" s="10"/>
      <c r="P771" s="10"/>
    </row>
    <row r="772" spans="6:16" ht="13">
      <c r="F772" s="9"/>
      <c r="O772" s="10"/>
      <c r="P772" s="10"/>
    </row>
    <row r="773" spans="6:16" ht="13">
      <c r="F773" s="9"/>
      <c r="O773" s="10"/>
      <c r="P773" s="10"/>
    </row>
    <row r="774" spans="6:16" ht="13">
      <c r="F774" s="9"/>
      <c r="O774" s="10"/>
      <c r="P774" s="10"/>
    </row>
    <row r="775" spans="6:16" ht="13">
      <c r="F775" s="9"/>
      <c r="O775" s="10"/>
      <c r="P775" s="10"/>
    </row>
    <row r="776" spans="6:16" ht="13">
      <c r="F776" s="9"/>
      <c r="O776" s="10"/>
      <c r="P776" s="10"/>
    </row>
    <row r="777" spans="6:16" ht="13">
      <c r="F777" s="9"/>
      <c r="O777" s="10"/>
      <c r="P777" s="10"/>
    </row>
    <row r="778" spans="6:16" ht="13">
      <c r="F778" s="9"/>
      <c r="O778" s="10"/>
      <c r="P778" s="10"/>
    </row>
    <row r="779" spans="6:16" ht="13">
      <c r="F779" s="9"/>
      <c r="O779" s="10"/>
      <c r="P779" s="10"/>
    </row>
    <row r="780" spans="6:16" ht="13">
      <c r="F780" s="9"/>
      <c r="O780" s="10"/>
      <c r="P780" s="10"/>
    </row>
    <row r="781" spans="6:16" ht="13">
      <c r="F781" s="9"/>
      <c r="O781" s="10"/>
      <c r="P781" s="10"/>
    </row>
    <row r="782" spans="6:16" ht="13">
      <c r="F782" s="9"/>
      <c r="O782" s="10"/>
      <c r="P782" s="10"/>
    </row>
    <row r="783" spans="6:16" ht="13">
      <c r="F783" s="9"/>
      <c r="O783" s="10"/>
      <c r="P783" s="10"/>
    </row>
    <row r="784" spans="6:16" ht="13">
      <c r="F784" s="9"/>
      <c r="O784" s="10"/>
      <c r="P784" s="10"/>
    </row>
    <row r="785" spans="6:16" ht="13">
      <c r="F785" s="9"/>
      <c r="O785" s="10"/>
      <c r="P785" s="10"/>
    </row>
    <row r="786" spans="6:16" ht="13">
      <c r="F786" s="9"/>
      <c r="O786" s="10"/>
      <c r="P786" s="10"/>
    </row>
    <row r="787" spans="6:16" ht="13">
      <c r="F787" s="9"/>
      <c r="O787" s="10"/>
      <c r="P787" s="10"/>
    </row>
    <row r="788" spans="6:16" ht="13">
      <c r="F788" s="9"/>
      <c r="O788" s="10"/>
      <c r="P788" s="10"/>
    </row>
    <row r="789" spans="6:16" ht="13">
      <c r="F789" s="9"/>
      <c r="O789" s="10"/>
      <c r="P789" s="10"/>
    </row>
    <row r="790" spans="6:16" ht="13">
      <c r="F790" s="9"/>
      <c r="O790" s="10"/>
      <c r="P790" s="10"/>
    </row>
    <row r="791" spans="6:16" ht="13">
      <c r="F791" s="9"/>
      <c r="O791" s="10"/>
      <c r="P791" s="10"/>
    </row>
    <row r="792" spans="6:16" ht="13">
      <c r="F792" s="9"/>
      <c r="O792" s="10"/>
      <c r="P792" s="10"/>
    </row>
    <row r="793" spans="6:16" ht="13">
      <c r="F793" s="9"/>
      <c r="O793" s="10"/>
      <c r="P793" s="10"/>
    </row>
    <row r="794" spans="6:16" ht="13">
      <c r="F794" s="9"/>
      <c r="O794" s="10"/>
      <c r="P794" s="10"/>
    </row>
    <row r="795" spans="6:16" ht="13">
      <c r="F795" s="9"/>
      <c r="O795" s="10"/>
      <c r="P795" s="10"/>
    </row>
    <row r="796" spans="6:16" ht="13">
      <c r="F796" s="9"/>
      <c r="O796" s="10"/>
      <c r="P796" s="10"/>
    </row>
    <row r="797" spans="6:16" ht="13">
      <c r="F797" s="9"/>
      <c r="O797" s="10"/>
      <c r="P797" s="10"/>
    </row>
    <row r="798" spans="6:16" ht="13">
      <c r="F798" s="9"/>
      <c r="O798" s="10"/>
      <c r="P798" s="10"/>
    </row>
    <row r="799" spans="6:16" ht="13">
      <c r="F799" s="9"/>
      <c r="O799" s="10"/>
      <c r="P799" s="10"/>
    </row>
    <row r="800" spans="6:16" ht="13">
      <c r="F800" s="9"/>
      <c r="O800" s="10"/>
      <c r="P800" s="10"/>
    </row>
    <row r="801" spans="6:16" ht="13">
      <c r="F801" s="9"/>
      <c r="O801" s="10"/>
      <c r="P801" s="10"/>
    </row>
    <row r="802" spans="6:16" ht="13">
      <c r="F802" s="9"/>
      <c r="O802" s="10"/>
      <c r="P802" s="10"/>
    </row>
    <row r="803" spans="6:16" ht="13">
      <c r="F803" s="9"/>
      <c r="O803" s="10"/>
      <c r="P803" s="10"/>
    </row>
    <row r="804" spans="6:16" ht="13">
      <c r="F804" s="9"/>
      <c r="O804" s="10"/>
      <c r="P804" s="10"/>
    </row>
    <row r="805" spans="6:16" ht="13">
      <c r="F805" s="9"/>
      <c r="O805" s="10"/>
      <c r="P805" s="10"/>
    </row>
    <row r="806" spans="6:16" ht="13">
      <c r="F806" s="9"/>
      <c r="O806" s="10"/>
      <c r="P806" s="10"/>
    </row>
    <row r="807" spans="6:16" ht="13">
      <c r="F807" s="9"/>
      <c r="O807" s="10"/>
      <c r="P807" s="10"/>
    </row>
    <row r="808" spans="6:16" ht="13">
      <c r="F808" s="9"/>
      <c r="O808" s="10"/>
      <c r="P808" s="10"/>
    </row>
    <row r="809" spans="6:16" ht="13">
      <c r="F809" s="9"/>
      <c r="O809" s="10"/>
      <c r="P809" s="10"/>
    </row>
    <row r="810" spans="6:16" ht="13">
      <c r="F810" s="9"/>
      <c r="O810" s="10"/>
      <c r="P810" s="10"/>
    </row>
    <row r="811" spans="6:16" ht="13">
      <c r="F811" s="9"/>
      <c r="O811" s="10"/>
      <c r="P811" s="10"/>
    </row>
    <row r="812" spans="6:16" ht="13">
      <c r="F812" s="9"/>
      <c r="O812" s="10"/>
      <c r="P812" s="10"/>
    </row>
    <row r="813" spans="6:16" ht="13">
      <c r="F813" s="9"/>
      <c r="O813" s="10"/>
      <c r="P813" s="10"/>
    </row>
    <row r="814" spans="6:16" ht="13">
      <c r="F814" s="9"/>
      <c r="O814" s="10"/>
      <c r="P814" s="10"/>
    </row>
    <row r="815" spans="6:16" ht="13">
      <c r="F815" s="9"/>
      <c r="O815" s="10"/>
      <c r="P815" s="10"/>
    </row>
    <row r="816" spans="6:16" ht="13">
      <c r="F816" s="9"/>
      <c r="O816" s="10"/>
      <c r="P816" s="10"/>
    </row>
    <row r="817" spans="6:16" ht="13">
      <c r="F817" s="9"/>
      <c r="O817" s="10"/>
      <c r="P817" s="10"/>
    </row>
    <row r="818" spans="6:16" ht="13">
      <c r="F818" s="9"/>
      <c r="O818" s="10"/>
      <c r="P818" s="10"/>
    </row>
    <row r="819" spans="6:16" ht="13">
      <c r="F819" s="9"/>
      <c r="O819" s="10"/>
      <c r="P819" s="10"/>
    </row>
    <row r="820" spans="6:16" ht="13">
      <c r="F820" s="9"/>
      <c r="O820" s="10"/>
      <c r="P820" s="10"/>
    </row>
    <row r="821" spans="6:16" ht="13">
      <c r="F821" s="9"/>
      <c r="O821" s="10"/>
      <c r="P821" s="10"/>
    </row>
    <row r="822" spans="6:16" ht="13">
      <c r="F822" s="9"/>
      <c r="O822" s="10"/>
      <c r="P822" s="10"/>
    </row>
    <row r="823" spans="6:16" ht="13">
      <c r="F823" s="9"/>
      <c r="O823" s="10"/>
      <c r="P823" s="10"/>
    </row>
    <row r="824" spans="6:16" ht="13">
      <c r="F824" s="9"/>
      <c r="O824" s="10"/>
      <c r="P824" s="10"/>
    </row>
    <row r="825" spans="6:16" ht="13">
      <c r="F825" s="9"/>
      <c r="O825" s="10"/>
      <c r="P825" s="10"/>
    </row>
    <row r="826" spans="6:16" ht="13">
      <c r="F826" s="9"/>
      <c r="O826" s="10"/>
      <c r="P826" s="10"/>
    </row>
    <row r="827" spans="6:16" ht="13">
      <c r="F827" s="9"/>
      <c r="O827" s="10"/>
      <c r="P827" s="10"/>
    </row>
    <row r="828" spans="6:16" ht="13">
      <c r="F828" s="9"/>
      <c r="O828" s="10"/>
      <c r="P828" s="10"/>
    </row>
    <row r="829" spans="6:16" ht="13">
      <c r="F829" s="9"/>
      <c r="O829" s="10"/>
      <c r="P829" s="10"/>
    </row>
    <row r="830" spans="6:16" ht="13">
      <c r="F830" s="9"/>
      <c r="O830" s="10"/>
      <c r="P830" s="10"/>
    </row>
    <row r="831" spans="6:16" ht="13">
      <c r="F831" s="9"/>
      <c r="O831" s="10"/>
      <c r="P831" s="10"/>
    </row>
    <row r="832" spans="6:16" ht="13">
      <c r="F832" s="9"/>
      <c r="O832" s="10"/>
      <c r="P832" s="10"/>
    </row>
    <row r="833" spans="6:16" ht="13">
      <c r="F833" s="9"/>
      <c r="O833" s="10"/>
      <c r="P833" s="10"/>
    </row>
    <row r="834" spans="6:16" ht="13">
      <c r="F834" s="9"/>
      <c r="O834" s="10"/>
      <c r="P834" s="10"/>
    </row>
    <row r="835" spans="6:16" ht="13">
      <c r="F835" s="9"/>
      <c r="O835" s="10"/>
      <c r="P835" s="10"/>
    </row>
    <row r="836" spans="6:16" ht="13">
      <c r="F836" s="9"/>
      <c r="O836" s="10"/>
      <c r="P836" s="10"/>
    </row>
    <row r="837" spans="6:16" ht="13">
      <c r="F837" s="9"/>
      <c r="O837" s="10"/>
      <c r="P837" s="10"/>
    </row>
    <row r="838" spans="6:16" ht="13">
      <c r="F838" s="9"/>
      <c r="O838" s="10"/>
      <c r="P838" s="10"/>
    </row>
    <row r="839" spans="6:16" ht="13">
      <c r="F839" s="9"/>
      <c r="O839" s="10"/>
      <c r="P839" s="10"/>
    </row>
    <row r="840" spans="6:16" ht="13">
      <c r="F840" s="9"/>
      <c r="O840" s="10"/>
      <c r="P840" s="10"/>
    </row>
    <row r="841" spans="6:16" ht="13">
      <c r="F841" s="9"/>
      <c r="O841" s="10"/>
      <c r="P841" s="10"/>
    </row>
    <row r="842" spans="6:16" ht="13">
      <c r="F842" s="9"/>
      <c r="O842" s="10"/>
      <c r="P842" s="10"/>
    </row>
    <row r="843" spans="6:16" ht="13">
      <c r="F843" s="9"/>
      <c r="O843" s="10"/>
      <c r="P843" s="10"/>
    </row>
    <row r="844" spans="6:16" ht="13">
      <c r="F844" s="9"/>
      <c r="O844" s="10"/>
      <c r="P844" s="10"/>
    </row>
    <row r="845" spans="6:16" ht="13">
      <c r="F845" s="9"/>
      <c r="O845" s="10"/>
      <c r="P845" s="10"/>
    </row>
    <row r="846" spans="6:16" ht="13">
      <c r="F846" s="9"/>
      <c r="O846" s="10"/>
      <c r="P846" s="10"/>
    </row>
    <row r="847" spans="6:16" ht="13">
      <c r="F847" s="9"/>
      <c r="O847" s="10"/>
      <c r="P847" s="10"/>
    </row>
    <row r="848" spans="6:16" ht="13">
      <c r="F848" s="9"/>
      <c r="O848" s="10"/>
      <c r="P848" s="10"/>
    </row>
    <row r="849" spans="6:16" ht="13">
      <c r="F849" s="9"/>
      <c r="O849" s="10"/>
      <c r="P849" s="10"/>
    </row>
    <row r="850" spans="6:16" ht="13">
      <c r="F850" s="9"/>
      <c r="O850" s="10"/>
      <c r="P850" s="10"/>
    </row>
    <row r="851" spans="6:16" ht="13">
      <c r="F851" s="9"/>
      <c r="O851" s="10"/>
      <c r="P851" s="10"/>
    </row>
    <row r="852" spans="6:16" ht="13">
      <c r="F852" s="9"/>
      <c r="O852" s="10"/>
      <c r="P852" s="10"/>
    </row>
    <row r="853" spans="6:16" ht="13">
      <c r="F853" s="9"/>
      <c r="O853" s="10"/>
      <c r="P853" s="10"/>
    </row>
    <row r="854" spans="6:16" ht="13">
      <c r="F854" s="9"/>
      <c r="O854" s="10"/>
      <c r="P854" s="10"/>
    </row>
    <row r="855" spans="6:16" ht="13">
      <c r="F855" s="9"/>
      <c r="O855" s="10"/>
      <c r="P855" s="10"/>
    </row>
    <row r="856" spans="6:16" ht="13">
      <c r="F856" s="9"/>
      <c r="O856" s="10"/>
      <c r="P856" s="10"/>
    </row>
    <row r="857" spans="6:16" ht="13">
      <c r="F857" s="9"/>
      <c r="O857" s="10"/>
      <c r="P857" s="10"/>
    </row>
    <row r="858" spans="6:16" ht="13">
      <c r="F858" s="9"/>
      <c r="O858" s="10"/>
      <c r="P858" s="10"/>
    </row>
    <row r="859" spans="6:16" ht="13">
      <c r="F859" s="9"/>
      <c r="O859" s="10"/>
      <c r="P859" s="10"/>
    </row>
    <row r="860" spans="6:16" ht="13">
      <c r="F860" s="9"/>
      <c r="O860" s="10"/>
      <c r="P860" s="10"/>
    </row>
    <row r="861" spans="6:16" ht="13">
      <c r="F861" s="9"/>
      <c r="O861" s="10"/>
      <c r="P861" s="10"/>
    </row>
    <row r="862" spans="6:16" ht="13">
      <c r="F862" s="9"/>
      <c r="O862" s="10"/>
      <c r="P862" s="10"/>
    </row>
    <row r="863" spans="6:16" ht="13">
      <c r="F863" s="9"/>
      <c r="O863" s="10"/>
      <c r="P863" s="10"/>
    </row>
    <row r="864" spans="6:16" ht="13">
      <c r="F864" s="9"/>
      <c r="O864" s="10"/>
      <c r="P864" s="10"/>
    </row>
    <row r="865" spans="6:16" ht="13">
      <c r="F865" s="9"/>
      <c r="O865" s="10"/>
      <c r="P865" s="10"/>
    </row>
    <row r="866" spans="6:16" ht="13">
      <c r="F866" s="9"/>
      <c r="O866" s="10"/>
      <c r="P866" s="10"/>
    </row>
    <row r="867" spans="6:16" ht="13">
      <c r="F867" s="9"/>
      <c r="O867" s="10"/>
      <c r="P867" s="10"/>
    </row>
    <row r="868" spans="6:16" ht="13">
      <c r="F868" s="9"/>
      <c r="O868" s="10"/>
      <c r="P868" s="10"/>
    </row>
    <row r="869" spans="6:16" ht="13">
      <c r="F869" s="9"/>
      <c r="O869" s="10"/>
      <c r="P869" s="10"/>
    </row>
    <row r="870" spans="6:16" ht="13">
      <c r="F870" s="9"/>
      <c r="O870" s="10"/>
      <c r="P870" s="10"/>
    </row>
    <row r="871" spans="6:16" ht="13">
      <c r="F871" s="9"/>
      <c r="O871" s="10"/>
      <c r="P871" s="10"/>
    </row>
    <row r="872" spans="6:16" ht="13">
      <c r="F872" s="9"/>
      <c r="O872" s="10"/>
      <c r="P872" s="10"/>
    </row>
    <row r="873" spans="6:16" ht="13">
      <c r="F873" s="9"/>
      <c r="O873" s="10"/>
      <c r="P873" s="10"/>
    </row>
    <row r="874" spans="6:16" ht="13">
      <c r="F874" s="9"/>
      <c r="O874" s="10"/>
      <c r="P874" s="10"/>
    </row>
    <row r="875" spans="6:16" ht="13">
      <c r="F875" s="9"/>
      <c r="O875" s="10"/>
      <c r="P875" s="10"/>
    </row>
    <row r="876" spans="6:16" ht="13">
      <c r="F876" s="9"/>
      <c r="O876" s="10"/>
      <c r="P876" s="10"/>
    </row>
    <row r="877" spans="6:16" ht="13">
      <c r="F877" s="9"/>
      <c r="O877" s="10"/>
      <c r="P877" s="10"/>
    </row>
    <row r="878" spans="6:16" ht="13">
      <c r="F878" s="9"/>
      <c r="O878" s="10"/>
      <c r="P878" s="10"/>
    </row>
    <row r="879" spans="6:16" ht="13">
      <c r="F879" s="9"/>
      <c r="O879" s="10"/>
      <c r="P879" s="10"/>
    </row>
    <row r="880" spans="6:16" ht="13">
      <c r="F880" s="9"/>
      <c r="O880" s="10"/>
      <c r="P880" s="10"/>
    </row>
    <row r="881" spans="6:16" ht="13">
      <c r="F881" s="9"/>
      <c r="O881" s="10"/>
      <c r="P881" s="10"/>
    </row>
    <row r="882" spans="6:16" ht="13">
      <c r="F882" s="9"/>
      <c r="O882" s="10"/>
      <c r="P882" s="10"/>
    </row>
    <row r="883" spans="6:16" ht="13">
      <c r="F883" s="9"/>
      <c r="O883" s="10"/>
      <c r="P883" s="10"/>
    </row>
    <row r="884" spans="6:16" ht="13">
      <c r="F884" s="9"/>
      <c r="O884" s="10"/>
      <c r="P884" s="10"/>
    </row>
    <row r="885" spans="6:16" ht="13">
      <c r="F885" s="9"/>
      <c r="O885" s="10"/>
      <c r="P885" s="10"/>
    </row>
    <row r="886" spans="6:16" ht="13">
      <c r="F886" s="9"/>
      <c r="O886" s="10"/>
      <c r="P886" s="10"/>
    </row>
    <row r="887" spans="6:16" ht="13">
      <c r="F887" s="9"/>
      <c r="O887" s="10"/>
      <c r="P887" s="10"/>
    </row>
    <row r="888" spans="6:16" ht="13">
      <c r="F888" s="9"/>
      <c r="O888" s="10"/>
      <c r="P888" s="10"/>
    </row>
    <row r="889" spans="6:16" ht="13">
      <c r="F889" s="9"/>
      <c r="O889" s="10"/>
      <c r="P889" s="10"/>
    </row>
    <row r="890" spans="6:16" ht="13">
      <c r="F890" s="9"/>
      <c r="O890" s="10"/>
      <c r="P890" s="10"/>
    </row>
    <row r="891" spans="6:16" ht="13">
      <c r="F891" s="9"/>
      <c r="O891" s="10"/>
      <c r="P891" s="10"/>
    </row>
    <row r="892" spans="6:16" ht="13">
      <c r="F892" s="9"/>
      <c r="O892" s="10"/>
      <c r="P892" s="10"/>
    </row>
    <row r="893" spans="6:16" ht="13">
      <c r="F893" s="9"/>
      <c r="O893" s="10"/>
      <c r="P893" s="10"/>
    </row>
    <row r="894" spans="6:16" ht="13">
      <c r="F894" s="9"/>
      <c r="O894" s="10"/>
      <c r="P894" s="10"/>
    </row>
    <row r="895" spans="6:16" ht="13">
      <c r="F895" s="9"/>
      <c r="O895" s="10"/>
      <c r="P895" s="10"/>
    </row>
    <row r="896" spans="6:16" ht="13">
      <c r="F896" s="9"/>
      <c r="O896" s="10"/>
      <c r="P896" s="10"/>
    </row>
    <row r="897" spans="6:16" ht="13">
      <c r="F897" s="9"/>
      <c r="O897" s="10"/>
      <c r="P897" s="10"/>
    </row>
    <row r="898" spans="6:16" ht="13">
      <c r="F898" s="9"/>
      <c r="O898" s="10"/>
      <c r="P898" s="10"/>
    </row>
    <row r="899" spans="6:16" ht="13">
      <c r="F899" s="9"/>
      <c r="O899" s="10"/>
      <c r="P899" s="10"/>
    </row>
    <row r="900" spans="6:16" ht="13">
      <c r="F900" s="9"/>
      <c r="O900" s="10"/>
      <c r="P900" s="10"/>
    </row>
    <row r="901" spans="6:16" ht="13">
      <c r="F901" s="9"/>
      <c r="O901" s="10"/>
      <c r="P901" s="10"/>
    </row>
    <row r="902" spans="6:16" ht="13">
      <c r="F902" s="9"/>
      <c r="O902" s="10"/>
      <c r="P902" s="10"/>
    </row>
    <row r="903" spans="6:16" ht="13">
      <c r="F903" s="9"/>
      <c r="O903" s="10"/>
      <c r="P903" s="10"/>
    </row>
    <row r="904" spans="6:16" ht="13">
      <c r="F904" s="9"/>
      <c r="O904" s="10"/>
      <c r="P904" s="10"/>
    </row>
    <row r="905" spans="6:16" ht="13">
      <c r="F905" s="9"/>
      <c r="O905" s="10"/>
      <c r="P905" s="10"/>
    </row>
    <row r="906" spans="6:16" ht="13">
      <c r="F906" s="9"/>
      <c r="O906" s="10"/>
      <c r="P906" s="10"/>
    </row>
    <row r="907" spans="6:16" ht="13">
      <c r="F907" s="9"/>
      <c r="O907" s="10"/>
      <c r="P907" s="10"/>
    </row>
    <row r="908" spans="6:16" ht="13">
      <c r="F908" s="9"/>
      <c r="O908" s="10"/>
      <c r="P908" s="10"/>
    </row>
    <row r="909" spans="6:16" ht="13">
      <c r="F909" s="9"/>
      <c r="O909" s="10"/>
      <c r="P909" s="10"/>
    </row>
    <row r="910" spans="6:16" ht="13">
      <c r="F910" s="9"/>
      <c r="O910" s="10"/>
      <c r="P910" s="10"/>
    </row>
    <row r="911" spans="6:16" ht="13">
      <c r="F911" s="9"/>
      <c r="O911" s="10"/>
      <c r="P911" s="10"/>
    </row>
    <row r="912" spans="6:16" ht="13">
      <c r="F912" s="9"/>
      <c r="O912" s="10"/>
      <c r="P912" s="10"/>
    </row>
    <row r="913" spans="6:16" ht="13">
      <c r="F913" s="9"/>
      <c r="O913" s="10"/>
      <c r="P913" s="10"/>
    </row>
    <row r="914" spans="6:16" ht="13">
      <c r="F914" s="9"/>
      <c r="O914" s="10"/>
      <c r="P914" s="10"/>
    </row>
    <row r="915" spans="6:16" ht="13">
      <c r="F915" s="9"/>
      <c r="O915" s="10"/>
      <c r="P915" s="10"/>
    </row>
    <row r="916" spans="6:16" ht="13">
      <c r="F916" s="9"/>
      <c r="O916" s="10"/>
      <c r="P916" s="10"/>
    </row>
    <row r="917" spans="6:16" ht="13">
      <c r="F917" s="9"/>
      <c r="O917" s="10"/>
      <c r="P917" s="10"/>
    </row>
    <row r="918" spans="6:16" ht="13">
      <c r="F918" s="9"/>
      <c r="O918" s="10"/>
      <c r="P918" s="10"/>
    </row>
    <row r="919" spans="6:16" ht="13">
      <c r="F919" s="9"/>
      <c r="O919" s="10"/>
      <c r="P919" s="10"/>
    </row>
    <row r="920" spans="6:16" ht="13">
      <c r="F920" s="9"/>
      <c r="O920" s="10"/>
      <c r="P920" s="10"/>
    </row>
    <row r="921" spans="6:16" ht="13">
      <c r="F921" s="9"/>
      <c r="O921" s="10"/>
      <c r="P921" s="10"/>
    </row>
    <row r="922" spans="6:16" ht="13">
      <c r="F922" s="9"/>
      <c r="O922" s="10"/>
      <c r="P922" s="10"/>
    </row>
    <row r="923" spans="6:16" ht="13">
      <c r="F923" s="9"/>
      <c r="O923" s="10"/>
      <c r="P923" s="10"/>
    </row>
    <row r="924" spans="6:16" ht="13">
      <c r="F924" s="9"/>
      <c r="O924" s="10"/>
      <c r="P924" s="10"/>
    </row>
    <row r="925" spans="6:16" ht="13">
      <c r="F925" s="9"/>
      <c r="O925" s="10"/>
      <c r="P925" s="10"/>
    </row>
    <row r="926" spans="6:16" ht="13">
      <c r="F926" s="9"/>
      <c r="O926" s="10"/>
      <c r="P926" s="10"/>
    </row>
    <row r="927" spans="6:16" ht="13">
      <c r="F927" s="9"/>
      <c r="O927" s="10"/>
      <c r="P927" s="10"/>
    </row>
    <row r="928" spans="6:16" ht="13">
      <c r="F928" s="9"/>
      <c r="O928" s="10"/>
      <c r="P928" s="10"/>
    </row>
    <row r="929" spans="6:16" ht="13">
      <c r="F929" s="9"/>
      <c r="O929" s="10"/>
      <c r="P929" s="10"/>
    </row>
    <row r="930" spans="6:16" ht="13">
      <c r="F930" s="9"/>
      <c r="O930" s="10"/>
      <c r="P930" s="10"/>
    </row>
    <row r="931" spans="6:16" ht="13">
      <c r="F931" s="9"/>
      <c r="O931" s="10"/>
      <c r="P931" s="10"/>
    </row>
    <row r="932" spans="6:16" ht="13">
      <c r="F932" s="9"/>
      <c r="O932" s="10"/>
      <c r="P932" s="10"/>
    </row>
    <row r="933" spans="6:16" ht="13">
      <c r="F933" s="9"/>
      <c r="O933" s="10"/>
      <c r="P933" s="10"/>
    </row>
    <row r="934" spans="6:16" ht="13">
      <c r="F934" s="9"/>
      <c r="O934" s="10"/>
      <c r="P934" s="10"/>
    </row>
    <row r="935" spans="6:16" ht="13">
      <c r="F935" s="9"/>
      <c r="O935" s="10"/>
      <c r="P935" s="10"/>
    </row>
    <row r="936" spans="6:16" ht="13">
      <c r="F936" s="9"/>
      <c r="O936" s="10"/>
      <c r="P936" s="10"/>
    </row>
    <row r="937" spans="6:16" ht="13">
      <c r="F937" s="9"/>
      <c r="O937" s="10"/>
      <c r="P937" s="10"/>
    </row>
    <row r="938" spans="6:16" ht="13">
      <c r="F938" s="9"/>
      <c r="O938" s="10"/>
      <c r="P938" s="10"/>
    </row>
    <row r="939" spans="6:16" ht="13">
      <c r="F939" s="9"/>
      <c r="O939" s="10"/>
      <c r="P939" s="10"/>
    </row>
    <row r="940" spans="6:16" ht="13">
      <c r="F940" s="9"/>
      <c r="O940" s="10"/>
      <c r="P940" s="10"/>
    </row>
    <row r="941" spans="6:16" ht="13">
      <c r="F941" s="9"/>
      <c r="O941" s="10"/>
      <c r="P941" s="10"/>
    </row>
    <row r="942" spans="6:16" ht="13">
      <c r="F942" s="9"/>
      <c r="O942" s="10"/>
      <c r="P942" s="10"/>
    </row>
    <row r="943" spans="6:16" ht="13">
      <c r="F943" s="9"/>
      <c r="O943" s="10"/>
      <c r="P943" s="10"/>
    </row>
    <row r="944" spans="6:16" ht="13">
      <c r="F944" s="9"/>
      <c r="O944" s="10"/>
      <c r="P944" s="10"/>
    </row>
    <row r="945" spans="6:16" ht="13">
      <c r="F945" s="9"/>
      <c r="O945" s="10"/>
      <c r="P945" s="10"/>
    </row>
    <row r="946" spans="6:16" ht="13">
      <c r="F946" s="9"/>
      <c r="O946" s="10"/>
      <c r="P946" s="10"/>
    </row>
    <row r="947" spans="6:16" ht="13">
      <c r="F947" s="9"/>
      <c r="O947" s="10"/>
      <c r="P947" s="10"/>
    </row>
    <row r="948" spans="6:16" ht="13">
      <c r="F948" s="9"/>
      <c r="O948" s="10"/>
      <c r="P948" s="10"/>
    </row>
    <row r="949" spans="6:16" ht="13">
      <c r="F949" s="9"/>
      <c r="O949" s="10"/>
      <c r="P949" s="10"/>
    </row>
    <row r="950" spans="6:16" ht="13">
      <c r="F950" s="9"/>
      <c r="O950" s="10"/>
      <c r="P950" s="10"/>
    </row>
    <row r="951" spans="6:16" ht="13">
      <c r="F951" s="9"/>
      <c r="O951" s="10"/>
      <c r="P951" s="10"/>
    </row>
    <row r="952" spans="6:16" ht="13">
      <c r="F952" s="9"/>
      <c r="O952" s="10"/>
      <c r="P952" s="10"/>
    </row>
    <row r="953" spans="6:16" ht="13">
      <c r="F953" s="9"/>
      <c r="O953" s="10"/>
      <c r="P953" s="10"/>
    </row>
    <row r="954" spans="6:16" ht="13">
      <c r="F954" s="9"/>
      <c r="O954" s="10"/>
      <c r="P954" s="10"/>
    </row>
    <row r="955" spans="6:16" ht="13">
      <c r="F955" s="9"/>
      <c r="O955" s="10"/>
      <c r="P955" s="10"/>
    </row>
    <row r="956" spans="6:16" ht="13">
      <c r="F956" s="9"/>
      <c r="O956" s="10"/>
      <c r="P956" s="10"/>
    </row>
    <row r="957" spans="6:16" ht="13">
      <c r="F957" s="9"/>
      <c r="O957" s="10"/>
      <c r="P957" s="10"/>
    </row>
    <row r="958" spans="6:16" ht="13">
      <c r="F958" s="9"/>
      <c r="O958" s="10"/>
      <c r="P958" s="10"/>
    </row>
    <row r="959" spans="6:16" ht="13">
      <c r="F959" s="9"/>
      <c r="O959" s="10"/>
      <c r="P959" s="10"/>
    </row>
    <row r="960" spans="6:16" ht="13">
      <c r="F960" s="9"/>
      <c r="O960" s="10"/>
      <c r="P960" s="10"/>
    </row>
    <row r="961" spans="6:16" ht="13">
      <c r="F961" s="9"/>
      <c r="O961" s="10"/>
      <c r="P961" s="10"/>
    </row>
    <row r="962" spans="6:16" ht="13">
      <c r="F962" s="9"/>
      <c r="O962" s="10"/>
      <c r="P962" s="10"/>
    </row>
    <row r="963" spans="6:16" ht="13">
      <c r="F963" s="9"/>
      <c r="O963" s="10"/>
      <c r="P963" s="10"/>
    </row>
    <row r="964" spans="6:16" ht="13">
      <c r="F964" s="9"/>
      <c r="O964" s="10"/>
      <c r="P964" s="10"/>
    </row>
    <row r="965" spans="6:16" ht="13">
      <c r="F965" s="9"/>
      <c r="O965" s="10"/>
      <c r="P965" s="10"/>
    </row>
    <row r="966" spans="6:16" ht="13">
      <c r="F966" s="9"/>
      <c r="O966" s="10"/>
      <c r="P966" s="10"/>
    </row>
    <row r="967" spans="6:16" ht="13">
      <c r="F967" s="9"/>
      <c r="O967" s="10"/>
      <c r="P967" s="10"/>
    </row>
    <row r="968" spans="6:16" ht="13">
      <c r="F968" s="9"/>
      <c r="O968" s="10"/>
      <c r="P968" s="10"/>
    </row>
    <row r="969" spans="6:16" ht="13">
      <c r="F969" s="9"/>
      <c r="O969" s="10"/>
      <c r="P969" s="10"/>
    </row>
    <row r="970" spans="6:16" ht="13">
      <c r="F970" s="9"/>
      <c r="O970" s="10"/>
      <c r="P970" s="10"/>
    </row>
    <row r="971" spans="6:16" ht="13">
      <c r="F971" s="9"/>
      <c r="O971" s="10"/>
      <c r="P971" s="10"/>
    </row>
    <row r="972" spans="6:16" ht="13">
      <c r="F972" s="9"/>
      <c r="O972" s="10"/>
      <c r="P972" s="10"/>
    </row>
    <row r="973" spans="6:16" ht="13">
      <c r="F973" s="9"/>
      <c r="O973" s="10"/>
      <c r="P973" s="10"/>
    </row>
    <row r="974" spans="6:16" ht="13">
      <c r="F974" s="9"/>
      <c r="O974" s="10"/>
      <c r="P974" s="10"/>
    </row>
    <row r="975" spans="6:16" ht="13">
      <c r="F975" s="9"/>
      <c r="O975" s="10"/>
      <c r="P975" s="10"/>
    </row>
    <row r="976" spans="6:16" ht="13">
      <c r="F976" s="9"/>
      <c r="O976" s="10"/>
      <c r="P976" s="10"/>
    </row>
    <row r="977" spans="6:16" ht="13">
      <c r="F977" s="9"/>
      <c r="O977" s="10"/>
      <c r="P977" s="10"/>
    </row>
    <row r="978" spans="6:16" ht="13">
      <c r="F978" s="9"/>
      <c r="O978" s="10"/>
      <c r="P978" s="10"/>
    </row>
    <row r="979" spans="6:16" ht="13">
      <c r="F979" s="9"/>
      <c r="O979" s="10"/>
      <c r="P979" s="10"/>
    </row>
    <row r="980" spans="6:16" ht="13">
      <c r="F980" s="9"/>
      <c r="O980" s="10"/>
      <c r="P980" s="10"/>
    </row>
    <row r="981" spans="6:16" ht="13">
      <c r="F981" s="9"/>
      <c r="O981" s="10"/>
      <c r="P981" s="10"/>
    </row>
    <row r="982" spans="6:16" ht="13">
      <c r="F982" s="9"/>
      <c r="O982" s="10"/>
      <c r="P982" s="10"/>
    </row>
    <row r="983" spans="6:16" ht="13">
      <c r="F983" s="9"/>
      <c r="O983" s="10"/>
      <c r="P983" s="10"/>
    </row>
    <row r="984" spans="6:16" ht="13">
      <c r="F984" s="9"/>
      <c r="O984" s="10"/>
      <c r="P984" s="10"/>
    </row>
    <row r="985" spans="6:16" ht="13">
      <c r="F985" s="9"/>
      <c r="O985" s="10"/>
      <c r="P985" s="10"/>
    </row>
    <row r="986" spans="6:16" ht="13">
      <c r="F986" s="9"/>
      <c r="O986" s="10"/>
      <c r="P986" s="10"/>
    </row>
    <row r="987" spans="6:16" ht="13">
      <c r="F987" s="9"/>
      <c r="O987" s="10"/>
      <c r="P987" s="10"/>
    </row>
    <row r="988" spans="6:16" ht="13">
      <c r="F988" s="9"/>
      <c r="O988" s="10"/>
      <c r="P988" s="10"/>
    </row>
    <row r="989" spans="6:16" ht="13">
      <c r="F989" s="9"/>
      <c r="O989" s="10"/>
      <c r="P989" s="10"/>
    </row>
    <row r="990" spans="6:16" ht="13">
      <c r="F990" s="9"/>
      <c r="O990" s="10"/>
      <c r="P990" s="10"/>
    </row>
    <row r="991" spans="6:16" ht="13">
      <c r="F991" s="9"/>
      <c r="O991" s="10"/>
      <c r="P991" s="10"/>
    </row>
    <row r="992" spans="6:16" ht="13">
      <c r="F992" s="9"/>
      <c r="O992" s="10"/>
      <c r="P992" s="10"/>
    </row>
    <row r="993" spans="6:16" ht="13">
      <c r="F993" s="9"/>
      <c r="O993" s="10"/>
      <c r="P993" s="10"/>
    </row>
    <row r="994" spans="6:16" ht="13">
      <c r="F994" s="9"/>
      <c r="O994" s="10"/>
      <c r="P994" s="10"/>
    </row>
    <row r="995" spans="6:16" ht="13">
      <c r="F995" s="9"/>
      <c r="O995" s="10"/>
      <c r="P995" s="10"/>
    </row>
    <row r="996" spans="6:16" ht="13">
      <c r="F996" s="9"/>
      <c r="O996" s="10"/>
      <c r="P996" s="10"/>
    </row>
    <row r="997" spans="6:16" ht="13">
      <c r="F997" s="9"/>
      <c r="O997" s="10"/>
      <c r="P997" s="10"/>
    </row>
    <row r="998" spans="6:16" ht="13">
      <c r="F998" s="9"/>
      <c r="O998" s="10"/>
      <c r="P998" s="10"/>
    </row>
    <row r="999" spans="6:16" ht="13">
      <c r="F999" s="9"/>
      <c r="O999" s="10"/>
      <c r="P999" s="10"/>
    </row>
    <row r="1000" spans="6:16" ht="13">
      <c r="F1000" s="9"/>
      <c r="O1000" s="10"/>
      <c r="P1000" s="10"/>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000"/>
  <sheetViews>
    <sheetView workbookViewId="0">
      <pane ySplit="2" topLeftCell="A3" activePane="bottomLeft" state="frozen"/>
      <selection pane="bottomLeft" activeCell="B4" sqref="B4"/>
    </sheetView>
  </sheetViews>
  <sheetFormatPr baseColWidth="10" defaultColWidth="12.6640625" defaultRowHeight="15.75" customHeight="1"/>
  <cols>
    <col min="1" max="1" width="23.6640625" customWidth="1"/>
    <col min="2" max="2" width="7.1640625" customWidth="1"/>
    <col min="3" max="3" width="12.33203125" customWidth="1"/>
    <col min="4" max="4" width="14.1640625" customWidth="1"/>
    <col min="5" max="5" width="17.6640625" customWidth="1"/>
    <col min="6" max="6" width="10.5" customWidth="1"/>
    <col min="7" max="7" width="13.5" customWidth="1"/>
    <col min="8" max="8" width="6" customWidth="1"/>
    <col min="9" max="9" width="46.6640625" customWidth="1"/>
    <col min="10" max="10" width="24.6640625" customWidth="1"/>
  </cols>
  <sheetData>
    <row r="1" spans="1:32" ht="15.75" customHeight="1">
      <c r="A1" s="11" t="s">
        <v>248</v>
      </c>
      <c r="B1" s="11" t="s">
        <v>249</v>
      </c>
      <c r="C1" s="11" t="s">
        <v>250</v>
      </c>
      <c r="D1" s="11" t="s">
        <v>251</v>
      </c>
      <c r="E1" s="12" t="s">
        <v>252</v>
      </c>
      <c r="F1" s="13" t="s">
        <v>253</v>
      </c>
      <c r="G1" s="11" t="s">
        <v>254</v>
      </c>
      <c r="H1" s="13" t="s">
        <v>255</v>
      </c>
      <c r="I1" s="11" t="s">
        <v>256</v>
      </c>
      <c r="J1" s="11" t="s">
        <v>257</v>
      </c>
      <c r="K1" s="11" t="s">
        <v>258</v>
      </c>
      <c r="L1" s="11"/>
      <c r="M1" s="11"/>
      <c r="N1" s="11"/>
      <c r="O1" s="11"/>
      <c r="P1" s="11"/>
      <c r="Q1" s="11"/>
      <c r="R1" s="11"/>
      <c r="S1" s="11"/>
      <c r="T1" s="11"/>
      <c r="U1" s="11"/>
      <c r="V1" s="11"/>
      <c r="W1" s="11"/>
      <c r="X1" s="11"/>
      <c r="Y1" s="11"/>
      <c r="Z1" s="11"/>
      <c r="AA1" s="11"/>
      <c r="AB1" s="11"/>
      <c r="AC1" s="11"/>
      <c r="AD1" s="11"/>
      <c r="AE1" s="11"/>
      <c r="AF1" s="11"/>
    </row>
    <row r="2" spans="1:32" ht="15.75" customHeight="1">
      <c r="A2" s="14" t="s">
        <v>259</v>
      </c>
      <c r="B2" s="14" t="s">
        <v>260</v>
      </c>
      <c r="C2" s="14" t="s">
        <v>261</v>
      </c>
      <c r="D2" s="14" t="s">
        <v>262</v>
      </c>
      <c r="E2" s="15" t="s">
        <v>263</v>
      </c>
      <c r="F2" s="14">
        <v>7</v>
      </c>
      <c r="G2" s="14">
        <v>1</v>
      </c>
      <c r="H2" s="16">
        <v>14011</v>
      </c>
      <c r="I2" s="17" t="s">
        <v>264</v>
      </c>
      <c r="J2" s="14" t="s">
        <v>265</v>
      </c>
      <c r="K2" s="14"/>
      <c r="L2" s="14"/>
      <c r="M2" s="14"/>
      <c r="N2" s="14"/>
      <c r="O2" s="14"/>
      <c r="P2" s="14"/>
      <c r="Q2" s="14"/>
      <c r="R2" s="14"/>
      <c r="S2" s="14"/>
      <c r="T2" s="14"/>
      <c r="U2" s="14"/>
      <c r="V2" s="14"/>
      <c r="W2" s="14"/>
      <c r="X2" s="14"/>
      <c r="Y2" s="14"/>
      <c r="Z2" s="14"/>
      <c r="AA2" s="14"/>
      <c r="AB2" s="14"/>
      <c r="AC2" s="14"/>
      <c r="AD2" s="14"/>
      <c r="AE2" s="14"/>
      <c r="AF2" s="14"/>
    </row>
    <row r="3" spans="1:32" ht="15.75" customHeight="1">
      <c r="A3" s="18" t="s">
        <v>266</v>
      </c>
      <c r="B3" s="18" t="s">
        <v>260</v>
      </c>
      <c r="C3" s="18" t="s">
        <v>267</v>
      </c>
      <c r="D3" s="18" t="s">
        <v>268</v>
      </c>
      <c r="E3" s="19" t="s">
        <v>269</v>
      </c>
      <c r="F3" s="20">
        <v>0.04</v>
      </c>
      <c r="G3" s="18">
        <v>0.2</v>
      </c>
      <c r="H3" s="18">
        <v>7</v>
      </c>
      <c r="I3" s="21" t="s">
        <v>270</v>
      </c>
      <c r="J3" s="18" t="s">
        <v>271</v>
      </c>
    </row>
    <row r="4" spans="1:32" ht="15.75" customHeight="1">
      <c r="A4" s="18" t="s">
        <v>272</v>
      </c>
      <c r="B4" s="18" t="s">
        <v>260</v>
      </c>
      <c r="C4" s="18" t="s">
        <v>273</v>
      </c>
      <c r="D4" s="18" t="s">
        <v>274</v>
      </c>
      <c r="E4" s="19" t="s">
        <v>275</v>
      </c>
      <c r="F4" s="22">
        <v>3.6999999999999998E-2</v>
      </c>
      <c r="G4" s="18">
        <v>0.5</v>
      </c>
      <c r="H4" s="18">
        <v>116</v>
      </c>
      <c r="I4" s="21" t="s">
        <v>276</v>
      </c>
      <c r="J4" s="18" t="s">
        <v>277</v>
      </c>
    </row>
    <row r="5" spans="1:32" ht="15.75" customHeight="1">
      <c r="A5" s="18" t="s">
        <v>266</v>
      </c>
      <c r="B5" s="18" t="s">
        <v>260</v>
      </c>
      <c r="C5" s="18" t="s">
        <v>278</v>
      </c>
      <c r="D5" s="18" t="s">
        <v>279</v>
      </c>
      <c r="E5" s="19" t="s">
        <v>280</v>
      </c>
      <c r="F5" s="20">
        <v>0.04</v>
      </c>
      <c r="G5" s="18">
        <v>0.5</v>
      </c>
      <c r="H5" s="18">
        <v>80</v>
      </c>
      <c r="I5" s="21" t="s">
        <v>281</v>
      </c>
      <c r="J5" s="18" t="s">
        <v>282</v>
      </c>
    </row>
    <row r="6" spans="1:32" ht="15.75" customHeight="1">
      <c r="A6" s="18" t="s">
        <v>283</v>
      </c>
      <c r="B6" s="18" t="s">
        <v>260</v>
      </c>
      <c r="C6" s="18" t="s">
        <v>284</v>
      </c>
      <c r="D6" s="18" t="s">
        <v>279</v>
      </c>
      <c r="E6" s="19" t="s">
        <v>285</v>
      </c>
      <c r="F6" s="20">
        <v>0.04</v>
      </c>
      <c r="G6" s="18">
        <v>0.1</v>
      </c>
      <c r="H6" s="18">
        <v>5.0999999999999996</v>
      </c>
      <c r="I6" s="21" t="s">
        <v>286</v>
      </c>
      <c r="J6" s="18" t="s">
        <v>287</v>
      </c>
    </row>
    <row r="7" spans="1:32" ht="15.75" customHeight="1">
      <c r="A7" s="18" t="s">
        <v>283</v>
      </c>
      <c r="B7" s="18" t="s">
        <v>260</v>
      </c>
      <c r="C7" s="18" t="s">
        <v>267</v>
      </c>
      <c r="D7" s="18" t="s">
        <v>288</v>
      </c>
      <c r="E7" s="19" t="s">
        <v>289</v>
      </c>
      <c r="F7" s="22">
        <v>6.2E-2</v>
      </c>
      <c r="G7" s="23">
        <v>1</v>
      </c>
      <c r="H7" s="18">
        <v>801</v>
      </c>
      <c r="I7" s="24" t="s">
        <v>290</v>
      </c>
      <c r="J7" s="18" t="s">
        <v>291</v>
      </c>
    </row>
    <row r="8" spans="1:32" ht="15.75" customHeight="1">
      <c r="A8" s="18" t="s">
        <v>266</v>
      </c>
      <c r="B8" s="18" t="s">
        <v>260</v>
      </c>
      <c r="C8" s="18" t="s">
        <v>278</v>
      </c>
      <c r="D8" s="18" t="s">
        <v>292</v>
      </c>
      <c r="E8" s="19" t="s">
        <v>293</v>
      </c>
      <c r="F8" s="22">
        <v>8.2000000000000003E-2</v>
      </c>
      <c r="G8" s="18">
        <v>0.3</v>
      </c>
      <c r="H8" s="18">
        <v>29.4</v>
      </c>
      <c r="I8" s="21" t="s">
        <v>294</v>
      </c>
      <c r="J8" s="18" t="s">
        <v>295</v>
      </c>
    </row>
    <row r="9" spans="1:32" ht="15.75" customHeight="1">
      <c r="A9" s="18" t="s">
        <v>296</v>
      </c>
      <c r="B9" s="18" t="s">
        <v>260</v>
      </c>
      <c r="C9" s="18" t="s">
        <v>297</v>
      </c>
      <c r="D9" s="18" t="s">
        <v>292</v>
      </c>
      <c r="E9" s="19" t="s">
        <v>293</v>
      </c>
      <c r="F9" s="25">
        <v>6.5000000000000002E-2</v>
      </c>
      <c r="G9" s="18">
        <v>0.5</v>
      </c>
      <c r="H9" s="18">
        <v>22</v>
      </c>
      <c r="I9" s="21" t="s">
        <v>298</v>
      </c>
      <c r="J9" s="18" t="s">
        <v>299</v>
      </c>
    </row>
    <row r="10" spans="1:32" ht="15.75" customHeight="1">
      <c r="A10" s="18" t="s">
        <v>272</v>
      </c>
      <c r="B10" s="18" t="s">
        <v>260</v>
      </c>
      <c r="C10" s="18" t="s">
        <v>300</v>
      </c>
      <c r="D10" s="18" t="s">
        <v>301</v>
      </c>
      <c r="E10" s="19" t="s">
        <v>302</v>
      </c>
      <c r="F10" s="20">
        <v>0.04</v>
      </c>
      <c r="G10" s="18">
        <v>0.1</v>
      </c>
      <c r="H10" s="18">
        <v>0.7</v>
      </c>
      <c r="I10" s="24" t="s">
        <v>303</v>
      </c>
      <c r="J10" s="18" t="s">
        <v>304</v>
      </c>
    </row>
    <row r="11" spans="1:32" ht="15.75" customHeight="1">
      <c r="A11" s="18" t="s">
        <v>296</v>
      </c>
      <c r="B11" s="18" t="s">
        <v>260</v>
      </c>
      <c r="C11" s="18" t="s">
        <v>278</v>
      </c>
      <c r="D11" s="18" t="s">
        <v>305</v>
      </c>
      <c r="E11" s="19" t="s">
        <v>306</v>
      </c>
      <c r="F11" s="20">
        <v>0.04</v>
      </c>
      <c r="G11" s="18">
        <v>0.1</v>
      </c>
      <c r="H11" s="18">
        <v>2.5</v>
      </c>
      <c r="I11" s="24" t="s">
        <v>307</v>
      </c>
      <c r="J11" s="18" t="s">
        <v>308</v>
      </c>
    </row>
    <row r="12" spans="1:32" ht="15.75" customHeight="1">
      <c r="A12" s="18" t="s">
        <v>272</v>
      </c>
      <c r="B12" s="18" t="s">
        <v>260</v>
      </c>
      <c r="C12" s="18" t="s">
        <v>278</v>
      </c>
      <c r="D12" s="18" t="s">
        <v>309</v>
      </c>
      <c r="E12" s="19" t="s">
        <v>310</v>
      </c>
      <c r="F12" s="20">
        <v>0.04</v>
      </c>
      <c r="G12" s="18">
        <v>0.5</v>
      </c>
      <c r="H12" s="18">
        <v>42</v>
      </c>
      <c r="I12" s="24" t="s">
        <v>311</v>
      </c>
      <c r="J12" s="18" t="s">
        <v>312</v>
      </c>
    </row>
    <row r="13" spans="1:32" ht="15.75" customHeight="1">
      <c r="A13" s="18" t="s">
        <v>266</v>
      </c>
      <c r="B13" s="18" t="s">
        <v>260</v>
      </c>
      <c r="C13" s="18" t="s">
        <v>313</v>
      </c>
      <c r="D13" s="18" t="s">
        <v>314</v>
      </c>
      <c r="E13" s="19" t="s">
        <v>315</v>
      </c>
      <c r="F13" s="20">
        <v>0.04</v>
      </c>
      <c r="G13" s="18">
        <v>0.1</v>
      </c>
      <c r="H13" s="18">
        <v>0.53</v>
      </c>
      <c r="I13" s="24" t="s">
        <v>316</v>
      </c>
      <c r="J13" s="18" t="s">
        <v>317</v>
      </c>
    </row>
    <row r="14" spans="1:32" ht="15.75" customHeight="1">
      <c r="A14" s="18" t="s">
        <v>266</v>
      </c>
      <c r="B14" s="18" t="s">
        <v>260</v>
      </c>
      <c r="C14" s="18" t="s">
        <v>318</v>
      </c>
      <c r="D14" s="18" t="s">
        <v>319</v>
      </c>
      <c r="E14" s="19" t="s">
        <v>320</v>
      </c>
      <c r="F14" s="20">
        <v>0.04</v>
      </c>
      <c r="G14" s="18">
        <v>0.1</v>
      </c>
      <c r="H14" s="18">
        <v>0.3</v>
      </c>
      <c r="I14" s="24" t="s">
        <v>321</v>
      </c>
      <c r="J14" s="18" t="s">
        <v>322</v>
      </c>
    </row>
    <row r="15" spans="1:32" ht="15.75" customHeight="1">
      <c r="A15" s="18" t="s">
        <v>272</v>
      </c>
      <c r="B15" s="18" t="s">
        <v>260</v>
      </c>
      <c r="C15" s="18" t="s">
        <v>323</v>
      </c>
      <c r="D15" s="18" t="s">
        <v>324</v>
      </c>
      <c r="E15" s="19" t="s">
        <v>325</v>
      </c>
      <c r="F15" s="25">
        <v>3.5000000000000003E-2</v>
      </c>
      <c r="G15" s="18">
        <v>0.1</v>
      </c>
      <c r="H15" s="18">
        <v>0.13</v>
      </c>
      <c r="I15" s="24" t="s">
        <v>326</v>
      </c>
      <c r="J15" s="18" t="s">
        <v>327</v>
      </c>
    </row>
    <row r="16" spans="1:32" ht="15.75" customHeight="1">
      <c r="A16" s="18" t="s">
        <v>266</v>
      </c>
      <c r="B16" s="18" t="s">
        <v>260</v>
      </c>
      <c r="C16" s="18" t="s">
        <v>328</v>
      </c>
      <c r="D16" s="18" t="s">
        <v>329</v>
      </c>
      <c r="E16" s="19" t="s">
        <v>330</v>
      </c>
      <c r="F16" s="18" t="s">
        <v>331</v>
      </c>
      <c r="G16" s="18">
        <v>1</v>
      </c>
      <c r="H16" s="18">
        <v>5122</v>
      </c>
      <c r="I16" s="24" t="s">
        <v>332</v>
      </c>
      <c r="J16" s="18" t="s">
        <v>333</v>
      </c>
    </row>
    <row r="17" spans="1:32" ht="15.75" customHeight="1">
      <c r="A17" s="18" t="s">
        <v>266</v>
      </c>
      <c r="B17" s="18" t="s">
        <v>260</v>
      </c>
      <c r="C17" s="18" t="s">
        <v>334</v>
      </c>
      <c r="D17" s="18" t="s">
        <v>335</v>
      </c>
      <c r="E17" s="19" t="s">
        <v>336</v>
      </c>
      <c r="F17" s="25">
        <v>4.2999999999999997E-2</v>
      </c>
      <c r="G17" s="18">
        <v>0.5</v>
      </c>
      <c r="H17" s="18">
        <v>11403</v>
      </c>
      <c r="I17" s="24" t="s">
        <v>337</v>
      </c>
      <c r="J17" s="18" t="s">
        <v>338</v>
      </c>
    </row>
    <row r="18" spans="1:32" ht="15.75" customHeight="1">
      <c r="A18" s="18" t="s">
        <v>339</v>
      </c>
      <c r="B18" s="18" t="s">
        <v>260</v>
      </c>
      <c r="C18" s="18" t="s">
        <v>340</v>
      </c>
      <c r="D18" s="18" t="s">
        <v>262</v>
      </c>
      <c r="E18" s="19" t="s">
        <v>263</v>
      </c>
      <c r="F18" s="20">
        <v>0.12</v>
      </c>
      <c r="G18" s="18">
        <v>1</v>
      </c>
      <c r="H18" s="26">
        <v>14011</v>
      </c>
      <c r="I18" s="21" t="s">
        <v>341</v>
      </c>
      <c r="J18" s="18" t="s">
        <v>342</v>
      </c>
    </row>
    <row r="19" spans="1:32" ht="15.75" customHeight="1">
      <c r="A19" s="18" t="s">
        <v>296</v>
      </c>
      <c r="B19" s="18" t="s">
        <v>343</v>
      </c>
      <c r="C19" s="18" t="s">
        <v>344</v>
      </c>
      <c r="D19" s="18" t="s">
        <v>345</v>
      </c>
      <c r="E19" s="19" t="s">
        <v>346</v>
      </c>
      <c r="F19" s="18" t="s">
        <v>347</v>
      </c>
      <c r="G19" s="18">
        <v>1</v>
      </c>
      <c r="H19" s="18">
        <v>2592</v>
      </c>
      <c r="I19" s="21" t="s">
        <v>348</v>
      </c>
      <c r="J19" s="18" t="s">
        <v>349</v>
      </c>
    </row>
    <row r="20" spans="1:32" ht="15.75" customHeight="1">
      <c r="A20" s="18" t="s">
        <v>283</v>
      </c>
      <c r="B20" s="18" t="s">
        <v>260</v>
      </c>
      <c r="C20" s="18" t="s">
        <v>350</v>
      </c>
      <c r="D20" s="18" t="s">
        <v>345</v>
      </c>
      <c r="E20" s="19" t="s">
        <v>346</v>
      </c>
      <c r="F20" s="20">
        <v>0.12</v>
      </c>
      <c r="G20" s="18">
        <v>0.1</v>
      </c>
      <c r="H20" s="18">
        <v>318</v>
      </c>
      <c r="I20" s="24" t="s">
        <v>351</v>
      </c>
      <c r="J20" s="18" t="s">
        <v>352</v>
      </c>
      <c r="K20" s="18" t="s">
        <v>353</v>
      </c>
    </row>
    <row r="21" spans="1:32" ht="15.75" customHeight="1">
      <c r="A21" s="18" t="s">
        <v>266</v>
      </c>
      <c r="B21" s="18" t="s">
        <v>260</v>
      </c>
      <c r="C21" s="18" t="s">
        <v>354</v>
      </c>
      <c r="D21" s="18" t="s">
        <v>355</v>
      </c>
      <c r="E21" s="19" t="s">
        <v>356</v>
      </c>
      <c r="F21" s="25">
        <v>9.6000000000000002E-2</v>
      </c>
      <c r="G21" s="18">
        <v>0.5</v>
      </c>
      <c r="H21" s="18">
        <v>65</v>
      </c>
      <c r="I21" s="21" t="s">
        <v>357</v>
      </c>
      <c r="J21" s="18" t="s">
        <v>358</v>
      </c>
    </row>
    <row r="22" spans="1:32" ht="15.75" customHeight="1">
      <c r="A22" s="18" t="s">
        <v>266</v>
      </c>
      <c r="B22" s="18" t="s">
        <v>260</v>
      </c>
      <c r="C22" s="18" t="s">
        <v>359</v>
      </c>
      <c r="D22" s="18" t="s">
        <v>355</v>
      </c>
      <c r="E22" s="19" t="s">
        <v>356</v>
      </c>
      <c r="F22" s="25">
        <v>5.8000000000000003E-2</v>
      </c>
      <c r="G22" s="18">
        <v>0.5</v>
      </c>
      <c r="H22" s="18">
        <v>35</v>
      </c>
      <c r="I22" s="21" t="s">
        <v>360</v>
      </c>
      <c r="J22" s="18" t="s">
        <v>361</v>
      </c>
      <c r="K22" s="18" t="s">
        <v>362</v>
      </c>
    </row>
    <row r="23" spans="1:32" ht="15.75" customHeight="1">
      <c r="A23" s="27" t="s">
        <v>266</v>
      </c>
      <c r="B23" s="27" t="s">
        <v>260</v>
      </c>
      <c r="C23" s="27" t="s">
        <v>363</v>
      </c>
      <c r="D23" s="27" t="s">
        <v>364</v>
      </c>
      <c r="E23" s="19" t="s">
        <v>356</v>
      </c>
      <c r="F23" s="28">
        <v>6.0999999999999999E-2</v>
      </c>
      <c r="G23" s="27">
        <v>0.5</v>
      </c>
      <c r="H23" s="27">
        <v>73</v>
      </c>
      <c r="I23" s="29" t="s">
        <v>365</v>
      </c>
      <c r="J23" s="27" t="s">
        <v>366</v>
      </c>
      <c r="K23" s="18" t="s">
        <v>362</v>
      </c>
      <c r="L23" s="27"/>
      <c r="M23" s="27"/>
      <c r="N23" s="27"/>
      <c r="O23" s="27"/>
      <c r="P23" s="27"/>
      <c r="Q23" s="27"/>
      <c r="R23" s="27"/>
      <c r="S23" s="27"/>
      <c r="T23" s="27"/>
      <c r="U23" s="27"/>
      <c r="V23" s="27"/>
      <c r="W23" s="27"/>
      <c r="X23" s="27"/>
      <c r="Y23" s="27"/>
      <c r="Z23" s="27"/>
      <c r="AA23" s="27"/>
      <c r="AB23" s="27"/>
      <c r="AC23" s="27"/>
      <c r="AD23" s="27"/>
      <c r="AE23" s="27"/>
      <c r="AF23" s="27"/>
    </row>
    <row r="24" spans="1:32" ht="15.75" customHeight="1">
      <c r="A24" s="30" t="s">
        <v>266</v>
      </c>
      <c r="B24" s="30" t="s">
        <v>260</v>
      </c>
      <c r="C24" s="30" t="s">
        <v>367</v>
      </c>
      <c r="D24" s="30" t="s">
        <v>355</v>
      </c>
      <c r="E24" s="19" t="s">
        <v>356</v>
      </c>
      <c r="F24" s="31">
        <v>0.04</v>
      </c>
      <c r="G24" s="30">
        <v>1</v>
      </c>
      <c r="H24" s="30">
        <v>354</v>
      </c>
      <c r="I24" s="32" t="s">
        <v>368</v>
      </c>
      <c r="J24" s="30" t="s">
        <v>369</v>
      </c>
      <c r="L24" s="30"/>
      <c r="M24" s="30"/>
      <c r="N24" s="30"/>
      <c r="O24" s="30"/>
      <c r="P24" s="30"/>
      <c r="Q24" s="30"/>
      <c r="R24" s="30"/>
      <c r="S24" s="30"/>
      <c r="T24" s="30"/>
      <c r="U24" s="30"/>
      <c r="V24" s="30"/>
      <c r="W24" s="30"/>
      <c r="X24" s="30"/>
      <c r="Y24" s="30"/>
      <c r="Z24" s="30"/>
      <c r="AA24" s="30"/>
      <c r="AB24" s="30"/>
      <c r="AC24" s="30"/>
      <c r="AD24" s="30"/>
      <c r="AE24" s="30"/>
      <c r="AF24" s="30"/>
    </row>
    <row r="25" spans="1:32" ht="15.75" customHeight="1">
      <c r="A25" s="18" t="s">
        <v>370</v>
      </c>
      <c r="B25" s="18" t="s">
        <v>260</v>
      </c>
      <c r="C25" s="18" t="s">
        <v>371</v>
      </c>
      <c r="D25" s="18" t="s">
        <v>372</v>
      </c>
      <c r="E25" s="19" t="s">
        <v>373</v>
      </c>
      <c r="F25" s="20">
        <v>0.04</v>
      </c>
      <c r="G25" s="18">
        <v>0.5</v>
      </c>
      <c r="H25" s="18">
        <v>20</v>
      </c>
      <c r="I25" s="24" t="s">
        <v>374</v>
      </c>
      <c r="J25" s="18" t="s">
        <v>375</v>
      </c>
    </row>
    <row r="26" spans="1:32" ht="15.75" customHeight="1">
      <c r="A26" s="18" t="s">
        <v>272</v>
      </c>
      <c r="B26" s="18" t="s">
        <v>260</v>
      </c>
      <c r="C26" s="18" t="s">
        <v>376</v>
      </c>
      <c r="D26" s="18" t="s">
        <v>75</v>
      </c>
      <c r="E26" s="19" t="s">
        <v>377</v>
      </c>
      <c r="F26" s="20">
        <v>7.0000000000000007E-2</v>
      </c>
      <c r="G26" s="18">
        <v>0.1</v>
      </c>
      <c r="H26" s="18">
        <v>5</v>
      </c>
      <c r="I26" s="21" t="s">
        <v>378</v>
      </c>
      <c r="J26" s="18" t="s">
        <v>379</v>
      </c>
    </row>
    <row r="27" spans="1:32" ht="15.75" customHeight="1">
      <c r="A27" s="18" t="s">
        <v>283</v>
      </c>
      <c r="B27" s="18" t="s">
        <v>260</v>
      </c>
      <c r="C27" s="18" t="s">
        <v>380</v>
      </c>
      <c r="D27" s="18" t="s">
        <v>381</v>
      </c>
      <c r="E27" s="19" t="s">
        <v>382</v>
      </c>
      <c r="F27" s="20">
        <v>0.12</v>
      </c>
      <c r="G27" s="18">
        <v>0.3</v>
      </c>
      <c r="H27" s="18">
        <v>97</v>
      </c>
      <c r="I27" s="21" t="s">
        <v>383</v>
      </c>
      <c r="J27" s="18" t="s">
        <v>384</v>
      </c>
      <c r="K27" s="18" t="s">
        <v>385</v>
      </c>
    </row>
    <row r="28" spans="1:32" ht="15.75" customHeight="1">
      <c r="A28" s="18" t="s">
        <v>283</v>
      </c>
      <c r="B28" s="18" t="s">
        <v>260</v>
      </c>
      <c r="C28" s="18" t="s">
        <v>386</v>
      </c>
      <c r="D28" s="18" t="s">
        <v>381</v>
      </c>
      <c r="E28" s="19" t="s">
        <v>382</v>
      </c>
      <c r="F28" s="20">
        <v>0.12</v>
      </c>
      <c r="G28" s="18">
        <v>0.3</v>
      </c>
      <c r="H28" s="18">
        <v>97</v>
      </c>
      <c r="I28" s="21" t="s">
        <v>383</v>
      </c>
      <c r="J28" s="18" t="s">
        <v>384</v>
      </c>
      <c r="K28" s="18" t="s">
        <v>385</v>
      </c>
    </row>
    <row r="29" spans="1:32" ht="15.75" customHeight="1">
      <c r="A29" s="18" t="s">
        <v>283</v>
      </c>
      <c r="B29" s="18" t="s">
        <v>260</v>
      </c>
      <c r="C29" s="18" t="s">
        <v>387</v>
      </c>
      <c r="D29" s="18" t="s">
        <v>381</v>
      </c>
      <c r="E29" s="19" t="s">
        <v>382</v>
      </c>
      <c r="F29" s="20">
        <v>0.12</v>
      </c>
      <c r="G29" s="18">
        <v>0.3</v>
      </c>
      <c r="H29" s="18">
        <v>97</v>
      </c>
      <c r="I29" s="21" t="s">
        <v>383</v>
      </c>
      <c r="J29" s="18" t="s">
        <v>384</v>
      </c>
      <c r="K29" s="18" t="s">
        <v>385</v>
      </c>
    </row>
    <row r="30" spans="1:32" ht="15.75" customHeight="1">
      <c r="A30" s="18" t="s">
        <v>283</v>
      </c>
      <c r="B30" s="18" t="s">
        <v>260</v>
      </c>
      <c r="C30" s="18" t="s">
        <v>388</v>
      </c>
      <c r="D30" s="18" t="s">
        <v>381</v>
      </c>
      <c r="E30" s="19" t="s">
        <v>382</v>
      </c>
      <c r="F30" s="20">
        <v>0.12</v>
      </c>
      <c r="G30" s="18">
        <v>0.3</v>
      </c>
      <c r="H30" s="18">
        <v>97</v>
      </c>
      <c r="I30" s="21" t="s">
        <v>383</v>
      </c>
      <c r="J30" s="18" t="s">
        <v>384</v>
      </c>
      <c r="K30" s="18" t="s">
        <v>385</v>
      </c>
    </row>
    <row r="31" spans="1:32" ht="15.75" customHeight="1">
      <c r="A31" s="18" t="s">
        <v>283</v>
      </c>
      <c r="B31" s="18" t="s">
        <v>260</v>
      </c>
      <c r="C31" s="18" t="s">
        <v>389</v>
      </c>
      <c r="D31" s="18" t="s">
        <v>381</v>
      </c>
      <c r="E31" s="19" t="s">
        <v>382</v>
      </c>
      <c r="F31" s="20">
        <v>0.12</v>
      </c>
      <c r="G31" s="18">
        <v>0.3</v>
      </c>
      <c r="H31" s="18">
        <v>97</v>
      </c>
      <c r="I31" s="21" t="s">
        <v>383</v>
      </c>
      <c r="J31" s="18" t="s">
        <v>384</v>
      </c>
      <c r="K31" s="18" t="s">
        <v>385</v>
      </c>
    </row>
    <row r="32" spans="1:32" ht="15.75" customHeight="1">
      <c r="A32" s="18" t="s">
        <v>283</v>
      </c>
      <c r="B32" s="18" t="s">
        <v>260</v>
      </c>
      <c r="C32" s="18" t="s">
        <v>390</v>
      </c>
      <c r="D32" s="18" t="s">
        <v>381</v>
      </c>
      <c r="E32" s="19" t="s">
        <v>382</v>
      </c>
      <c r="F32" s="20">
        <v>0.12</v>
      </c>
      <c r="G32" s="18">
        <v>0.3</v>
      </c>
      <c r="H32" s="18">
        <v>97</v>
      </c>
      <c r="I32" s="21" t="s">
        <v>383</v>
      </c>
      <c r="J32" s="18" t="s">
        <v>384</v>
      </c>
      <c r="K32" s="18" t="s">
        <v>385</v>
      </c>
    </row>
    <row r="33" spans="1:11" ht="15.75" customHeight="1">
      <c r="A33" s="18" t="s">
        <v>283</v>
      </c>
      <c r="B33" s="18" t="s">
        <v>260</v>
      </c>
      <c r="C33" s="18" t="s">
        <v>391</v>
      </c>
      <c r="D33" s="18" t="s">
        <v>381</v>
      </c>
      <c r="E33" s="19" t="s">
        <v>382</v>
      </c>
      <c r="F33" s="20">
        <v>0.12</v>
      </c>
      <c r="G33" s="18">
        <v>0.3</v>
      </c>
      <c r="H33" s="18">
        <v>97</v>
      </c>
      <c r="I33" s="21" t="s">
        <v>383</v>
      </c>
      <c r="J33" s="18" t="s">
        <v>384</v>
      </c>
      <c r="K33" s="18" t="s">
        <v>385</v>
      </c>
    </row>
    <row r="34" spans="1:11" ht="15.75" customHeight="1">
      <c r="A34" s="18" t="s">
        <v>283</v>
      </c>
      <c r="B34" s="18" t="s">
        <v>260</v>
      </c>
      <c r="C34" s="18" t="s">
        <v>392</v>
      </c>
      <c r="D34" s="18" t="s">
        <v>381</v>
      </c>
      <c r="E34" s="19" t="s">
        <v>382</v>
      </c>
      <c r="F34" s="20">
        <v>0.12</v>
      </c>
      <c r="G34" s="18">
        <v>0.3</v>
      </c>
      <c r="H34" s="18">
        <v>97</v>
      </c>
      <c r="I34" s="21" t="s">
        <v>383</v>
      </c>
      <c r="J34" s="18" t="s">
        <v>384</v>
      </c>
      <c r="K34" s="18" t="s">
        <v>385</v>
      </c>
    </row>
    <row r="35" spans="1:11" ht="15.75" customHeight="1">
      <c r="A35" s="18" t="s">
        <v>283</v>
      </c>
      <c r="B35" s="18" t="s">
        <v>260</v>
      </c>
      <c r="C35" s="18" t="s">
        <v>393</v>
      </c>
      <c r="D35" s="18" t="s">
        <v>381</v>
      </c>
      <c r="E35" s="19" t="s">
        <v>382</v>
      </c>
      <c r="F35" s="20">
        <v>0.12</v>
      </c>
      <c r="G35" s="18">
        <v>0.3</v>
      </c>
      <c r="H35" s="18">
        <v>97</v>
      </c>
      <c r="I35" s="21" t="s">
        <v>383</v>
      </c>
      <c r="J35" s="18" t="s">
        <v>384</v>
      </c>
      <c r="K35" s="18" t="s">
        <v>385</v>
      </c>
    </row>
    <row r="36" spans="1:11" ht="15.75" customHeight="1">
      <c r="A36" s="18" t="s">
        <v>283</v>
      </c>
      <c r="B36" s="18" t="s">
        <v>260</v>
      </c>
      <c r="C36" s="18" t="s">
        <v>394</v>
      </c>
      <c r="D36" s="18" t="s">
        <v>381</v>
      </c>
      <c r="E36" s="19" t="s">
        <v>382</v>
      </c>
      <c r="F36" s="20">
        <v>0.12</v>
      </c>
      <c r="G36" s="18">
        <v>0.3</v>
      </c>
      <c r="H36" s="18">
        <v>97</v>
      </c>
      <c r="I36" s="21" t="s">
        <v>383</v>
      </c>
      <c r="J36" s="18" t="s">
        <v>384</v>
      </c>
    </row>
    <row r="37" spans="1:11" ht="15.75" customHeight="1">
      <c r="A37" s="18" t="s">
        <v>283</v>
      </c>
      <c r="B37" s="18" t="s">
        <v>260</v>
      </c>
      <c r="C37" s="18" t="s">
        <v>395</v>
      </c>
      <c r="D37" s="18" t="s">
        <v>381</v>
      </c>
      <c r="E37" s="19" t="s">
        <v>382</v>
      </c>
      <c r="F37" s="20">
        <v>0.12</v>
      </c>
      <c r="G37" s="18">
        <v>0.3</v>
      </c>
      <c r="H37" s="18">
        <v>97</v>
      </c>
      <c r="I37" s="21" t="s">
        <v>383</v>
      </c>
      <c r="J37" s="18" t="s">
        <v>384</v>
      </c>
    </row>
    <row r="38" spans="1:11" ht="15.75" customHeight="1">
      <c r="A38" s="18" t="s">
        <v>266</v>
      </c>
      <c r="B38" s="18" t="s">
        <v>260</v>
      </c>
      <c r="C38" s="18" t="s">
        <v>396</v>
      </c>
      <c r="D38" s="18" t="s">
        <v>381</v>
      </c>
      <c r="E38" s="19" t="s">
        <v>397</v>
      </c>
      <c r="F38" s="20">
        <v>0.12</v>
      </c>
      <c r="G38" s="18">
        <v>0.5</v>
      </c>
      <c r="H38" s="18">
        <v>1729</v>
      </c>
      <c r="I38" s="21" t="s">
        <v>398</v>
      </c>
      <c r="J38" s="18" t="s">
        <v>399</v>
      </c>
    </row>
    <row r="39" spans="1:11" ht="15.75" customHeight="1">
      <c r="A39" s="18" t="s">
        <v>400</v>
      </c>
      <c r="B39" s="18" t="s">
        <v>260</v>
      </c>
      <c r="C39" s="18" t="s">
        <v>401</v>
      </c>
      <c r="D39" s="18" t="s">
        <v>381</v>
      </c>
      <c r="E39" s="19" t="s">
        <v>382</v>
      </c>
      <c r="F39" s="20">
        <v>0.12</v>
      </c>
      <c r="G39" s="18" t="s">
        <v>402</v>
      </c>
      <c r="H39" s="18" t="s">
        <v>402</v>
      </c>
      <c r="I39" s="24" t="s">
        <v>403</v>
      </c>
      <c r="J39" s="18" t="s">
        <v>404</v>
      </c>
      <c r="K39" s="18" t="s">
        <v>405</v>
      </c>
    </row>
    <row r="40" spans="1:11" ht="15.75" customHeight="1">
      <c r="A40" s="18" t="s">
        <v>406</v>
      </c>
      <c r="B40" s="18" t="s">
        <v>260</v>
      </c>
      <c r="C40" s="18" t="s">
        <v>407</v>
      </c>
      <c r="D40" s="18" t="s">
        <v>381</v>
      </c>
      <c r="E40" s="19" t="s">
        <v>382</v>
      </c>
      <c r="F40" s="20">
        <v>0.12</v>
      </c>
      <c r="G40" s="18">
        <v>1</v>
      </c>
      <c r="H40" s="18">
        <v>1641</v>
      </c>
      <c r="I40" s="21" t="s">
        <v>408</v>
      </c>
      <c r="J40" s="18" t="s">
        <v>409</v>
      </c>
    </row>
    <row r="41" spans="1:11" ht="15.75" customHeight="1">
      <c r="A41" s="18" t="s">
        <v>410</v>
      </c>
      <c r="B41" s="18" t="s">
        <v>411</v>
      </c>
      <c r="C41" s="18" t="s">
        <v>412</v>
      </c>
      <c r="D41" s="18" t="s">
        <v>413</v>
      </c>
      <c r="E41" s="19" t="s">
        <v>414</v>
      </c>
      <c r="F41" s="20">
        <v>0.08</v>
      </c>
      <c r="G41" s="18">
        <v>0.25</v>
      </c>
      <c r="H41" s="18">
        <v>4</v>
      </c>
      <c r="I41" s="21" t="s">
        <v>415</v>
      </c>
      <c r="J41" s="18" t="s">
        <v>416</v>
      </c>
    </row>
    <row r="42" spans="1:11" ht="15.75" customHeight="1">
      <c r="A42" s="18" t="s">
        <v>417</v>
      </c>
      <c r="B42" s="18" t="s">
        <v>411</v>
      </c>
      <c r="C42" s="18" t="s">
        <v>418</v>
      </c>
      <c r="D42" s="18" t="s">
        <v>413</v>
      </c>
      <c r="E42" s="19" t="s">
        <v>414</v>
      </c>
      <c r="F42" s="20">
        <v>0.08</v>
      </c>
      <c r="G42" s="18">
        <v>1</v>
      </c>
      <c r="H42" s="18">
        <v>360</v>
      </c>
      <c r="I42" s="21" t="s">
        <v>419</v>
      </c>
      <c r="J42" s="18" t="s">
        <v>420</v>
      </c>
    </row>
    <row r="43" spans="1:11" ht="15.75" customHeight="1">
      <c r="A43" s="18" t="s">
        <v>421</v>
      </c>
      <c r="B43" s="18" t="s">
        <v>411</v>
      </c>
      <c r="C43" s="18" t="s">
        <v>422</v>
      </c>
      <c r="D43" s="18" t="s">
        <v>423</v>
      </c>
      <c r="E43" s="19" t="s">
        <v>424</v>
      </c>
      <c r="F43" s="20">
        <v>0.12</v>
      </c>
      <c r="G43" s="18">
        <v>1</v>
      </c>
      <c r="H43" s="26">
        <v>425600</v>
      </c>
      <c r="I43" s="21" t="s">
        <v>425</v>
      </c>
      <c r="J43" s="18" t="s">
        <v>426</v>
      </c>
    </row>
    <row r="44" spans="1:11" ht="15.75" customHeight="1">
      <c r="A44" s="18" t="s">
        <v>427</v>
      </c>
      <c r="B44" s="18" t="s">
        <v>411</v>
      </c>
      <c r="C44" s="18" t="s">
        <v>428</v>
      </c>
      <c r="D44" s="18" t="s">
        <v>429</v>
      </c>
      <c r="E44" s="19" t="s">
        <v>430</v>
      </c>
      <c r="F44" s="25">
        <v>2.5999999999999999E-2</v>
      </c>
      <c r="G44" s="18" t="s">
        <v>402</v>
      </c>
      <c r="H44" s="18" t="s">
        <v>402</v>
      </c>
      <c r="I44" s="21" t="s">
        <v>431</v>
      </c>
      <c r="J44" s="18" t="s">
        <v>432</v>
      </c>
    </row>
    <row r="45" spans="1:11" ht="15.75" customHeight="1">
      <c r="A45" s="18" t="s">
        <v>433</v>
      </c>
      <c r="B45" s="18" t="s">
        <v>411</v>
      </c>
      <c r="C45" s="18" t="s">
        <v>434</v>
      </c>
      <c r="D45" s="18" t="s">
        <v>435</v>
      </c>
      <c r="E45" s="19" t="s">
        <v>436</v>
      </c>
      <c r="F45" s="20">
        <v>4.2346153846153901E-2</v>
      </c>
      <c r="G45" s="18" t="s">
        <v>402</v>
      </c>
      <c r="H45" s="18" t="s">
        <v>402</v>
      </c>
      <c r="I45" s="21" t="s">
        <v>437</v>
      </c>
      <c r="J45" s="18" t="s">
        <v>438</v>
      </c>
    </row>
    <row r="46" spans="1:11" ht="15.75" customHeight="1">
      <c r="A46" s="18" t="s">
        <v>439</v>
      </c>
      <c r="B46" s="18" t="s">
        <v>411</v>
      </c>
      <c r="C46" s="18" t="s">
        <v>440</v>
      </c>
      <c r="D46" s="18" t="s">
        <v>441</v>
      </c>
      <c r="E46" s="19" t="s">
        <v>315</v>
      </c>
      <c r="F46" s="18">
        <v>4</v>
      </c>
      <c r="G46" s="18">
        <v>0.1</v>
      </c>
      <c r="H46" s="18">
        <v>2</v>
      </c>
      <c r="I46" s="21" t="s">
        <v>442</v>
      </c>
      <c r="J46" s="18" t="s">
        <v>443</v>
      </c>
    </row>
    <row r="47" spans="1:11" ht="15.75" customHeight="1">
      <c r="A47" s="18" t="s">
        <v>433</v>
      </c>
      <c r="B47" s="18" t="s">
        <v>411</v>
      </c>
      <c r="C47" s="18" t="s">
        <v>444</v>
      </c>
      <c r="D47" s="18" t="s">
        <v>345</v>
      </c>
      <c r="E47" s="19" t="s">
        <v>346</v>
      </c>
      <c r="F47" s="18">
        <v>12</v>
      </c>
      <c r="G47" s="18">
        <v>1</v>
      </c>
      <c r="H47" s="18">
        <v>2474</v>
      </c>
      <c r="I47" s="21" t="s">
        <v>445</v>
      </c>
      <c r="J47" s="18" t="s">
        <v>446</v>
      </c>
    </row>
    <row r="48" spans="1:11" ht="15.75" customHeight="1">
      <c r="A48" s="18" t="s">
        <v>447</v>
      </c>
      <c r="B48" s="18" t="s">
        <v>411</v>
      </c>
      <c r="C48" s="33" t="s">
        <v>448</v>
      </c>
      <c r="D48" s="18" t="s">
        <v>449</v>
      </c>
      <c r="E48" s="19" t="s">
        <v>450</v>
      </c>
      <c r="F48" s="18" t="s">
        <v>402</v>
      </c>
      <c r="G48" s="18" t="s">
        <v>402</v>
      </c>
      <c r="H48" s="18" t="s">
        <v>402</v>
      </c>
      <c r="I48" s="21" t="s">
        <v>451</v>
      </c>
      <c r="J48" s="18" t="s">
        <v>452</v>
      </c>
      <c r="K48" s="18" t="s">
        <v>453</v>
      </c>
    </row>
    <row r="49" spans="1:11" ht="15.75" customHeight="1">
      <c r="A49" s="18" t="s">
        <v>417</v>
      </c>
      <c r="B49" s="18" t="s">
        <v>411</v>
      </c>
      <c r="C49" s="18" t="s">
        <v>454</v>
      </c>
      <c r="D49" s="18" t="s">
        <v>314</v>
      </c>
      <c r="E49" s="19" t="s">
        <v>315</v>
      </c>
      <c r="F49" s="18" t="s">
        <v>402</v>
      </c>
      <c r="G49" s="18" t="s">
        <v>402</v>
      </c>
      <c r="H49" s="18">
        <v>3.4</v>
      </c>
      <c r="I49" s="21" t="s">
        <v>455</v>
      </c>
      <c r="J49" s="18" t="s">
        <v>456</v>
      </c>
    </row>
    <row r="50" spans="1:11" ht="15.75" customHeight="1">
      <c r="A50" s="18" t="s">
        <v>417</v>
      </c>
      <c r="B50" s="18" t="s">
        <v>411</v>
      </c>
      <c r="C50" s="18" t="s">
        <v>444</v>
      </c>
      <c r="D50" s="18" t="s">
        <v>262</v>
      </c>
      <c r="E50" s="19" t="s">
        <v>263</v>
      </c>
      <c r="F50" s="18">
        <v>12</v>
      </c>
      <c r="G50" s="18">
        <v>1</v>
      </c>
      <c r="H50" s="26">
        <v>433</v>
      </c>
      <c r="I50" s="21" t="s">
        <v>457</v>
      </c>
      <c r="J50" s="18" t="s">
        <v>458</v>
      </c>
    </row>
    <row r="51" spans="1:11" ht="15.75" customHeight="1">
      <c r="A51" s="18" t="s">
        <v>427</v>
      </c>
      <c r="B51" s="18" t="s">
        <v>260</v>
      </c>
      <c r="C51" s="18" t="s">
        <v>459</v>
      </c>
      <c r="D51" s="18" t="s">
        <v>335</v>
      </c>
      <c r="E51" s="19" t="s">
        <v>336</v>
      </c>
      <c r="F51" s="18" t="s">
        <v>402</v>
      </c>
      <c r="G51" s="18" t="s">
        <v>402</v>
      </c>
      <c r="H51" s="18" t="s">
        <v>402</v>
      </c>
      <c r="I51" s="21" t="s">
        <v>460</v>
      </c>
      <c r="J51" s="27" t="s">
        <v>461</v>
      </c>
    </row>
    <row r="52" spans="1:11" ht="15.75" customHeight="1">
      <c r="A52" s="18" t="s">
        <v>462</v>
      </c>
      <c r="B52" s="18" t="s">
        <v>411</v>
      </c>
      <c r="C52" s="18" t="s">
        <v>463</v>
      </c>
      <c r="D52" s="18" t="s">
        <v>464</v>
      </c>
      <c r="E52" s="19" t="s">
        <v>382</v>
      </c>
      <c r="F52" s="18" t="s">
        <v>402</v>
      </c>
      <c r="G52" s="18" t="s">
        <v>402</v>
      </c>
      <c r="H52" s="18" t="s">
        <v>402</v>
      </c>
      <c r="I52" s="21" t="s">
        <v>465</v>
      </c>
      <c r="J52" s="18" t="s">
        <v>466</v>
      </c>
    </row>
    <row r="53" spans="1:11" ht="15.75" customHeight="1">
      <c r="A53" s="18" t="s">
        <v>462</v>
      </c>
      <c r="B53" s="18" t="s">
        <v>411</v>
      </c>
      <c r="C53" s="18" t="s">
        <v>467</v>
      </c>
      <c r="D53" s="18" t="s">
        <v>345</v>
      </c>
      <c r="E53" s="19" t="s">
        <v>346</v>
      </c>
      <c r="F53" s="18" t="s">
        <v>402</v>
      </c>
      <c r="G53" s="18" t="s">
        <v>402</v>
      </c>
      <c r="H53" s="18" t="s">
        <v>402</v>
      </c>
      <c r="I53" s="21" t="s">
        <v>465</v>
      </c>
      <c r="J53" s="18" t="s">
        <v>466</v>
      </c>
      <c r="K53" s="18" t="s">
        <v>468</v>
      </c>
    </row>
    <row r="54" spans="1:11" ht="15.75" customHeight="1">
      <c r="A54" s="18" t="s">
        <v>469</v>
      </c>
      <c r="B54" s="18" t="s">
        <v>411</v>
      </c>
      <c r="C54" s="18" t="s">
        <v>470</v>
      </c>
      <c r="D54" s="18" t="s">
        <v>288</v>
      </c>
      <c r="E54" s="19" t="s">
        <v>289</v>
      </c>
      <c r="F54" s="18" t="s">
        <v>402</v>
      </c>
      <c r="G54" s="18" t="s">
        <v>402</v>
      </c>
      <c r="H54" s="18" t="s">
        <v>402</v>
      </c>
      <c r="I54" s="21" t="s">
        <v>471</v>
      </c>
      <c r="J54" s="18" t="s">
        <v>472</v>
      </c>
      <c r="K54" s="18" t="s">
        <v>473</v>
      </c>
    </row>
    <row r="55" spans="1:11" ht="15.75" customHeight="1">
      <c r="A55" s="18" t="s">
        <v>469</v>
      </c>
      <c r="B55" s="18" t="s">
        <v>411</v>
      </c>
      <c r="C55" s="18" t="s">
        <v>474</v>
      </c>
      <c r="D55" s="18" t="s">
        <v>288</v>
      </c>
      <c r="E55" s="19" t="s">
        <v>289</v>
      </c>
      <c r="F55" s="18" t="s">
        <v>402</v>
      </c>
      <c r="G55" s="18" t="s">
        <v>402</v>
      </c>
      <c r="H55" s="18" t="s">
        <v>402</v>
      </c>
      <c r="I55" s="21" t="s">
        <v>471</v>
      </c>
      <c r="J55" s="18" t="s">
        <v>472</v>
      </c>
      <c r="K55" s="18" t="s">
        <v>475</v>
      </c>
    </row>
    <row r="56" spans="1:11" ht="15.75" customHeight="1">
      <c r="A56" s="18" t="s">
        <v>469</v>
      </c>
      <c r="B56" s="18" t="s">
        <v>411</v>
      </c>
      <c r="C56" s="18" t="s">
        <v>476</v>
      </c>
      <c r="D56" s="18" t="s">
        <v>288</v>
      </c>
      <c r="E56" s="19" t="s">
        <v>289</v>
      </c>
      <c r="F56" s="18" t="s">
        <v>402</v>
      </c>
      <c r="G56" s="18" t="s">
        <v>402</v>
      </c>
      <c r="H56" s="18" t="s">
        <v>402</v>
      </c>
      <c r="I56" s="21" t="s">
        <v>471</v>
      </c>
      <c r="J56" s="18" t="s">
        <v>472</v>
      </c>
      <c r="K56" s="18" t="s">
        <v>477</v>
      </c>
    </row>
    <row r="57" spans="1:11" ht="15.75" customHeight="1">
      <c r="A57" s="18" t="s">
        <v>478</v>
      </c>
      <c r="B57" s="18" t="s">
        <v>411</v>
      </c>
      <c r="C57" s="18" t="s">
        <v>479</v>
      </c>
      <c r="D57" s="18" t="s">
        <v>480</v>
      </c>
      <c r="E57" s="19" t="s">
        <v>325</v>
      </c>
      <c r="F57" s="18" t="s">
        <v>481</v>
      </c>
      <c r="G57" s="18" t="s">
        <v>402</v>
      </c>
      <c r="H57" s="18" t="s">
        <v>402</v>
      </c>
      <c r="I57" s="21" t="s">
        <v>482</v>
      </c>
      <c r="J57" s="18" t="s">
        <v>483</v>
      </c>
    </row>
    <row r="58" spans="1:11" ht="15.75" customHeight="1">
      <c r="A58" s="18" t="s">
        <v>484</v>
      </c>
      <c r="B58" s="18" t="s">
        <v>411</v>
      </c>
      <c r="C58" s="18" t="s">
        <v>273</v>
      </c>
      <c r="D58" s="18" t="s">
        <v>485</v>
      </c>
      <c r="E58" s="19" t="s">
        <v>486</v>
      </c>
      <c r="F58" s="18">
        <v>3.4</v>
      </c>
      <c r="G58" s="18" t="s">
        <v>402</v>
      </c>
      <c r="H58" s="18" t="s">
        <v>402</v>
      </c>
      <c r="I58" s="21" t="s">
        <v>487</v>
      </c>
      <c r="J58" s="18" t="s">
        <v>488</v>
      </c>
    </row>
    <row r="59" spans="1:11" ht="15.75" customHeight="1">
      <c r="A59" s="18" t="s">
        <v>489</v>
      </c>
      <c r="B59" s="18" t="s">
        <v>411</v>
      </c>
      <c r="C59" s="18" t="s">
        <v>434</v>
      </c>
      <c r="D59" s="18" t="s">
        <v>490</v>
      </c>
      <c r="E59" s="19" t="s">
        <v>491</v>
      </c>
      <c r="F59" s="18">
        <v>4.5999999999999996</v>
      </c>
      <c r="G59" s="18">
        <v>0.5</v>
      </c>
      <c r="H59" s="18">
        <v>706</v>
      </c>
      <c r="I59" s="21" t="s">
        <v>492</v>
      </c>
      <c r="J59" s="18" t="s">
        <v>493</v>
      </c>
      <c r="K59" s="18" t="s">
        <v>494</v>
      </c>
    </row>
    <row r="60" spans="1:11" ht="15.75" customHeight="1">
      <c r="A60" s="18" t="s">
        <v>495</v>
      </c>
      <c r="B60" s="18" t="s">
        <v>496</v>
      </c>
      <c r="C60" s="18" t="s">
        <v>497</v>
      </c>
      <c r="D60" s="18" t="s">
        <v>498</v>
      </c>
      <c r="E60" s="19" t="s">
        <v>293</v>
      </c>
      <c r="F60" s="18" t="s">
        <v>402</v>
      </c>
      <c r="G60" s="18" t="s">
        <v>402</v>
      </c>
      <c r="H60" s="18" t="s">
        <v>402</v>
      </c>
      <c r="I60" s="21" t="s">
        <v>499</v>
      </c>
      <c r="J60" s="18" t="s">
        <v>500</v>
      </c>
      <c r="K60" s="24" t="s">
        <v>501</v>
      </c>
    </row>
    <row r="61" spans="1:11" ht="15.75" customHeight="1">
      <c r="A61" s="18" t="s">
        <v>502</v>
      </c>
      <c r="B61" s="18" t="s">
        <v>496</v>
      </c>
      <c r="C61" s="18" t="s">
        <v>503</v>
      </c>
      <c r="D61" s="18" t="s">
        <v>504</v>
      </c>
      <c r="E61" s="19" t="s">
        <v>505</v>
      </c>
      <c r="F61" s="18">
        <v>7</v>
      </c>
      <c r="G61" s="18" t="s">
        <v>402</v>
      </c>
      <c r="H61" s="18" t="s">
        <v>402</v>
      </c>
      <c r="I61" s="21" t="s">
        <v>506</v>
      </c>
      <c r="J61" s="18" t="s">
        <v>507</v>
      </c>
      <c r="K61" s="24" t="s">
        <v>508</v>
      </c>
    </row>
    <row r="62" spans="1:11" ht="15.75" customHeight="1">
      <c r="A62" s="18" t="s">
        <v>509</v>
      </c>
      <c r="B62" s="18" t="s">
        <v>510</v>
      </c>
      <c r="C62" s="18" t="s">
        <v>511</v>
      </c>
      <c r="D62" s="18" t="s">
        <v>292</v>
      </c>
      <c r="E62" s="19" t="s">
        <v>293</v>
      </c>
      <c r="F62" s="18" t="s">
        <v>402</v>
      </c>
      <c r="G62" s="18" t="s">
        <v>402</v>
      </c>
      <c r="H62" s="18" t="s">
        <v>402</v>
      </c>
      <c r="I62" s="21" t="s">
        <v>512</v>
      </c>
      <c r="J62" s="18" t="s">
        <v>513</v>
      </c>
    </row>
    <row r="63" spans="1:11" ht="13">
      <c r="A63" s="18" t="s">
        <v>514</v>
      </c>
      <c r="B63" s="18" t="s">
        <v>496</v>
      </c>
      <c r="C63" s="18" t="s">
        <v>515</v>
      </c>
      <c r="D63" s="18" t="s">
        <v>516</v>
      </c>
      <c r="E63" s="34" t="s">
        <v>517</v>
      </c>
      <c r="F63" s="18" t="s">
        <v>518</v>
      </c>
      <c r="G63" s="18" t="s">
        <v>519</v>
      </c>
      <c r="H63" s="18" t="s">
        <v>402</v>
      </c>
      <c r="I63" s="21" t="s">
        <v>520</v>
      </c>
      <c r="J63" s="18" t="s">
        <v>521</v>
      </c>
      <c r="K63" s="18" t="s">
        <v>522</v>
      </c>
    </row>
    <row r="64" spans="1:11" ht="13">
      <c r="A64" s="18" t="s">
        <v>509</v>
      </c>
      <c r="B64" s="18" t="s">
        <v>496</v>
      </c>
      <c r="C64" s="18" t="s">
        <v>523</v>
      </c>
      <c r="D64" s="18" t="s">
        <v>524</v>
      </c>
      <c r="E64" s="19" t="s">
        <v>525</v>
      </c>
      <c r="F64" s="18" t="s">
        <v>402</v>
      </c>
      <c r="G64" s="18" t="s">
        <v>402</v>
      </c>
      <c r="H64" s="18" t="s">
        <v>402</v>
      </c>
      <c r="I64" s="21" t="s">
        <v>526</v>
      </c>
      <c r="J64" s="18" t="s">
        <v>527</v>
      </c>
    </row>
    <row r="65" spans="1:10" ht="13">
      <c r="A65" s="18" t="s">
        <v>528</v>
      </c>
      <c r="B65" s="18" t="s">
        <v>496</v>
      </c>
      <c r="C65" s="18" t="s">
        <v>529</v>
      </c>
      <c r="D65" s="18" t="s">
        <v>530</v>
      </c>
      <c r="E65" s="19" t="s">
        <v>531</v>
      </c>
      <c r="F65" s="18" t="s">
        <v>402</v>
      </c>
      <c r="G65" s="18" t="s">
        <v>402</v>
      </c>
      <c r="H65" s="18" t="s">
        <v>402</v>
      </c>
      <c r="I65" s="24" t="s">
        <v>532</v>
      </c>
      <c r="J65" s="18" t="s">
        <v>533</v>
      </c>
    </row>
    <row r="66" spans="1:10" ht="13">
      <c r="A66" s="18" t="s">
        <v>528</v>
      </c>
      <c r="B66" s="18" t="s">
        <v>496</v>
      </c>
      <c r="C66" s="18" t="s">
        <v>529</v>
      </c>
      <c r="D66" s="18" t="s">
        <v>534</v>
      </c>
      <c r="E66" s="19" t="s">
        <v>535</v>
      </c>
      <c r="F66" s="18" t="s">
        <v>402</v>
      </c>
      <c r="G66" s="18" t="s">
        <v>402</v>
      </c>
      <c r="H66" s="18" t="s">
        <v>402</v>
      </c>
      <c r="I66" s="24" t="s">
        <v>536</v>
      </c>
      <c r="J66" s="18" t="s">
        <v>537</v>
      </c>
    </row>
    <row r="67" spans="1:10" ht="13">
      <c r="A67" s="18" t="s">
        <v>528</v>
      </c>
      <c r="B67" s="18" t="s">
        <v>496</v>
      </c>
      <c r="C67" s="18" t="s">
        <v>529</v>
      </c>
      <c r="D67" s="18" t="s">
        <v>538</v>
      </c>
      <c r="E67" s="19" t="s">
        <v>539</v>
      </c>
      <c r="F67" s="18" t="s">
        <v>402</v>
      </c>
      <c r="G67" s="18" t="s">
        <v>402</v>
      </c>
      <c r="H67" s="18" t="s">
        <v>402</v>
      </c>
      <c r="I67" s="24" t="s">
        <v>540</v>
      </c>
      <c r="J67" s="18" t="s">
        <v>541</v>
      </c>
    </row>
    <row r="68" spans="1:10" ht="13">
      <c r="A68" s="18" t="s">
        <v>542</v>
      </c>
      <c r="B68" s="18" t="s">
        <v>496</v>
      </c>
      <c r="C68" s="18" t="s">
        <v>543</v>
      </c>
      <c r="D68" s="18" t="s">
        <v>544</v>
      </c>
      <c r="E68" s="19" t="s">
        <v>517</v>
      </c>
      <c r="F68" s="18" t="s">
        <v>402</v>
      </c>
      <c r="G68" s="18" t="s">
        <v>402</v>
      </c>
      <c r="H68" s="18" t="s">
        <v>402</v>
      </c>
      <c r="I68" s="21" t="s">
        <v>545</v>
      </c>
      <c r="J68" s="18" t="s">
        <v>546</v>
      </c>
    </row>
    <row r="69" spans="1:10" ht="13">
      <c r="A69" s="18" t="s">
        <v>547</v>
      </c>
      <c r="B69" s="18" t="s">
        <v>260</v>
      </c>
      <c r="C69" s="18" t="s">
        <v>548</v>
      </c>
      <c r="D69" s="18" t="s">
        <v>329</v>
      </c>
      <c r="E69" s="19" t="s">
        <v>330</v>
      </c>
      <c r="F69" s="18" t="s">
        <v>402</v>
      </c>
      <c r="G69" s="18" t="s">
        <v>402</v>
      </c>
      <c r="H69" s="18" t="s">
        <v>402</v>
      </c>
      <c r="I69" s="21" t="s">
        <v>549</v>
      </c>
      <c r="J69" s="18" t="s">
        <v>550</v>
      </c>
    </row>
    <row r="70" spans="1:10" ht="13">
      <c r="A70" s="18" t="s">
        <v>551</v>
      </c>
      <c r="B70" s="18" t="s">
        <v>260</v>
      </c>
      <c r="C70" s="18" t="s">
        <v>552</v>
      </c>
      <c r="D70" s="18" t="s">
        <v>553</v>
      </c>
      <c r="E70" s="19" t="s">
        <v>554</v>
      </c>
      <c r="F70" s="18" t="s">
        <v>402</v>
      </c>
      <c r="G70" s="18" t="s">
        <v>402</v>
      </c>
      <c r="H70" s="18" t="s">
        <v>402</v>
      </c>
      <c r="I70" s="24" t="s">
        <v>555</v>
      </c>
      <c r="J70" s="18" t="s">
        <v>556</v>
      </c>
    </row>
    <row r="71" spans="1:10" ht="13">
      <c r="A71" s="18" t="s">
        <v>557</v>
      </c>
      <c r="B71" s="18" t="s">
        <v>260</v>
      </c>
      <c r="C71" s="18" t="s">
        <v>558</v>
      </c>
      <c r="D71" s="18" t="s">
        <v>553</v>
      </c>
      <c r="E71" s="19" t="s">
        <v>554</v>
      </c>
      <c r="F71" s="18" t="s">
        <v>402</v>
      </c>
      <c r="G71" s="18" t="s">
        <v>402</v>
      </c>
      <c r="H71" s="18" t="s">
        <v>402</v>
      </c>
      <c r="I71" s="21" t="s">
        <v>559</v>
      </c>
      <c r="J71" s="18" t="s">
        <v>560</v>
      </c>
    </row>
    <row r="72" spans="1:10" ht="13">
      <c r="A72" s="18" t="s">
        <v>551</v>
      </c>
      <c r="B72" s="18" t="s">
        <v>260</v>
      </c>
      <c r="C72" s="18" t="s">
        <v>552</v>
      </c>
      <c r="D72" s="18" t="s">
        <v>561</v>
      </c>
      <c r="E72" s="19" t="s">
        <v>562</v>
      </c>
      <c r="F72" s="18" t="s">
        <v>402</v>
      </c>
      <c r="G72" s="18" t="s">
        <v>402</v>
      </c>
      <c r="H72" s="18" t="s">
        <v>402</v>
      </c>
      <c r="I72" s="24" t="s">
        <v>555</v>
      </c>
      <c r="J72" s="18" t="s">
        <v>556</v>
      </c>
    </row>
    <row r="73" spans="1:10" ht="13">
      <c r="A73" s="18" t="s">
        <v>551</v>
      </c>
      <c r="B73" s="18" t="s">
        <v>260</v>
      </c>
      <c r="C73" s="18" t="s">
        <v>552</v>
      </c>
      <c r="D73" s="18" t="s">
        <v>563</v>
      </c>
      <c r="E73" s="19" t="s">
        <v>564</v>
      </c>
      <c r="F73" s="18" t="s">
        <v>402</v>
      </c>
      <c r="G73" s="18" t="s">
        <v>402</v>
      </c>
      <c r="H73" s="18" t="s">
        <v>402</v>
      </c>
      <c r="I73" s="24" t="s">
        <v>555</v>
      </c>
      <c r="J73" s="18" t="s">
        <v>556</v>
      </c>
    </row>
    <row r="74" spans="1:10" ht="13">
      <c r="A74" s="18" t="s">
        <v>551</v>
      </c>
      <c r="B74" s="18" t="s">
        <v>260</v>
      </c>
      <c r="C74" s="18" t="s">
        <v>552</v>
      </c>
      <c r="D74" s="18" t="s">
        <v>565</v>
      </c>
      <c r="E74" s="19" t="s">
        <v>566</v>
      </c>
      <c r="F74" s="18" t="s">
        <v>402</v>
      </c>
      <c r="G74" s="18" t="s">
        <v>402</v>
      </c>
      <c r="H74" s="18" t="s">
        <v>402</v>
      </c>
      <c r="I74" s="24" t="s">
        <v>555</v>
      </c>
      <c r="J74" s="18" t="s">
        <v>556</v>
      </c>
    </row>
    <row r="75" spans="1:10" ht="13">
      <c r="A75" s="18" t="s">
        <v>551</v>
      </c>
      <c r="B75" s="18" t="s">
        <v>260</v>
      </c>
      <c r="C75" s="18" t="s">
        <v>552</v>
      </c>
      <c r="D75" s="18" t="s">
        <v>567</v>
      </c>
      <c r="E75" s="19" t="s">
        <v>568</v>
      </c>
      <c r="F75" s="18" t="s">
        <v>402</v>
      </c>
      <c r="G75" s="18" t="s">
        <v>402</v>
      </c>
      <c r="H75" s="18" t="s">
        <v>402</v>
      </c>
      <c r="I75" s="21" t="s">
        <v>559</v>
      </c>
      <c r="J75" s="18" t="s">
        <v>556</v>
      </c>
    </row>
    <row r="76" spans="1:10" ht="13">
      <c r="A76" s="18" t="s">
        <v>551</v>
      </c>
      <c r="B76" s="18" t="s">
        <v>260</v>
      </c>
      <c r="C76" s="18" t="s">
        <v>552</v>
      </c>
      <c r="D76" s="18" t="s">
        <v>569</v>
      </c>
      <c r="E76" s="19" t="s">
        <v>570</v>
      </c>
      <c r="F76" s="18" t="s">
        <v>402</v>
      </c>
      <c r="G76" s="18" t="s">
        <v>402</v>
      </c>
      <c r="H76" s="18" t="s">
        <v>402</v>
      </c>
      <c r="I76" s="24" t="s">
        <v>555</v>
      </c>
      <c r="J76" s="18" t="s">
        <v>556</v>
      </c>
    </row>
    <row r="77" spans="1:10" ht="13">
      <c r="A77" s="18" t="s">
        <v>551</v>
      </c>
      <c r="B77" s="18" t="s">
        <v>260</v>
      </c>
      <c r="C77" s="18" t="s">
        <v>552</v>
      </c>
      <c r="D77" s="18" t="s">
        <v>571</v>
      </c>
      <c r="E77" s="19" t="s">
        <v>572</v>
      </c>
      <c r="F77" s="18" t="s">
        <v>402</v>
      </c>
      <c r="G77" s="18" t="s">
        <v>402</v>
      </c>
      <c r="H77" s="18" t="s">
        <v>402</v>
      </c>
      <c r="I77" s="24" t="s">
        <v>555</v>
      </c>
      <c r="J77" s="18" t="s">
        <v>556</v>
      </c>
    </row>
    <row r="78" spans="1:10" ht="13">
      <c r="A78" s="18" t="s">
        <v>551</v>
      </c>
      <c r="B78" s="18" t="s">
        <v>260</v>
      </c>
      <c r="C78" s="18" t="s">
        <v>552</v>
      </c>
      <c r="D78" s="18" t="s">
        <v>573</v>
      </c>
      <c r="E78" s="19" t="s">
        <v>574</v>
      </c>
      <c r="F78" s="18" t="s">
        <v>402</v>
      </c>
      <c r="G78" s="18" t="s">
        <v>402</v>
      </c>
      <c r="H78" s="18" t="s">
        <v>402</v>
      </c>
      <c r="I78" s="24" t="s">
        <v>555</v>
      </c>
      <c r="J78" s="18" t="s">
        <v>556</v>
      </c>
    </row>
    <row r="79" spans="1:10" ht="13">
      <c r="A79" s="18" t="s">
        <v>551</v>
      </c>
      <c r="B79" s="18" t="s">
        <v>260</v>
      </c>
      <c r="C79" s="18" t="s">
        <v>552</v>
      </c>
      <c r="D79" s="18" t="s">
        <v>575</v>
      </c>
      <c r="E79" s="19" t="s">
        <v>576</v>
      </c>
      <c r="F79" s="18" t="s">
        <v>402</v>
      </c>
      <c r="G79" s="18" t="s">
        <v>402</v>
      </c>
      <c r="H79" s="18" t="s">
        <v>402</v>
      </c>
      <c r="I79" s="24" t="s">
        <v>555</v>
      </c>
      <c r="J79" s="18" t="s">
        <v>556</v>
      </c>
    </row>
    <row r="80" spans="1:10" ht="13">
      <c r="A80" s="18" t="s">
        <v>551</v>
      </c>
      <c r="B80" s="18" t="s">
        <v>260</v>
      </c>
      <c r="C80" s="18" t="s">
        <v>552</v>
      </c>
      <c r="D80" s="18" t="s">
        <v>305</v>
      </c>
      <c r="E80" s="19" t="s">
        <v>306</v>
      </c>
      <c r="F80" s="18" t="s">
        <v>402</v>
      </c>
      <c r="G80" s="18" t="s">
        <v>402</v>
      </c>
      <c r="H80" s="18" t="s">
        <v>402</v>
      </c>
      <c r="I80" s="24" t="s">
        <v>555</v>
      </c>
      <c r="J80" s="18" t="s">
        <v>556</v>
      </c>
    </row>
    <row r="81" spans="1:10" ht="13">
      <c r="A81" s="18" t="s">
        <v>551</v>
      </c>
      <c r="B81" s="18" t="s">
        <v>260</v>
      </c>
      <c r="C81" s="18" t="s">
        <v>552</v>
      </c>
      <c r="D81" s="18" t="s">
        <v>577</v>
      </c>
      <c r="E81" s="19" t="s">
        <v>578</v>
      </c>
      <c r="F81" s="18" t="s">
        <v>402</v>
      </c>
      <c r="G81" s="18" t="s">
        <v>402</v>
      </c>
      <c r="H81" s="18" t="s">
        <v>402</v>
      </c>
      <c r="I81" s="24" t="s">
        <v>555</v>
      </c>
      <c r="J81" s="18" t="s">
        <v>556</v>
      </c>
    </row>
    <row r="82" spans="1:10" ht="13">
      <c r="A82" s="18" t="s">
        <v>551</v>
      </c>
      <c r="B82" s="18" t="s">
        <v>260</v>
      </c>
      <c r="C82" s="18" t="s">
        <v>552</v>
      </c>
      <c r="D82" s="18" t="s">
        <v>579</v>
      </c>
      <c r="E82" s="19" t="s">
        <v>285</v>
      </c>
      <c r="F82" s="18" t="s">
        <v>402</v>
      </c>
      <c r="G82" s="18" t="s">
        <v>402</v>
      </c>
      <c r="H82" s="18" t="s">
        <v>402</v>
      </c>
      <c r="I82" s="24" t="s">
        <v>555</v>
      </c>
      <c r="J82" s="18" t="s">
        <v>556</v>
      </c>
    </row>
    <row r="83" spans="1:10" ht="13">
      <c r="A83" s="18" t="s">
        <v>551</v>
      </c>
      <c r="B83" s="18" t="s">
        <v>260</v>
      </c>
      <c r="C83" s="18" t="s">
        <v>552</v>
      </c>
      <c r="D83" s="18" t="s">
        <v>498</v>
      </c>
      <c r="E83" s="19" t="s">
        <v>580</v>
      </c>
      <c r="F83" s="18" t="s">
        <v>402</v>
      </c>
      <c r="G83" s="18" t="s">
        <v>402</v>
      </c>
      <c r="H83" s="18" t="s">
        <v>402</v>
      </c>
      <c r="I83" s="24" t="s">
        <v>555</v>
      </c>
      <c r="J83" s="18" t="s">
        <v>556</v>
      </c>
    </row>
    <row r="84" spans="1:10" ht="13">
      <c r="A84" s="18" t="s">
        <v>551</v>
      </c>
      <c r="B84" s="18" t="s">
        <v>260</v>
      </c>
      <c r="C84" s="18" t="s">
        <v>552</v>
      </c>
      <c r="D84" s="18" t="s">
        <v>581</v>
      </c>
      <c r="E84" s="19" t="s">
        <v>582</v>
      </c>
      <c r="F84" s="18" t="s">
        <v>402</v>
      </c>
      <c r="G84" s="18" t="s">
        <v>402</v>
      </c>
      <c r="H84" s="18" t="s">
        <v>402</v>
      </c>
      <c r="I84" s="24" t="s">
        <v>555</v>
      </c>
      <c r="J84" s="18" t="s">
        <v>556</v>
      </c>
    </row>
    <row r="85" spans="1:10" ht="13">
      <c r="A85" s="18" t="s">
        <v>583</v>
      </c>
      <c r="B85" s="18" t="s">
        <v>584</v>
      </c>
      <c r="C85" s="18" t="s">
        <v>585</v>
      </c>
      <c r="D85" s="18" t="s">
        <v>586</v>
      </c>
      <c r="E85" s="19" t="s">
        <v>587</v>
      </c>
      <c r="F85" s="18" t="s">
        <v>402</v>
      </c>
      <c r="G85" s="18" t="s">
        <v>402</v>
      </c>
      <c r="H85" s="18" t="s">
        <v>402</v>
      </c>
      <c r="I85" s="21" t="s">
        <v>588</v>
      </c>
      <c r="J85" s="18" t="s">
        <v>589</v>
      </c>
    </row>
    <row r="86" spans="1:10" ht="13">
      <c r="A86" s="18" t="s">
        <v>590</v>
      </c>
      <c r="B86" s="18" t="s">
        <v>496</v>
      </c>
      <c r="C86" s="18" t="s">
        <v>591</v>
      </c>
      <c r="D86" s="18" t="s">
        <v>592</v>
      </c>
      <c r="E86" s="19" t="s">
        <v>593</v>
      </c>
      <c r="F86" s="18">
        <v>3</v>
      </c>
      <c r="G86" s="18" t="s">
        <v>594</v>
      </c>
      <c r="I86" s="21" t="s">
        <v>595</v>
      </c>
      <c r="J86" s="18" t="s">
        <v>596</v>
      </c>
    </row>
    <row r="87" spans="1:10" ht="13">
      <c r="A87" s="18" t="s">
        <v>597</v>
      </c>
      <c r="B87" s="18" t="s">
        <v>584</v>
      </c>
      <c r="C87" s="18" t="s">
        <v>598</v>
      </c>
      <c r="E87" s="19"/>
    </row>
    <row r="88" spans="1:10" ht="13">
      <c r="E88" s="19"/>
    </row>
    <row r="89" spans="1:10" ht="13">
      <c r="E89" s="19"/>
    </row>
    <row r="90" spans="1:10" ht="13">
      <c r="E90" s="19"/>
    </row>
    <row r="91" spans="1:10" ht="13">
      <c r="E91" s="19"/>
    </row>
    <row r="92" spans="1:10" ht="13">
      <c r="E92" s="19"/>
    </row>
    <row r="93" spans="1:10" ht="13">
      <c r="E93" s="19"/>
    </row>
    <row r="94" spans="1:10" ht="13">
      <c r="E94" s="19"/>
    </row>
    <row r="95" spans="1:10" ht="13">
      <c r="E95" s="19"/>
    </row>
    <row r="96" spans="1:10" ht="13">
      <c r="E96" s="19"/>
    </row>
    <row r="97" spans="5:5" ht="13">
      <c r="E97" s="19"/>
    </row>
    <row r="98" spans="5:5" ht="13">
      <c r="E98" s="19"/>
    </row>
    <row r="99" spans="5:5" ht="13">
      <c r="E99" s="19"/>
    </row>
    <row r="100" spans="5:5" ht="13">
      <c r="E100" s="19"/>
    </row>
    <row r="101" spans="5:5" ht="13">
      <c r="E101" s="19"/>
    </row>
    <row r="102" spans="5:5" ht="13">
      <c r="E102" s="19"/>
    </row>
    <row r="103" spans="5:5" ht="13">
      <c r="E103" s="19"/>
    </row>
    <row r="104" spans="5:5" ht="13">
      <c r="E104" s="19"/>
    </row>
    <row r="105" spans="5:5" ht="13">
      <c r="E105" s="19"/>
    </row>
    <row r="106" spans="5:5" ht="13">
      <c r="E106" s="19"/>
    </row>
    <row r="107" spans="5:5" ht="13">
      <c r="E107" s="19"/>
    </row>
    <row r="108" spans="5:5" ht="13">
      <c r="E108" s="19"/>
    </row>
    <row r="109" spans="5:5" ht="13">
      <c r="E109" s="19"/>
    </row>
    <row r="110" spans="5:5" ht="13">
      <c r="E110" s="19"/>
    </row>
    <row r="111" spans="5:5" ht="13">
      <c r="E111" s="19"/>
    </row>
    <row r="112" spans="5:5" ht="13">
      <c r="E112" s="19"/>
    </row>
    <row r="113" spans="5:5" ht="13">
      <c r="E113" s="19"/>
    </row>
    <row r="114" spans="5:5" ht="13">
      <c r="E114" s="19"/>
    </row>
    <row r="115" spans="5:5" ht="13">
      <c r="E115" s="19"/>
    </row>
    <row r="116" spans="5:5" ht="13">
      <c r="E116" s="19"/>
    </row>
    <row r="117" spans="5:5" ht="13">
      <c r="E117" s="19"/>
    </row>
    <row r="118" spans="5:5" ht="13">
      <c r="E118" s="19"/>
    </row>
    <row r="119" spans="5:5" ht="13">
      <c r="E119" s="19"/>
    </row>
    <row r="120" spans="5:5" ht="13">
      <c r="E120" s="19"/>
    </row>
    <row r="121" spans="5:5" ht="13">
      <c r="E121" s="19"/>
    </row>
    <row r="122" spans="5:5" ht="13">
      <c r="E122" s="19"/>
    </row>
    <row r="123" spans="5:5" ht="13">
      <c r="E123" s="19"/>
    </row>
    <row r="124" spans="5:5" ht="13">
      <c r="E124" s="19"/>
    </row>
    <row r="125" spans="5:5" ht="13">
      <c r="E125" s="19"/>
    </row>
    <row r="126" spans="5:5" ht="13">
      <c r="E126" s="19"/>
    </row>
    <row r="127" spans="5:5" ht="13">
      <c r="E127" s="19"/>
    </row>
    <row r="128" spans="5:5" ht="13">
      <c r="E128" s="19"/>
    </row>
    <row r="129" spans="5:5" ht="13">
      <c r="E129" s="19"/>
    </row>
    <row r="130" spans="5:5" ht="13">
      <c r="E130" s="19"/>
    </row>
    <row r="131" spans="5:5" ht="13">
      <c r="E131" s="19"/>
    </row>
    <row r="132" spans="5:5" ht="13">
      <c r="E132" s="19"/>
    </row>
    <row r="133" spans="5:5" ht="13">
      <c r="E133" s="19"/>
    </row>
    <row r="134" spans="5:5" ht="13">
      <c r="E134" s="19"/>
    </row>
    <row r="135" spans="5:5" ht="13">
      <c r="E135" s="19"/>
    </row>
    <row r="136" spans="5:5" ht="13">
      <c r="E136" s="19"/>
    </row>
    <row r="137" spans="5:5" ht="13">
      <c r="E137" s="19"/>
    </row>
    <row r="138" spans="5:5" ht="13">
      <c r="E138" s="19"/>
    </row>
    <row r="139" spans="5:5" ht="13">
      <c r="E139" s="19"/>
    </row>
    <row r="140" spans="5:5" ht="13">
      <c r="E140" s="19"/>
    </row>
    <row r="141" spans="5:5" ht="13">
      <c r="E141" s="19"/>
    </row>
    <row r="142" spans="5:5" ht="13">
      <c r="E142" s="19"/>
    </row>
    <row r="143" spans="5:5" ht="13">
      <c r="E143" s="19"/>
    </row>
    <row r="144" spans="5:5" ht="13">
      <c r="E144" s="19"/>
    </row>
    <row r="145" spans="5:5" ht="13">
      <c r="E145" s="19"/>
    </row>
    <row r="146" spans="5:5" ht="13">
      <c r="E146" s="19"/>
    </row>
    <row r="147" spans="5:5" ht="13">
      <c r="E147" s="19"/>
    </row>
    <row r="148" spans="5:5" ht="13">
      <c r="E148" s="19"/>
    </row>
    <row r="149" spans="5:5" ht="13">
      <c r="E149" s="19"/>
    </row>
    <row r="150" spans="5:5" ht="13">
      <c r="E150" s="19"/>
    </row>
    <row r="151" spans="5:5" ht="13">
      <c r="E151" s="19"/>
    </row>
    <row r="152" spans="5:5" ht="13">
      <c r="E152" s="19"/>
    </row>
    <row r="153" spans="5:5" ht="13">
      <c r="E153" s="19"/>
    </row>
    <row r="154" spans="5:5" ht="13">
      <c r="E154" s="19"/>
    </row>
    <row r="155" spans="5:5" ht="13">
      <c r="E155" s="19"/>
    </row>
    <row r="156" spans="5:5" ht="13">
      <c r="E156" s="19"/>
    </row>
    <row r="157" spans="5:5" ht="13">
      <c r="E157" s="19"/>
    </row>
    <row r="158" spans="5:5" ht="13">
      <c r="E158" s="19"/>
    </row>
    <row r="159" spans="5:5" ht="13">
      <c r="E159" s="19"/>
    </row>
    <row r="160" spans="5:5" ht="13">
      <c r="E160" s="19"/>
    </row>
    <row r="161" spans="5:5" ht="13">
      <c r="E161" s="19"/>
    </row>
    <row r="162" spans="5:5" ht="13">
      <c r="E162" s="19"/>
    </row>
    <row r="163" spans="5:5" ht="13">
      <c r="E163" s="19"/>
    </row>
    <row r="164" spans="5:5" ht="13">
      <c r="E164" s="19"/>
    </row>
    <row r="165" spans="5:5" ht="13">
      <c r="E165" s="19"/>
    </row>
    <row r="166" spans="5:5" ht="13">
      <c r="E166" s="19"/>
    </row>
    <row r="167" spans="5:5" ht="13">
      <c r="E167" s="19"/>
    </row>
    <row r="168" spans="5:5" ht="13">
      <c r="E168" s="19"/>
    </row>
    <row r="169" spans="5:5" ht="13">
      <c r="E169" s="19"/>
    </row>
    <row r="170" spans="5:5" ht="13">
      <c r="E170" s="19"/>
    </row>
    <row r="171" spans="5:5" ht="13">
      <c r="E171" s="19"/>
    </row>
    <row r="172" spans="5:5" ht="13">
      <c r="E172" s="19"/>
    </row>
    <row r="173" spans="5:5" ht="13">
      <c r="E173" s="19"/>
    </row>
    <row r="174" spans="5:5" ht="13">
      <c r="E174" s="19"/>
    </row>
    <row r="175" spans="5:5" ht="13">
      <c r="E175" s="19"/>
    </row>
    <row r="176" spans="5:5" ht="13">
      <c r="E176" s="19"/>
    </row>
    <row r="177" spans="5:5" ht="13">
      <c r="E177" s="19"/>
    </row>
    <row r="178" spans="5:5" ht="13">
      <c r="E178" s="19"/>
    </row>
    <row r="179" spans="5:5" ht="13">
      <c r="E179" s="19"/>
    </row>
    <row r="180" spans="5:5" ht="13">
      <c r="E180" s="19"/>
    </row>
    <row r="181" spans="5:5" ht="13">
      <c r="E181" s="19"/>
    </row>
    <row r="182" spans="5:5" ht="13">
      <c r="E182" s="19"/>
    </row>
    <row r="183" spans="5:5" ht="13">
      <c r="E183" s="19"/>
    </row>
    <row r="184" spans="5:5" ht="13">
      <c r="E184" s="19"/>
    </row>
    <row r="185" spans="5:5" ht="13">
      <c r="E185" s="19"/>
    </row>
    <row r="186" spans="5:5" ht="13">
      <c r="E186" s="19"/>
    </row>
    <row r="187" spans="5:5" ht="13">
      <c r="E187" s="19"/>
    </row>
    <row r="188" spans="5:5" ht="13">
      <c r="E188" s="19"/>
    </row>
    <row r="189" spans="5:5" ht="13">
      <c r="E189" s="19"/>
    </row>
    <row r="190" spans="5:5" ht="13">
      <c r="E190" s="19"/>
    </row>
    <row r="191" spans="5:5" ht="13">
      <c r="E191" s="19"/>
    </row>
    <row r="192" spans="5:5" ht="13">
      <c r="E192" s="19"/>
    </row>
    <row r="193" spans="5:5" ht="13">
      <c r="E193" s="19"/>
    </row>
    <row r="194" spans="5:5" ht="13">
      <c r="E194" s="19"/>
    </row>
    <row r="195" spans="5:5" ht="13">
      <c r="E195" s="19"/>
    </row>
    <row r="196" spans="5:5" ht="13">
      <c r="E196" s="19"/>
    </row>
    <row r="197" spans="5:5" ht="13">
      <c r="E197" s="19"/>
    </row>
    <row r="198" spans="5:5" ht="13">
      <c r="E198" s="19"/>
    </row>
    <row r="199" spans="5:5" ht="13">
      <c r="E199" s="19"/>
    </row>
    <row r="200" spans="5:5" ht="13">
      <c r="E200" s="19"/>
    </row>
    <row r="201" spans="5:5" ht="13">
      <c r="E201" s="19"/>
    </row>
    <row r="202" spans="5:5" ht="13">
      <c r="E202" s="19"/>
    </row>
    <row r="203" spans="5:5" ht="13">
      <c r="E203" s="19"/>
    </row>
    <row r="204" spans="5:5" ht="13">
      <c r="E204" s="19"/>
    </row>
    <row r="205" spans="5:5" ht="13">
      <c r="E205" s="19"/>
    </row>
    <row r="206" spans="5:5" ht="13">
      <c r="E206" s="19"/>
    </row>
    <row r="207" spans="5:5" ht="13">
      <c r="E207" s="19"/>
    </row>
    <row r="208" spans="5:5" ht="13">
      <c r="E208" s="19"/>
    </row>
    <row r="209" spans="5:5" ht="13">
      <c r="E209" s="19"/>
    </row>
    <row r="210" spans="5:5" ht="13">
      <c r="E210" s="19"/>
    </row>
    <row r="211" spans="5:5" ht="13">
      <c r="E211" s="19"/>
    </row>
    <row r="212" spans="5:5" ht="13">
      <c r="E212" s="19"/>
    </row>
    <row r="213" spans="5:5" ht="13">
      <c r="E213" s="19"/>
    </row>
    <row r="214" spans="5:5" ht="13">
      <c r="E214" s="19"/>
    </row>
    <row r="215" spans="5:5" ht="13">
      <c r="E215" s="19"/>
    </row>
    <row r="216" spans="5:5" ht="13">
      <c r="E216" s="19"/>
    </row>
    <row r="217" spans="5:5" ht="13">
      <c r="E217" s="19"/>
    </row>
    <row r="218" spans="5:5" ht="13">
      <c r="E218" s="19"/>
    </row>
    <row r="219" spans="5:5" ht="13">
      <c r="E219" s="19"/>
    </row>
    <row r="220" spans="5:5" ht="13">
      <c r="E220" s="19"/>
    </row>
    <row r="221" spans="5:5" ht="13">
      <c r="E221" s="19"/>
    </row>
    <row r="222" spans="5:5" ht="13">
      <c r="E222" s="19"/>
    </row>
    <row r="223" spans="5:5" ht="13">
      <c r="E223" s="19"/>
    </row>
    <row r="224" spans="5:5" ht="13">
      <c r="E224" s="19"/>
    </row>
    <row r="225" spans="5:5" ht="13">
      <c r="E225" s="19"/>
    </row>
    <row r="226" spans="5:5" ht="13">
      <c r="E226" s="19"/>
    </row>
    <row r="227" spans="5:5" ht="13">
      <c r="E227" s="19"/>
    </row>
    <row r="228" spans="5:5" ht="13">
      <c r="E228" s="19"/>
    </row>
    <row r="229" spans="5:5" ht="13">
      <c r="E229" s="19"/>
    </row>
    <row r="230" spans="5:5" ht="13">
      <c r="E230" s="19"/>
    </row>
    <row r="231" spans="5:5" ht="13">
      <c r="E231" s="19"/>
    </row>
    <row r="232" spans="5:5" ht="13">
      <c r="E232" s="19"/>
    </row>
    <row r="233" spans="5:5" ht="13">
      <c r="E233" s="19"/>
    </row>
    <row r="234" spans="5:5" ht="13">
      <c r="E234" s="19"/>
    </row>
    <row r="235" spans="5:5" ht="13">
      <c r="E235" s="19"/>
    </row>
    <row r="236" spans="5:5" ht="13">
      <c r="E236" s="19"/>
    </row>
    <row r="237" spans="5:5" ht="13">
      <c r="E237" s="19"/>
    </row>
    <row r="238" spans="5:5" ht="13">
      <c r="E238" s="19"/>
    </row>
    <row r="239" spans="5:5" ht="13">
      <c r="E239" s="19"/>
    </row>
    <row r="240" spans="5:5" ht="13">
      <c r="E240" s="19"/>
    </row>
    <row r="241" spans="5:5" ht="13">
      <c r="E241" s="19"/>
    </row>
    <row r="242" spans="5:5" ht="13">
      <c r="E242" s="19"/>
    </row>
    <row r="243" spans="5:5" ht="13">
      <c r="E243" s="19"/>
    </row>
    <row r="244" spans="5:5" ht="13">
      <c r="E244" s="19"/>
    </row>
    <row r="245" spans="5:5" ht="13">
      <c r="E245" s="19"/>
    </row>
    <row r="246" spans="5:5" ht="13">
      <c r="E246" s="19"/>
    </row>
    <row r="247" spans="5:5" ht="13">
      <c r="E247" s="19"/>
    </row>
    <row r="248" spans="5:5" ht="13">
      <c r="E248" s="19"/>
    </row>
    <row r="249" spans="5:5" ht="13">
      <c r="E249" s="19"/>
    </row>
    <row r="250" spans="5:5" ht="13">
      <c r="E250" s="19"/>
    </row>
    <row r="251" spans="5:5" ht="13">
      <c r="E251" s="19"/>
    </row>
    <row r="252" spans="5:5" ht="13">
      <c r="E252" s="19"/>
    </row>
    <row r="253" spans="5:5" ht="13">
      <c r="E253" s="19"/>
    </row>
    <row r="254" spans="5:5" ht="13">
      <c r="E254" s="19"/>
    </row>
    <row r="255" spans="5:5" ht="13">
      <c r="E255" s="19"/>
    </row>
    <row r="256" spans="5:5" ht="13">
      <c r="E256" s="19"/>
    </row>
    <row r="257" spans="5:5" ht="13">
      <c r="E257" s="19"/>
    </row>
    <row r="258" spans="5:5" ht="13">
      <c r="E258" s="19"/>
    </row>
    <row r="259" spans="5:5" ht="13">
      <c r="E259" s="19"/>
    </row>
    <row r="260" spans="5:5" ht="13">
      <c r="E260" s="19"/>
    </row>
    <row r="261" spans="5:5" ht="13">
      <c r="E261" s="19"/>
    </row>
    <row r="262" spans="5:5" ht="13">
      <c r="E262" s="19"/>
    </row>
    <row r="263" spans="5:5" ht="13">
      <c r="E263" s="19"/>
    </row>
    <row r="264" spans="5:5" ht="13">
      <c r="E264" s="19"/>
    </row>
    <row r="265" spans="5:5" ht="13">
      <c r="E265" s="19"/>
    </row>
    <row r="266" spans="5:5" ht="13">
      <c r="E266" s="19"/>
    </row>
    <row r="267" spans="5:5" ht="13">
      <c r="E267" s="19"/>
    </row>
    <row r="268" spans="5:5" ht="13">
      <c r="E268" s="19"/>
    </row>
    <row r="269" spans="5:5" ht="13">
      <c r="E269" s="19"/>
    </row>
    <row r="270" spans="5:5" ht="13">
      <c r="E270" s="19"/>
    </row>
    <row r="271" spans="5:5" ht="13">
      <c r="E271" s="19"/>
    </row>
    <row r="272" spans="5:5" ht="13">
      <c r="E272" s="19"/>
    </row>
    <row r="273" spans="5:5" ht="13">
      <c r="E273" s="19"/>
    </row>
    <row r="274" spans="5:5" ht="13">
      <c r="E274" s="19"/>
    </row>
    <row r="275" spans="5:5" ht="13">
      <c r="E275" s="19"/>
    </row>
    <row r="276" spans="5:5" ht="13">
      <c r="E276" s="19"/>
    </row>
    <row r="277" spans="5:5" ht="13">
      <c r="E277" s="19"/>
    </row>
    <row r="278" spans="5:5" ht="13">
      <c r="E278" s="19"/>
    </row>
    <row r="279" spans="5:5" ht="13">
      <c r="E279" s="19"/>
    </row>
    <row r="280" spans="5:5" ht="13">
      <c r="E280" s="19"/>
    </row>
    <row r="281" spans="5:5" ht="13">
      <c r="E281" s="19"/>
    </row>
    <row r="282" spans="5:5" ht="13">
      <c r="E282" s="19"/>
    </row>
    <row r="283" spans="5:5" ht="13">
      <c r="E283" s="19"/>
    </row>
    <row r="284" spans="5:5" ht="13">
      <c r="E284" s="19"/>
    </row>
    <row r="285" spans="5:5" ht="13">
      <c r="E285" s="19"/>
    </row>
    <row r="286" spans="5:5" ht="13">
      <c r="E286" s="19"/>
    </row>
    <row r="287" spans="5:5" ht="13">
      <c r="E287" s="19"/>
    </row>
    <row r="288" spans="5:5" ht="13">
      <c r="E288" s="19"/>
    </row>
    <row r="289" spans="5:5" ht="13">
      <c r="E289" s="19"/>
    </row>
    <row r="290" spans="5:5" ht="13">
      <c r="E290" s="19"/>
    </row>
    <row r="291" spans="5:5" ht="13">
      <c r="E291" s="19"/>
    </row>
    <row r="292" spans="5:5" ht="13">
      <c r="E292" s="19"/>
    </row>
    <row r="293" spans="5:5" ht="13">
      <c r="E293" s="19"/>
    </row>
    <row r="294" spans="5:5" ht="13">
      <c r="E294" s="19"/>
    </row>
    <row r="295" spans="5:5" ht="13">
      <c r="E295" s="19"/>
    </row>
    <row r="296" spans="5:5" ht="13">
      <c r="E296" s="19"/>
    </row>
    <row r="297" spans="5:5" ht="13">
      <c r="E297" s="19"/>
    </row>
    <row r="298" spans="5:5" ht="13">
      <c r="E298" s="19"/>
    </row>
    <row r="299" spans="5:5" ht="13">
      <c r="E299" s="19"/>
    </row>
    <row r="300" spans="5:5" ht="13">
      <c r="E300" s="19"/>
    </row>
    <row r="301" spans="5:5" ht="13">
      <c r="E301" s="19"/>
    </row>
    <row r="302" spans="5:5" ht="13">
      <c r="E302" s="19"/>
    </row>
    <row r="303" spans="5:5" ht="13">
      <c r="E303" s="19"/>
    </row>
    <row r="304" spans="5:5" ht="13">
      <c r="E304" s="19"/>
    </row>
    <row r="305" spans="5:5" ht="13">
      <c r="E305" s="19"/>
    </row>
    <row r="306" spans="5:5" ht="13">
      <c r="E306" s="19"/>
    </row>
    <row r="307" spans="5:5" ht="13">
      <c r="E307" s="19"/>
    </row>
    <row r="308" spans="5:5" ht="13">
      <c r="E308" s="19"/>
    </row>
    <row r="309" spans="5:5" ht="13">
      <c r="E309" s="19"/>
    </row>
    <row r="310" spans="5:5" ht="13">
      <c r="E310" s="19"/>
    </row>
    <row r="311" spans="5:5" ht="13">
      <c r="E311" s="19"/>
    </row>
    <row r="312" spans="5:5" ht="13">
      <c r="E312" s="19"/>
    </row>
    <row r="313" spans="5:5" ht="13">
      <c r="E313" s="19"/>
    </row>
    <row r="314" spans="5:5" ht="13">
      <c r="E314" s="19"/>
    </row>
    <row r="315" spans="5:5" ht="13">
      <c r="E315" s="19"/>
    </row>
    <row r="316" spans="5:5" ht="13">
      <c r="E316" s="19"/>
    </row>
    <row r="317" spans="5:5" ht="13">
      <c r="E317" s="19"/>
    </row>
    <row r="318" spans="5:5" ht="13">
      <c r="E318" s="19"/>
    </row>
    <row r="319" spans="5:5" ht="13">
      <c r="E319" s="19"/>
    </row>
    <row r="320" spans="5:5" ht="13">
      <c r="E320" s="19"/>
    </row>
    <row r="321" spans="5:5" ht="13">
      <c r="E321" s="19"/>
    </row>
    <row r="322" spans="5:5" ht="13">
      <c r="E322" s="19"/>
    </row>
    <row r="323" spans="5:5" ht="13">
      <c r="E323" s="19"/>
    </row>
    <row r="324" spans="5:5" ht="13">
      <c r="E324" s="19"/>
    </row>
    <row r="325" spans="5:5" ht="13">
      <c r="E325" s="19"/>
    </row>
    <row r="326" spans="5:5" ht="13">
      <c r="E326" s="19"/>
    </row>
    <row r="327" spans="5:5" ht="13">
      <c r="E327" s="19"/>
    </row>
    <row r="328" spans="5:5" ht="13">
      <c r="E328" s="19"/>
    </row>
    <row r="329" spans="5:5" ht="13">
      <c r="E329" s="19"/>
    </row>
    <row r="330" spans="5:5" ht="13">
      <c r="E330" s="19"/>
    </row>
    <row r="331" spans="5:5" ht="13">
      <c r="E331" s="19"/>
    </row>
    <row r="332" spans="5:5" ht="13">
      <c r="E332" s="19"/>
    </row>
    <row r="333" spans="5:5" ht="13">
      <c r="E333" s="19"/>
    </row>
    <row r="334" spans="5:5" ht="13">
      <c r="E334" s="19"/>
    </row>
    <row r="335" spans="5:5" ht="13">
      <c r="E335" s="19"/>
    </row>
    <row r="336" spans="5:5" ht="13">
      <c r="E336" s="19"/>
    </row>
    <row r="337" spans="5:5" ht="13">
      <c r="E337" s="19"/>
    </row>
    <row r="338" spans="5:5" ht="13">
      <c r="E338" s="19"/>
    </row>
    <row r="339" spans="5:5" ht="13">
      <c r="E339" s="19"/>
    </row>
    <row r="340" spans="5:5" ht="13">
      <c r="E340" s="19"/>
    </row>
    <row r="341" spans="5:5" ht="13">
      <c r="E341" s="19"/>
    </row>
    <row r="342" spans="5:5" ht="13">
      <c r="E342" s="19"/>
    </row>
    <row r="343" spans="5:5" ht="13">
      <c r="E343" s="19"/>
    </row>
    <row r="344" spans="5:5" ht="13">
      <c r="E344" s="19"/>
    </row>
    <row r="345" spans="5:5" ht="13">
      <c r="E345" s="19"/>
    </row>
    <row r="346" spans="5:5" ht="13">
      <c r="E346" s="19"/>
    </row>
    <row r="347" spans="5:5" ht="13">
      <c r="E347" s="19"/>
    </row>
    <row r="348" spans="5:5" ht="13">
      <c r="E348" s="19"/>
    </row>
    <row r="349" spans="5:5" ht="13">
      <c r="E349" s="19"/>
    </row>
    <row r="350" spans="5:5" ht="13">
      <c r="E350" s="19"/>
    </row>
    <row r="351" spans="5:5" ht="13">
      <c r="E351" s="19"/>
    </row>
    <row r="352" spans="5:5" ht="13">
      <c r="E352" s="19"/>
    </row>
    <row r="353" spans="5:5" ht="13">
      <c r="E353" s="19"/>
    </row>
    <row r="354" spans="5:5" ht="13">
      <c r="E354" s="19"/>
    </row>
    <row r="355" spans="5:5" ht="13">
      <c r="E355" s="19"/>
    </row>
    <row r="356" spans="5:5" ht="13">
      <c r="E356" s="19"/>
    </row>
    <row r="357" spans="5:5" ht="13">
      <c r="E357" s="19"/>
    </row>
    <row r="358" spans="5:5" ht="13">
      <c r="E358" s="19"/>
    </row>
    <row r="359" spans="5:5" ht="13">
      <c r="E359" s="19"/>
    </row>
    <row r="360" spans="5:5" ht="13">
      <c r="E360" s="19"/>
    </row>
    <row r="361" spans="5:5" ht="13">
      <c r="E361" s="19"/>
    </row>
    <row r="362" spans="5:5" ht="13">
      <c r="E362" s="19"/>
    </row>
    <row r="363" spans="5:5" ht="13">
      <c r="E363" s="19"/>
    </row>
    <row r="364" spans="5:5" ht="13">
      <c r="E364" s="19"/>
    </row>
    <row r="365" spans="5:5" ht="13">
      <c r="E365" s="19"/>
    </row>
    <row r="366" spans="5:5" ht="13">
      <c r="E366" s="19"/>
    </row>
    <row r="367" spans="5:5" ht="13">
      <c r="E367" s="19"/>
    </row>
    <row r="368" spans="5:5" ht="13">
      <c r="E368" s="19"/>
    </row>
    <row r="369" spans="5:5" ht="13">
      <c r="E369" s="19"/>
    </row>
    <row r="370" spans="5:5" ht="13">
      <c r="E370" s="19"/>
    </row>
    <row r="371" spans="5:5" ht="13">
      <c r="E371" s="19"/>
    </row>
    <row r="372" spans="5:5" ht="13">
      <c r="E372" s="19"/>
    </row>
    <row r="373" spans="5:5" ht="13">
      <c r="E373" s="19"/>
    </row>
    <row r="374" spans="5:5" ht="13">
      <c r="E374" s="19"/>
    </row>
    <row r="375" spans="5:5" ht="13">
      <c r="E375" s="19"/>
    </row>
    <row r="376" spans="5:5" ht="13">
      <c r="E376" s="19"/>
    </row>
    <row r="377" spans="5:5" ht="13">
      <c r="E377" s="19"/>
    </row>
    <row r="378" spans="5:5" ht="13">
      <c r="E378" s="19"/>
    </row>
    <row r="379" spans="5:5" ht="13">
      <c r="E379" s="19"/>
    </row>
    <row r="380" spans="5:5" ht="13">
      <c r="E380" s="19"/>
    </row>
    <row r="381" spans="5:5" ht="13">
      <c r="E381" s="19"/>
    </row>
    <row r="382" spans="5:5" ht="13">
      <c r="E382" s="19"/>
    </row>
    <row r="383" spans="5:5" ht="13">
      <c r="E383" s="19"/>
    </row>
    <row r="384" spans="5:5" ht="13">
      <c r="E384" s="19"/>
    </row>
    <row r="385" spans="5:5" ht="13">
      <c r="E385" s="19"/>
    </row>
    <row r="386" spans="5:5" ht="13">
      <c r="E386" s="19"/>
    </row>
    <row r="387" spans="5:5" ht="13">
      <c r="E387" s="19"/>
    </row>
    <row r="388" spans="5:5" ht="13">
      <c r="E388" s="19"/>
    </row>
    <row r="389" spans="5:5" ht="13">
      <c r="E389" s="19"/>
    </row>
    <row r="390" spans="5:5" ht="13">
      <c r="E390" s="19"/>
    </row>
    <row r="391" spans="5:5" ht="13">
      <c r="E391" s="19"/>
    </row>
    <row r="392" spans="5:5" ht="13">
      <c r="E392" s="19"/>
    </row>
    <row r="393" spans="5:5" ht="13">
      <c r="E393" s="19"/>
    </row>
    <row r="394" spans="5:5" ht="13">
      <c r="E394" s="19"/>
    </row>
    <row r="395" spans="5:5" ht="13">
      <c r="E395" s="19"/>
    </row>
    <row r="396" spans="5:5" ht="13">
      <c r="E396" s="19"/>
    </row>
    <row r="397" spans="5:5" ht="13">
      <c r="E397" s="19"/>
    </row>
    <row r="398" spans="5:5" ht="13">
      <c r="E398" s="19"/>
    </row>
    <row r="399" spans="5:5" ht="13">
      <c r="E399" s="19"/>
    </row>
    <row r="400" spans="5:5" ht="13">
      <c r="E400" s="19"/>
    </row>
    <row r="401" spans="5:5" ht="13">
      <c r="E401" s="19"/>
    </row>
    <row r="402" spans="5:5" ht="13">
      <c r="E402" s="19"/>
    </row>
    <row r="403" spans="5:5" ht="13">
      <c r="E403" s="19"/>
    </row>
    <row r="404" spans="5:5" ht="13">
      <c r="E404" s="19"/>
    </row>
    <row r="405" spans="5:5" ht="13">
      <c r="E405" s="19"/>
    </row>
    <row r="406" spans="5:5" ht="13">
      <c r="E406" s="19"/>
    </row>
    <row r="407" spans="5:5" ht="13">
      <c r="E407" s="19"/>
    </row>
    <row r="408" spans="5:5" ht="13">
      <c r="E408" s="19"/>
    </row>
    <row r="409" spans="5:5" ht="13">
      <c r="E409" s="19"/>
    </row>
    <row r="410" spans="5:5" ht="13">
      <c r="E410" s="19"/>
    </row>
    <row r="411" spans="5:5" ht="13">
      <c r="E411" s="19"/>
    </row>
    <row r="412" spans="5:5" ht="13">
      <c r="E412" s="19"/>
    </row>
    <row r="413" spans="5:5" ht="13">
      <c r="E413" s="19"/>
    </row>
    <row r="414" spans="5:5" ht="13">
      <c r="E414" s="19"/>
    </row>
    <row r="415" spans="5:5" ht="13">
      <c r="E415" s="19"/>
    </row>
    <row r="416" spans="5:5" ht="13">
      <c r="E416" s="19"/>
    </row>
    <row r="417" spans="5:5" ht="13">
      <c r="E417" s="19"/>
    </row>
    <row r="418" spans="5:5" ht="13">
      <c r="E418" s="19"/>
    </row>
    <row r="419" spans="5:5" ht="13">
      <c r="E419" s="19"/>
    </row>
    <row r="420" spans="5:5" ht="13">
      <c r="E420" s="19"/>
    </row>
    <row r="421" spans="5:5" ht="13">
      <c r="E421" s="19"/>
    </row>
    <row r="422" spans="5:5" ht="13">
      <c r="E422" s="19"/>
    </row>
    <row r="423" spans="5:5" ht="13">
      <c r="E423" s="19"/>
    </row>
    <row r="424" spans="5:5" ht="13">
      <c r="E424" s="19"/>
    </row>
    <row r="425" spans="5:5" ht="13">
      <c r="E425" s="19"/>
    </row>
    <row r="426" spans="5:5" ht="13">
      <c r="E426" s="19"/>
    </row>
    <row r="427" spans="5:5" ht="13">
      <c r="E427" s="19"/>
    </row>
    <row r="428" spans="5:5" ht="13">
      <c r="E428" s="19"/>
    </row>
    <row r="429" spans="5:5" ht="13">
      <c r="E429" s="19"/>
    </row>
    <row r="430" spans="5:5" ht="13">
      <c r="E430" s="19"/>
    </row>
    <row r="431" spans="5:5" ht="13">
      <c r="E431" s="19"/>
    </row>
    <row r="432" spans="5:5" ht="13">
      <c r="E432" s="19"/>
    </row>
    <row r="433" spans="5:5" ht="13">
      <c r="E433" s="19"/>
    </row>
    <row r="434" spans="5:5" ht="13">
      <c r="E434" s="19"/>
    </row>
    <row r="435" spans="5:5" ht="13">
      <c r="E435" s="19"/>
    </row>
    <row r="436" spans="5:5" ht="13">
      <c r="E436" s="19"/>
    </row>
    <row r="437" spans="5:5" ht="13">
      <c r="E437" s="19"/>
    </row>
    <row r="438" spans="5:5" ht="13">
      <c r="E438" s="19"/>
    </row>
    <row r="439" spans="5:5" ht="13">
      <c r="E439" s="19"/>
    </row>
    <row r="440" spans="5:5" ht="13">
      <c r="E440" s="19"/>
    </row>
    <row r="441" spans="5:5" ht="13">
      <c r="E441" s="19"/>
    </row>
    <row r="442" spans="5:5" ht="13">
      <c r="E442" s="19"/>
    </row>
    <row r="443" spans="5:5" ht="13">
      <c r="E443" s="19"/>
    </row>
    <row r="444" spans="5:5" ht="13">
      <c r="E444" s="19"/>
    </row>
    <row r="445" spans="5:5" ht="13">
      <c r="E445" s="19"/>
    </row>
    <row r="446" spans="5:5" ht="13">
      <c r="E446" s="19"/>
    </row>
    <row r="447" spans="5:5" ht="13">
      <c r="E447" s="19"/>
    </row>
    <row r="448" spans="5:5" ht="13">
      <c r="E448" s="19"/>
    </row>
    <row r="449" spans="5:5" ht="13">
      <c r="E449" s="19"/>
    </row>
    <row r="450" spans="5:5" ht="13">
      <c r="E450" s="19"/>
    </row>
    <row r="451" spans="5:5" ht="13">
      <c r="E451" s="19"/>
    </row>
    <row r="452" spans="5:5" ht="13">
      <c r="E452" s="19"/>
    </row>
    <row r="453" spans="5:5" ht="13">
      <c r="E453" s="19"/>
    </row>
    <row r="454" spans="5:5" ht="13">
      <c r="E454" s="19"/>
    </row>
    <row r="455" spans="5:5" ht="13">
      <c r="E455" s="19"/>
    </row>
    <row r="456" spans="5:5" ht="13">
      <c r="E456" s="19"/>
    </row>
    <row r="457" spans="5:5" ht="13">
      <c r="E457" s="19"/>
    </row>
    <row r="458" spans="5:5" ht="13">
      <c r="E458" s="19"/>
    </row>
    <row r="459" spans="5:5" ht="13">
      <c r="E459" s="19"/>
    </row>
    <row r="460" spans="5:5" ht="13">
      <c r="E460" s="19"/>
    </row>
    <row r="461" spans="5:5" ht="13">
      <c r="E461" s="19"/>
    </row>
    <row r="462" spans="5:5" ht="13">
      <c r="E462" s="19"/>
    </row>
    <row r="463" spans="5:5" ht="13">
      <c r="E463" s="19"/>
    </row>
    <row r="464" spans="5:5" ht="13">
      <c r="E464" s="19"/>
    </row>
    <row r="465" spans="5:5" ht="13">
      <c r="E465" s="19"/>
    </row>
    <row r="466" spans="5:5" ht="13">
      <c r="E466" s="19"/>
    </row>
    <row r="467" spans="5:5" ht="13">
      <c r="E467" s="19"/>
    </row>
    <row r="468" spans="5:5" ht="13">
      <c r="E468" s="19"/>
    </row>
    <row r="469" spans="5:5" ht="13">
      <c r="E469" s="19"/>
    </row>
    <row r="470" spans="5:5" ht="13">
      <c r="E470" s="19"/>
    </row>
    <row r="471" spans="5:5" ht="13">
      <c r="E471" s="19"/>
    </row>
    <row r="472" spans="5:5" ht="13">
      <c r="E472" s="19"/>
    </row>
    <row r="473" spans="5:5" ht="13">
      <c r="E473" s="19"/>
    </row>
    <row r="474" spans="5:5" ht="13">
      <c r="E474" s="19"/>
    </row>
    <row r="475" spans="5:5" ht="13">
      <c r="E475" s="19"/>
    </row>
    <row r="476" spans="5:5" ht="13">
      <c r="E476" s="19"/>
    </row>
    <row r="477" spans="5:5" ht="13">
      <c r="E477" s="19"/>
    </row>
    <row r="478" spans="5:5" ht="13">
      <c r="E478" s="19"/>
    </row>
    <row r="479" spans="5:5" ht="13">
      <c r="E479" s="19"/>
    </row>
    <row r="480" spans="5:5" ht="13">
      <c r="E480" s="19"/>
    </row>
    <row r="481" spans="5:5" ht="13">
      <c r="E481" s="19"/>
    </row>
    <row r="482" spans="5:5" ht="13">
      <c r="E482" s="19"/>
    </row>
    <row r="483" spans="5:5" ht="13">
      <c r="E483" s="19"/>
    </row>
    <row r="484" spans="5:5" ht="13">
      <c r="E484" s="19"/>
    </row>
    <row r="485" spans="5:5" ht="13">
      <c r="E485" s="19"/>
    </row>
    <row r="486" spans="5:5" ht="13">
      <c r="E486" s="19"/>
    </row>
    <row r="487" spans="5:5" ht="13">
      <c r="E487" s="19"/>
    </row>
    <row r="488" spans="5:5" ht="13">
      <c r="E488" s="19"/>
    </row>
    <row r="489" spans="5:5" ht="13">
      <c r="E489" s="19"/>
    </row>
    <row r="490" spans="5:5" ht="13">
      <c r="E490" s="19"/>
    </row>
    <row r="491" spans="5:5" ht="13">
      <c r="E491" s="19"/>
    </row>
    <row r="492" spans="5:5" ht="13">
      <c r="E492" s="19"/>
    </row>
    <row r="493" spans="5:5" ht="13">
      <c r="E493" s="19"/>
    </row>
    <row r="494" spans="5:5" ht="13">
      <c r="E494" s="19"/>
    </row>
    <row r="495" spans="5:5" ht="13">
      <c r="E495" s="19"/>
    </row>
    <row r="496" spans="5:5" ht="13">
      <c r="E496" s="19"/>
    </row>
    <row r="497" spans="5:5" ht="13">
      <c r="E497" s="19"/>
    </row>
    <row r="498" spans="5:5" ht="13">
      <c r="E498" s="19"/>
    </row>
    <row r="499" spans="5:5" ht="13">
      <c r="E499" s="19"/>
    </row>
    <row r="500" spans="5:5" ht="13">
      <c r="E500" s="19"/>
    </row>
    <row r="501" spans="5:5" ht="13">
      <c r="E501" s="19"/>
    </row>
    <row r="502" spans="5:5" ht="13">
      <c r="E502" s="19"/>
    </row>
    <row r="503" spans="5:5" ht="13">
      <c r="E503" s="19"/>
    </row>
    <row r="504" spans="5:5" ht="13">
      <c r="E504" s="19"/>
    </row>
    <row r="505" spans="5:5" ht="13">
      <c r="E505" s="19"/>
    </row>
    <row r="506" spans="5:5" ht="13">
      <c r="E506" s="19"/>
    </row>
    <row r="507" spans="5:5" ht="13">
      <c r="E507" s="19"/>
    </row>
    <row r="508" spans="5:5" ht="13">
      <c r="E508" s="19"/>
    </row>
    <row r="509" spans="5:5" ht="13">
      <c r="E509" s="19"/>
    </row>
    <row r="510" spans="5:5" ht="13">
      <c r="E510" s="19"/>
    </row>
    <row r="511" spans="5:5" ht="13">
      <c r="E511" s="19"/>
    </row>
    <row r="512" spans="5:5" ht="13">
      <c r="E512" s="19"/>
    </row>
    <row r="513" spans="5:5" ht="13">
      <c r="E513" s="19"/>
    </row>
    <row r="514" spans="5:5" ht="13">
      <c r="E514" s="19"/>
    </row>
    <row r="515" spans="5:5" ht="13">
      <c r="E515" s="19"/>
    </row>
    <row r="516" spans="5:5" ht="13">
      <c r="E516" s="19"/>
    </row>
    <row r="517" spans="5:5" ht="13">
      <c r="E517" s="19"/>
    </row>
    <row r="518" spans="5:5" ht="13">
      <c r="E518" s="19"/>
    </row>
    <row r="519" spans="5:5" ht="13">
      <c r="E519" s="19"/>
    </row>
    <row r="520" spans="5:5" ht="13">
      <c r="E520" s="19"/>
    </row>
    <row r="521" spans="5:5" ht="13">
      <c r="E521" s="19"/>
    </row>
    <row r="522" spans="5:5" ht="13">
      <c r="E522" s="19"/>
    </row>
    <row r="523" spans="5:5" ht="13">
      <c r="E523" s="19"/>
    </row>
    <row r="524" spans="5:5" ht="13">
      <c r="E524" s="19"/>
    </row>
    <row r="525" spans="5:5" ht="13">
      <c r="E525" s="19"/>
    </row>
    <row r="526" spans="5:5" ht="13">
      <c r="E526" s="19"/>
    </row>
    <row r="527" spans="5:5" ht="13">
      <c r="E527" s="19"/>
    </row>
    <row r="528" spans="5:5" ht="13">
      <c r="E528" s="19"/>
    </row>
    <row r="529" spans="5:5" ht="13">
      <c r="E529" s="19"/>
    </row>
    <row r="530" spans="5:5" ht="13">
      <c r="E530" s="19"/>
    </row>
    <row r="531" spans="5:5" ht="13">
      <c r="E531" s="19"/>
    </row>
    <row r="532" spans="5:5" ht="13">
      <c r="E532" s="19"/>
    </row>
    <row r="533" spans="5:5" ht="13">
      <c r="E533" s="19"/>
    </row>
    <row r="534" spans="5:5" ht="13">
      <c r="E534" s="19"/>
    </row>
    <row r="535" spans="5:5" ht="13">
      <c r="E535" s="19"/>
    </row>
    <row r="536" spans="5:5" ht="13">
      <c r="E536" s="19"/>
    </row>
    <row r="537" spans="5:5" ht="13">
      <c r="E537" s="19"/>
    </row>
    <row r="538" spans="5:5" ht="13">
      <c r="E538" s="19"/>
    </row>
    <row r="539" spans="5:5" ht="13">
      <c r="E539" s="19"/>
    </row>
    <row r="540" spans="5:5" ht="13">
      <c r="E540" s="19"/>
    </row>
    <row r="541" spans="5:5" ht="13">
      <c r="E541" s="19"/>
    </row>
    <row r="542" spans="5:5" ht="13">
      <c r="E542" s="19"/>
    </row>
    <row r="543" spans="5:5" ht="13">
      <c r="E543" s="19"/>
    </row>
    <row r="544" spans="5:5" ht="13">
      <c r="E544" s="19"/>
    </row>
    <row r="545" spans="5:5" ht="13">
      <c r="E545" s="19"/>
    </row>
    <row r="546" spans="5:5" ht="13">
      <c r="E546" s="19"/>
    </row>
    <row r="547" spans="5:5" ht="13">
      <c r="E547" s="19"/>
    </row>
    <row r="548" spans="5:5" ht="13">
      <c r="E548" s="19"/>
    </row>
    <row r="549" spans="5:5" ht="13">
      <c r="E549" s="19"/>
    </row>
    <row r="550" spans="5:5" ht="13">
      <c r="E550" s="19"/>
    </row>
    <row r="551" spans="5:5" ht="13">
      <c r="E551" s="19"/>
    </row>
    <row r="552" spans="5:5" ht="13">
      <c r="E552" s="19"/>
    </row>
    <row r="553" spans="5:5" ht="13">
      <c r="E553" s="19"/>
    </row>
    <row r="554" spans="5:5" ht="13">
      <c r="E554" s="19"/>
    </row>
    <row r="555" spans="5:5" ht="13">
      <c r="E555" s="19"/>
    </row>
    <row r="556" spans="5:5" ht="13">
      <c r="E556" s="19"/>
    </row>
    <row r="557" spans="5:5" ht="13">
      <c r="E557" s="19"/>
    </row>
    <row r="558" spans="5:5" ht="13">
      <c r="E558" s="19"/>
    </row>
    <row r="559" spans="5:5" ht="13">
      <c r="E559" s="19"/>
    </row>
    <row r="560" spans="5:5" ht="13">
      <c r="E560" s="19"/>
    </row>
    <row r="561" spans="5:5" ht="13">
      <c r="E561" s="19"/>
    </row>
    <row r="562" spans="5:5" ht="13">
      <c r="E562" s="19"/>
    </row>
    <row r="563" spans="5:5" ht="13">
      <c r="E563" s="19"/>
    </row>
    <row r="564" spans="5:5" ht="13">
      <c r="E564" s="19"/>
    </row>
    <row r="565" spans="5:5" ht="13">
      <c r="E565" s="19"/>
    </row>
    <row r="566" spans="5:5" ht="13">
      <c r="E566" s="19"/>
    </row>
    <row r="567" spans="5:5" ht="13">
      <c r="E567" s="19"/>
    </row>
    <row r="568" spans="5:5" ht="13">
      <c r="E568" s="19"/>
    </row>
    <row r="569" spans="5:5" ht="13">
      <c r="E569" s="19"/>
    </row>
    <row r="570" spans="5:5" ht="13">
      <c r="E570" s="19"/>
    </row>
    <row r="571" spans="5:5" ht="13">
      <c r="E571" s="19"/>
    </row>
    <row r="572" spans="5:5" ht="13">
      <c r="E572" s="19"/>
    </row>
    <row r="573" spans="5:5" ht="13">
      <c r="E573" s="19"/>
    </row>
    <row r="574" spans="5:5" ht="13">
      <c r="E574" s="19"/>
    </row>
    <row r="575" spans="5:5" ht="13">
      <c r="E575" s="19"/>
    </row>
    <row r="576" spans="5:5" ht="13">
      <c r="E576" s="19"/>
    </row>
    <row r="577" spans="5:5" ht="13">
      <c r="E577" s="19"/>
    </row>
    <row r="578" spans="5:5" ht="13">
      <c r="E578" s="19"/>
    </row>
    <row r="579" spans="5:5" ht="13">
      <c r="E579" s="19"/>
    </row>
    <row r="580" spans="5:5" ht="13">
      <c r="E580" s="19"/>
    </row>
    <row r="581" spans="5:5" ht="13">
      <c r="E581" s="19"/>
    </row>
    <row r="582" spans="5:5" ht="13">
      <c r="E582" s="19"/>
    </row>
    <row r="583" spans="5:5" ht="13">
      <c r="E583" s="19"/>
    </row>
    <row r="584" spans="5:5" ht="13">
      <c r="E584" s="19"/>
    </row>
    <row r="585" spans="5:5" ht="13">
      <c r="E585" s="19"/>
    </row>
    <row r="586" spans="5:5" ht="13">
      <c r="E586" s="19"/>
    </row>
    <row r="587" spans="5:5" ht="13">
      <c r="E587" s="19"/>
    </row>
    <row r="588" spans="5:5" ht="13">
      <c r="E588" s="19"/>
    </row>
    <row r="589" spans="5:5" ht="13">
      <c r="E589" s="19"/>
    </row>
    <row r="590" spans="5:5" ht="13">
      <c r="E590" s="19"/>
    </row>
    <row r="591" spans="5:5" ht="13">
      <c r="E591" s="19"/>
    </row>
    <row r="592" spans="5:5" ht="13">
      <c r="E592" s="19"/>
    </row>
    <row r="593" spans="5:5" ht="13">
      <c r="E593" s="19"/>
    </row>
    <row r="594" spans="5:5" ht="13">
      <c r="E594" s="19"/>
    </row>
    <row r="595" spans="5:5" ht="13">
      <c r="E595" s="19"/>
    </row>
    <row r="596" spans="5:5" ht="13">
      <c r="E596" s="19"/>
    </row>
    <row r="597" spans="5:5" ht="13">
      <c r="E597" s="19"/>
    </row>
    <row r="598" spans="5:5" ht="13">
      <c r="E598" s="19"/>
    </row>
    <row r="599" spans="5:5" ht="13">
      <c r="E599" s="19"/>
    </row>
    <row r="600" spans="5:5" ht="13">
      <c r="E600" s="19"/>
    </row>
    <row r="601" spans="5:5" ht="13">
      <c r="E601" s="19"/>
    </row>
    <row r="602" spans="5:5" ht="13">
      <c r="E602" s="19"/>
    </row>
    <row r="603" spans="5:5" ht="13">
      <c r="E603" s="19"/>
    </row>
    <row r="604" spans="5:5" ht="13">
      <c r="E604" s="19"/>
    </row>
    <row r="605" spans="5:5" ht="13">
      <c r="E605" s="19"/>
    </row>
    <row r="606" spans="5:5" ht="13">
      <c r="E606" s="19"/>
    </row>
    <row r="607" spans="5:5" ht="13">
      <c r="E607" s="19"/>
    </row>
    <row r="608" spans="5:5" ht="13">
      <c r="E608" s="19"/>
    </row>
    <row r="609" spans="5:5" ht="13">
      <c r="E609" s="19"/>
    </row>
    <row r="610" spans="5:5" ht="13">
      <c r="E610" s="19"/>
    </row>
    <row r="611" spans="5:5" ht="13">
      <c r="E611" s="19"/>
    </row>
    <row r="612" spans="5:5" ht="13">
      <c r="E612" s="19"/>
    </row>
    <row r="613" spans="5:5" ht="13">
      <c r="E613" s="19"/>
    </row>
    <row r="614" spans="5:5" ht="13">
      <c r="E614" s="19"/>
    </row>
    <row r="615" spans="5:5" ht="13">
      <c r="E615" s="19"/>
    </row>
    <row r="616" spans="5:5" ht="13">
      <c r="E616" s="19"/>
    </row>
    <row r="617" spans="5:5" ht="13">
      <c r="E617" s="19"/>
    </row>
    <row r="618" spans="5:5" ht="13">
      <c r="E618" s="19"/>
    </row>
    <row r="619" spans="5:5" ht="13">
      <c r="E619" s="19"/>
    </row>
    <row r="620" spans="5:5" ht="13">
      <c r="E620" s="19"/>
    </row>
    <row r="621" spans="5:5" ht="13">
      <c r="E621" s="19"/>
    </row>
    <row r="622" spans="5:5" ht="13">
      <c r="E622" s="19"/>
    </row>
    <row r="623" spans="5:5" ht="13">
      <c r="E623" s="19"/>
    </row>
    <row r="624" spans="5:5" ht="13">
      <c r="E624" s="19"/>
    </row>
    <row r="625" spans="5:5" ht="13">
      <c r="E625" s="19"/>
    </row>
    <row r="626" spans="5:5" ht="13">
      <c r="E626" s="19"/>
    </row>
    <row r="627" spans="5:5" ht="13">
      <c r="E627" s="19"/>
    </row>
    <row r="628" spans="5:5" ht="13">
      <c r="E628" s="19"/>
    </row>
    <row r="629" spans="5:5" ht="13">
      <c r="E629" s="19"/>
    </row>
    <row r="630" spans="5:5" ht="13">
      <c r="E630" s="19"/>
    </row>
    <row r="631" spans="5:5" ht="13">
      <c r="E631" s="19"/>
    </row>
    <row r="632" spans="5:5" ht="13">
      <c r="E632" s="19"/>
    </row>
    <row r="633" spans="5:5" ht="13">
      <c r="E633" s="19"/>
    </row>
    <row r="634" spans="5:5" ht="13">
      <c r="E634" s="19"/>
    </row>
    <row r="635" spans="5:5" ht="13">
      <c r="E635" s="19"/>
    </row>
    <row r="636" spans="5:5" ht="13">
      <c r="E636" s="19"/>
    </row>
    <row r="637" spans="5:5" ht="13">
      <c r="E637" s="19"/>
    </row>
    <row r="638" spans="5:5" ht="13">
      <c r="E638" s="19"/>
    </row>
    <row r="639" spans="5:5" ht="13">
      <c r="E639" s="19"/>
    </row>
    <row r="640" spans="5:5" ht="13">
      <c r="E640" s="19"/>
    </row>
    <row r="641" spans="5:5" ht="13">
      <c r="E641" s="19"/>
    </row>
    <row r="642" spans="5:5" ht="13">
      <c r="E642" s="19"/>
    </row>
    <row r="643" spans="5:5" ht="13">
      <c r="E643" s="19"/>
    </row>
    <row r="644" spans="5:5" ht="13">
      <c r="E644" s="19"/>
    </row>
    <row r="645" spans="5:5" ht="13">
      <c r="E645" s="19"/>
    </row>
    <row r="646" spans="5:5" ht="13">
      <c r="E646" s="19"/>
    </row>
    <row r="647" spans="5:5" ht="13">
      <c r="E647" s="19"/>
    </row>
    <row r="648" spans="5:5" ht="13">
      <c r="E648" s="19"/>
    </row>
    <row r="649" spans="5:5" ht="13">
      <c r="E649" s="19"/>
    </row>
    <row r="650" spans="5:5" ht="13">
      <c r="E650" s="19"/>
    </row>
    <row r="651" spans="5:5" ht="13">
      <c r="E651" s="19"/>
    </row>
    <row r="652" spans="5:5" ht="13">
      <c r="E652" s="19"/>
    </row>
    <row r="653" spans="5:5" ht="13">
      <c r="E653" s="19"/>
    </row>
    <row r="654" spans="5:5" ht="13">
      <c r="E654" s="19"/>
    </row>
    <row r="655" spans="5:5" ht="13">
      <c r="E655" s="19"/>
    </row>
    <row r="656" spans="5:5" ht="13">
      <c r="E656" s="19"/>
    </row>
    <row r="657" spans="5:5" ht="13">
      <c r="E657" s="19"/>
    </row>
    <row r="658" spans="5:5" ht="13">
      <c r="E658" s="19"/>
    </row>
    <row r="659" spans="5:5" ht="13">
      <c r="E659" s="19"/>
    </row>
    <row r="660" spans="5:5" ht="13">
      <c r="E660" s="19"/>
    </row>
    <row r="661" spans="5:5" ht="13">
      <c r="E661" s="19"/>
    </row>
    <row r="662" spans="5:5" ht="13">
      <c r="E662" s="19"/>
    </row>
    <row r="663" spans="5:5" ht="13">
      <c r="E663" s="19"/>
    </row>
    <row r="664" spans="5:5" ht="13">
      <c r="E664" s="19"/>
    </row>
    <row r="665" spans="5:5" ht="13">
      <c r="E665" s="19"/>
    </row>
    <row r="666" spans="5:5" ht="13">
      <c r="E666" s="19"/>
    </row>
    <row r="667" spans="5:5" ht="13">
      <c r="E667" s="19"/>
    </row>
    <row r="668" spans="5:5" ht="13">
      <c r="E668" s="19"/>
    </row>
    <row r="669" spans="5:5" ht="13">
      <c r="E669" s="19"/>
    </row>
    <row r="670" spans="5:5" ht="13">
      <c r="E670" s="19"/>
    </row>
    <row r="671" spans="5:5" ht="13">
      <c r="E671" s="19"/>
    </row>
    <row r="672" spans="5:5" ht="13">
      <c r="E672" s="19"/>
    </row>
    <row r="673" spans="5:5" ht="13">
      <c r="E673" s="19"/>
    </row>
    <row r="674" spans="5:5" ht="13">
      <c r="E674" s="19"/>
    </row>
    <row r="675" spans="5:5" ht="13">
      <c r="E675" s="19"/>
    </row>
    <row r="676" spans="5:5" ht="13">
      <c r="E676" s="19"/>
    </row>
    <row r="677" spans="5:5" ht="13">
      <c r="E677" s="19"/>
    </row>
    <row r="678" spans="5:5" ht="13">
      <c r="E678" s="19"/>
    </row>
    <row r="679" spans="5:5" ht="13">
      <c r="E679" s="19"/>
    </row>
    <row r="680" spans="5:5" ht="13">
      <c r="E680" s="19"/>
    </row>
    <row r="681" spans="5:5" ht="13">
      <c r="E681" s="19"/>
    </row>
    <row r="682" spans="5:5" ht="13">
      <c r="E682" s="19"/>
    </row>
    <row r="683" spans="5:5" ht="13">
      <c r="E683" s="19"/>
    </row>
    <row r="684" spans="5:5" ht="13">
      <c r="E684" s="19"/>
    </row>
    <row r="685" spans="5:5" ht="13">
      <c r="E685" s="19"/>
    </row>
    <row r="686" spans="5:5" ht="13">
      <c r="E686" s="19"/>
    </row>
    <row r="687" spans="5:5" ht="13">
      <c r="E687" s="19"/>
    </row>
    <row r="688" spans="5:5" ht="13">
      <c r="E688" s="19"/>
    </row>
    <row r="689" spans="5:5" ht="13">
      <c r="E689" s="19"/>
    </row>
    <row r="690" spans="5:5" ht="13">
      <c r="E690" s="19"/>
    </row>
    <row r="691" spans="5:5" ht="13">
      <c r="E691" s="19"/>
    </row>
    <row r="692" spans="5:5" ht="13">
      <c r="E692" s="19"/>
    </row>
    <row r="693" spans="5:5" ht="13">
      <c r="E693" s="19"/>
    </row>
    <row r="694" spans="5:5" ht="13">
      <c r="E694" s="19"/>
    </row>
    <row r="695" spans="5:5" ht="13">
      <c r="E695" s="19"/>
    </row>
    <row r="696" spans="5:5" ht="13">
      <c r="E696" s="19"/>
    </row>
    <row r="697" spans="5:5" ht="13">
      <c r="E697" s="19"/>
    </row>
    <row r="698" spans="5:5" ht="13">
      <c r="E698" s="19"/>
    </row>
    <row r="699" spans="5:5" ht="13">
      <c r="E699" s="19"/>
    </row>
    <row r="700" spans="5:5" ht="13">
      <c r="E700" s="19"/>
    </row>
    <row r="701" spans="5:5" ht="13">
      <c r="E701" s="19"/>
    </row>
    <row r="702" spans="5:5" ht="13">
      <c r="E702" s="19"/>
    </row>
    <row r="703" spans="5:5" ht="13">
      <c r="E703" s="19"/>
    </row>
    <row r="704" spans="5:5" ht="13">
      <c r="E704" s="19"/>
    </row>
    <row r="705" spans="5:5" ht="13">
      <c r="E705" s="19"/>
    </row>
    <row r="706" spans="5:5" ht="13">
      <c r="E706" s="19"/>
    </row>
    <row r="707" spans="5:5" ht="13">
      <c r="E707" s="19"/>
    </row>
    <row r="708" spans="5:5" ht="13">
      <c r="E708" s="19"/>
    </row>
    <row r="709" spans="5:5" ht="13">
      <c r="E709" s="19"/>
    </row>
    <row r="710" spans="5:5" ht="13">
      <c r="E710" s="19"/>
    </row>
    <row r="711" spans="5:5" ht="13">
      <c r="E711" s="19"/>
    </row>
    <row r="712" spans="5:5" ht="13">
      <c r="E712" s="19"/>
    </row>
    <row r="713" spans="5:5" ht="13">
      <c r="E713" s="19"/>
    </row>
    <row r="714" spans="5:5" ht="13">
      <c r="E714" s="19"/>
    </row>
    <row r="715" spans="5:5" ht="13">
      <c r="E715" s="19"/>
    </row>
    <row r="716" spans="5:5" ht="13">
      <c r="E716" s="19"/>
    </row>
    <row r="717" spans="5:5" ht="13">
      <c r="E717" s="19"/>
    </row>
    <row r="718" spans="5:5" ht="13">
      <c r="E718" s="19"/>
    </row>
    <row r="719" spans="5:5" ht="13">
      <c r="E719" s="19"/>
    </row>
    <row r="720" spans="5:5" ht="13">
      <c r="E720" s="19"/>
    </row>
    <row r="721" spans="5:5" ht="13">
      <c r="E721" s="19"/>
    </row>
    <row r="722" spans="5:5" ht="13">
      <c r="E722" s="19"/>
    </row>
    <row r="723" spans="5:5" ht="13">
      <c r="E723" s="19"/>
    </row>
    <row r="724" spans="5:5" ht="13">
      <c r="E724" s="19"/>
    </row>
    <row r="725" spans="5:5" ht="13">
      <c r="E725" s="19"/>
    </row>
    <row r="726" spans="5:5" ht="13">
      <c r="E726" s="19"/>
    </row>
    <row r="727" spans="5:5" ht="13">
      <c r="E727" s="19"/>
    </row>
    <row r="728" spans="5:5" ht="13">
      <c r="E728" s="19"/>
    </row>
    <row r="729" spans="5:5" ht="13">
      <c r="E729" s="19"/>
    </row>
    <row r="730" spans="5:5" ht="13">
      <c r="E730" s="19"/>
    </row>
    <row r="731" spans="5:5" ht="13">
      <c r="E731" s="19"/>
    </row>
    <row r="732" spans="5:5" ht="13">
      <c r="E732" s="19"/>
    </row>
    <row r="733" spans="5:5" ht="13">
      <c r="E733" s="19"/>
    </row>
    <row r="734" spans="5:5" ht="13">
      <c r="E734" s="19"/>
    </row>
    <row r="735" spans="5:5" ht="13">
      <c r="E735" s="19"/>
    </row>
    <row r="736" spans="5:5" ht="13">
      <c r="E736" s="19"/>
    </row>
    <row r="737" spans="5:5" ht="13">
      <c r="E737" s="19"/>
    </row>
    <row r="738" spans="5:5" ht="13">
      <c r="E738" s="19"/>
    </row>
    <row r="739" spans="5:5" ht="13">
      <c r="E739" s="19"/>
    </row>
    <row r="740" spans="5:5" ht="13">
      <c r="E740" s="19"/>
    </row>
    <row r="741" spans="5:5" ht="13">
      <c r="E741" s="19"/>
    </row>
    <row r="742" spans="5:5" ht="13">
      <c r="E742" s="19"/>
    </row>
    <row r="743" spans="5:5" ht="13">
      <c r="E743" s="19"/>
    </row>
    <row r="744" spans="5:5" ht="13">
      <c r="E744" s="19"/>
    </row>
    <row r="745" spans="5:5" ht="13">
      <c r="E745" s="19"/>
    </row>
    <row r="746" spans="5:5" ht="13">
      <c r="E746" s="19"/>
    </row>
    <row r="747" spans="5:5" ht="13">
      <c r="E747" s="19"/>
    </row>
    <row r="748" spans="5:5" ht="13">
      <c r="E748" s="19"/>
    </row>
    <row r="749" spans="5:5" ht="13">
      <c r="E749" s="19"/>
    </row>
    <row r="750" spans="5:5" ht="13">
      <c r="E750" s="19"/>
    </row>
    <row r="751" spans="5:5" ht="13">
      <c r="E751" s="19"/>
    </row>
    <row r="752" spans="5:5" ht="13">
      <c r="E752" s="19"/>
    </row>
    <row r="753" spans="5:5" ht="13">
      <c r="E753" s="19"/>
    </row>
    <row r="754" spans="5:5" ht="13">
      <c r="E754" s="19"/>
    </row>
    <row r="755" spans="5:5" ht="13">
      <c r="E755" s="19"/>
    </row>
    <row r="756" spans="5:5" ht="13">
      <c r="E756" s="19"/>
    </row>
    <row r="757" spans="5:5" ht="13">
      <c r="E757" s="19"/>
    </row>
    <row r="758" spans="5:5" ht="13">
      <c r="E758" s="19"/>
    </row>
    <row r="759" spans="5:5" ht="13">
      <c r="E759" s="19"/>
    </row>
    <row r="760" spans="5:5" ht="13">
      <c r="E760" s="19"/>
    </row>
    <row r="761" spans="5:5" ht="13">
      <c r="E761" s="19"/>
    </row>
    <row r="762" spans="5:5" ht="13">
      <c r="E762" s="19"/>
    </row>
    <row r="763" spans="5:5" ht="13">
      <c r="E763" s="19"/>
    </row>
    <row r="764" spans="5:5" ht="13">
      <c r="E764" s="19"/>
    </row>
    <row r="765" spans="5:5" ht="13">
      <c r="E765" s="19"/>
    </row>
    <row r="766" spans="5:5" ht="13">
      <c r="E766" s="19"/>
    </row>
    <row r="767" spans="5:5" ht="13">
      <c r="E767" s="19"/>
    </row>
    <row r="768" spans="5:5" ht="13">
      <c r="E768" s="19"/>
    </row>
    <row r="769" spans="5:5" ht="13">
      <c r="E769" s="19"/>
    </row>
    <row r="770" spans="5:5" ht="13">
      <c r="E770" s="19"/>
    </row>
    <row r="771" spans="5:5" ht="13">
      <c r="E771" s="19"/>
    </row>
    <row r="772" spans="5:5" ht="13">
      <c r="E772" s="19"/>
    </row>
    <row r="773" spans="5:5" ht="13">
      <c r="E773" s="19"/>
    </row>
    <row r="774" spans="5:5" ht="13">
      <c r="E774" s="19"/>
    </row>
    <row r="775" spans="5:5" ht="13">
      <c r="E775" s="19"/>
    </row>
    <row r="776" spans="5:5" ht="13">
      <c r="E776" s="19"/>
    </row>
    <row r="777" spans="5:5" ht="13">
      <c r="E777" s="19"/>
    </row>
    <row r="778" spans="5:5" ht="13">
      <c r="E778" s="19"/>
    </row>
    <row r="779" spans="5:5" ht="13">
      <c r="E779" s="19"/>
    </row>
    <row r="780" spans="5:5" ht="13">
      <c r="E780" s="19"/>
    </row>
    <row r="781" spans="5:5" ht="13">
      <c r="E781" s="19"/>
    </row>
    <row r="782" spans="5:5" ht="13">
      <c r="E782" s="19"/>
    </row>
    <row r="783" spans="5:5" ht="13">
      <c r="E783" s="19"/>
    </row>
    <row r="784" spans="5:5" ht="13">
      <c r="E784" s="19"/>
    </row>
    <row r="785" spans="5:5" ht="13">
      <c r="E785" s="19"/>
    </row>
    <row r="786" spans="5:5" ht="13">
      <c r="E786" s="19"/>
    </row>
    <row r="787" spans="5:5" ht="13">
      <c r="E787" s="19"/>
    </row>
    <row r="788" spans="5:5" ht="13">
      <c r="E788" s="19"/>
    </row>
    <row r="789" spans="5:5" ht="13">
      <c r="E789" s="19"/>
    </row>
    <row r="790" spans="5:5" ht="13">
      <c r="E790" s="19"/>
    </row>
    <row r="791" spans="5:5" ht="13">
      <c r="E791" s="19"/>
    </row>
    <row r="792" spans="5:5" ht="13">
      <c r="E792" s="19"/>
    </row>
    <row r="793" spans="5:5" ht="13">
      <c r="E793" s="19"/>
    </row>
    <row r="794" spans="5:5" ht="13">
      <c r="E794" s="19"/>
    </row>
    <row r="795" spans="5:5" ht="13">
      <c r="E795" s="19"/>
    </row>
    <row r="796" spans="5:5" ht="13">
      <c r="E796" s="19"/>
    </row>
    <row r="797" spans="5:5" ht="13">
      <c r="E797" s="19"/>
    </row>
    <row r="798" spans="5:5" ht="13">
      <c r="E798" s="19"/>
    </row>
    <row r="799" spans="5:5" ht="13">
      <c r="E799" s="19"/>
    </row>
    <row r="800" spans="5:5" ht="13">
      <c r="E800" s="19"/>
    </row>
    <row r="801" spans="5:5" ht="13">
      <c r="E801" s="19"/>
    </row>
    <row r="802" spans="5:5" ht="13">
      <c r="E802" s="19"/>
    </row>
    <row r="803" spans="5:5" ht="13">
      <c r="E803" s="19"/>
    </row>
    <row r="804" spans="5:5" ht="13">
      <c r="E804" s="19"/>
    </row>
    <row r="805" spans="5:5" ht="13">
      <c r="E805" s="19"/>
    </row>
    <row r="806" spans="5:5" ht="13">
      <c r="E806" s="19"/>
    </row>
    <row r="807" spans="5:5" ht="13">
      <c r="E807" s="19"/>
    </row>
    <row r="808" spans="5:5" ht="13">
      <c r="E808" s="19"/>
    </row>
    <row r="809" spans="5:5" ht="13">
      <c r="E809" s="19"/>
    </row>
    <row r="810" spans="5:5" ht="13">
      <c r="E810" s="19"/>
    </row>
    <row r="811" spans="5:5" ht="13">
      <c r="E811" s="19"/>
    </row>
    <row r="812" spans="5:5" ht="13">
      <c r="E812" s="19"/>
    </row>
    <row r="813" spans="5:5" ht="13">
      <c r="E813" s="19"/>
    </row>
    <row r="814" spans="5:5" ht="13">
      <c r="E814" s="19"/>
    </row>
    <row r="815" spans="5:5" ht="13">
      <c r="E815" s="19"/>
    </row>
    <row r="816" spans="5:5" ht="13">
      <c r="E816" s="19"/>
    </row>
    <row r="817" spans="5:5" ht="13">
      <c r="E817" s="19"/>
    </row>
    <row r="818" spans="5:5" ht="13">
      <c r="E818" s="19"/>
    </row>
    <row r="819" spans="5:5" ht="13">
      <c r="E819" s="19"/>
    </row>
    <row r="820" spans="5:5" ht="13">
      <c r="E820" s="19"/>
    </row>
    <row r="821" spans="5:5" ht="13">
      <c r="E821" s="19"/>
    </row>
    <row r="822" spans="5:5" ht="13">
      <c r="E822" s="19"/>
    </row>
    <row r="823" spans="5:5" ht="13">
      <c r="E823" s="19"/>
    </row>
    <row r="824" spans="5:5" ht="13">
      <c r="E824" s="19"/>
    </row>
    <row r="825" spans="5:5" ht="13">
      <c r="E825" s="19"/>
    </row>
    <row r="826" spans="5:5" ht="13">
      <c r="E826" s="19"/>
    </row>
    <row r="827" spans="5:5" ht="13">
      <c r="E827" s="19"/>
    </row>
    <row r="828" spans="5:5" ht="13">
      <c r="E828" s="19"/>
    </row>
    <row r="829" spans="5:5" ht="13">
      <c r="E829" s="19"/>
    </row>
    <row r="830" spans="5:5" ht="13">
      <c r="E830" s="19"/>
    </row>
    <row r="831" spans="5:5" ht="13">
      <c r="E831" s="19"/>
    </row>
    <row r="832" spans="5:5" ht="13">
      <c r="E832" s="19"/>
    </row>
    <row r="833" spans="5:5" ht="13">
      <c r="E833" s="19"/>
    </row>
    <row r="834" spans="5:5" ht="13">
      <c r="E834" s="19"/>
    </row>
    <row r="835" spans="5:5" ht="13">
      <c r="E835" s="19"/>
    </row>
    <row r="836" spans="5:5" ht="13">
      <c r="E836" s="19"/>
    </row>
    <row r="837" spans="5:5" ht="13">
      <c r="E837" s="19"/>
    </row>
    <row r="838" spans="5:5" ht="13">
      <c r="E838" s="19"/>
    </row>
    <row r="839" spans="5:5" ht="13">
      <c r="E839" s="19"/>
    </row>
    <row r="840" spans="5:5" ht="13">
      <c r="E840" s="19"/>
    </row>
    <row r="841" spans="5:5" ht="13">
      <c r="E841" s="19"/>
    </row>
    <row r="842" spans="5:5" ht="13">
      <c r="E842" s="19"/>
    </row>
    <row r="843" spans="5:5" ht="13">
      <c r="E843" s="19"/>
    </row>
    <row r="844" spans="5:5" ht="13">
      <c r="E844" s="19"/>
    </row>
    <row r="845" spans="5:5" ht="13">
      <c r="E845" s="19"/>
    </row>
    <row r="846" spans="5:5" ht="13">
      <c r="E846" s="19"/>
    </row>
    <row r="847" spans="5:5" ht="13">
      <c r="E847" s="19"/>
    </row>
    <row r="848" spans="5:5" ht="13">
      <c r="E848" s="19"/>
    </row>
    <row r="849" spans="5:5" ht="13">
      <c r="E849" s="19"/>
    </row>
    <row r="850" spans="5:5" ht="13">
      <c r="E850" s="19"/>
    </row>
    <row r="851" spans="5:5" ht="13">
      <c r="E851" s="19"/>
    </row>
    <row r="852" spans="5:5" ht="13">
      <c r="E852" s="19"/>
    </row>
    <row r="853" spans="5:5" ht="13">
      <c r="E853" s="19"/>
    </row>
    <row r="854" spans="5:5" ht="13">
      <c r="E854" s="19"/>
    </row>
    <row r="855" spans="5:5" ht="13">
      <c r="E855" s="19"/>
    </row>
    <row r="856" spans="5:5" ht="13">
      <c r="E856" s="19"/>
    </row>
    <row r="857" spans="5:5" ht="13">
      <c r="E857" s="19"/>
    </row>
    <row r="858" spans="5:5" ht="13">
      <c r="E858" s="19"/>
    </row>
    <row r="859" spans="5:5" ht="13">
      <c r="E859" s="19"/>
    </row>
    <row r="860" spans="5:5" ht="13">
      <c r="E860" s="19"/>
    </row>
    <row r="861" spans="5:5" ht="13">
      <c r="E861" s="19"/>
    </row>
    <row r="862" spans="5:5" ht="13">
      <c r="E862" s="19"/>
    </row>
    <row r="863" spans="5:5" ht="13">
      <c r="E863" s="19"/>
    </row>
    <row r="864" spans="5:5" ht="13">
      <c r="E864" s="19"/>
    </row>
    <row r="865" spans="5:5" ht="13">
      <c r="E865" s="19"/>
    </row>
    <row r="866" spans="5:5" ht="13">
      <c r="E866" s="19"/>
    </row>
    <row r="867" spans="5:5" ht="13">
      <c r="E867" s="19"/>
    </row>
    <row r="868" spans="5:5" ht="13">
      <c r="E868" s="19"/>
    </row>
    <row r="869" spans="5:5" ht="13">
      <c r="E869" s="19"/>
    </row>
    <row r="870" spans="5:5" ht="13">
      <c r="E870" s="19"/>
    </row>
    <row r="871" spans="5:5" ht="13">
      <c r="E871" s="19"/>
    </row>
    <row r="872" spans="5:5" ht="13">
      <c r="E872" s="19"/>
    </row>
    <row r="873" spans="5:5" ht="13">
      <c r="E873" s="19"/>
    </row>
    <row r="874" spans="5:5" ht="13">
      <c r="E874" s="19"/>
    </row>
    <row r="875" spans="5:5" ht="13">
      <c r="E875" s="19"/>
    </row>
    <row r="876" spans="5:5" ht="13">
      <c r="E876" s="19"/>
    </row>
    <row r="877" spans="5:5" ht="13">
      <c r="E877" s="19"/>
    </row>
    <row r="878" spans="5:5" ht="13">
      <c r="E878" s="19"/>
    </row>
    <row r="879" spans="5:5" ht="13">
      <c r="E879" s="19"/>
    </row>
    <row r="880" spans="5:5" ht="13">
      <c r="E880" s="19"/>
    </row>
    <row r="881" spans="5:5" ht="13">
      <c r="E881" s="19"/>
    </row>
    <row r="882" spans="5:5" ht="13">
      <c r="E882" s="19"/>
    </row>
    <row r="883" spans="5:5" ht="13">
      <c r="E883" s="19"/>
    </row>
    <row r="884" spans="5:5" ht="13">
      <c r="E884" s="19"/>
    </row>
    <row r="885" spans="5:5" ht="13">
      <c r="E885" s="19"/>
    </row>
    <row r="886" spans="5:5" ht="13">
      <c r="E886" s="19"/>
    </row>
    <row r="887" spans="5:5" ht="13">
      <c r="E887" s="19"/>
    </row>
    <row r="888" spans="5:5" ht="13">
      <c r="E888" s="19"/>
    </row>
    <row r="889" spans="5:5" ht="13">
      <c r="E889" s="19"/>
    </row>
    <row r="890" spans="5:5" ht="13">
      <c r="E890" s="19"/>
    </row>
    <row r="891" spans="5:5" ht="13">
      <c r="E891" s="19"/>
    </row>
    <row r="892" spans="5:5" ht="13">
      <c r="E892" s="19"/>
    </row>
    <row r="893" spans="5:5" ht="13">
      <c r="E893" s="19"/>
    </row>
    <row r="894" spans="5:5" ht="13">
      <c r="E894" s="19"/>
    </row>
    <row r="895" spans="5:5" ht="13">
      <c r="E895" s="19"/>
    </row>
    <row r="896" spans="5:5" ht="13">
      <c r="E896" s="19"/>
    </row>
    <row r="897" spans="5:5" ht="13">
      <c r="E897" s="19"/>
    </row>
    <row r="898" spans="5:5" ht="13">
      <c r="E898" s="19"/>
    </row>
    <row r="899" spans="5:5" ht="13">
      <c r="E899" s="19"/>
    </row>
    <row r="900" spans="5:5" ht="13">
      <c r="E900" s="19"/>
    </row>
    <row r="901" spans="5:5" ht="13">
      <c r="E901" s="19"/>
    </row>
    <row r="902" spans="5:5" ht="13">
      <c r="E902" s="19"/>
    </row>
    <row r="903" spans="5:5" ht="13">
      <c r="E903" s="19"/>
    </row>
    <row r="904" spans="5:5" ht="13">
      <c r="E904" s="19"/>
    </row>
    <row r="905" spans="5:5" ht="13">
      <c r="E905" s="19"/>
    </row>
    <row r="906" spans="5:5" ht="13">
      <c r="E906" s="19"/>
    </row>
    <row r="907" spans="5:5" ht="13">
      <c r="E907" s="19"/>
    </row>
    <row r="908" spans="5:5" ht="13">
      <c r="E908" s="19"/>
    </row>
    <row r="909" spans="5:5" ht="13">
      <c r="E909" s="19"/>
    </row>
    <row r="910" spans="5:5" ht="13">
      <c r="E910" s="19"/>
    </row>
    <row r="911" spans="5:5" ht="13">
      <c r="E911" s="19"/>
    </row>
    <row r="912" spans="5:5" ht="13">
      <c r="E912" s="19"/>
    </row>
    <row r="913" spans="5:5" ht="13">
      <c r="E913" s="19"/>
    </row>
    <row r="914" spans="5:5" ht="13">
      <c r="E914" s="19"/>
    </row>
    <row r="915" spans="5:5" ht="13">
      <c r="E915" s="19"/>
    </row>
    <row r="916" spans="5:5" ht="13">
      <c r="E916" s="19"/>
    </row>
    <row r="917" spans="5:5" ht="13">
      <c r="E917" s="19"/>
    </row>
    <row r="918" spans="5:5" ht="13">
      <c r="E918" s="19"/>
    </row>
    <row r="919" spans="5:5" ht="13">
      <c r="E919" s="19"/>
    </row>
    <row r="920" spans="5:5" ht="13">
      <c r="E920" s="19"/>
    </row>
    <row r="921" spans="5:5" ht="13">
      <c r="E921" s="19"/>
    </row>
    <row r="922" spans="5:5" ht="13">
      <c r="E922" s="19"/>
    </row>
    <row r="923" spans="5:5" ht="13">
      <c r="E923" s="19"/>
    </row>
    <row r="924" spans="5:5" ht="13">
      <c r="E924" s="19"/>
    </row>
    <row r="925" spans="5:5" ht="13">
      <c r="E925" s="19"/>
    </row>
    <row r="926" spans="5:5" ht="13">
      <c r="E926" s="19"/>
    </row>
    <row r="927" spans="5:5" ht="13">
      <c r="E927" s="19"/>
    </row>
    <row r="928" spans="5:5" ht="13">
      <c r="E928" s="19"/>
    </row>
    <row r="929" spans="5:5" ht="13">
      <c r="E929" s="19"/>
    </row>
    <row r="930" spans="5:5" ht="13">
      <c r="E930" s="19"/>
    </row>
    <row r="931" spans="5:5" ht="13">
      <c r="E931" s="19"/>
    </row>
    <row r="932" spans="5:5" ht="13">
      <c r="E932" s="19"/>
    </row>
    <row r="933" spans="5:5" ht="13">
      <c r="E933" s="19"/>
    </row>
    <row r="934" spans="5:5" ht="13">
      <c r="E934" s="19"/>
    </row>
    <row r="935" spans="5:5" ht="13">
      <c r="E935" s="19"/>
    </row>
    <row r="936" spans="5:5" ht="13">
      <c r="E936" s="19"/>
    </row>
    <row r="937" spans="5:5" ht="13">
      <c r="E937" s="19"/>
    </row>
    <row r="938" spans="5:5" ht="13">
      <c r="E938" s="19"/>
    </row>
    <row r="939" spans="5:5" ht="13">
      <c r="E939" s="19"/>
    </row>
    <row r="940" spans="5:5" ht="13">
      <c r="E940" s="19"/>
    </row>
    <row r="941" spans="5:5" ht="13">
      <c r="E941" s="19"/>
    </row>
    <row r="942" spans="5:5" ht="13">
      <c r="E942" s="19"/>
    </row>
    <row r="943" spans="5:5" ht="13">
      <c r="E943" s="19"/>
    </row>
    <row r="944" spans="5:5" ht="13">
      <c r="E944" s="19"/>
    </row>
    <row r="945" spans="5:5" ht="13">
      <c r="E945" s="19"/>
    </row>
    <row r="946" spans="5:5" ht="13">
      <c r="E946" s="19"/>
    </row>
    <row r="947" spans="5:5" ht="13">
      <c r="E947" s="19"/>
    </row>
    <row r="948" spans="5:5" ht="13">
      <c r="E948" s="19"/>
    </row>
    <row r="949" spans="5:5" ht="13">
      <c r="E949" s="19"/>
    </row>
    <row r="950" spans="5:5" ht="13">
      <c r="E950" s="19"/>
    </row>
    <row r="951" spans="5:5" ht="13">
      <c r="E951" s="19"/>
    </row>
    <row r="952" spans="5:5" ht="13">
      <c r="E952" s="19"/>
    </row>
    <row r="953" spans="5:5" ht="13">
      <c r="E953" s="19"/>
    </row>
    <row r="954" spans="5:5" ht="13">
      <c r="E954" s="19"/>
    </row>
    <row r="955" spans="5:5" ht="13">
      <c r="E955" s="19"/>
    </row>
    <row r="956" spans="5:5" ht="13">
      <c r="E956" s="19"/>
    </row>
    <row r="957" spans="5:5" ht="13">
      <c r="E957" s="19"/>
    </row>
    <row r="958" spans="5:5" ht="13">
      <c r="E958" s="19"/>
    </row>
    <row r="959" spans="5:5" ht="13">
      <c r="E959" s="19"/>
    </row>
    <row r="960" spans="5:5" ht="13">
      <c r="E960" s="19"/>
    </row>
    <row r="961" spans="5:5" ht="13">
      <c r="E961" s="19"/>
    </row>
    <row r="962" spans="5:5" ht="13">
      <c r="E962" s="19"/>
    </row>
    <row r="963" spans="5:5" ht="13">
      <c r="E963" s="19"/>
    </row>
    <row r="964" spans="5:5" ht="13">
      <c r="E964" s="19"/>
    </row>
    <row r="965" spans="5:5" ht="13">
      <c r="E965" s="19"/>
    </row>
    <row r="966" spans="5:5" ht="13">
      <c r="E966" s="19"/>
    </row>
    <row r="967" spans="5:5" ht="13">
      <c r="E967" s="19"/>
    </row>
    <row r="968" spans="5:5" ht="13">
      <c r="E968" s="19"/>
    </row>
    <row r="969" spans="5:5" ht="13">
      <c r="E969" s="19"/>
    </row>
    <row r="970" spans="5:5" ht="13">
      <c r="E970" s="19"/>
    </row>
    <row r="971" spans="5:5" ht="13">
      <c r="E971" s="19"/>
    </row>
    <row r="972" spans="5:5" ht="13">
      <c r="E972" s="19"/>
    </row>
    <row r="973" spans="5:5" ht="13">
      <c r="E973" s="19"/>
    </row>
    <row r="974" spans="5:5" ht="13">
      <c r="E974" s="19"/>
    </row>
    <row r="975" spans="5:5" ht="13">
      <c r="E975" s="19"/>
    </row>
    <row r="976" spans="5:5" ht="13">
      <c r="E976" s="19"/>
    </row>
    <row r="977" spans="5:5" ht="13">
      <c r="E977" s="19"/>
    </row>
    <row r="978" spans="5:5" ht="13">
      <c r="E978" s="19"/>
    </row>
    <row r="979" spans="5:5" ht="13">
      <c r="E979" s="19"/>
    </row>
    <row r="980" spans="5:5" ht="13">
      <c r="E980" s="19"/>
    </row>
    <row r="981" spans="5:5" ht="13">
      <c r="E981" s="19"/>
    </row>
    <row r="982" spans="5:5" ht="13">
      <c r="E982" s="19"/>
    </row>
    <row r="983" spans="5:5" ht="13">
      <c r="E983" s="19"/>
    </row>
    <row r="984" spans="5:5" ht="13">
      <c r="E984" s="19"/>
    </row>
    <row r="985" spans="5:5" ht="13">
      <c r="E985" s="19"/>
    </row>
    <row r="986" spans="5:5" ht="13">
      <c r="E986" s="19"/>
    </row>
    <row r="987" spans="5:5" ht="13">
      <c r="E987" s="19"/>
    </row>
    <row r="988" spans="5:5" ht="13">
      <c r="E988" s="19"/>
    </row>
    <row r="989" spans="5:5" ht="13">
      <c r="E989" s="19"/>
    </row>
    <row r="990" spans="5:5" ht="13">
      <c r="E990" s="19"/>
    </row>
    <row r="991" spans="5:5" ht="13">
      <c r="E991" s="19"/>
    </row>
    <row r="992" spans="5:5" ht="13">
      <c r="E992" s="19"/>
    </row>
    <row r="993" spans="5:5" ht="13">
      <c r="E993" s="19"/>
    </row>
    <row r="994" spans="5:5" ht="13">
      <c r="E994" s="19"/>
    </row>
    <row r="995" spans="5:5" ht="13">
      <c r="E995" s="19"/>
    </row>
    <row r="996" spans="5:5" ht="13">
      <c r="E996" s="19"/>
    </row>
    <row r="997" spans="5:5" ht="13">
      <c r="E997" s="19"/>
    </row>
    <row r="998" spans="5:5" ht="13">
      <c r="E998" s="19"/>
    </row>
    <row r="999" spans="5:5" ht="13">
      <c r="E999" s="19"/>
    </row>
    <row r="1000" spans="5:5" ht="13">
      <c r="E1000" s="19"/>
    </row>
  </sheetData>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 ref="I18" r:id="rId17" xr:uid="{00000000-0004-0000-0100-000010000000}"/>
    <hyperlink ref="I19" r:id="rId18" xr:uid="{00000000-0004-0000-0100-000011000000}"/>
    <hyperlink ref="I20" r:id="rId19" xr:uid="{00000000-0004-0000-0100-000012000000}"/>
    <hyperlink ref="I21" r:id="rId20" xr:uid="{00000000-0004-0000-0100-000013000000}"/>
    <hyperlink ref="I22" r:id="rId21" xr:uid="{00000000-0004-0000-0100-000014000000}"/>
    <hyperlink ref="I23" r:id="rId22" xr:uid="{00000000-0004-0000-0100-000015000000}"/>
    <hyperlink ref="I24" r:id="rId23" xr:uid="{00000000-0004-0000-0100-000016000000}"/>
    <hyperlink ref="I25" r:id="rId24" xr:uid="{00000000-0004-0000-0100-000017000000}"/>
    <hyperlink ref="I26" r:id="rId25" xr:uid="{00000000-0004-0000-0100-000018000000}"/>
    <hyperlink ref="I27" r:id="rId26" xr:uid="{00000000-0004-0000-0100-000019000000}"/>
    <hyperlink ref="I28" r:id="rId27" xr:uid="{00000000-0004-0000-0100-00001A000000}"/>
    <hyperlink ref="I29" r:id="rId28" xr:uid="{00000000-0004-0000-0100-00001B000000}"/>
    <hyperlink ref="I30" r:id="rId29" xr:uid="{00000000-0004-0000-0100-00001C000000}"/>
    <hyperlink ref="I31" r:id="rId30" xr:uid="{00000000-0004-0000-0100-00001D000000}"/>
    <hyperlink ref="I32" r:id="rId31" xr:uid="{00000000-0004-0000-0100-00001E000000}"/>
    <hyperlink ref="I33" r:id="rId32" xr:uid="{00000000-0004-0000-0100-00001F000000}"/>
    <hyperlink ref="I34" r:id="rId33" xr:uid="{00000000-0004-0000-0100-000020000000}"/>
    <hyperlink ref="I35" r:id="rId34" xr:uid="{00000000-0004-0000-0100-000021000000}"/>
    <hyperlink ref="I36" r:id="rId35" xr:uid="{00000000-0004-0000-0100-000022000000}"/>
    <hyperlink ref="I37" r:id="rId36" xr:uid="{00000000-0004-0000-0100-000023000000}"/>
    <hyperlink ref="I38" r:id="rId37" xr:uid="{00000000-0004-0000-0100-000024000000}"/>
    <hyperlink ref="I39" r:id="rId38" xr:uid="{00000000-0004-0000-0100-000025000000}"/>
    <hyperlink ref="I40" r:id="rId39" xr:uid="{00000000-0004-0000-0100-000026000000}"/>
    <hyperlink ref="I41" r:id="rId40" xr:uid="{00000000-0004-0000-0100-000027000000}"/>
    <hyperlink ref="I42" r:id="rId41" xr:uid="{00000000-0004-0000-0100-000028000000}"/>
    <hyperlink ref="I43" r:id="rId42" xr:uid="{00000000-0004-0000-0100-000029000000}"/>
    <hyperlink ref="I44" r:id="rId43" xr:uid="{00000000-0004-0000-0100-00002A000000}"/>
    <hyperlink ref="I45" r:id="rId44" xr:uid="{00000000-0004-0000-0100-00002B000000}"/>
    <hyperlink ref="I46" r:id="rId45" xr:uid="{00000000-0004-0000-0100-00002C000000}"/>
    <hyperlink ref="I47" r:id="rId46" xr:uid="{00000000-0004-0000-0100-00002D000000}"/>
    <hyperlink ref="I48" r:id="rId47" xr:uid="{00000000-0004-0000-0100-00002E000000}"/>
    <hyperlink ref="I49" r:id="rId48" xr:uid="{00000000-0004-0000-0100-00002F000000}"/>
    <hyperlink ref="I50" r:id="rId49" xr:uid="{00000000-0004-0000-0100-000030000000}"/>
    <hyperlink ref="I51" r:id="rId50" xr:uid="{00000000-0004-0000-0100-000031000000}"/>
    <hyperlink ref="I52" r:id="rId51" xr:uid="{00000000-0004-0000-0100-000032000000}"/>
    <hyperlink ref="I53" r:id="rId52" xr:uid="{00000000-0004-0000-0100-000033000000}"/>
    <hyperlink ref="I54" r:id="rId53" xr:uid="{00000000-0004-0000-0100-000034000000}"/>
    <hyperlink ref="I55" r:id="rId54" xr:uid="{00000000-0004-0000-0100-000035000000}"/>
    <hyperlink ref="I56" r:id="rId55" xr:uid="{00000000-0004-0000-0100-000036000000}"/>
    <hyperlink ref="I57" r:id="rId56" xr:uid="{00000000-0004-0000-0100-000037000000}"/>
    <hyperlink ref="I58" r:id="rId57" xr:uid="{00000000-0004-0000-0100-000038000000}"/>
    <hyperlink ref="I59" r:id="rId58" xr:uid="{00000000-0004-0000-0100-000039000000}"/>
    <hyperlink ref="I60" r:id="rId59" xr:uid="{00000000-0004-0000-0100-00003A000000}"/>
    <hyperlink ref="K60" r:id="rId60" xr:uid="{00000000-0004-0000-0100-00003B000000}"/>
    <hyperlink ref="I61" r:id="rId61" xr:uid="{00000000-0004-0000-0100-00003C000000}"/>
    <hyperlink ref="K61" r:id="rId62" xr:uid="{00000000-0004-0000-0100-00003D000000}"/>
    <hyperlink ref="I62" r:id="rId63" xr:uid="{00000000-0004-0000-0100-00003E000000}"/>
    <hyperlink ref="I63" r:id="rId64" xr:uid="{00000000-0004-0000-0100-00003F000000}"/>
    <hyperlink ref="I64" r:id="rId65" xr:uid="{00000000-0004-0000-0100-000040000000}"/>
    <hyperlink ref="I65" r:id="rId66" xr:uid="{00000000-0004-0000-0100-000041000000}"/>
    <hyperlink ref="I66" r:id="rId67" xr:uid="{00000000-0004-0000-0100-000042000000}"/>
    <hyperlink ref="I67" r:id="rId68" xr:uid="{00000000-0004-0000-0100-000043000000}"/>
    <hyperlink ref="I68" r:id="rId69" xr:uid="{00000000-0004-0000-0100-000044000000}"/>
    <hyperlink ref="I69" r:id="rId70" xr:uid="{00000000-0004-0000-0100-000045000000}"/>
    <hyperlink ref="I70" r:id="rId71" xr:uid="{00000000-0004-0000-0100-000046000000}"/>
    <hyperlink ref="I71" r:id="rId72" xr:uid="{00000000-0004-0000-0100-000047000000}"/>
    <hyperlink ref="I72" r:id="rId73" xr:uid="{00000000-0004-0000-0100-000048000000}"/>
    <hyperlink ref="I73" r:id="rId74" xr:uid="{00000000-0004-0000-0100-000049000000}"/>
    <hyperlink ref="I74" r:id="rId75" xr:uid="{00000000-0004-0000-0100-00004A000000}"/>
    <hyperlink ref="I75" r:id="rId76" xr:uid="{00000000-0004-0000-0100-00004B000000}"/>
    <hyperlink ref="I76" r:id="rId77" xr:uid="{00000000-0004-0000-0100-00004C000000}"/>
    <hyperlink ref="I77" r:id="rId78" xr:uid="{00000000-0004-0000-0100-00004D000000}"/>
    <hyperlink ref="I78" r:id="rId79" xr:uid="{00000000-0004-0000-0100-00004E000000}"/>
    <hyperlink ref="I79" r:id="rId80" xr:uid="{00000000-0004-0000-0100-00004F000000}"/>
    <hyperlink ref="I80" r:id="rId81" xr:uid="{00000000-0004-0000-0100-000050000000}"/>
    <hyperlink ref="I81" r:id="rId82" xr:uid="{00000000-0004-0000-0100-000051000000}"/>
    <hyperlink ref="I82" r:id="rId83" xr:uid="{00000000-0004-0000-0100-000052000000}"/>
    <hyperlink ref="I83" r:id="rId84" xr:uid="{00000000-0004-0000-0100-000053000000}"/>
    <hyperlink ref="I84" r:id="rId85" xr:uid="{00000000-0004-0000-0100-000054000000}"/>
    <hyperlink ref="I85" r:id="rId86" xr:uid="{00000000-0004-0000-0100-000055000000}"/>
    <hyperlink ref="I86" r:id="rId87" xr:uid="{00000000-0004-0000-0100-00005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H2722"/>
  <sheetViews>
    <sheetView workbookViewId="0">
      <pane ySplit="1" topLeftCell="A2" activePane="bottomLeft" state="frozen"/>
      <selection pane="bottomLeft" activeCell="B3" sqref="B3"/>
    </sheetView>
  </sheetViews>
  <sheetFormatPr baseColWidth="10" defaultColWidth="12.6640625" defaultRowHeight="15.75" customHeight="1"/>
  <cols>
    <col min="1" max="1" width="14.83203125" customWidth="1"/>
    <col min="2" max="2" width="7.1640625" customWidth="1"/>
    <col min="3" max="3" width="29.1640625" customWidth="1"/>
    <col min="4" max="4" width="14.1640625" customWidth="1"/>
    <col min="5" max="5" width="22.1640625" customWidth="1"/>
    <col min="6" max="6" width="14.1640625" customWidth="1"/>
    <col min="7" max="7" width="14.5" customWidth="1"/>
    <col min="8" max="8" width="12.33203125" customWidth="1"/>
    <col min="9" max="9" width="9.6640625" customWidth="1"/>
    <col min="10" max="10" width="13.5" customWidth="1"/>
    <col min="11" max="11" width="14.1640625" customWidth="1"/>
    <col min="12" max="12" width="23.33203125" customWidth="1"/>
    <col min="13" max="14" width="14.1640625" customWidth="1"/>
    <col min="15" max="15" width="5.5" customWidth="1"/>
  </cols>
  <sheetData>
    <row r="1" spans="1:34" ht="13">
      <c r="A1" s="11" t="s">
        <v>248</v>
      </c>
      <c r="B1" s="11" t="s">
        <v>249</v>
      </c>
      <c r="C1" s="11" t="s">
        <v>599</v>
      </c>
      <c r="D1" s="11" t="s">
        <v>252</v>
      </c>
      <c r="E1" s="11" t="s">
        <v>600</v>
      </c>
      <c r="F1" s="11" t="s">
        <v>601</v>
      </c>
      <c r="G1" s="11" t="s">
        <v>602</v>
      </c>
      <c r="H1" s="11" t="s">
        <v>603</v>
      </c>
      <c r="I1" s="35" t="s">
        <v>604</v>
      </c>
      <c r="J1" s="35" t="s">
        <v>605</v>
      </c>
      <c r="K1" s="11" t="s">
        <v>606</v>
      </c>
      <c r="L1" s="11" t="s">
        <v>607</v>
      </c>
      <c r="M1" s="11" t="s">
        <v>256</v>
      </c>
      <c r="N1" s="11" t="s">
        <v>257</v>
      </c>
      <c r="O1" s="11" t="s">
        <v>258</v>
      </c>
      <c r="P1" s="11"/>
      <c r="Q1" s="11"/>
      <c r="R1" s="11"/>
      <c r="S1" s="11"/>
      <c r="T1" s="11"/>
      <c r="U1" s="11"/>
      <c r="V1" s="11"/>
      <c r="W1" s="11"/>
      <c r="X1" s="11"/>
      <c r="Y1" s="11"/>
      <c r="Z1" s="11"/>
      <c r="AA1" s="11"/>
      <c r="AB1" s="11"/>
      <c r="AC1" s="11"/>
      <c r="AD1" s="11"/>
      <c r="AE1" s="11"/>
      <c r="AF1" s="11"/>
      <c r="AG1" s="11"/>
      <c r="AH1" s="11"/>
    </row>
    <row r="2" spans="1:34" ht="13">
      <c r="A2" s="18" t="s">
        <v>266</v>
      </c>
      <c r="B2" s="18" t="s">
        <v>260</v>
      </c>
      <c r="C2" s="18" t="s">
        <v>371</v>
      </c>
      <c r="D2" s="18" t="s">
        <v>608</v>
      </c>
      <c r="E2" s="18" t="s">
        <v>609</v>
      </c>
      <c r="F2" s="18" t="s">
        <v>610</v>
      </c>
      <c r="G2" s="27" t="s">
        <v>611</v>
      </c>
      <c r="H2" s="36">
        <v>1991</v>
      </c>
      <c r="I2" s="37">
        <v>1800</v>
      </c>
      <c r="J2" s="37">
        <v>658</v>
      </c>
      <c r="K2" s="37">
        <v>6152</v>
      </c>
      <c r="L2" s="38" t="s">
        <v>612</v>
      </c>
      <c r="M2" s="21" t="s">
        <v>613</v>
      </c>
      <c r="N2" s="39" t="s">
        <v>614</v>
      </c>
      <c r="O2" s="18"/>
    </row>
    <row r="3" spans="1:34" ht="13">
      <c r="A3" s="18" t="s">
        <v>266</v>
      </c>
      <c r="B3" s="18" t="s">
        <v>260</v>
      </c>
      <c r="C3" s="18" t="s">
        <v>371</v>
      </c>
      <c r="D3" s="18" t="s">
        <v>608</v>
      </c>
      <c r="E3" s="18" t="s">
        <v>609</v>
      </c>
      <c r="F3" s="18" t="s">
        <v>610</v>
      </c>
      <c r="G3" s="27" t="s">
        <v>611</v>
      </c>
      <c r="H3" s="36">
        <v>1993</v>
      </c>
      <c r="I3" s="37">
        <v>2025</v>
      </c>
      <c r="J3" s="37">
        <v>759</v>
      </c>
      <c r="K3" s="37">
        <v>6658</v>
      </c>
      <c r="L3" s="38" t="s">
        <v>612</v>
      </c>
      <c r="M3" s="21" t="s">
        <v>613</v>
      </c>
      <c r="N3" s="39" t="s">
        <v>615</v>
      </c>
      <c r="O3" s="18"/>
    </row>
    <row r="4" spans="1:34" ht="13">
      <c r="A4" s="18" t="s">
        <v>266</v>
      </c>
      <c r="B4" s="18" t="s">
        <v>260</v>
      </c>
      <c r="C4" s="18" t="s">
        <v>371</v>
      </c>
      <c r="D4" s="18" t="s">
        <v>608</v>
      </c>
      <c r="E4" s="18" t="s">
        <v>609</v>
      </c>
      <c r="F4" s="18" t="s">
        <v>610</v>
      </c>
      <c r="G4" s="27" t="s">
        <v>611</v>
      </c>
      <c r="H4" s="36">
        <v>1996</v>
      </c>
      <c r="I4" s="37">
        <v>2007</v>
      </c>
      <c r="J4" s="37">
        <v>835</v>
      </c>
      <c r="K4" s="37">
        <v>5975</v>
      </c>
      <c r="L4" s="38" t="s">
        <v>612</v>
      </c>
      <c r="M4" s="21" t="s">
        <v>613</v>
      </c>
      <c r="N4" s="39" t="s">
        <v>616</v>
      </c>
      <c r="O4" s="18"/>
    </row>
    <row r="5" spans="1:34" ht="13">
      <c r="A5" s="18" t="s">
        <v>266</v>
      </c>
      <c r="B5" s="18" t="s">
        <v>260</v>
      </c>
      <c r="C5" s="18" t="s">
        <v>371</v>
      </c>
      <c r="D5" s="18" t="s">
        <v>608</v>
      </c>
      <c r="E5" s="18" t="s">
        <v>609</v>
      </c>
      <c r="F5" s="18" t="s">
        <v>610</v>
      </c>
      <c r="G5" s="27" t="s">
        <v>611</v>
      </c>
      <c r="H5" s="36">
        <v>2001</v>
      </c>
      <c r="I5" s="37">
        <v>1801</v>
      </c>
      <c r="J5" s="37">
        <v>709</v>
      </c>
      <c r="K5" s="37">
        <v>6025</v>
      </c>
      <c r="L5" s="38" t="s">
        <v>612</v>
      </c>
      <c r="M5" s="21" t="s">
        <v>613</v>
      </c>
      <c r="N5" s="39" t="s">
        <v>617</v>
      </c>
      <c r="O5" s="18"/>
    </row>
    <row r="6" spans="1:34" ht="13">
      <c r="A6" s="18" t="s">
        <v>266</v>
      </c>
      <c r="B6" s="18" t="s">
        <v>260</v>
      </c>
      <c r="C6" s="18" t="s">
        <v>371</v>
      </c>
      <c r="D6" s="18" t="s">
        <v>608</v>
      </c>
      <c r="E6" s="18" t="s">
        <v>609</v>
      </c>
      <c r="F6" s="18" t="s">
        <v>610</v>
      </c>
      <c r="G6" s="27" t="s">
        <v>611</v>
      </c>
      <c r="H6" s="36">
        <v>2005</v>
      </c>
      <c r="I6" s="37">
        <v>2026</v>
      </c>
      <c r="J6" s="37">
        <v>795</v>
      </c>
      <c r="K6" s="37">
        <v>6354</v>
      </c>
      <c r="L6" s="38" t="s">
        <v>612</v>
      </c>
      <c r="M6" s="21" t="s">
        <v>613</v>
      </c>
      <c r="N6" s="39" t="s">
        <v>618</v>
      </c>
      <c r="O6" s="18"/>
    </row>
    <row r="7" spans="1:34" ht="13">
      <c r="A7" s="18" t="s">
        <v>266</v>
      </c>
      <c r="B7" s="18" t="s">
        <v>260</v>
      </c>
      <c r="C7" s="18" t="s">
        <v>371</v>
      </c>
      <c r="D7" s="18" t="s">
        <v>608</v>
      </c>
      <c r="E7" s="18" t="s">
        <v>609</v>
      </c>
      <c r="F7" s="18" t="s">
        <v>610</v>
      </c>
      <c r="G7" s="27" t="s">
        <v>611</v>
      </c>
      <c r="H7" s="36">
        <v>2008</v>
      </c>
      <c r="I7" s="37">
        <v>2496</v>
      </c>
      <c r="J7" s="37">
        <v>1038</v>
      </c>
      <c r="K7" s="37">
        <v>7772</v>
      </c>
      <c r="L7" s="38" t="s">
        <v>612</v>
      </c>
      <c r="M7" s="21" t="s">
        <v>613</v>
      </c>
      <c r="N7" s="39" t="s">
        <v>619</v>
      </c>
      <c r="O7" s="18"/>
    </row>
    <row r="8" spans="1:34" ht="13">
      <c r="A8" s="18" t="s">
        <v>266</v>
      </c>
      <c r="B8" s="18" t="s">
        <v>260</v>
      </c>
      <c r="C8" s="18" t="s">
        <v>371</v>
      </c>
      <c r="D8" s="18" t="s">
        <v>608</v>
      </c>
      <c r="E8" s="18" t="s">
        <v>609</v>
      </c>
      <c r="F8" s="18" t="s">
        <v>610</v>
      </c>
      <c r="G8" s="27" t="s">
        <v>611</v>
      </c>
      <c r="H8" s="36">
        <v>2014</v>
      </c>
      <c r="I8" s="37">
        <v>2697</v>
      </c>
      <c r="J8" s="37">
        <v>1013</v>
      </c>
      <c r="K8" s="37">
        <v>9215</v>
      </c>
      <c r="L8" s="38" t="s">
        <v>612</v>
      </c>
      <c r="M8" s="21" t="s">
        <v>613</v>
      </c>
      <c r="N8" s="39" t="s">
        <v>620</v>
      </c>
      <c r="O8" s="18"/>
    </row>
    <row r="9" spans="1:34" ht="13">
      <c r="A9" s="18" t="s">
        <v>266</v>
      </c>
      <c r="B9" s="18" t="s">
        <v>260</v>
      </c>
      <c r="C9" s="18" t="s">
        <v>371</v>
      </c>
      <c r="D9" s="18" t="s">
        <v>608</v>
      </c>
      <c r="E9" s="18" t="s">
        <v>609</v>
      </c>
      <c r="F9" s="18" t="s">
        <v>621</v>
      </c>
      <c r="G9" s="18" t="s">
        <v>622</v>
      </c>
      <c r="H9" s="18">
        <v>1996</v>
      </c>
      <c r="I9" s="40">
        <v>739</v>
      </c>
      <c r="J9" s="40">
        <v>265</v>
      </c>
      <c r="K9" s="26">
        <v>2064</v>
      </c>
      <c r="L9" s="41" t="s">
        <v>623</v>
      </c>
      <c r="M9" s="21" t="s">
        <v>613</v>
      </c>
      <c r="N9" s="39" t="s">
        <v>624</v>
      </c>
    </row>
    <row r="10" spans="1:34" ht="13">
      <c r="A10" s="18" t="s">
        <v>266</v>
      </c>
      <c r="B10" s="18" t="s">
        <v>260</v>
      </c>
      <c r="C10" s="18" t="s">
        <v>371</v>
      </c>
      <c r="D10" s="18" t="s">
        <v>608</v>
      </c>
      <c r="E10" s="18" t="s">
        <v>609</v>
      </c>
      <c r="F10" s="18" t="s">
        <v>621</v>
      </c>
      <c r="G10" s="18" t="s">
        <v>622</v>
      </c>
      <c r="H10" s="18">
        <v>2001</v>
      </c>
      <c r="I10" s="40">
        <v>730</v>
      </c>
      <c r="J10" s="40">
        <v>270</v>
      </c>
      <c r="K10" s="26">
        <v>1976</v>
      </c>
      <c r="L10" s="41" t="s">
        <v>623</v>
      </c>
      <c r="M10" s="21" t="s">
        <v>613</v>
      </c>
      <c r="N10" s="39" t="s">
        <v>625</v>
      </c>
    </row>
    <row r="11" spans="1:34" ht="13">
      <c r="A11" s="18" t="s">
        <v>266</v>
      </c>
      <c r="B11" s="18" t="s">
        <v>260</v>
      </c>
      <c r="C11" s="18" t="s">
        <v>371</v>
      </c>
      <c r="D11" s="18" t="s">
        <v>608</v>
      </c>
      <c r="E11" s="18" t="s">
        <v>609</v>
      </c>
      <c r="F11" s="18" t="s">
        <v>621</v>
      </c>
      <c r="G11" s="18" t="s">
        <v>622</v>
      </c>
      <c r="H11" s="18">
        <v>2005</v>
      </c>
      <c r="I11" s="40">
        <v>590</v>
      </c>
      <c r="J11" s="40">
        <v>169</v>
      </c>
      <c r="K11" s="26">
        <v>2057</v>
      </c>
      <c r="L11" s="41" t="s">
        <v>623</v>
      </c>
      <c r="M11" s="21" t="s">
        <v>613</v>
      </c>
      <c r="N11" s="39" t="s">
        <v>626</v>
      </c>
    </row>
    <row r="12" spans="1:34" ht="13">
      <c r="A12" s="18" t="s">
        <v>266</v>
      </c>
      <c r="B12" s="18" t="s">
        <v>260</v>
      </c>
      <c r="C12" s="18" t="s">
        <v>371</v>
      </c>
      <c r="D12" s="18" t="s">
        <v>608</v>
      </c>
      <c r="E12" s="18" t="s">
        <v>609</v>
      </c>
      <c r="F12" s="18" t="s">
        <v>621</v>
      </c>
      <c r="G12" s="18" t="s">
        <v>622</v>
      </c>
      <c r="H12" s="18">
        <v>2008</v>
      </c>
      <c r="I12" s="40">
        <v>681</v>
      </c>
      <c r="J12" s="40">
        <v>225</v>
      </c>
      <c r="K12" s="26">
        <v>2065</v>
      </c>
      <c r="L12" s="41" t="s">
        <v>623</v>
      </c>
      <c r="M12" s="21" t="s">
        <v>613</v>
      </c>
      <c r="N12" s="39" t="s">
        <v>627</v>
      </c>
    </row>
    <row r="13" spans="1:34" ht="13">
      <c r="A13" s="18" t="s">
        <v>266</v>
      </c>
      <c r="B13" s="18" t="s">
        <v>260</v>
      </c>
      <c r="C13" s="18" t="s">
        <v>371</v>
      </c>
      <c r="D13" s="18" t="s">
        <v>608</v>
      </c>
      <c r="E13" s="18" t="s">
        <v>609</v>
      </c>
      <c r="F13" s="18" t="s">
        <v>621</v>
      </c>
      <c r="G13" s="18" t="s">
        <v>622</v>
      </c>
      <c r="H13" s="18">
        <v>2014</v>
      </c>
      <c r="I13" s="40">
        <v>977</v>
      </c>
      <c r="J13" s="40">
        <v>366</v>
      </c>
      <c r="K13" s="26">
        <v>2608</v>
      </c>
      <c r="L13" s="41" t="s">
        <v>623</v>
      </c>
      <c r="M13" s="21" t="s">
        <v>613</v>
      </c>
      <c r="N13" s="39" t="s">
        <v>628</v>
      </c>
    </row>
    <row r="14" spans="1:34" ht="13">
      <c r="A14" s="18" t="s">
        <v>266</v>
      </c>
      <c r="B14" s="18" t="s">
        <v>260</v>
      </c>
      <c r="C14" s="18" t="s">
        <v>371</v>
      </c>
      <c r="D14" s="18" t="s">
        <v>608</v>
      </c>
      <c r="E14" s="18" t="s">
        <v>609</v>
      </c>
      <c r="F14" s="18" t="s">
        <v>621</v>
      </c>
      <c r="G14" s="18" t="s">
        <v>622</v>
      </c>
      <c r="H14" s="18">
        <v>2018</v>
      </c>
      <c r="I14" s="40">
        <v>1363</v>
      </c>
      <c r="J14" s="40">
        <v>511</v>
      </c>
      <c r="K14" s="26">
        <v>3634</v>
      </c>
      <c r="L14" s="41" t="s">
        <v>623</v>
      </c>
      <c r="M14" s="21" t="s">
        <v>613</v>
      </c>
      <c r="N14" s="39" t="s">
        <v>629</v>
      </c>
    </row>
    <row r="15" spans="1:34" ht="13">
      <c r="A15" s="18" t="s">
        <v>266</v>
      </c>
      <c r="B15" s="18" t="s">
        <v>260</v>
      </c>
      <c r="C15" s="18" t="s">
        <v>313</v>
      </c>
      <c r="D15" s="18" t="s">
        <v>630</v>
      </c>
      <c r="E15" s="18" t="s">
        <v>631</v>
      </c>
      <c r="F15" s="18" t="s">
        <v>632</v>
      </c>
      <c r="G15" s="18" t="s">
        <v>611</v>
      </c>
      <c r="H15" s="37">
        <v>1978.9972714870401</v>
      </c>
      <c r="I15" s="37">
        <v>1293</v>
      </c>
      <c r="J15" s="40" t="s">
        <v>402</v>
      </c>
      <c r="K15" s="18" t="s">
        <v>402</v>
      </c>
      <c r="L15" s="38" t="s">
        <v>612</v>
      </c>
      <c r="M15" s="24" t="s">
        <v>316</v>
      </c>
      <c r="N15" s="18" t="s">
        <v>317</v>
      </c>
      <c r="O15" s="18" t="s">
        <v>633</v>
      </c>
    </row>
    <row r="16" spans="1:34" ht="13">
      <c r="A16" s="18" t="s">
        <v>266</v>
      </c>
      <c r="B16" s="18" t="s">
        <v>260</v>
      </c>
      <c r="C16" s="18" t="s">
        <v>313</v>
      </c>
      <c r="D16" s="18" t="s">
        <v>630</v>
      </c>
      <c r="E16" s="18" t="s">
        <v>631</v>
      </c>
      <c r="F16" s="18" t="s">
        <v>632</v>
      </c>
      <c r="G16" s="18" t="s">
        <v>611</v>
      </c>
      <c r="H16" s="37">
        <v>1990.96452933151</v>
      </c>
      <c r="I16" s="37">
        <v>1018</v>
      </c>
      <c r="J16" s="40" t="s">
        <v>402</v>
      </c>
      <c r="K16" s="18" t="s">
        <v>402</v>
      </c>
      <c r="L16" s="38" t="s">
        <v>612</v>
      </c>
      <c r="M16" s="24" t="s">
        <v>316</v>
      </c>
      <c r="N16" s="18" t="s">
        <v>317</v>
      </c>
    </row>
    <row r="17" spans="1:14" ht="13">
      <c r="A17" s="18" t="s">
        <v>266</v>
      </c>
      <c r="B17" s="18" t="s">
        <v>260</v>
      </c>
      <c r="C17" s="18" t="s">
        <v>313</v>
      </c>
      <c r="D17" s="18" t="s">
        <v>630</v>
      </c>
      <c r="E17" s="18" t="s">
        <v>631</v>
      </c>
      <c r="F17" s="18" t="s">
        <v>632</v>
      </c>
      <c r="G17" s="18" t="s">
        <v>611</v>
      </c>
      <c r="H17" s="37">
        <v>1993.9563437926299</v>
      </c>
      <c r="I17" s="37">
        <v>653</v>
      </c>
      <c r="J17" s="40" t="s">
        <v>402</v>
      </c>
      <c r="K17" s="18" t="s">
        <v>402</v>
      </c>
      <c r="L17" s="38" t="s">
        <v>612</v>
      </c>
      <c r="M17" s="24" t="s">
        <v>316</v>
      </c>
      <c r="N17" s="18" t="s">
        <v>317</v>
      </c>
    </row>
    <row r="18" spans="1:14" ht="13">
      <c r="A18" s="18" t="s">
        <v>266</v>
      </c>
      <c r="B18" s="18" t="s">
        <v>260</v>
      </c>
      <c r="C18" s="18" t="s">
        <v>313</v>
      </c>
      <c r="D18" s="18" t="s">
        <v>630</v>
      </c>
      <c r="E18" s="18" t="s">
        <v>631</v>
      </c>
      <c r="F18" s="18" t="s">
        <v>632</v>
      </c>
      <c r="G18" s="18" t="s">
        <v>611</v>
      </c>
      <c r="H18" s="37">
        <v>1995</v>
      </c>
      <c r="I18" s="37">
        <v>491</v>
      </c>
      <c r="J18" s="40" t="s">
        <v>402</v>
      </c>
      <c r="K18" s="18" t="s">
        <v>402</v>
      </c>
      <c r="L18" s="38" t="s">
        <v>612</v>
      </c>
      <c r="M18" s="24" t="s">
        <v>316</v>
      </c>
      <c r="N18" s="18" t="s">
        <v>317</v>
      </c>
    </row>
    <row r="19" spans="1:14" ht="13">
      <c r="A19" s="18" t="s">
        <v>266</v>
      </c>
      <c r="B19" s="18" t="s">
        <v>260</v>
      </c>
      <c r="C19" s="18" t="s">
        <v>313</v>
      </c>
      <c r="D19" s="18" t="s">
        <v>630</v>
      </c>
      <c r="E19" s="18" t="s">
        <v>631</v>
      </c>
      <c r="F19" s="18" t="s">
        <v>632</v>
      </c>
      <c r="G19" s="18" t="s">
        <v>611</v>
      </c>
      <c r="H19" s="37">
        <v>1996</v>
      </c>
      <c r="I19" s="37">
        <v>594</v>
      </c>
      <c r="J19" s="40" t="s">
        <v>402</v>
      </c>
      <c r="K19" s="18" t="s">
        <v>402</v>
      </c>
      <c r="L19" s="38" t="s">
        <v>612</v>
      </c>
      <c r="M19" s="24" t="s">
        <v>316</v>
      </c>
      <c r="N19" s="18" t="s">
        <v>317</v>
      </c>
    </row>
    <row r="20" spans="1:14" ht="13">
      <c r="A20" s="18" t="s">
        <v>266</v>
      </c>
      <c r="B20" s="18" t="s">
        <v>260</v>
      </c>
      <c r="C20" s="18" t="s">
        <v>313</v>
      </c>
      <c r="D20" s="18" t="s">
        <v>630</v>
      </c>
      <c r="E20" s="18" t="s">
        <v>631</v>
      </c>
      <c r="F20" s="18" t="s">
        <v>632</v>
      </c>
      <c r="G20" s="18" t="s">
        <v>611</v>
      </c>
      <c r="H20" s="37">
        <v>1997.0068212824001</v>
      </c>
      <c r="I20" s="37">
        <v>440</v>
      </c>
      <c r="J20" s="40" t="s">
        <v>402</v>
      </c>
      <c r="K20" s="18" t="s">
        <v>402</v>
      </c>
      <c r="L20" s="38" t="s">
        <v>612</v>
      </c>
      <c r="M20" s="24" t="s">
        <v>316</v>
      </c>
      <c r="N20" s="18" t="s">
        <v>317</v>
      </c>
    </row>
    <row r="21" spans="1:14" ht="13">
      <c r="A21" s="18" t="s">
        <v>266</v>
      </c>
      <c r="B21" s="18" t="s">
        <v>260</v>
      </c>
      <c r="C21" s="18" t="s">
        <v>313</v>
      </c>
      <c r="D21" s="18" t="s">
        <v>630</v>
      </c>
      <c r="E21" s="18" t="s">
        <v>631</v>
      </c>
      <c r="F21" s="18" t="s">
        <v>632</v>
      </c>
      <c r="G21" s="18" t="s">
        <v>611</v>
      </c>
      <c r="H21" s="37">
        <v>1998.0627557980899</v>
      </c>
      <c r="I21" s="37">
        <v>347</v>
      </c>
      <c r="J21" s="40" t="s">
        <v>402</v>
      </c>
      <c r="K21" s="18" t="s">
        <v>402</v>
      </c>
      <c r="L21" s="38" t="s">
        <v>612</v>
      </c>
      <c r="M21" s="24" t="s">
        <v>316</v>
      </c>
      <c r="N21" s="18" t="s">
        <v>317</v>
      </c>
    </row>
    <row r="22" spans="1:14" ht="13">
      <c r="A22" s="18" t="s">
        <v>266</v>
      </c>
      <c r="B22" s="18" t="s">
        <v>260</v>
      </c>
      <c r="C22" s="18" t="s">
        <v>313</v>
      </c>
      <c r="D22" s="18" t="s">
        <v>630</v>
      </c>
      <c r="E22" s="18" t="s">
        <v>631</v>
      </c>
      <c r="F22" s="18" t="s">
        <v>632</v>
      </c>
      <c r="G22" s="18" t="s">
        <v>611</v>
      </c>
      <c r="H22" s="37">
        <v>1998.94270122783</v>
      </c>
      <c r="I22" s="37">
        <v>367</v>
      </c>
      <c r="J22" s="40" t="s">
        <v>402</v>
      </c>
      <c r="K22" s="18" t="s">
        <v>402</v>
      </c>
      <c r="L22" s="38" t="s">
        <v>612</v>
      </c>
      <c r="M22" s="24" t="s">
        <v>316</v>
      </c>
      <c r="N22" s="18" t="s">
        <v>317</v>
      </c>
    </row>
    <row r="23" spans="1:14" ht="13">
      <c r="A23" s="18" t="s">
        <v>266</v>
      </c>
      <c r="B23" s="18" t="s">
        <v>260</v>
      </c>
      <c r="C23" s="18" t="s">
        <v>313</v>
      </c>
      <c r="D23" s="18" t="s">
        <v>630</v>
      </c>
      <c r="E23" s="18" t="s">
        <v>631</v>
      </c>
      <c r="F23" s="18" t="s">
        <v>632</v>
      </c>
      <c r="G23" s="18" t="s">
        <v>611</v>
      </c>
      <c r="H23" s="37">
        <v>1999.99863574352</v>
      </c>
      <c r="I23" s="37">
        <v>435</v>
      </c>
      <c r="J23" s="40" t="s">
        <v>402</v>
      </c>
      <c r="K23" s="18" t="s">
        <v>402</v>
      </c>
      <c r="L23" s="38" t="s">
        <v>612</v>
      </c>
      <c r="M23" s="24" t="s">
        <v>316</v>
      </c>
      <c r="N23" s="18" t="s">
        <v>317</v>
      </c>
    </row>
    <row r="24" spans="1:14" ht="13">
      <c r="A24" s="18" t="s">
        <v>266</v>
      </c>
      <c r="B24" s="18" t="s">
        <v>260</v>
      </c>
      <c r="C24" s="18" t="s">
        <v>313</v>
      </c>
      <c r="D24" s="18" t="s">
        <v>630</v>
      </c>
      <c r="E24" s="18" t="s">
        <v>631</v>
      </c>
      <c r="F24" s="18" t="s">
        <v>632</v>
      </c>
      <c r="G24" s="18" t="s">
        <v>611</v>
      </c>
      <c r="H24" s="37">
        <v>2000.9959072305601</v>
      </c>
      <c r="I24" s="37">
        <v>386</v>
      </c>
      <c r="J24" s="40" t="s">
        <v>402</v>
      </c>
      <c r="K24" s="18" t="s">
        <v>402</v>
      </c>
      <c r="L24" s="38" t="s">
        <v>612</v>
      </c>
      <c r="M24" s="24" t="s">
        <v>316</v>
      </c>
      <c r="N24" s="18" t="s">
        <v>317</v>
      </c>
    </row>
    <row r="25" spans="1:14" ht="13">
      <c r="A25" s="18" t="s">
        <v>266</v>
      </c>
      <c r="B25" s="18" t="s">
        <v>260</v>
      </c>
      <c r="C25" s="18" t="s">
        <v>313</v>
      </c>
      <c r="D25" s="18" t="s">
        <v>630</v>
      </c>
      <c r="E25" s="18" t="s">
        <v>631</v>
      </c>
      <c r="F25" s="18" t="s">
        <v>632</v>
      </c>
      <c r="G25" s="18" t="s">
        <v>611</v>
      </c>
      <c r="H25" s="37">
        <v>2001.9931787175999</v>
      </c>
      <c r="I25" s="37">
        <v>313</v>
      </c>
      <c r="J25" s="40" t="s">
        <v>402</v>
      </c>
      <c r="K25" s="18" t="s">
        <v>402</v>
      </c>
      <c r="L25" s="38" t="s">
        <v>612</v>
      </c>
      <c r="M25" s="24" t="s">
        <v>316</v>
      </c>
      <c r="N25" s="18" t="s">
        <v>317</v>
      </c>
    </row>
    <row r="26" spans="1:14" ht="13">
      <c r="A26" s="18" t="s">
        <v>266</v>
      </c>
      <c r="B26" s="18" t="s">
        <v>260</v>
      </c>
      <c r="C26" s="18" t="s">
        <v>313</v>
      </c>
      <c r="D26" s="18" t="s">
        <v>630</v>
      </c>
      <c r="E26" s="18" t="s">
        <v>631</v>
      </c>
      <c r="F26" s="18" t="s">
        <v>632</v>
      </c>
      <c r="G26" s="18" t="s">
        <v>611</v>
      </c>
      <c r="H26" s="37">
        <v>2002.99045020464</v>
      </c>
      <c r="I26" s="37">
        <v>357</v>
      </c>
      <c r="J26" s="40" t="s">
        <v>402</v>
      </c>
      <c r="K26" s="18" t="s">
        <v>402</v>
      </c>
      <c r="L26" s="38" t="s">
        <v>612</v>
      </c>
      <c r="M26" s="24" t="s">
        <v>316</v>
      </c>
      <c r="N26" s="18" t="s">
        <v>317</v>
      </c>
    </row>
    <row r="27" spans="1:14" ht="13">
      <c r="A27" s="18" t="s">
        <v>266</v>
      </c>
      <c r="B27" s="18" t="s">
        <v>260</v>
      </c>
      <c r="C27" s="18" t="s">
        <v>313</v>
      </c>
      <c r="D27" s="18" t="s">
        <v>630</v>
      </c>
      <c r="E27" s="18" t="s">
        <v>631</v>
      </c>
      <c r="F27" s="18" t="s">
        <v>632</v>
      </c>
      <c r="G27" s="18" t="s">
        <v>611</v>
      </c>
      <c r="H27" s="37">
        <v>2003.98772169168</v>
      </c>
      <c r="I27" s="37">
        <v>366</v>
      </c>
      <c r="J27" s="40" t="s">
        <v>402</v>
      </c>
      <c r="K27" s="18" t="s">
        <v>402</v>
      </c>
      <c r="L27" s="38" t="s">
        <v>612</v>
      </c>
      <c r="M27" s="24" t="s">
        <v>316</v>
      </c>
      <c r="N27" s="18" t="s">
        <v>317</v>
      </c>
    </row>
    <row r="28" spans="1:14" ht="13">
      <c r="A28" s="18" t="s">
        <v>266</v>
      </c>
      <c r="B28" s="18" t="s">
        <v>260</v>
      </c>
      <c r="C28" s="18" t="s">
        <v>313</v>
      </c>
      <c r="D28" s="18" t="s">
        <v>630</v>
      </c>
      <c r="E28" s="18" t="s">
        <v>631</v>
      </c>
      <c r="F28" s="18" t="s">
        <v>632</v>
      </c>
      <c r="G28" s="18" t="s">
        <v>611</v>
      </c>
      <c r="H28" s="37">
        <v>2004.9849931787201</v>
      </c>
      <c r="I28" s="37">
        <v>278</v>
      </c>
      <c r="J28" s="40" t="s">
        <v>402</v>
      </c>
      <c r="K28" s="18" t="s">
        <v>402</v>
      </c>
      <c r="L28" s="38" t="s">
        <v>612</v>
      </c>
      <c r="M28" s="24" t="s">
        <v>316</v>
      </c>
      <c r="N28" s="18" t="s">
        <v>317</v>
      </c>
    </row>
    <row r="29" spans="1:14" ht="13">
      <c r="A29" s="18" t="s">
        <v>266</v>
      </c>
      <c r="B29" s="18" t="s">
        <v>260</v>
      </c>
      <c r="C29" s="18" t="s">
        <v>313</v>
      </c>
      <c r="D29" s="18" t="s">
        <v>630</v>
      </c>
      <c r="E29" s="18" t="s">
        <v>631</v>
      </c>
      <c r="F29" s="18" t="s">
        <v>632</v>
      </c>
      <c r="G29" s="18" t="s">
        <v>611</v>
      </c>
      <c r="H29" s="37">
        <v>2005.9822646657601</v>
      </c>
      <c r="I29" s="37">
        <v>305</v>
      </c>
      <c r="J29" s="40" t="s">
        <v>402</v>
      </c>
      <c r="K29" s="18" t="s">
        <v>402</v>
      </c>
      <c r="L29" s="38" t="s">
        <v>612</v>
      </c>
      <c r="M29" s="24" t="s">
        <v>316</v>
      </c>
      <c r="N29" s="18" t="s">
        <v>317</v>
      </c>
    </row>
    <row r="30" spans="1:14" ht="13">
      <c r="A30" s="18" t="s">
        <v>266</v>
      </c>
      <c r="B30" s="18" t="s">
        <v>260</v>
      </c>
      <c r="C30" s="18" t="s">
        <v>313</v>
      </c>
      <c r="D30" s="18" t="s">
        <v>630</v>
      </c>
      <c r="E30" s="18" t="s">
        <v>631</v>
      </c>
      <c r="F30" s="18" t="s">
        <v>632</v>
      </c>
      <c r="G30" s="18" t="s">
        <v>611</v>
      </c>
      <c r="H30" s="37">
        <v>2006.9795361527999</v>
      </c>
      <c r="I30" s="37">
        <v>375</v>
      </c>
      <c r="J30" s="40" t="s">
        <v>402</v>
      </c>
      <c r="K30" s="18" t="s">
        <v>402</v>
      </c>
      <c r="L30" s="38" t="s">
        <v>612</v>
      </c>
      <c r="M30" s="24" t="s">
        <v>316</v>
      </c>
      <c r="N30" s="18" t="s">
        <v>317</v>
      </c>
    </row>
    <row r="31" spans="1:14" ht="13">
      <c r="A31" s="18" t="s">
        <v>266</v>
      </c>
      <c r="B31" s="18" t="s">
        <v>260</v>
      </c>
      <c r="C31" s="18" t="s">
        <v>313</v>
      </c>
      <c r="D31" s="18" t="s">
        <v>630</v>
      </c>
      <c r="E31" s="18" t="s">
        <v>631</v>
      </c>
      <c r="F31" s="18" t="s">
        <v>632</v>
      </c>
      <c r="G31" s="18" t="s">
        <v>611</v>
      </c>
      <c r="H31" s="37">
        <v>2007.97680763984</v>
      </c>
      <c r="I31" s="37">
        <v>375</v>
      </c>
      <c r="J31" s="40" t="s">
        <v>402</v>
      </c>
      <c r="K31" s="18" t="s">
        <v>402</v>
      </c>
      <c r="L31" s="38" t="s">
        <v>612</v>
      </c>
      <c r="M31" s="24" t="s">
        <v>316</v>
      </c>
      <c r="N31" s="18" t="s">
        <v>317</v>
      </c>
    </row>
    <row r="32" spans="1:14" ht="13">
      <c r="A32" s="18" t="s">
        <v>266</v>
      </c>
      <c r="B32" s="18" t="s">
        <v>260</v>
      </c>
      <c r="C32" s="18" t="s">
        <v>313</v>
      </c>
      <c r="D32" s="18" t="s">
        <v>630</v>
      </c>
      <c r="E32" s="18" t="s">
        <v>631</v>
      </c>
      <c r="F32" s="18" t="s">
        <v>632</v>
      </c>
      <c r="G32" s="18" t="s">
        <v>611</v>
      </c>
      <c r="H32" s="37">
        <v>2009.0327421555301</v>
      </c>
      <c r="I32" s="37">
        <v>321</v>
      </c>
      <c r="J32" s="40" t="s">
        <v>402</v>
      </c>
      <c r="K32" s="18" t="s">
        <v>402</v>
      </c>
      <c r="L32" s="38" t="s">
        <v>612</v>
      </c>
      <c r="M32" s="24" t="s">
        <v>316</v>
      </c>
      <c r="N32" s="18" t="s">
        <v>317</v>
      </c>
    </row>
    <row r="33" spans="1:34" ht="13">
      <c r="A33" s="18" t="s">
        <v>266</v>
      </c>
      <c r="B33" s="18" t="s">
        <v>260</v>
      </c>
      <c r="C33" s="18" t="s">
        <v>313</v>
      </c>
      <c r="D33" s="18" t="s">
        <v>630</v>
      </c>
      <c r="E33" s="18" t="s">
        <v>631</v>
      </c>
      <c r="F33" s="18" t="s">
        <v>632</v>
      </c>
      <c r="G33" s="18" t="s">
        <v>611</v>
      </c>
      <c r="H33" s="37">
        <v>2009.9713506139201</v>
      </c>
      <c r="I33" s="37">
        <v>340</v>
      </c>
      <c r="J33" s="40" t="s">
        <v>402</v>
      </c>
      <c r="K33" s="18" t="s">
        <v>402</v>
      </c>
      <c r="L33" s="38" t="s">
        <v>612</v>
      </c>
      <c r="M33" s="24" t="s">
        <v>316</v>
      </c>
      <c r="N33" s="18" t="s">
        <v>317</v>
      </c>
    </row>
    <row r="34" spans="1:34" ht="13">
      <c r="A34" s="18" t="s">
        <v>266</v>
      </c>
      <c r="B34" s="18" t="s">
        <v>260</v>
      </c>
      <c r="C34" s="18" t="s">
        <v>313</v>
      </c>
      <c r="D34" s="18" t="s">
        <v>630</v>
      </c>
      <c r="E34" s="18" t="s">
        <v>631</v>
      </c>
      <c r="F34" s="18" t="s">
        <v>632</v>
      </c>
      <c r="G34" s="18" t="s">
        <v>611</v>
      </c>
      <c r="H34" s="37">
        <v>2011</v>
      </c>
      <c r="I34" s="37">
        <v>284</v>
      </c>
      <c r="J34" s="40" t="s">
        <v>402</v>
      </c>
      <c r="K34" s="18" t="s">
        <v>402</v>
      </c>
      <c r="L34" s="38" t="s">
        <v>612</v>
      </c>
      <c r="M34" s="24" t="s">
        <v>316</v>
      </c>
      <c r="N34" s="18" t="s">
        <v>317</v>
      </c>
    </row>
    <row r="35" spans="1:34" ht="13">
      <c r="A35" s="18" t="s">
        <v>266</v>
      </c>
      <c r="B35" s="18" t="s">
        <v>260</v>
      </c>
      <c r="C35" s="18" t="s">
        <v>313</v>
      </c>
      <c r="D35" s="18" t="s">
        <v>630</v>
      </c>
      <c r="E35" s="18" t="s">
        <v>631</v>
      </c>
      <c r="F35" s="18" t="s">
        <v>632</v>
      </c>
      <c r="G35" s="18" t="s">
        <v>611</v>
      </c>
      <c r="H35" s="37">
        <v>2012.02455661664</v>
      </c>
      <c r="I35" s="37">
        <v>312</v>
      </c>
      <c r="J35" s="40" t="s">
        <v>402</v>
      </c>
      <c r="K35" s="18" t="s">
        <v>402</v>
      </c>
      <c r="L35" s="38" t="s">
        <v>612</v>
      </c>
      <c r="M35" s="24" t="s">
        <v>316</v>
      </c>
      <c r="N35" s="18" t="s">
        <v>317</v>
      </c>
    </row>
    <row r="36" spans="1:34" ht="13">
      <c r="A36" s="18" t="s">
        <v>266</v>
      </c>
      <c r="B36" s="18" t="s">
        <v>260</v>
      </c>
      <c r="C36" s="18" t="s">
        <v>313</v>
      </c>
      <c r="D36" s="18" t="s">
        <v>630</v>
      </c>
      <c r="E36" s="18" t="s">
        <v>631</v>
      </c>
      <c r="F36" s="18" t="s">
        <v>632</v>
      </c>
      <c r="G36" s="18" t="s">
        <v>611</v>
      </c>
      <c r="H36" s="37">
        <v>2013.9604365620701</v>
      </c>
      <c r="I36" s="37">
        <v>379</v>
      </c>
      <c r="J36" s="40" t="s">
        <v>402</v>
      </c>
      <c r="K36" s="18" t="s">
        <v>402</v>
      </c>
      <c r="L36" s="38" t="s">
        <v>612</v>
      </c>
      <c r="M36" s="24" t="s">
        <v>316</v>
      </c>
      <c r="N36" s="18" t="s">
        <v>317</v>
      </c>
    </row>
    <row r="37" spans="1:34" ht="13">
      <c r="A37" s="18" t="s">
        <v>266</v>
      </c>
      <c r="B37" s="18" t="s">
        <v>260</v>
      </c>
      <c r="C37" s="18" t="s">
        <v>313</v>
      </c>
      <c r="D37" s="18" t="s">
        <v>630</v>
      </c>
      <c r="E37" s="18" t="s">
        <v>631</v>
      </c>
      <c r="F37" s="18" t="s">
        <v>632</v>
      </c>
      <c r="G37" s="18" t="s">
        <v>611</v>
      </c>
      <c r="H37" s="37">
        <v>2016.0136425648</v>
      </c>
      <c r="I37" s="37">
        <v>247</v>
      </c>
      <c r="J37" s="40" t="s">
        <v>402</v>
      </c>
      <c r="K37" s="18" t="s">
        <v>402</v>
      </c>
      <c r="L37" s="38" t="s">
        <v>612</v>
      </c>
      <c r="M37" s="24" t="s">
        <v>316</v>
      </c>
      <c r="N37" s="18" t="s">
        <v>317</v>
      </c>
    </row>
    <row r="38" spans="1:34" ht="13">
      <c r="A38" s="18" t="s">
        <v>266</v>
      </c>
      <c r="B38" s="18" t="s">
        <v>260</v>
      </c>
      <c r="C38" s="18" t="s">
        <v>313</v>
      </c>
      <c r="D38" s="18" t="s">
        <v>630</v>
      </c>
      <c r="E38" s="18" t="s">
        <v>631</v>
      </c>
      <c r="F38" s="18" t="s">
        <v>632</v>
      </c>
      <c r="G38" s="18" t="s">
        <v>611</v>
      </c>
      <c r="H38" s="37">
        <v>2018.0081855388801</v>
      </c>
      <c r="I38" s="37">
        <v>269</v>
      </c>
      <c r="J38" s="40" t="s">
        <v>402</v>
      </c>
      <c r="K38" s="18" t="s">
        <v>402</v>
      </c>
      <c r="L38" s="38" t="s">
        <v>612</v>
      </c>
      <c r="M38" s="24" t="s">
        <v>316</v>
      </c>
      <c r="N38" s="18" t="s">
        <v>317</v>
      </c>
    </row>
    <row r="39" spans="1:34" ht="16">
      <c r="A39" s="42" t="s">
        <v>266</v>
      </c>
      <c r="B39" s="42" t="s">
        <v>260</v>
      </c>
      <c r="C39" s="42" t="s">
        <v>634</v>
      </c>
      <c r="D39" s="42" t="s">
        <v>268</v>
      </c>
      <c r="E39" s="18" t="s">
        <v>635</v>
      </c>
      <c r="F39" s="27" t="s">
        <v>636</v>
      </c>
      <c r="G39" s="42" t="s">
        <v>611</v>
      </c>
      <c r="H39" s="43">
        <v>1991</v>
      </c>
      <c r="I39" s="38">
        <v>2582</v>
      </c>
      <c r="J39" s="38">
        <v>1070</v>
      </c>
      <c r="K39" s="38" t="s">
        <v>402</v>
      </c>
      <c r="L39" s="38" t="s">
        <v>637</v>
      </c>
      <c r="M39" s="44" t="s">
        <v>270</v>
      </c>
      <c r="N39" s="45" t="s">
        <v>638</v>
      </c>
      <c r="O39" s="27" t="s">
        <v>639</v>
      </c>
      <c r="P39" s="27"/>
      <c r="Q39" s="27"/>
      <c r="R39" s="27"/>
      <c r="S39" s="27"/>
      <c r="T39" s="27"/>
      <c r="U39" s="27"/>
      <c r="V39" s="27"/>
      <c r="W39" s="27"/>
      <c r="X39" s="27"/>
      <c r="Y39" s="27"/>
      <c r="Z39" s="27"/>
      <c r="AA39" s="27"/>
      <c r="AB39" s="27"/>
      <c r="AC39" s="27"/>
      <c r="AD39" s="27"/>
      <c r="AE39" s="27"/>
      <c r="AF39" s="27"/>
      <c r="AG39" s="27"/>
      <c r="AH39" s="27"/>
    </row>
    <row r="40" spans="1:34" ht="16">
      <c r="A40" s="42" t="s">
        <v>266</v>
      </c>
      <c r="B40" s="42" t="s">
        <v>260</v>
      </c>
      <c r="C40" s="42" t="s">
        <v>634</v>
      </c>
      <c r="D40" s="42" t="s">
        <v>268</v>
      </c>
      <c r="E40" s="18" t="s">
        <v>635</v>
      </c>
      <c r="F40" s="27" t="s">
        <v>636</v>
      </c>
      <c r="G40" s="42" t="s">
        <v>611</v>
      </c>
      <c r="H40" s="43">
        <v>1993</v>
      </c>
      <c r="I40" s="38">
        <v>2644</v>
      </c>
      <c r="J40" s="38">
        <v>735</v>
      </c>
      <c r="K40" s="38" t="s">
        <v>402</v>
      </c>
      <c r="L40" s="38" t="s">
        <v>637</v>
      </c>
      <c r="M40" s="44" t="s">
        <v>270</v>
      </c>
      <c r="N40" s="45" t="s">
        <v>271</v>
      </c>
      <c r="O40" s="27"/>
      <c r="P40" s="27"/>
      <c r="Q40" s="27"/>
      <c r="R40" s="27"/>
      <c r="S40" s="27"/>
      <c r="T40" s="27"/>
      <c r="U40" s="27"/>
      <c r="V40" s="27"/>
      <c r="W40" s="27"/>
      <c r="X40" s="27"/>
      <c r="Y40" s="27"/>
      <c r="Z40" s="27"/>
      <c r="AA40" s="27"/>
      <c r="AB40" s="27"/>
      <c r="AC40" s="27"/>
      <c r="AD40" s="27"/>
      <c r="AE40" s="27"/>
      <c r="AF40" s="27"/>
      <c r="AG40" s="27"/>
      <c r="AH40" s="27"/>
    </row>
    <row r="41" spans="1:34" ht="16">
      <c r="A41" s="42" t="s">
        <v>266</v>
      </c>
      <c r="B41" s="42" t="s">
        <v>260</v>
      </c>
      <c r="C41" s="42" t="s">
        <v>634</v>
      </c>
      <c r="D41" s="42" t="s">
        <v>268</v>
      </c>
      <c r="E41" s="18" t="s">
        <v>635</v>
      </c>
      <c r="F41" s="27" t="s">
        <v>636</v>
      </c>
      <c r="G41" s="42" t="s">
        <v>611</v>
      </c>
      <c r="H41" s="43">
        <v>1996</v>
      </c>
      <c r="I41" s="38">
        <v>2948</v>
      </c>
      <c r="J41" s="38">
        <v>1226</v>
      </c>
      <c r="K41" s="38">
        <v>4148</v>
      </c>
      <c r="L41" s="38" t="s">
        <v>637</v>
      </c>
      <c r="M41" s="44" t="s">
        <v>270</v>
      </c>
      <c r="N41" s="45" t="s">
        <v>271</v>
      </c>
      <c r="O41" s="27"/>
      <c r="P41" s="27"/>
      <c r="Q41" s="27"/>
      <c r="R41" s="27"/>
      <c r="S41" s="27"/>
      <c r="T41" s="27"/>
      <c r="U41" s="27"/>
      <c r="V41" s="27"/>
      <c r="W41" s="27"/>
      <c r="X41" s="27"/>
      <c r="Y41" s="27"/>
      <c r="Z41" s="27"/>
      <c r="AA41" s="27"/>
      <c r="AB41" s="27"/>
      <c r="AC41" s="27"/>
      <c r="AD41" s="27"/>
      <c r="AE41" s="27"/>
      <c r="AF41" s="27"/>
      <c r="AG41" s="27"/>
      <c r="AH41" s="27"/>
    </row>
    <row r="42" spans="1:34" ht="16">
      <c r="A42" s="42" t="s">
        <v>266</v>
      </c>
      <c r="B42" s="42" t="s">
        <v>260</v>
      </c>
      <c r="C42" s="42" t="s">
        <v>634</v>
      </c>
      <c r="D42" s="42" t="s">
        <v>268</v>
      </c>
      <c r="E42" s="18" t="s">
        <v>635</v>
      </c>
      <c r="F42" s="27" t="s">
        <v>636</v>
      </c>
      <c r="G42" s="42" t="s">
        <v>611</v>
      </c>
      <c r="H42" s="43">
        <v>2001</v>
      </c>
      <c r="I42" s="38">
        <v>961</v>
      </c>
      <c r="J42" s="38">
        <v>408</v>
      </c>
      <c r="K42" s="38">
        <v>2239</v>
      </c>
      <c r="L42" s="38" t="s">
        <v>637</v>
      </c>
      <c r="M42" s="44" t="s">
        <v>270</v>
      </c>
      <c r="N42" s="45" t="s">
        <v>271</v>
      </c>
      <c r="O42" s="27"/>
      <c r="P42" s="27"/>
      <c r="Q42" s="27"/>
      <c r="R42" s="27"/>
      <c r="S42" s="27"/>
      <c r="T42" s="27"/>
      <c r="U42" s="27"/>
      <c r="V42" s="27"/>
      <c r="W42" s="27"/>
      <c r="X42" s="27"/>
      <c r="Y42" s="27"/>
      <c r="Z42" s="27"/>
      <c r="AA42" s="27"/>
      <c r="AB42" s="27"/>
      <c r="AC42" s="27"/>
      <c r="AD42" s="27"/>
      <c r="AE42" s="27"/>
      <c r="AF42" s="27"/>
      <c r="AG42" s="27"/>
      <c r="AH42" s="27"/>
    </row>
    <row r="43" spans="1:34" ht="16">
      <c r="A43" s="42" t="s">
        <v>266</v>
      </c>
      <c r="B43" s="42" t="s">
        <v>260</v>
      </c>
      <c r="C43" s="42" t="s">
        <v>634</v>
      </c>
      <c r="D43" s="42" t="s">
        <v>268</v>
      </c>
      <c r="E43" s="18" t="s">
        <v>635</v>
      </c>
      <c r="F43" s="27" t="s">
        <v>636</v>
      </c>
      <c r="G43" s="42" t="s">
        <v>611</v>
      </c>
      <c r="H43" s="43">
        <v>2005</v>
      </c>
      <c r="I43" s="38">
        <v>1460</v>
      </c>
      <c r="J43" s="38">
        <v>626</v>
      </c>
      <c r="K43" s="38">
        <v>3400</v>
      </c>
      <c r="L43" s="38" t="s">
        <v>637</v>
      </c>
      <c r="M43" s="44" t="s">
        <v>270</v>
      </c>
      <c r="N43" s="45" t="s">
        <v>271</v>
      </c>
      <c r="O43" s="27"/>
      <c r="P43" s="27"/>
      <c r="Q43" s="27"/>
      <c r="R43" s="27"/>
      <c r="S43" s="27"/>
      <c r="T43" s="27"/>
      <c r="U43" s="27"/>
      <c r="V43" s="27"/>
      <c r="W43" s="27"/>
      <c r="X43" s="27"/>
      <c r="Y43" s="27"/>
      <c r="Z43" s="27"/>
      <c r="AA43" s="27"/>
      <c r="AB43" s="27"/>
      <c r="AC43" s="27"/>
      <c r="AD43" s="27"/>
      <c r="AE43" s="27"/>
      <c r="AF43" s="27"/>
      <c r="AG43" s="27"/>
      <c r="AH43" s="27"/>
    </row>
    <row r="44" spans="1:34" ht="16">
      <c r="A44" s="42" t="s">
        <v>266</v>
      </c>
      <c r="B44" s="42" t="s">
        <v>260</v>
      </c>
      <c r="C44" s="42" t="s">
        <v>634</v>
      </c>
      <c r="D44" s="42" t="s">
        <v>268</v>
      </c>
      <c r="E44" s="18" t="s">
        <v>635</v>
      </c>
      <c r="F44" s="27" t="s">
        <v>636</v>
      </c>
      <c r="G44" s="42" t="s">
        <v>611</v>
      </c>
      <c r="H44" s="43">
        <v>2008</v>
      </c>
      <c r="I44" s="38">
        <v>875</v>
      </c>
      <c r="J44" s="38">
        <v>330</v>
      </c>
      <c r="K44" s="38">
        <v>2255</v>
      </c>
      <c r="L44" s="38" t="s">
        <v>637</v>
      </c>
      <c r="M44" s="44" t="s">
        <v>270</v>
      </c>
      <c r="N44" s="45" t="s">
        <v>271</v>
      </c>
      <c r="O44" s="27"/>
      <c r="P44" s="27"/>
      <c r="Q44" s="27"/>
      <c r="R44" s="27"/>
      <c r="S44" s="27"/>
      <c r="T44" s="27"/>
      <c r="U44" s="27"/>
      <c r="V44" s="27"/>
      <c r="W44" s="27"/>
      <c r="X44" s="27"/>
      <c r="Y44" s="27"/>
      <c r="Z44" s="27"/>
      <c r="AA44" s="27"/>
      <c r="AB44" s="27"/>
      <c r="AC44" s="27"/>
      <c r="AD44" s="27"/>
      <c r="AE44" s="27"/>
      <c r="AF44" s="27"/>
      <c r="AG44" s="27"/>
      <c r="AH44" s="27"/>
    </row>
    <row r="45" spans="1:34" ht="16">
      <c r="A45" s="42" t="s">
        <v>266</v>
      </c>
      <c r="B45" s="30" t="s">
        <v>260</v>
      </c>
      <c r="C45" s="30" t="s">
        <v>634</v>
      </c>
      <c r="D45" s="30" t="s">
        <v>268</v>
      </c>
      <c r="E45" s="18" t="s">
        <v>635</v>
      </c>
      <c r="F45" s="18" t="s">
        <v>636</v>
      </c>
      <c r="G45" s="30" t="s">
        <v>611</v>
      </c>
      <c r="H45" s="46">
        <v>2014</v>
      </c>
      <c r="I45" s="37">
        <v>1483</v>
      </c>
      <c r="J45" s="37">
        <v>649</v>
      </c>
      <c r="K45" s="37">
        <v>3416</v>
      </c>
      <c r="L45" s="38" t="s">
        <v>637</v>
      </c>
      <c r="M45" s="32" t="s">
        <v>270</v>
      </c>
      <c r="N45" s="45" t="s">
        <v>271</v>
      </c>
    </row>
    <row r="46" spans="1:34" ht="13">
      <c r="A46" s="42" t="s">
        <v>266</v>
      </c>
      <c r="B46" s="18" t="s">
        <v>260</v>
      </c>
      <c r="C46" s="30" t="s">
        <v>634</v>
      </c>
      <c r="D46" s="18" t="s">
        <v>553</v>
      </c>
      <c r="E46" s="18" t="s">
        <v>635</v>
      </c>
      <c r="F46" s="18" t="s">
        <v>621</v>
      </c>
      <c r="G46" s="18" t="s">
        <v>622</v>
      </c>
      <c r="H46" s="18">
        <v>1996</v>
      </c>
      <c r="I46" s="26">
        <v>1946</v>
      </c>
      <c r="J46" s="18">
        <v>945</v>
      </c>
      <c r="K46" s="26">
        <v>4009</v>
      </c>
      <c r="L46" s="41" t="s">
        <v>623</v>
      </c>
      <c r="M46" s="32" t="s">
        <v>270</v>
      </c>
      <c r="N46" s="45" t="s">
        <v>271</v>
      </c>
    </row>
    <row r="47" spans="1:34" ht="13">
      <c r="A47" s="42" t="s">
        <v>266</v>
      </c>
      <c r="B47" s="18" t="s">
        <v>260</v>
      </c>
      <c r="C47" s="30" t="s">
        <v>634</v>
      </c>
      <c r="D47" s="18" t="s">
        <v>553</v>
      </c>
      <c r="E47" s="18" t="s">
        <v>635</v>
      </c>
      <c r="F47" s="18" t="s">
        <v>621</v>
      </c>
      <c r="G47" s="18" t="s">
        <v>622</v>
      </c>
      <c r="H47" s="18">
        <v>2001</v>
      </c>
      <c r="I47" s="26">
        <v>1657</v>
      </c>
      <c r="J47" s="18">
        <v>868</v>
      </c>
      <c r="K47" s="26">
        <v>3162</v>
      </c>
      <c r="L47" s="41" t="s">
        <v>623</v>
      </c>
      <c r="M47" s="32" t="s">
        <v>270</v>
      </c>
      <c r="N47" s="45" t="s">
        <v>271</v>
      </c>
    </row>
    <row r="48" spans="1:34" ht="13">
      <c r="A48" s="42" t="s">
        <v>266</v>
      </c>
      <c r="B48" s="18" t="s">
        <v>260</v>
      </c>
      <c r="C48" s="30" t="s">
        <v>634</v>
      </c>
      <c r="D48" s="18" t="s">
        <v>553</v>
      </c>
      <c r="E48" s="18" t="s">
        <v>635</v>
      </c>
      <c r="F48" s="18" t="s">
        <v>621</v>
      </c>
      <c r="G48" s="18" t="s">
        <v>622</v>
      </c>
      <c r="H48" s="18">
        <v>2005</v>
      </c>
      <c r="I48" s="26">
        <v>1042</v>
      </c>
      <c r="J48" s="18">
        <v>542</v>
      </c>
      <c r="K48" s="26">
        <v>2004</v>
      </c>
      <c r="L48" s="41" t="s">
        <v>623</v>
      </c>
      <c r="M48" s="32" t="s">
        <v>270</v>
      </c>
      <c r="N48" s="45" t="s">
        <v>271</v>
      </c>
    </row>
    <row r="49" spans="1:15" ht="13">
      <c r="A49" s="42" t="s">
        <v>266</v>
      </c>
      <c r="B49" s="18" t="s">
        <v>260</v>
      </c>
      <c r="C49" s="30" t="s">
        <v>634</v>
      </c>
      <c r="D49" s="18" t="s">
        <v>553</v>
      </c>
      <c r="E49" s="18" t="s">
        <v>635</v>
      </c>
      <c r="F49" s="18" t="s">
        <v>621</v>
      </c>
      <c r="G49" s="18" t="s">
        <v>622</v>
      </c>
      <c r="H49" s="18">
        <v>2008</v>
      </c>
      <c r="I49" s="18">
        <v>919</v>
      </c>
      <c r="J49" s="18">
        <v>445</v>
      </c>
      <c r="K49" s="26">
        <v>1899</v>
      </c>
      <c r="L49" s="41" t="s">
        <v>623</v>
      </c>
      <c r="M49" s="32" t="s">
        <v>270</v>
      </c>
      <c r="N49" s="45" t="s">
        <v>271</v>
      </c>
    </row>
    <row r="50" spans="1:15" ht="13">
      <c r="A50" s="42" t="s">
        <v>266</v>
      </c>
      <c r="B50" s="18" t="s">
        <v>260</v>
      </c>
      <c r="C50" s="30" t="s">
        <v>634</v>
      </c>
      <c r="D50" s="18" t="s">
        <v>553</v>
      </c>
      <c r="E50" s="18" t="s">
        <v>635</v>
      </c>
      <c r="F50" s="18" t="s">
        <v>621</v>
      </c>
      <c r="G50" s="18" t="s">
        <v>622</v>
      </c>
      <c r="H50" s="18">
        <v>2014</v>
      </c>
      <c r="I50" s="26">
        <v>1077</v>
      </c>
      <c r="J50" s="18">
        <v>495</v>
      </c>
      <c r="K50" s="26">
        <v>2342</v>
      </c>
      <c r="L50" s="41" t="s">
        <v>623</v>
      </c>
      <c r="M50" s="32" t="s">
        <v>270</v>
      </c>
      <c r="N50" s="45" t="s">
        <v>271</v>
      </c>
    </row>
    <row r="51" spans="1:15" ht="13">
      <c r="A51" s="42" t="s">
        <v>266</v>
      </c>
      <c r="B51" s="18" t="s">
        <v>260</v>
      </c>
      <c r="C51" s="30" t="s">
        <v>634</v>
      </c>
      <c r="D51" s="18" t="s">
        <v>553</v>
      </c>
      <c r="E51" s="18" t="s">
        <v>635</v>
      </c>
      <c r="F51" s="18" t="s">
        <v>621</v>
      </c>
      <c r="G51" s="18" t="s">
        <v>622</v>
      </c>
      <c r="H51" s="18">
        <v>2018</v>
      </c>
      <c r="I51" s="18">
        <v>670</v>
      </c>
      <c r="J51" s="18">
        <v>299</v>
      </c>
      <c r="K51" s="26">
        <v>1502</v>
      </c>
      <c r="L51" s="41" t="s">
        <v>623</v>
      </c>
      <c r="M51" s="32" t="s">
        <v>270</v>
      </c>
      <c r="N51" s="45" t="s">
        <v>271</v>
      </c>
    </row>
    <row r="52" spans="1:15" ht="13">
      <c r="A52" s="42" t="s">
        <v>266</v>
      </c>
      <c r="B52" s="18" t="s">
        <v>260</v>
      </c>
      <c r="C52" s="30" t="s">
        <v>634</v>
      </c>
      <c r="D52" s="18" t="s">
        <v>553</v>
      </c>
      <c r="E52" s="18" t="s">
        <v>635</v>
      </c>
      <c r="F52" s="18" t="s">
        <v>640</v>
      </c>
      <c r="G52" s="18" t="s">
        <v>622</v>
      </c>
      <c r="H52" s="18">
        <v>1986</v>
      </c>
      <c r="I52" s="18" t="s">
        <v>402</v>
      </c>
      <c r="J52" s="40" t="s">
        <v>402</v>
      </c>
      <c r="K52" s="18" t="s">
        <v>402</v>
      </c>
      <c r="L52" s="41" t="s">
        <v>623</v>
      </c>
      <c r="M52" s="32" t="s">
        <v>270</v>
      </c>
      <c r="N52" s="45" t="s">
        <v>271</v>
      </c>
    </row>
    <row r="53" spans="1:15" ht="13">
      <c r="A53" s="42" t="s">
        <v>266</v>
      </c>
      <c r="B53" s="18" t="s">
        <v>260</v>
      </c>
      <c r="C53" s="30" t="s">
        <v>634</v>
      </c>
      <c r="D53" s="18" t="s">
        <v>553</v>
      </c>
      <c r="E53" s="18" t="s">
        <v>635</v>
      </c>
      <c r="F53" s="18" t="s">
        <v>640</v>
      </c>
      <c r="G53" s="18" t="s">
        <v>622</v>
      </c>
      <c r="H53" s="18">
        <v>1987</v>
      </c>
      <c r="I53" s="18" t="s">
        <v>402</v>
      </c>
      <c r="J53" s="40" t="s">
        <v>402</v>
      </c>
      <c r="K53" s="18" t="s">
        <v>402</v>
      </c>
      <c r="L53" s="41" t="s">
        <v>623</v>
      </c>
      <c r="M53" s="32" t="s">
        <v>270</v>
      </c>
      <c r="N53" s="45" t="s">
        <v>271</v>
      </c>
    </row>
    <row r="54" spans="1:15" ht="13">
      <c r="A54" s="42" t="s">
        <v>266</v>
      </c>
      <c r="B54" s="18" t="s">
        <v>260</v>
      </c>
      <c r="C54" s="30" t="s">
        <v>634</v>
      </c>
      <c r="D54" s="18" t="s">
        <v>553</v>
      </c>
      <c r="E54" s="18" t="s">
        <v>635</v>
      </c>
      <c r="F54" s="18" t="s">
        <v>640</v>
      </c>
      <c r="G54" s="18" t="s">
        <v>622</v>
      </c>
      <c r="H54" s="18">
        <v>1988</v>
      </c>
      <c r="I54" s="18" t="s">
        <v>402</v>
      </c>
      <c r="J54" s="40" t="s">
        <v>402</v>
      </c>
      <c r="K54" s="18" t="s">
        <v>402</v>
      </c>
      <c r="L54" s="41" t="s">
        <v>623</v>
      </c>
      <c r="M54" s="32" t="s">
        <v>270</v>
      </c>
      <c r="N54" s="45" t="s">
        <v>271</v>
      </c>
    </row>
    <row r="55" spans="1:15" ht="13">
      <c r="A55" s="42" t="s">
        <v>266</v>
      </c>
      <c r="B55" s="18" t="s">
        <v>260</v>
      </c>
      <c r="C55" s="30" t="s">
        <v>634</v>
      </c>
      <c r="D55" s="18" t="s">
        <v>553</v>
      </c>
      <c r="E55" s="18" t="s">
        <v>635</v>
      </c>
      <c r="F55" s="18" t="s">
        <v>640</v>
      </c>
      <c r="G55" s="18" t="s">
        <v>622</v>
      </c>
      <c r="H55" s="18">
        <v>1989</v>
      </c>
      <c r="I55" s="18">
        <v>742</v>
      </c>
      <c r="J55" s="40" t="s">
        <v>402</v>
      </c>
      <c r="K55" s="18" t="s">
        <v>402</v>
      </c>
      <c r="L55" s="41" t="s">
        <v>623</v>
      </c>
      <c r="M55" s="32" t="s">
        <v>270</v>
      </c>
      <c r="N55" s="45" t="s">
        <v>271</v>
      </c>
    </row>
    <row r="56" spans="1:15" ht="13">
      <c r="A56" s="42" t="s">
        <v>266</v>
      </c>
      <c r="B56" s="18" t="s">
        <v>260</v>
      </c>
      <c r="C56" s="30" t="s">
        <v>634</v>
      </c>
      <c r="D56" s="18" t="s">
        <v>553</v>
      </c>
      <c r="E56" s="18" t="s">
        <v>635</v>
      </c>
      <c r="F56" s="18" t="s">
        <v>640</v>
      </c>
      <c r="G56" s="18" t="s">
        <v>622</v>
      </c>
      <c r="H56" s="18">
        <v>1990</v>
      </c>
      <c r="I56" s="18">
        <v>588</v>
      </c>
      <c r="J56" s="40" t="s">
        <v>402</v>
      </c>
      <c r="K56" s="18" t="s">
        <v>402</v>
      </c>
      <c r="L56" s="41" t="s">
        <v>623</v>
      </c>
      <c r="M56" s="32" t="s">
        <v>270</v>
      </c>
      <c r="N56" s="45" t="s">
        <v>271</v>
      </c>
      <c r="O56" s="26"/>
    </row>
    <row r="57" spans="1:15" ht="13">
      <c r="A57" s="42" t="s">
        <v>266</v>
      </c>
      <c r="B57" s="18" t="s">
        <v>260</v>
      </c>
      <c r="C57" s="30" t="s">
        <v>634</v>
      </c>
      <c r="D57" s="18" t="s">
        <v>553</v>
      </c>
      <c r="E57" s="18" t="s">
        <v>635</v>
      </c>
      <c r="F57" s="18" t="s">
        <v>640</v>
      </c>
      <c r="G57" s="18" t="s">
        <v>622</v>
      </c>
      <c r="H57" s="18">
        <v>1991</v>
      </c>
      <c r="I57" s="18">
        <v>641</v>
      </c>
      <c r="J57" s="40" t="s">
        <v>402</v>
      </c>
      <c r="K57" s="18" t="s">
        <v>402</v>
      </c>
      <c r="L57" s="41" t="s">
        <v>623</v>
      </c>
      <c r="M57" s="32" t="s">
        <v>270</v>
      </c>
      <c r="N57" s="45" t="s">
        <v>271</v>
      </c>
    </row>
    <row r="58" spans="1:15" ht="13">
      <c r="A58" s="42" t="s">
        <v>266</v>
      </c>
      <c r="B58" s="18" t="s">
        <v>260</v>
      </c>
      <c r="C58" s="30" t="s">
        <v>634</v>
      </c>
      <c r="D58" s="18" t="s">
        <v>553</v>
      </c>
      <c r="E58" s="18" t="s">
        <v>635</v>
      </c>
      <c r="F58" s="18" t="s">
        <v>640</v>
      </c>
      <c r="G58" s="18" t="s">
        <v>622</v>
      </c>
      <c r="H58" s="18">
        <v>1992</v>
      </c>
      <c r="I58" s="26">
        <v>1050</v>
      </c>
      <c r="J58" s="40" t="s">
        <v>402</v>
      </c>
      <c r="K58" s="18" t="s">
        <v>402</v>
      </c>
      <c r="L58" s="41" t="s">
        <v>623</v>
      </c>
      <c r="M58" s="32" t="s">
        <v>270</v>
      </c>
      <c r="N58" s="45" t="s">
        <v>271</v>
      </c>
    </row>
    <row r="59" spans="1:15" ht="13">
      <c r="A59" s="42" t="s">
        <v>266</v>
      </c>
      <c r="B59" s="18" t="s">
        <v>260</v>
      </c>
      <c r="C59" s="30" t="s">
        <v>634</v>
      </c>
      <c r="D59" s="18" t="s">
        <v>553</v>
      </c>
      <c r="E59" s="18" t="s">
        <v>635</v>
      </c>
      <c r="F59" s="18" t="s">
        <v>640</v>
      </c>
      <c r="G59" s="18" t="s">
        <v>622</v>
      </c>
      <c r="H59" s="18">
        <v>1993</v>
      </c>
      <c r="I59" s="18">
        <v>980</v>
      </c>
      <c r="J59" s="40" t="s">
        <v>402</v>
      </c>
      <c r="K59" s="18" t="s">
        <v>402</v>
      </c>
      <c r="L59" s="41" t="s">
        <v>623</v>
      </c>
      <c r="M59" s="32" t="s">
        <v>270</v>
      </c>
      <c r="N59" s="45" t="s">
        <v>271</v>
      </c>
    </row>
    <row r="60" spans="1:15" ht="13">
      <c r="A60" s="42" t="s">
        <v>266</v>
      </c>
      <c r="B60" s="18" t="s">
        <v>260</v>
      </c>
      <c r="C60" s="30" t="s">
        <v>634</v>
      </c>
      <c r="D60" s="18" t="s">
        <v>553</v>
      </c>
      <c r="E60" s="18" t="s">
        <v>635</v>
      </c>
      <c r="F60" s="18" t="s">
        <v>640</v>
      </c>
      <c r="G60" s="18" t="s">
        <v>622</v>
      </c>
      <c r="H60" s="18">
        <v>1994</v>
      </c>
      <c r="I60" s="26">
        <v>1361</v>
      </c>
      <c r="J60" s="40" t="s">
        <v>402</v>
      </c>
      <c r="K60" s="18" t="s">
        <v>402</v>
      </c>
      <c r="L60" s="41" t="s">
        <v>623</v>
      </c>
      <c r="M60" s="32" t="s">
        <v>270</v>
      </c>
      <c r="N60" s="45" t="s">
        <v>271</v>
      </c>
    </row>
    <row r="61" spans="1:15" ht="13">
      <c r="A61" s="42" t="s">
        <v>266</v>
      </c>
      <c r="B61" s="18" t="s">
        <v>260</v>
      </c>
      <c r="C61" s="30" t="s">
        <v>634</v>
      </c>
      <c r="D61" s="18" t="s">
        <v>553</v>
      </c>
      <c r="E61" s="18" t="s">
        <v>635</v>
      </c>
      <c r="F61" s="18" t="s">
        <v>640</v>
      </c>
      <c r="G61" s="18" t="s">
        <v>622</v>
      </c>
      <c r="H61" s="18">
        <v>1995</v>
      </c>
      <c r="I61" s="26">
        <v>1335</v>
      </c>
      <c r="J61" s="40" t="s">
        <v>402</v>
      </c>
      <c r="K61" s="18" t="s">
        <v>402</v>
      </c>
      <c r="L61" s="41" t="s">
        <v>623</v>
      </c>
      <c r="M61" s="32" t="s">
        <v>270</v>
      </c>
      <c r="N61" s="45" t="s">
        <v>271</v>
      </c>
    </row>
    <row r="62" spans="1:15" ht="13">
      <c r="A62" s="42" t="s">
        <v>266</v>
      </c>
      <c r="B62" s="18" t="s">
        <v>260</v>
      </c>
      <c r="C62" s="30" t="s">
        <v>634</v>
      </c>
      <c r="D62" s="18" t="s">
        <v>553</v>
      </c>
      <c r="E62" s="18" t="s">
        <v>635</v>
      </c>
      <c r="F62" s="18" t="s">
        <v>640</v>
      </c>
      <c r="G62" s="18" t="s">
        <v>622</v>
      </c>
      <c r="H62" s="18">
        <v>1996</v>
      </c>
      <c r="I62" s="26">
        <v>1502</v>
      </c>
      <c r="J62" s="40" t="s">
        <v>402</v>
      </c>
      <c r="K62" s="18" t="s">
        <v>402</v>
      </c>
      <c r="L62" s="41" t="s">
        <v>623</v>
      </c>
      <c r="M62" s="32" t="s">
        <v>270</v>
      </c>
      <c r="N62" s="45" t="s">
        <v>271</v>
      </c>
    </row>
    <row r="63" spans="1:15" ht="13">
      <c r="A63" s="42" t="s">
        <v>266</v>
      </c>
      <c r="B63" s="18" t="s">
        <v>260</v>
      </c>
      <c r="C63" s="30" t="s">
        <v>634</v>
      </c>
      <c r="D63" s="18" t="s">
        <v>553</v>
      </c>
      <c r="E63" s="18" t="s">
        <v>635</v>
      </c>
      <c r="F63" s="18" t="s">
        <v>640</v>
      </c>
      <c r="G63" s="18" t="s">
        <v>622</v>
      </c>
      <c r="H63" s="18">
        <v>1997</v>
      </c>
      <c r="I63" s="26">
        <v>1224</v>
      </c>
      <c r="J63" s="40" t="s">
        <v>402</v>
      </c>
      <c r="K63" s="18" t="s">
        <v>402</v>
      </c>
      <c r="L63" s="41" t="s">
        <v>623</v>
      </c>
      <c r="M63" s="32" t="s">
        <v>270</v>
      </c>
      <c r="N63" s="45" t="s">
        <v>271</v>
      </c>
    </row>
    <row r="64" spans="1:15" ht="13">
      <c r="A64" s="42" t="s">
        <v>266</v>
      </c>
      <c r="B64" s="18" t="s">
        <v>260</v>
      </c>
      <c r="C64" s="30" t="s">
        <v>634</v>
      </c>
      <c r="D64" s="18" t="s">
        <v>553</v>
      </c>
      <c r="E64" s="18" t="s">
        <v>635</v>
      </c>
      <c r="F64" s="18" t="s">
        <v>640</v>
      </c>
      <c r="G64" s="18" t="s">
        <v>622</v>
      </c>
      <c r="H64" s="18">
        <v>1998</v>
      </c>
      <c r="I64" s="26">
        <v>1422</v>
      </c>
      <c r="J64" s="40" t="s">
        <v>402</v>
      </c>
      <c r="K64" s="18" t="s">
        <v>402</v>
      </c>
      <c r="L64" s="41" t="s">
        <v>623</v>
      </c>
      <c r="M64" s="32" t="s">
        <v>270</v>
      </c>
      <c r="N64" s="45" t="s">
        <v>271</v>
      </c>
    </row>
    <row r="65" spans="1:14" ht="13">
      <c r="A65" s="42" t="s">
        <v>266</v>
      </c>
      <c r="B65" s="18" t="s">
        <v>260</v>
      </c>
      <c r="C65" s="30" t="s">
        <v>634</v>
      </c>
      <c r="D65" s="18" t="s">
        <v>553</v>
      </c>
      <c r="E65" s="18" t="s">
        <v>635</v>
      </c>
      <c r="F65" s="18" t="s">
        <v>640</v>
      </c>
      <c r="G65" s="18" t="s">
        <v>622</v>
      </c>
      <c r="H65" s="18">
        <v>1999</v>
      </c>
      <c r="I65" s="26">
        <v>1260</v>
      </c>
      <c r="J65" s="40" t="s">
        <v>402</v>
      </c>
      <c r="K65" s="18" t="s">
        <v>402</v>
      </c>
      <c r="L65" s="41" t="s">
        <v>623</v>
      </c>
      <c r="M65" s="32" t="s">
        <v>270</v>
      </c>
      <c r="N65" s="45" t="s">
        <v>271</v>
      </c>
    </row>
    <row r="66" spans="1:14" ht="13">
      <c r="A66" s="42" t="s">
        <v>266</v>
      </c>
      <c r="B66" s="18" t="s">
        <v>260</v>
      </c>
      <c r="C66" s="30" t="s">
        <v>634</v>
      </c>
      <c r="D66" s="18" t="s">
        <v>553</v>
      </c>
      <c r="E66" s="18" t="s">
        <v>635</v>
      </c>
      <c r="F66" s="18" t="s">
        <v>640</v>
      </c>
      <c r="G66" s="18" t="s">
        <v>622</v>
      </c>
      <c r="H66" s="18">
        <v>2000</v>
      </c>
      <c r="I66" s="26">
        <v>1072</v>
      </c>
      <c r="J66" s="40" t="s">
        <v>402</v>
      </c>
      <c r="K66" s="18" t="s">
        <v>402</v>
      </c>
      <c r="L66" s="41" t="s">
        <v>623</v>
      </c>
      <c r="M66" s="32" t="s">
        <v>270</v>
      </c>
      <c r="N66" s="45" t="s">
        <v>271</v>
      </c>
    </row>
    <row r="67" spans="1:14" ht="13">
      <c r="A67" s="42" t="s">
        <v>266</v>
      </c>
      <c r="B67" s="18" t="s">
        <v>260</v>
      </c>
      <c r="C67" s="30" t="s">
        <v>634</v>
      </c>
      <c r="D67" s="18" t="s">
        <v>553</v>
      </c>
      <c r="E67" s="18" t="s">
        <v>635</v>
      </c>
      <c r="F67" s="18" t="s">
        <v>640</v>
      </c>
      <c r="G67" s="18" t="s">
        <v>622</v>
      </c>
      <c r="H67" s="18">
        <v>2001</v>
      </c>
      <c r="I67" s="26">
        <v>1158</v>
      </c>
      <c r="J67" s="40" t="s">
        <v>402</v>
      </c>
      <c r="K67" s="18" t="s">
        <v>402</v>
      </c>
      <c r="L67" s="41" t="s">
        <v>623</v>
      </c>
      <c r="M67" s="32" t="s">
        <v>270</v>
      </c>
      <c r="N67" s="45" t="s">
        <v>271</v>
      </c>
    </row>
    <row r="68" spans="1:14" ht="13">
      <c r="A68" s="42" t="s">
        <v>266</v>
      </c>
      <c r="B68" s="18" t="s">
        <v>260</v>
      </c>
      <c r="C68" s="30" t="s">
        <v>634</v>
      </c>
      <c r="D68" s="18" t="s">
        <v>553</v>
      </c>
      <c r="E68" s="18" t="s">
        <v>635</v>
      </c>
      <c r="F68" s="18" t="s">
        <v>640</v>
      </c>
      <c r="G68" s="18" t="s">
        <v>622</v>
      </c>
      <c r="H68" s="18">
        <v>2002</v>
      </c>
      <c r="I68" s="26">
        <v>1343</v>
      </c>
      <c r="J68" s="40" t="s">
        <v>402</v>
      </c>
      <c r="K68" s="18" t="s">
        <v>402</v>
      </c>
      <c r="L68" s="41" t="s">
        <v>623</v>
      </c>
      <c r="M68" s="32" t="s">
        <v>270</v>
      </c>
      <c r="N68" s="45" t="s">
        <v>271</v>
      </c>
    </row>
    <row r="69" spans="1:14" ht="13">
      <c r="A69" s="42" t="s">
        <v>266</v>
      </c>
      <c r="B69" s="18" t="s">
        <v>260</v>
      </c>
      <c r="C69" s="30" t="s">
        <v>634</v>
      </c>
      <c r="D69" s="18" t="s">
        <v>553</v>
      </c>
      <c r="E69" s="18" t="s">
        <v>635</v>
      </c>
      <c r="F69" s="18" t="s">
        <v>640</v>
      </c>
      <c r="G69" s="18" t="s">
        <v>622</v>
      </c>
      <c r="H69" s="18">
        <v>2003</v>
      </c>
      <c r="I69" s="26">
        <v>1224</v>
      </c>
      <c r="J69" s="40" t="s">
        <v>402</v>
      </c>
      <c r="K69" s="18" t="s">
        <v>402</v>
      </c>
      <c r="L69" s="41" t="s">
        <v>623</v>
      </c>
      <c r="M69" s="32" t="s">
        <v>270</v>
      </c>
      <c r="N69" s="45" t="s">
        <v>271</v>
      </c>
    </row>
    <row r="70" spans="1:14" ht="13">
      <c r="A70" s="42" t="s">
        <v>266</v>
      </c>
      <c r="B70" s="18" t="s">
        <v>260</v>
      </c>
      <c r="C70" s="30" t="s">
        <v>634</v>
      </c>
      <c r="D70" s="18" t="s">
        <v>553</v>
      </c>
      <c r="E70" s="18" t="s">
        <v>635</v>
      </c>
      <c r="F70" s="18" t="s">
        <v>640</v>
      </c>
      <c r="G70" s="18" t="s">
        <v>622</v>
      </c>
      <c r="H70" s="18">
        <v>2004</v>
      </c>
      <c r="I70" s="26">
        <v>1391</v>
      </c>
      <c r="J70" s="40" t="s">
        <v>402</v>
      </c>
      <c r="K70" s="18" t="s">
        <v>402</v>
      </c>
      <c r="L70" s="41" t="s">
        <v>623</v>
      </c>
      <c r="M70" s="32" t="s">
        <v>270</v>
      </c>
      <c r="N70" s="45" t="s">
        <v>271</v>
      </c>
    </row>
    <row r="71" spans="1:14" ht="13">
      <c r="A71" s="42" t="s">
        <v>266</v>
      </c>
      <c r="B71" s="18" t="s">
        <v>260</v>
      </c>
      <c r="C71" s="30" t="s">
        <v>634</v>
      </c>
      <c r="D71" s="18" t="s">
        <v>553</v>
      </c>
      <c r="E71" s="18" t="s">
        <v>635</v>
      </c>
      <c r="F71" s="18" t="s">
        <v>640</v>
      </c>
      <c r="G71" s="18" t="s">
        <v>622</v>
      </c>
      <c r="H71" s="18">
        <v>2005</v>
      </c>
      <c r="I71" s="26">
        <v>1522</v>
      </c>
      <c r="J71" s="40" t="s">
        <v>402</v>
      </c>
      <c r="K71" s="18" t="s">
        <v>402</v>
      </c>
      <c r="L71" s="41" t="s">
        <v>623</v>
      </c>
      <c r="M71" s="32" t="s">
        <v>270</v>
      </c>
      <c r="N71" s="45" t="s">
        <v>271</v>
      </c>
    </row>
    <row r="72" spans="1:14" ht="13">
      <c r="A72" s="42" t="s">
        <v>266</v>
      </c>
      <c r="B72" s="18" t="s">
        <v>260</v>
      </c>
      <c r="C72" s="30" t="s">
        <v>634</v>
      </c>
      <c r="D72" s="18" t="s">
        <v>553</v>
      </c>
      <c r="E72" s="18" t="s">
        <v>635</v>
      </c>
      <c r="F72" s="18" t="s">
        <v>640</v>
      </c>
      <c r="G72" s="18" t="s">
        <v>622</v>
      </c>
      <c r="H72" s="18">
        <v>2006</v>
      </c>
      <c r="I72" s="26">
        <v>1619</v>
      </c>
      <c r="J72" s="40" t="s">
        <v>402</v>
      </c>
      <c r="K72" s="18" t="s">
        <v>402</v>
      </c>
      <c r="L72" s="41" t="s">
        <v>623</v>
      </c>
      <c r="M72" s="32" t="s">
        <v>270</v>
      </c>
      <c r="N72" s="45" t="s">
        <v>271</v>
      </c>
    </row>
    <row r="73" spans="1:14" ht="13">
      <c r="A73" s="42" t="s">
        <v>266</v>
      </c>
      <c r="B73" s="18" t="s">
        <v>260</v>
      </c>
      <c r="C73" s="30" t="s">
        <v>634</v>
      </c>
      <c r="D73" s="18" t="s">
        <v>553</v>
      </c>
      <c r="E73" s="18" t="s">
        <v>635</v>
      </c>
      <c r="F73" s="18" t="s">
        <v>640</v>
      </c>
      <c r="G73" s="18" t="s">
        <v>622</v>
      </c>
      <c r="H73" s="18">
        <v>2007</v>
      </c>
      <c r="I73" s="26">
        <v>1327</v>
      </c>
      <c r="J73" s="40" t="s">
        <v>402</v>
      </c>
      <c r="K73" s="18" t="s">
        <v>402</v>
      </c>
      <c r="L73" s="41" t="s">
        <v>623</v>
      </c>
      <c r="M73" s="32" t="s">
        <v>270</v>
      </c>
      <c r="N73" s="45" t="s">
        <v>271</v>
      </c>
    </row>
    <row r="74" spans="1:14" ht="13">
      <c r="A74" s="42" t="s">
        <v>266</v>
      </c>
      <c r="B74" s="18" t="s">
        <v>260</v>
      </c>
      <c r="C74" s="30" t="s">
        <v>634</v>
      </c>
      <c r="D74" s="18" t="s">
        <v>553</v>
      </c>
      <c r="E74" s="18" t="s">
        <v>635</v>
      </c>
      <c r="F74" s="18" t="s">
        <v>640</v>
      </c>
      <c r="G74" s="18" t="s">
        <v>622</v>
      </c>
      <c r="H74" s="18">
        <v>2008</v>
      </c>
      <c r="I74" s="26">
        <v>1397</v>
      </c>
      <c r="J74" s="40" t="s">
        <v>402</v>
      </c>
      <c r="K74" s="18" t="s">
        <v>402</v>
      </c>
      <c r="L74" s="41" t="s">
        <v>623</v>
      </c>
      <c r="M74" s="32" t="s">
        <v>270</v>
      </c>
      <c r="N74" s="45" t="s">
        <v>271</v>
      </c>
    </row>
    <row r="75" spans="1:14" ht="13">
      <c r="A75" s="42" t="s">
        <v>266</v>
      </c>
      <c r="B75" s="18" t="s">
        <v>260</v>
      </c>
      <c r="C75" s="30" t="s">
        <v>634</v>
      </c>
      <c r="D75" s="18" t="s">
        <v>553</v>
      </c>
      <c r="E75" s="18" t="s">
        <v>635</v>
      </c>
      <c r="F75" s="18" t="s">
        <v>640</v>
      </c>
      <c r="G75" s="18" t="s">
        <v>622</v>
      </c>
      <c r="H75" s="18">
        <v>2009</v>
      </c>
      <c r="I75" s="26">
        <v>1490</v>
      </c>
      <c r="J75" s="40" t="s">
        <v>402</v>
      </c>
      <c r="K75" s="18" t="s">
        <v>402</v>
      </c>
      <c r="L75" s="41" t="s">
        <v>623</v>
      </c>
      <c r="M75" s="32" t="s">
        <v>270</v>
      </c>
      <c r="N75" s="45" t="s">
        <v>271</v>
      </c>
    </row>
    <row r="76" spans="1:14" ht="13">
      <c r="A76" s="42" t="s">
        <v>266</v>
      </c>
      <c r="B76" s="18" t="s">
        <v>260</v>
      </c>
      <c r="C76" s="30" t="s">
        <v>634</v>
      </c>
      <c r="D76" s="18" t="s">
        <v>553</v>
      </c>
      <c r="E76" s="18" t="s">
        <v>635</v>
      </c>
      <c r="F76" s="18" t="s">
        <v>640</v>
      </c>
      <c r="G76" s="18" t="s">
        <v>622</v>
      </c>
      <c r="H76" s="18">
        <v>2010</v>
      </c>
      <c r="I76" s="26">
        <v>1358</v>
      </c>
      <c r="J76" s="40" t="s">
        <v>402</v>
      </c>
      <c r="K76" s="18" t="s">
        <v>402</v>
      </c>
      <c r="L76" s="41" t="s">
        <v>623</v>
      </c>
      <c r="M76" s="32" t="s">
        <v>270</v>
      </c>
      <c r="N76" s="45" t="s">
        <v>271</v>
      </c>
    </row>
    <row r="77" spans="1:14" ht="13">
      <c r="A77" s="42" t="s">
        <v>266</v>
      </c>
      <c r="B77" s="18" t="s">
        <v>260</v>
      </c>
      <c r="C77" s="30" t="s">
        <v>634</v>
      </c>
      <c r="D77" s="18" t="s">
        <v>553</v>
      </c>
      <c r="E77" s="18" t="s">
        <v>635</v>
      </c>
      <c r="F77" s="18" t="s">
        <v>640</v>
      </c>
      <c r="G77" s="18" t="s">
        <v>622</v>
      </c>
      <c r="H77" s="18">
        <v>2011</v>
      </c>
      <c r="I77" s="26">
        <v>1391</v>
      </c>
      <c r="J77" s="40" t="s">
        <v>402</v>
      </c>
      <c r="K77" s="18" t="s">
        <v>402</v>
      </c>
      <c r="L77" s="41" t="s">
        <v>623</v>
      </c>
      <c r="M77" s="32" t="s">
        <v>270</v>
      </c>
      <c r="N77" s="45" t="s">
        <v>271</v>
      </c>
    </row>
    <row r="78" spans="1:14" ht="13">
      <c r="A78" s="42" t="s">
        <v>266</v>
      </c>
      <c r="B78" s="18" t="s">
        <v>260</v>
      </c>
      <c r="C78" s="30" t="s">
        <v>634</v>
      </c>
      <c r="D78" s="18" t="s">
        <v>553</v>
      </c>
      <c r="E78" s="18" t="s">
        <v>635</v>
      </c>
      <c r="F78" s="18" t="s">
        <v>640</v>
      </c>
      <c r="G78" s="18" t="s">
        <v>622</v>
      </c>
      <c r="H78" s="18">
        <v>2012</v>
      </c>
      <c r="I78" s="26">
        <v>1426</v>
      </c>
      <c r="J78" s="40" t="s">
        <v>402</v>
      </c>
      <c r="K78" s="18" t="s">
        <v>402</v>
      </c>
      <c r="L78" s="41" t="s">
        <v>623</v>
      </c>
      <c r="M78" s="32" t="s">
        <v>270</v>
      </c>
      <c r="N78" s="45" t="s">
        <v>271</v>
      </c>
    </row>
    <row r="79" spans="1:14" ht="13">
      <c r="A79" s="42" t="s">
        <v>266</v>
      </c>
      <c r="B79" s="18" t="s">
        <v>260</v>
      </c>
      <c r="C79" s="30" t="s">
        <v>634</v>
      </c>
      <c r="D79" s="18" t="s">
        <v>553</v>
      </c>
      <c r="E79" s="18" t="s">
        <v>635</v>
      </c>
      <c r="F79" s="18" t="s">
        <v>640</v>
      </c>
      <c r="G79" s="18" t="s">
        <v>622</v>
      </c>
      <c r="H79" s="18">
        <v>2013</v>
      </c>
      <c r="I79" s="26">
        <v>1375</v>
      </c>
      <c r="J79" s="40" t="s">
        <v>402</v>
      </c>
      <c r="K79" s="18" t="s">
        <v>402</v>
      </c>
      <c r="L79" s="41" t="s">
        <v>623</v>
      </c>
      <c r="M79" s="32" t="s">
        <v>270</v>
      </c>
      <c r="N79" s="45" t="s">
        <v>271</v>
      </c>
    </row>
    <row r="80" spans="1:14" ht="13">
      <c r="A80" s="42" t="s">
        <v>266</v>
      </c>
      <c r="B80" s="18" t="s">
        <v>260</v>
      </c>
      <c r="C80" s="30" t="s">
        <v>634</v>
      </c>
      <c r="D80" s="18" t="s">
        <v>553</v>
      </c>
      <c r="E80" s="18" t="s">
        <v>635</v>
      </c>
      <c r="F80" s="18" t="s">
        <v>640</v>
      </c>
      <c r="G80" s="18" t="s">
        <v>622</v>
      </c>
      <c r="H80" s="18">
        <v>2014</v>
      </c>
      <c r="I80" s="26">
        <v>2123</v>
      </c>
      <c r="J80" s="40" t="s">
        <v>402</v>
      </c>
      <c r="K80" s="18" t="s">
        <v>402</v>
      </c>
      <c r="L80" s="41" t="s">
        <v>623</v>
      </c>
      <c r="M80" s="32" t="s">
        <v>270</v>
      </c>
      <c r="N80" s="45" t="s">
        <v>271</v>
      </c>
    </row>
    <row r="81" spans="1:34" ht="13">
      <c r="A81" s="42" t="s">
        <v>266</v>
      </c>
      <c r="B81" s="18" t="s">
        <v>260</v>
      </c>
      <c r="C81" s="30" t="s">
        <v>634</v>
      </c>
      <c r="D81" s="18" t="s">
        <v>553</v>
      </c>
      <c r="E81" s="18" t="s">
        <v>635</v>
      </c>
      <c r="F81" s="18" t="s">
        <v>640</v>
      </c>
      <c r="G81" s="18" t="s">
        <v>622</v>
      </c>
      <c r="H81" s="18">
        <v>2015</v>
      </c>
      <c r="I81" s="26">
        <v>2173</v>
      </c>
      <c r="J81" s="40" t="s">
        <v>402</v>
      </c>
      <c r="K81" s="18" t="s">
        <v>402</v>
      </c>
      <c r="L81" s="41" t="s">
        <v>623</v>
      </c>
      <c r="M81" s="32" t="s">
        <v>270</v>
      </c>
      <c r="N81" s="45" t="s">
        <v>271</v>
      </c>
    </row>
    <row r="82" spans="1:34" ht="13">
      <c r="A82" s="42" t="s">
        <v>266</v>
      </c>
      <c r="B82" s="18" t="s">
        <v>260</v>
      </c>
      <c r="C82" s="30" t="s">
        <v>634</v>
      </c>
      <c r="D82" s="18" t="s">
        <v>553</v>
      </c>
      <c r="E82" s="18" t="s">
        <v>635</v>
      </c>
      <c r="F82" s="18" t="s">
        <v>640</v>
      </c>
      <c r="G82" s="18" t="s">
        <v>622</v>
      </c>
      <c r="H82" s="18">
        <v>2016</v>
      </c>
      <c r="I82" s="26">
        <v>1860</v>
      </c>
      <c r="J82" s="40" t="s">
        <v>402</v>
      </c>
      <c r="K82" s="18" t="s">
        <v>402</v>
      </c>
      <c r="L82" s="41" t="s">
        <v>623</v>
      </c>
      <c r="M82" s="32" t="s">
        <v>270</v>
      </c>
      <c r="N82" s="45" t="s">
        <v>271</v>
      </c>
    </row>
    <row r="83" spans="1:34" ht="13">
      <c r="A83" s="42" t="s">
        <v>266</v>
      </c>
      <c r="B83" s="18" t="s">
        <v>260</v>
      </c>
      <c r="C83" s="30" t="s">
        <v>634</v>
      </c>
      <c r="D83" s="18" t="s">
        <v>553</v>
      </c>
      <c r="E83" s="18" t="s">
        <v>635</v>
      </c>
      <c r="F83" s="18" t="s">
        <v>640</v>
      </c>
      <c r="G83" s="18" t="s">
        <v>622</v>
      </c>
      <c r="H83" s="18">
        <v>2017</v>
      </c>
      <c r="I83" s="26">
        <v>2088</v>
      </c>
      <c r="J83" s="40" t="s">
        <v>402</v>
      </c>
      <c r="K83" s="18" t="s">
        <v>402</v>
      </c>
      <c r="L83" s="41" t="s">
        <v>623</v>
      </c>
      <c r="M83" s="32" t="s">
        <v>270</v>
      </c>
      <c r="N83" s="45" t="s">
        <v>271</v>
      </c>
    </row>
    <row r="84" spans="1:34" ht="13">
      <c r="A84" s="42" t="s">
        <v>266</v>
      </c>
      <c r="B84" s="18" t="s">
        <v>260</v>
      </c>
      <c r="C84" s="30" t="s">
        <v>634</v>
      </c>
      <c r="D84" s="18" t="s">
        <v>553</v>
      </c>
      <c r="E84" s="18" t="s">
        <v>635</v>
      </c>
      <c r="F84" s="18" t="s">
        <v>640</v>
      </c>
      <c r="G84" s="18" t="s">
        <v>622</v>
      </c>
      <c r="H84" s="18">
        <v>2018</v>
      </c>
      <c r="I84" s="26">
        <v>1898</v>
      </c>
      <c r="J84" s="40" t="s">
        <v>402</v>
      </c>
      <c r="K84" s="18" t="s">
        <v>402</v>
      </c>
      <c r="L84" s="41" t="s">
        <v>623</v>
      </c>
      <c r="M84" s="32" t="s">
        <v>270</v>
      </c>
      <c r="N84" s="45" t="s">
        <v>271</v>
      </c>
    </row>
    <row r="85" spans="1:34" ht="13">
      <c r="A85" s="30" t="s">
        <v>272</v>
      </c>
      <c r="B85" s="30" t="s">
        <v>260</v>
      </c>
      <c r="C85" s="30" t="s">
        <v>641</v>
      </c>
      <c r="D85" s="30" t="s">
        <v>274</v>
      </c>
      <c r="E85" s="18" t="s">
        <v>642</v>
      </c>
      <c r="F85" s="30" t="s">
        <v>643</v>
      </c>
      <c r="G85" s="30" t="s">
        <v>611</v>
      </c>
      <c r="H85" s="47">
        <v>1978.04143126177</v>
      </c>
      <c r="I85" s="47">
        <v>4765</v>
      </c>
      <c r="J85" s="47">
        <v>2660.2399483755398</v>
      </c>
      <c r="K85" s="47">
        <v>8534.4975175483705</v>
      </c>
      <c r="L85" s="38" t="s">
        <v>612</v>
      </c>
      <c r="M85" s="32" t="s">
        <v>276</v>
      </c>
      <c r="N85" s="30" t="s">
        <v>277</v>
      </c>
      <c r="O85" s="30" t="s">
        <v>644</v>
      </c>
      <c r="P85" s="30"/>
      <c r="Q85" s="30"/>
      <c r="R85" s="30"/>
      <c r="S85" s="30"/>
      <c r="T85" s="30"/>
      <c r="U85" s="30"/>
      <c r="V85" s="30"/>
      <c r="W85" s="30"/>
      <c r="X85" s="30"/>
      <c r="Y85" s="30"/>
      <c r="Z85" s="30"/>
      <c r="AA85" s="30"/>
      <c r="AB85" s="30"/>
      <c r="AC85" s="30"/>
      <c r="AD85" s="30"/>
      <c r="AE85" s="30"/>
      <c r="AF85" s="30"/>
      <c r="AG85" s="30"/>
      <c r="AH85" s="30"/>
    </row>
    <row r="86" spans="1:34" ht="13">
      <c r="A86" s="30" t="s">
        <v>272</v>
      </c>
      <c r="B86" s="30" t="s">
        <v>260</v>
      </c>
      <c r="C86" s="30" t="s">
        <v>641</v>
      </c>
      <c r="D86" s="30" t="s">
        <v>274</v>
      </c>
      <c r="E86" s="18" t="s">
        <v>642</v>
      </c>
      <c r="F86" s="30" t="s">
        <v>643</v>
      </c>
      <c r="G86" s="30" t="s">
        <v>611</v>
      </c>
      <c r="H86" s="47">
        <v>1980</v>
      </c>
      <c r="I86" s="47">
        <v>3885</v>
      </c>
      <c r="J86" s="47">
        <v>1964.49501534247</v>
      </c>
      <c r="K86" s="47">
        <v>7069.39012023758</v>
      </c>
      <c r="L86" s="38" t="s">
        <v>612</v>
      </c>
      <c r="M86" s="32" t="s">
        <v>276</v>
      </c>
      <c r="N86" s="30" t="s">
        <v>277</v>
      </c>
      <c r="O86" s="30"/>
      <c r="P86" s="30"/>
      <c r="Q86" s="30"/>
      <c r="R86" s="30"/>
      <c r="S86" s="30"/>
      <c r="T86" s="30"/>
      <c r="U86" s="30"/>
      <c r="V86" s="30"/>
      <c r="W86" s="30"/>
      <c r="X86" s="30"/>
      <c r="Y86" s="30"/>
      <c r="Z86" s="30"/>
      <c r="AA86" s="30"/>
      <c r="AB86" s="30"/>
      <c r="AC86" s="30"/>
      <c r="AD86" s="30"/>
      <c r="AE86" s="30"/>
      <c r="AF86" s="30"/>
      <c r="AG86" s="30"/>
      <c r="AH86" s="30"/>
    </row>
    <row r="87" spans="1:34" ht="13">
      <c r="A87" s="30" t="s">
        <v>272</v>
      </c>
      <c r="B87" s="30" t="s">
        <v>260</v>
      </c>
      <c r="C87" s="30" t="s">
        <v>641</v>
      </c>
      <c r="D87" s="30" t="s">
        <v>274</v>
      </c>
      <c r="E87" s="18" t="s">
        <v>642</v>
      </c>
      <c r="F87" s="30" t="s">
        <v>643</v>
      </c>
      <c r="G87" s="30" t="s">
        <v>611</v>
      </c>
      <c r="H87" s="47">
        <v>1980.97928436912</v>
      </c>
      <c r="I87" s="47">
        <v>4467</v>
      </c>
      <c r="J87" s="47">
        <v>2595.5776803234398</v>
      </c>
      <c r="K87" s="47">
        <v>7560.6126453584102</v>
      </c>
      <c r="L87" s="38" t="s">
        <v>612</v>
      </c>
      <c r="M87" s="32" t="s">
        <v>276</v>
      </c>
      <c r="N87" s="30" t="s">
        <v>277</v>
      </c>
      <c r="O87" s="30"/>
      <c r="P87" s="30"/>
      <c r="Q87" s="30"/>
      <c r="R87" s="30"/>
      <c r="S87" s="30"/>
      <c r="T87" s="30"/>
      <c r="U87" s="30"/>
      <c r="V87" s="30"/>
      <c r="W87" s="30"/>
      <c r="X87" s="30"/>
      <c r="Y87" s="30"/>
      <c r="Z87" s="30"/>
      <c r="AA87" s="30"/>
      <c r="AB87" s="30"/>
      <c r="AC87" s="30"/>
      <c r="AD87" s="30"/>
      <c r="AE87" s="30"/>
      <c r="AF87" s="30"/>
      <c r="AG87" s="30"/>
      <c r="AH87" s="30"/>
    </row>
    <row r="88" spans="1:34" ht="13">
      <c r="A88" s="30" t="s">
        <v>272</v>
      </c>
      <c r="B88" s="30" t="s">
        <v>260</v>
      </c>
      <c r="C88" s="30" t="s">
        <v>641</v>
      </c>
      <c r="D88" s="30" t="s">
        <v>274</v>
      </c>
      <c r="E88" s="18" t="s">
        <v>642</v>
      </c>
      <c r="F88" s="30" t="s">
        <v>643</v>
      </c>
      <c r="G88" s="30" t="s">
        <v>611</v>
      </c>
      <c r="H88" s="47">
        <v>1981.95856873823</v>
      </c>
      <c r="I88" s="47">
        <v>7395</v>
      </c>
      <c r="J88" s="47">
        <v>4275.6113942554603</v>
      </c>
      <c r="K88" s="47">
        <v>12177.7092963534</v>
      </c>
      <c r="L88" s="38" t="s">
        <v>612</v>
      </c>
      <c r="M88" s="32" t="s">
        <v>276</v>
      </c>
      <c r="N88" s="30" t="s">
        <v>277</v>
      </c>
      <c r="O88" s="30"/>
      <c r="P88" s="30"/>
      <c r="Q88" s="30"/>
      <c r="R88" s="30"/>
      <c r="S88" s="30"/>
      <c r="T88" s="30"/>
      <c r="U88" s="30"/>
      <c r="V88" s="30"/>
      <c r="W88" s="30"/>
      <c r="X88" s="30"/>
      <c r="Y88" s="30"/>
      <c r="Z88" s="30"/>
      <c r="AA88" s="30"/>
      <c r="AB88" s="30"/>
      <c r="AC88" s="30"/>
      <c r="AD88" s="30"/>
      <c r="AE88" s="30"/>
      <c r="AF88" s="30"/>
      <c r="AG88" s="30"/>
      <c r="AH88" s="30"/>
    </row>
    <row r="89" spans="1:34" ht="13">
      <c r="A89" s="30" t="s">
        <v>272</v>
      </c>
      <c r="B89" s="30" t="s">
        <v>260</v>
      </c>
      <c r="C89" s="30" t="s">
        <v>641</v>
      </c>
      <c r="D89" s="30" t="s">
        <v>274</v>
      </c>
      <c r="E89" s="18" t="s">
        <v>642</v>
      </c>
      <c r="F89" s="30" t="s">
        <v>643</v>
      </c>
      <c r="G89" s="30" t="s">
        <v>611</v>
      </c>
      <c r="H89" s="47">
        <v>1982.9378531073401</v>
      </c>
      <c r="I89" s="47">
        <v>6573</v>
      </c>
      <c r="J89" s="47">
        <v>3438.1625907049602</v>
      </c>
      <c r="K89" s="47">
        <v>12738.8618914043</v>
      </c>
      <c r="L89" s="38" t="s">
        <v>612</v>
      </c>
      <c r="M89" s="32" t="s">
        <v>276</v>
      </c>
      <c r="N89" s="30" t="s">
        <v>277</v>
      </c>
      <c r="O89" s="30"/>
      <c r="P89" s="30"/>
      <c r="Q89" s="30"/>
      <c r="R89" s="30"/>
      <c r="S89" s="30"/>
      <c r="T89" s="30"/>
      <c r="U89" s="30"/>
      <c r="V89" s="30"/>
      <c r="W89" s="30"/>
      <c r="X89" s="30"/>
      <c r="Y89" s="30"/>
      <c r="Z89" s="30"/>
      <c r="AA89" s="30"/>
      <c r="AB89" s="30"/>
      <c r="AC89" s="30"/>
      <c r="AD89" s="30"/>
      <c r="AE89" s="30"/>
      <c r="AF89" s="30"/>
      <c r="AG89" s="30"/>
      <c r="AH89" s="30"/>
    </row>
    <row r="90" spans="1:34" ht="13">
      <c r="A90" s="30" t="s">
        <v>272</v>
      </c>
      <c r="B90" s="30" t="s">
        <v>260</v>
      </c>
      <c r="C90" s="30" t="s">
        <v>641</v>
      </c>
      <c r="D90" s="30" t="s">
        <v>274</v>
      </c>
      <c r="E90" s="18" t="s">
        <v>642</v>
      </c>
      <c r="F90" s="30" t="s">
        <v>643</v>
      </c>
      <c r="G90" s="30" t="s">
        <v>611</v>
      </c>
      <c r="H90" s="47">
        <v>1984.97175141243</v>
      </c>
      <c r="I90" s="47">
        <v>5762</v>
      </c>
      <c r="J90" s="47">
        <v>3511.6484269026701</v>
      </c>
      <c r="K90" s="47">
        <v>9455.7043709586105</v>
      </c>
      <c r="L90" s="38" t="s">
        <v>612</v>
      </c>
      <c r="M90" s="32" t="s">
        <v>276</v>
      </c>
      <c r="N90" s="30" t="s">
        <v>277</v>
      </c>
      <c r="O90" s="30"/>
      <c r="P90" s="30"/>
      <c r="Q90" s="30"/>
      <c r="R90" s="30"/>
      <c r="S90" s="30"/>
      <c r="T90" s="30"/>
      <c r="U90" s="30"/>
      <c r="V90" s="30"/>
      <c r="W90" s="30"/>
      <c r="X90" s="30"/>
      <c r="Y90" s="30"/>
      <c r="Z90" s="30"/>
      <c r="AA90" s="30"/>
      <c r="AB90" s="30"/>
      <c r="AC90" s="30"/>
      <c r="AD90" s="30"/>
      <c r="AE90" s="30"/>
      <c r="AF90" s="30"/>
      <c r="AG90" s="30"/>
      <c r="AH90" s="30"/>
    </row>
    <row r="91" spans="1:34" ht="13">
      <c r="A91" s="30" t="s">
        <v>272</v>
      </c>
      <c r="B91" s="30" t="s">
        <v>260</v>
      </c>
      <c r="C91" s="30" t="s">
        <v>641</v>
      </c>
      <c r="D91" s="30" t="s">
        <v>274</v>
      </c>
      <c r="E91" s="18" t="s">
        <v>642</v>
      </c>
      <c r="F91" s="30" t="s">
        <v>643</v>
      </c>
      <c r="G91" s="30" t="s">
        <v>611</v>
      </c>
      <c r="H91" s="47">
        <v>1985.95103578154</v>
      </c>
      <c r="I91" s="47">
        <v>8917</v>
      </c>
      <c r="J91" s="47">
        <v>5890.9828401353798</v>
      </c>
      <c r="K91" s="47">
        <v>13513.360462512999</v>
      </c>
      <c r="L91" s="38" t="s">
        <v>612</v>
      </c>
      <c r="M91" s="32" t="s">
        <v>276</v>
      </c>
      <c r="N91" s="30" t="s">
        <v>277</v>
      </c>
      <c r="O91" s="30"/>
      <c r="P91" s="30"/>
      <c r="Q91" s="30"/>
      <c r="R91" s="30"/>
      <c r="S91" s="30"/>
      <c r="T91" s="30"/>
      <c r="U91" s="30"/>
      <c r="V91" s="30"/>
      <c r="W91" s="30"/>
      <c r="X91" s="30"/>
      <c r="Y91" s="30"/>
      <c r="Z91" s="30"/>
      <c r="AA91" s="30"/>
      <c r="AB91" s="30"/>
      <c r="AC91" s="30"/>
      <c r="AD91" s="30"/>
      <c r="AE91" s="30"/>
      <c r="AF91" s="30"/>
      <c r="AG91" s="30"/>
      <c r="AH91" s="30"/>
    </row>
    <row r="92" spans="1:34" ht="13">
      <c r="A92" s="30" t="s">
        <v>272</v>
      </c>
      <c r="B92" s="30" t="s">
        <v>260</v>
      </c>
      <c r="C92" s="30" t="s">
        <v>641</v>
      </c>
      <c r="D92" s="30" t="s">
        <v>274</v>
      </c>
      <c r="E92" s="18" t="s">
        <v>642</v>
      </c>
      <c r="F92" s="30" t="s">
        <v>643</v>
      </c>
      <c r="G92" s="30" t="s">
        <v>611</v>
      </c>
      <c r="H92" s="47">
        <v>1986.93032015066</v>
      </c>
      <c r="I92" s="47">
        <v>5298</v>
      </c>
      <c r="J92" s="47">
        <v>2885.8335637996702</v>
      </c>
      <c r="K92" s="47">
        <v>9319.3999973660993</v>
      </c>
      <c r="L92" s="38" t="s">
        <v>612</v>
      </c>
      <c r="M92" s="32" t="s">
        <v>276</v>
      </c>
      <c r="N92" s="30" t="s">
        <v>277</v>
      </c>
      <c r="O92" s="30"/>
      <c r="P92" s="30"/>
      <c r="Q92" s="30"/>
      <c r="R92" s="30"/>
      <c r="S92" s="30"/>
      <c r="T92" s="30"/>
      <c r="U92" s="30"/>
      <c r="V92" s="30"/>
      <c r="W92" s="30"/>
      <c r="X92" s="30"/>
      <c r="Y92" s="30"/>
      <c r="Z92" s="30"/>
      <c r="AA92" s="30"/>
      <c r="AB92" s="30"/>
      <c r="AC92" s="30"/>
      <c r="AD92" s="30"/>
      <c r="AE92" s="30"/>
      <c r="AF92" s="30"/>
      <c r="AG92" s="30"/>
      <c r="AH92" s="30"/>
    </row>
    <row r="93" spans="1:34" ht="13">
      <c r="A93" s="30" t="s">
        <v>272</v>
      </c>
      <c r="B93" s="30" t="s">
        <v>260</v>
      </c>
      <c r="C93" s="30" t="s">
        <v>641</v>
      </c>
      <c r="D93" s="30" t="s">
        <v>274</v>
      </c>
      <c r="E93" s="18" t="s">
        <v>642</v>
      </c>
      <c r="F93" s="30" t="s">
        <v>643</v>
      </c>
      <c r="G93" s="30" t="s">
        <v>611</v>
      </c>
      <c r="H93" s="47">
        <v>1987.90960451977</v>
      </c>
      <c r="I93" s="47">
        <v>6928</v>
      </c>
      <c r="J93" s="47">
        <v>5544.8882567526598</v>
      </c>
      <c r="K93" s="47">
        <v>8761.80316858283</v>
      </c>
      <c r="L93" s="38" t="s">
        <v>612</v>
      </c>
      <c r="M93" s="32" t="s">
        <v>276</v>
      </c>
      <c r="N93" s="30" t="s">
        <v>277</v>
      </c>
      <c r="O93" s="30"/>
      <c r="P93" s="30"/>
      <c r="Q93" s="30"/>
      <c r="R93" s="30"/>
      <c r="S93" s="30"/>
      <c r="T93" s="30"/>
      <c r="U93" s="30"/>
      <c r="V93" s="30"/>
      <c r="W93" s="30"/>
      <c r="X93" s="30"/>
      <c r="Y93" s="30"/>
      <c r="Z93" s="30"/>
      <c r="AA93" s="30"/>
      <c r="AB93" s="30"/>
      <c r="AC93" s="30"/>
      <c r="AD93" s="30"/>
      <c r="AE93" s="30"/>
      <c r="AF93" s="30"/>
      <c r="AG93" s="30"/>
      <c r="AH93" s="30"/>
    </row>
    <row r="94" spans="1:34" ht="13">
      <c r="A94" s="30" t="s">
        <v>272</v>
      </c>
      <c r="B94" s="30" t="s">
        <v>260</v>
      </c>
      <c r="C94" s="30" t="s">
        <v>641</v>
      </c>
      <c r="D94" s="30" t="s">
        <v>274</v>
      </c>
      <c r="E94" s="18" t="s">
        <v>642</v>
      </c>
      <c r="F94" s="30" t="s">
        <v>643</v>
      </c>
      <c r="G94" s="30" t="s">
        <v>611</v>
      </c>
      <c r="H94" s="47">
        <v>1992.9566854990601</v>
      </c>
      <c r="I94" s="47">
        <v>8167</v>
      </c>
      <c r="J94" s="47">
        <v>7161.9717382429199</v>
      </c>
      <c r="K94" s="47">
        <v>9329.8039060750907</v>
      </c>
      <c r="L94" s="38" t="s">
        <v>612</v>
      </c>
      <c r="M94" s="32" t="s">
        <v>276</v>
      </c>
      <c r="N94" s="30" t="s">
        <v>277</v>
      </c>
      <c r="O94" s="30"/>
      <c r="P94" s="30"/>
      <c r="Q94" s="30"/>
      <c r="R94" s="30"/>
      <c r="S94" s="30"/>
      <c r="T94" s="30"/>
      <c r="U94" s="30"/>
      <c r="V94" s="30"/>
      <c r="W94" s="30"/>
      <c r="X94" s="30"/>
      <c r="Y94" s="30"/>
      <c r="Z94" s="30"/>
      <c r="AA94" s="30"/>
      <c r="AB94" s="30"/>
      <c r="AC94" s="30"/>
      <c r="AD94" s="30"/>
      <c r="AE94" s="30"/>
      <c r="AF94" s="30"/>
      <c r="AG94" s="30"/>
      <c r="AH94" s="30"/>
    </row>
    <row r="95" spans="1:34" ht="13">
      <c r="A95" s="30" t="s">
        <v>272</v>
      </c>
      <c r="B95" s="30" t="s">
        <v>260</v>
      </c>
      <c r="C95" s="30" t="s">
        <v>641</v>
      </c>
      <c r="D95" s="30" t="s">
        <v>274</v>
      </c>
      <c r="E95" s="18" t="s">
        <v>642</v>
      </c>
      <c r="F95" s="30" t="s">
        <v>643</v>
      </c>
      <c r="G95" s="30" t="s">
        <v>611</v>
      </c>
      <c r="H95" s="47">
        <v>2001.0169491525401</v>
      </c>
      <c r="I95" s="47">
        <v>10545</v>
      </c>
      <c r="J95" s="47">
        <v>8225.0141572175507</v>
      </c>
      <c r="K95" s="47">
        <v>13329.9092621127</v>
      </c>
      <c r="L95" s="38" t="s">
        <v>612</v>
      </c>
      <c r="M95" s="32" t="s">
        <v>276</v>
      </c>
      <c r="N95" s="30" t="s">
        <v>277</v>
      </c>
      <c r="O95" s="30"/>
      <c r="P95" s="30"/>
      <c r="Q95" s="30"/>
      <c r="R95" s="30"/>
      <c r="S95" s="30"/>
      <c r="T95" s="30"/>
      <c r="U95" s="30"/>
      <c r="V95" s="30"/>
      <c r="W95" s="30"/>
      <c r="X95" s="30"/>
      <c r="Y95" s="30"/>
      <c r="Z95" s="30"/>
      <c r="AA95" s="30"/>
      <c r="AB95" s="30"/>
      <c r="AC95" s="30"/>
      <c r="AD95" s="30"/>
      <c r="AE95" s="30"/>
      <c r="AF95" s="30"/>
      <c r="AG95" s="30"/>
      <c r="AH95" s="30"/>
    </row>
    <row r="96" spans="1:34" ht="13">
      <c r="A96" s="30" t="s">
        <v>272</v>
      </c>
      <c r="B96" s="30" t="s">
        <v>260</v>
      </c>
      <c r="C96" s="30" t="s">
        <v>641</v>
      </c>
      <c r="D96" s="30" t="s">
        <v>274</v>
      </c>
      <c r="E96" s="18" t="s">
        <v>642</v>
      </c>
      <c r="F96" s="30" t="s">
        <v>643</v>
      </c>
      <c r="G96" s="30" t="s">
        <v>611</v>
      </c>
      <c r="H96" s="47">
        <v>2004.03013182674</v>
      </c>
      <c r="I96" s="47">
        <v>12631</v>
      </c>
      <c r="J96" s="47">
        <v>7880.4999143982204</v>
      </c>
      <c r="K96" s="47">
        <v>19698.813427626999</v>
      </c>
      <c r="L96" s="38" t="s">
        <v>612</v>
      </c>
      <c r="M96" s="32" t="s">
        <v>276</v>
      </c>
      <c r="N96" s="30" t="s">
        <v>277</v>
      </c>
      <c r="O96" s="30"/>
      <c r="P96" s="30"/>
      <c r="Q96" s="30"/>
      <c r="R96" s="30"/>
      <c r="S96" s="30"/>
      <c r="T96" s="30"/>
      <c r="U96" s="30"/>
      <c r="V96" s="30"/>
      <c r="W96" s="30"/>
      <c r="X96" s="30"/>
      <c r="Y96" s="30"/>
      <c r="Z96" s="30"/>
      <c r="AA96" s="30"/>
      <c r="AB96" s="30"/>
      <c r="AC96" s="30"/>
      <c r="AD96" s="30"/>
      <c r="AE96" s="30"/>
      <c r="AF96" s="30"/>
      <c r="AG96" s="30"/>
      <c r="AH96" s="30"/>
    </row>
    <row r="97" spans="1:34" ht="13">
      <c r="A97" s="30" t="s">
        <v>272</v>
      </c>
      <c r="B97" s="30" t="s">
        <v>260</v>
      </c>
      <c r="C97" s="30" t="s">
        <v>641</v>
      </c>
      <c r="D97" s="30" t="s">
        <v>274</v>
      </c>
      <c r="E97" s="18" t="s">
        <v>642</v>
      </c>
      <c r="F97" s="30" t="s">
        <v>643</v>
      </c>
      <c r="G97" s="30" t="s">
        <v>611</v>
      </c>
      <c r="H97" s="47">
        <v>2010.9604519774</v>
      </c>
      <c r="I97" s="47">
        <v>16820</v>
      </c>
      <c r="J97" s="47">
        <v>15165.606521538701</v>
      </c>
      <c r="K97" s="47">
        <v>18731.908392925299</v>
      </c>
      <c r="L97" s="38" t="s">
        <v>612</v>
      </c>
      <c r="M97" s="32" t="s">
        <v>276</v>
      </c>
      <c r="N97" s="30" t="s">
        <v>277</v>
      </c>
      <c r="O97" s="30"/>
      <c r="P97" s="30"/>
      <c r="Q97" s="30"/>
      <c r="R97" s="30"/>
      <c r="S97" s="30"/>
      <c r="T97" s="30"/>
      <c r="U97" s="30"/>
      <c r="V97" s="30"/>
      <c r="W97" s="30"/>
      <c r="X97" s="30"/>
      <c r="Y97" s="30"/>
      <c r="Z97" s="30"/>
      <c r="AA97" s="30"/>
      <c r="AB97" s="30"/>
      <c r="AC97" s="30"/>
      <c r="AD97" s="30"/>
      <c r="AE97" s="30"/>
      <c r="AF97" s="30"/>
      <c r="AG97" s="30"/>
      <c r="AH97" s="30"/>
    </row>
    <row r="98" spans="1:34" ht="13">
      <c r="A98" s="30" t="s">
        <v>272</v>
      </c>
      <c r="B98" s="30" t="s">
        <v>260</v>
      </c>
      <c r="C98" s="30" t="s">
        <v>641</v>
      </c>
      <c r="D98" s="30" t="s">
        <v>274</v>
      </c>
      <c r="E98" s="18" t="s">
        <v>642</v>
      </c>
      <c r="F98" s="30" t="s">
        <v>643</v>
      </c>
      <c r="G98" s="30" t="s">
        <v>611</v>
      </c>
      <c r="H98" s="47">
        <v>2018.9453860640299</v>
      </c>
      <c r="I98" s="47">
        <v>14025</v>
      </c>
      <c r="J98" s="47">
        <v>9025.7200426691907</v>
      </c>
      <c r="K98" s="47">
        <v>21962.782979732099</v>
      </c>
      <c r="L98" s="38" t="s">
        <v>612</v>
      </c>
      <c r="M98" s="32" t="s">
        <v>276</v>
      </c>
      <c r="N98" s="30" t="s">
        <v>277</v>
      </c>
      <c r="O98" s="30"/>
      <c r="P98" s="30"/>
      <c r="Q98" s="30"/>
      <c r="R98" s="30"/>
      <c r="S98" s="30"/>
      <c r="T98" s="30"/>
      <c r="U98" s="30"/>
      <c r="V98" s="30"/>
      <c r="W98" s="30"/>
      <c r="X98" s="30"/>
      <c r="Y98" s="30"/>
      <c r="Z98" s="30"/>
      <c r="AA98" s="30"/>
      <c r="AB98" s="30"/>
      <c r="AC98" s="30"/>
      <c r="AD98" s="30"/>
      <c r="AE98" s="30"/>
      <c r="AF98" s="30"/>
      <c r="AG98" s="30"/>
      <c r="AH98" s="30"/>
    </row>
    <row r="99" spans="1:34" ht="13">
      <c r="A99" s="30" t="s">
        <v>339</v>
      </c>
      <c r="B99" s="30" t="s">
        <v>260</v>
      </c>
      <c r="C99" s="30" t="s">
        <v>261</v>
      </c>
      <c r="D99" s="30" t="s">
        <v>262</v>
      </c>
      <c r="E99" s="18" t="s">
        <v>645</v>
      </c>
      <c r="F99" s="18" t="s">
        <v>646</v>
      </c>
      <c r="G99" s="30" t="s">
        <v>647</v>
      </c>
      <c r="H99" s="48">
        <v>1975</v>
      </c>
      <c r="I99" s="49">
        <v>88924</v>
      </c>
      <c r="J99" s="49">
        <v>66009</v>
      </c>
      <c r="K99" s="48">
        <v>107960</v>
      </c>
      <c r="L99" s="38" t="s">
        <v>612</v>
      </c>
      <c r="M99" s="21" t="s">
        <v>341</v>
      </c>
      <c r="N99" s="18" t="s">
        <v>648</v>
      </c>
      <c r="O99" s="18" t="s">
        <v>649</v>
      </c>
    </row>
    <row r="100" spans="1:34" ht="13">
      <c r="A100" s="30" t="s">
        <v>339</v>
      </c>
      <c r="B100" s="30" t="s">
        <v>260</v>
      </c>
      <c r="C100" s="30" t="s">
        <v>261</v>
      </c>
      <c r="D100" s="30" t="s">
        <v>262</v>
      </c>
      <c r="E100" s="18" t="s">
        <v>645</v>
      </c>
      <c r="F100" s="18" t="s">
        <v>646</v>
      </c>
      <c r="G100" s="30" t="s">
        <v>647</v>
      </c>
      <c r="H100" s="48">
        <v>1976</v>
      </c>
      <c r="I100" s="49">
        <v>94170</v>
      </c>
      <c r="J100" s="49">
        <v>70692</v>
      </c>
      <c r="K100" s="48">
        <v>113970</v>
      </c>
      <c r="L100" s="38" t="s">
        <v>612</v>
      </c>
      <c r="M100" s="21" t="s">
        <v>341</v>
      </c>
      <c r="N100" s="18" t="s">
        <v>650</v>
      </c>
    </row>
    <row r="101" spans="1:34" ht="13">
      <c r="A101" s="30" t="s">
        <v>339</v>
      </c>
      <c r="B101" s="30" t="s">
        <v>260</v>
      </c>
      <c r="C101" s="30" t="s">
        <v>261</v>
      </c>
      <c r="D101" s="30" t="s">
        <v>262</v>
      </c>
      <c r="E101" s="18" t="s">
        <v>645</v>
      </c>
      <c r="F101" s="18" t="s">
        <v>646</v>
      </c>
      <c r="G101" s="30" t="s">
        <v>647</v>
      </c>
      <c r="H101" s="48">
        <v>1977</v>
      </c>
      <c r="I101" s="49">
        <v>91199</v>
      </c>
      <c r="J101" s="49">
        <v>69378</v>
      </c>
      <c r="K101" s="48">
        <v>108664</v>
      </c>
      <c r="L101" s="38" t="s">
        <v>612</v>
      </c>
      <c r="M101" s="21" t="s">
        <v>341</v>
      </c>
      <c r="N101" s="18" t="s">
        <v>651</v>
      </c>
    </row>
    <row r="102" spans="1:34" ht="13">
      <c r="A102" s="30" t="s">
        <v>339</v>
      </c>
      <c r="B102" s="30" t="s">
        <v>260</v>
      </c>
      <c r="C102" s="30" t="s">
        <v>261</v>
      </c>
      <c r="D102" s="30" t="s">
        <v>262</v>
      </c>
      <c r="E102" s="18" t="s">
        <v>645</v>
      </c>
      <c r="F102" s="18" t="s">
        <v>646</v>
      </c>
      <c r="G102" s="30" t="s">
        <v>647</v>
      </c>
      <c r="H102" s="48">
        <v>1978</v>
      </c>
      <c r="I102" s="49">
        <v>90913</v>
      </c>
      <c r="J102" s="49">
        <v>70730</v>
      </c>
      <c r="K102" s="48">
        <v>104688</v>
      </c>
      <c r="L102" s="38" t="s">
        <v>612</v>
      </c>
      <c r="M102" s="21" t="s">
        <v>341</v>
      </c>
      <c r="N102" s="18" t="s">
        <v>652</v>
      </c>
    </row>
    <row r="103" spans="1:34" ht="13">
      <c r="A103" s="30" t="s">
        <v>339</v>
      </c>
      <c r="B103" s="30" t="s">
        <v>260</v>
      </c>
      <c r="C103" s="30" t="s">
        <v>261</v>
      </c>
      <c r="D103" s="30" t="s">
        <v>262</v>
      </c>
      <c r="E103" s="18" t="s">
        <v>645</v>
      </c>
      <c r="F103" s="18" t="s">
        <v>646</v>
      </c>
      <c r="G103" s="30" t="s">
        <v>647</v>
      </c>
      <c r="H103" s="48">
        <v>1979</v>
      </c>
      <c r="I103" s="49">
        <v>92812</v>
      </c>
      <c r="J103" s="49">
        <v>73411</v>
      </c>
      <c r="K103" s="48">
        <v>106038</v>
      </c>
      <c r="L103" s="38" t="s">
        <v>612</v>
      </c>
      <c r="M103" s="21" t="s">
        <v>341</v>
      </c>
      <c r="N103" s="18" t="s">
        <v>653</v>
      </c>
    </row>
    <row r="104" spans="1:34" ht="13">
      <c r="A104" s="30" t="s">
        <v>339</v>
      </c>
      <c r="B104" s="30" t="s">
        <v>260</v>
      </c>
      <c r="C104" s="30" t="s">
        <v>261</v>
      </c>
      <c r="D104" s="30" t="s">
        <v>262</v>
      </c>
      <c r="E104" s="18" t="s">
        <v>645</v>
      </c>
      <c r="F104" s="18" t="s">
        <v>646</v>
      </c>
      <c r="G104" s="30" t="s">
        <v>647</v>
      </c>
      <c r="H104" s="48">
        <v>1980</v>
      </c>
      <c r="I104" s="49">
        <v>94333</v>
      </c>
      <c r="J104" s="49">
        <v>75428</v>
      </c>
      <c r="K104" s="48">
        <v>104726</v>
      </c>
      <c r="L104" s="38" t="s">
        <v>612</v>
      </c>
      <c r="M104" s="21" t="s">
        <v>341</v>
      </c>
      <c r="N104" s="18" t="s">
        <v>654</v>
      </c>
    </row>
    <row r="105" spans="1:34" ht="13">
      <c r="A105" s="30" t="s">
        <v>339</v>
      </c>
      <c r="B105" s="30" t="s">
        <v>260</v>
      </c>
      <c r="C105" s="30" t="s">
        <v>261</v>
      </c>
      <c r="D105" s="30" t="s">
        <v>262</v>
      </c>
      <c r="E105" s="18" t="s">
        <v>645</v>
      </c>
      <c r="F105" s="18" t="s">
        <v>646</v>
      </c>
      <c r="G105" s="30" t="s">
        <v>647</v>
      </c>
      <c r="H105" s="48">
        <v>1981</v>
      </c>
      <c r="I105" s="49">
        <v>96997</v>
      </c>
      <c r="J105" s="49">
        <v>78776</v>
      </c>
      <c r="K105" s="48">
        <v>107409</v>
      </c>
      <c r="L105" s="38" t="s">
        <v>612</v>
      </c>
      <c r="M105" s="21" t="s">
        <v>341</v>
      </c>
      <c r="N105" s="18" t="s">
        <v>655</v>
      </c>
    </row>
    <row r="106" spans="1:34" ht="13">
      <c r="A106" s="30" t="s">
        <v>339</v>
      </c>
      <c r="B106" s="30" t="s">
        <v>260</v>
      </c>
      <c r="C106" s="30" t="s">
        <v>261</v>
      </c>
      <c r="D106" s="30" t="s">
        <v>262</v>
      </c>
      <c r="E106" s="18" t="s">
        <v>645</v>
      </c>
      <c r="F106" s="18" t="s">
        <v>646</v>
      </c>
      <c r="G106" s="30" t="s">
        <v>647</v>
      </c>
      <c r="H106" s="48">
        <v>1982</v>
      </c>
      <c r="I106" s="49">
        <v>104780</v>
      </c>
      <c r="J106" s="49">
        <v>88116</v>
      </c>
      <c r="K106" s="48">
        <v>114751</v>
      </c>
      <c r="L106" s="38" t="s">
        <v>612</v>
      </c>
      <c r="M106" s="21" t="s">
        <v>341</v>
      </c>
      <c r="N106" s="18" t="s">
        <v>656</v>
      </c>
    </row>
    <row r="107" spans="1:34" ht="13">
      <c r="A107" s="30" t="s">
        <v>339</v>
      </c>
      <c r="B107" s="30" t="s">
        <v>260</v>
      </c>
      <c r="C107" s="30" t="s">
        <v>261</v>
      </c>
      <c r="D107" s="30" t="s">
        <v>262</v>
      </c>
      <c r="E107" s="18" t="s">
        <v>645</v>
      </c>
      <c r="F107" s="18" t="s">
        <v>646</v>
      </c>
      <c r="G107" s="30" t="s">
        <v>647</v>
      </c>
      <c r="H107" s="48">
        <v>1983</v>
      </c>
      <c r="I107" s="49">
        <v>96807</v>
      </c>
      <c r="J107" s="49">
        <v>80145</v>
      </c>
      <c r="K107" s="48">
        <v>108112</v>
      </c>
      <c r="L107" s="38" t="s">
        <v>612</v>
      </c>
      <c r="M107" s="21" t="s">
        <v>341</v>
      </c>
      <c r="N107" s="18" t="s">
        <v>657</v>
      </c>
    </row>
    <row r="108" spans="1:34" ht="13">
      <c r="A108" s="30" t="s">
        <v>339</v>
      </c>
      <c r="B108" s="30" t="s">
        <v>260</v>
      </c>
      <c r="C108" s="30" t="s">
        <v>261</v>
      </c>
      <c r="D108" s="30" t="s">
        <v>262</v>
      </c>
      <c r="E108" s="18" t="s">
        <v>645</v>
      </c>
      <c r="F108" s="18" t="s">
        <v>646</v>
      </c>
      <c r="G108" s="30" t="s">
        <v>647</v>
      </c>
      <c r="H108" s="48">
        <v>1984</v>
      </c>
      <c r="I108" s="49">
        <v>93011</v>
      </c>
      <c r="J108" s="49">
        <v>75503</v>
      </c>
      <c r="K108" s="48">
        <v>103470</v>
      </c>
      <c r="L108" s="38" t="s">
        <v>612</v>
      </c>
      <c r="M108" s="21" t="s">
        <v>341</v>
      </c>
      <c r="N108" s="18" t="s">
        <v>658</v>
      </c>
    </row>
    <row r="109" spans="1:34" ht="13">
      <c r="A109" s="30" t="s">
        <v>339</v>
      </c>
      <c r="B109" s="30" t="s">
        <v>260</v>
      </c>
      <c r="C109" s="30" t="s">
        <v>261</v>
      </c>
      <c r="D109" s="30" t="s">
        <v>262</v>
      </c>
      <c r="E109" s="18" t="s">
        <v>645</v>
      </c>
      <c r="F109" s="18" t="s">
        <v>646</v>
      </c>
      <c r="G109" s="30" t="s">
        <v>647</v>
      </c>
      <c r="H109" s="48">
        <v>1985</v>
      </c>
      <c r="I109" s="49">
        <v>93012</v>
      </c>
      <c r="J109" s="49">
        <v>76189</v>
      </c>
      <c r="K109" s="48">
        <v>103488</v>
      </c>
      <c r="L109" s="38" t="s">
        <v>612</v>
      </c>
      <c r="M109" s="21" t="s">
        <v>341</v>
      </c>
      <c r="N109" s="18" t="s">
        <v>659</v>
      </c>
    </row>
    <row r="110" spans="1:34" ht="13">
      <c r="A110" s="30" t="s">
        <v>339</v>
      </c>
      <c r="B110" s="30" t="s">
        <v>260</v>
      </c>
      <c r="C110" s="30" t="s">
        <v>261</v>
      </c>
      <c r="D110" s="30" t="s">
        <v>262</v>
      </c>
      <c r="E110" s="18" t="s">
        <v>645</v>
      </c>
      <c r="F110" s="18" t="s">
        <v>646</v>
      </c>
      <c r="G110" s="30" t="s">
        <v>647</v>
      </c>
      <c r="H110" s="48">
        <v>1986</v>
      </c>
      <c r="I110" s="49">
        <v>96676</v>
      </c>
      <c r="J110" s="49">
        <v>78871</v>
      </c>
      <c r="K110" s="48">
        <v>106837</v>
      </c>
      <c r="L110" s="38" t="s">
        <v>612</v>
      </c>
      <c r="M110" s="21" t="s">
        <v>341</v>
      </c>
      <c r="N110" s="18" t="s">
        <v>660</v>
      </c>
    </row>
    <row r="111" spans="1:34" ht="13">
      <c r="A111" s="30" t="s">
        <v>339</v>
      </c>
      <c r="B111" s="30" t="s">
        <v>260</v>
      </c>
      <c r="C111" s="30" t="s">
        <v>261</v>
      </c>
      <c r="D111" s="30" t="s">
        <v>262</v>
      </c>
      <c r="E111" s="18" t="s">
        <v>645</v>
      </c>
      <c r="F111" s="18" t="s">
        <v>646</v>
      </c>
      <c r="G111" s="30" t="s">
        <v>647</v>
      </c>
      <c r="H111" s="48">
        <v>1987</v>
      </c>
      <c r="I111" s="49">
        <v>101844</v>
      </c>
      <c r="J111" s="49">
        <v>85549</v>
      </c>
      <c r="K111" s="48">
        <v>112849</v>
      </c>
      <c r="L111" s="38" t="s">
        <v>612</v>
      </c>
      <c r="M111" s="21" t="s">
        <v>341</v>
      </c>
      <c r="N111" s="18" t="s">
        <v>661</v>
      </c>
    </row>
    <row r="112" spans="1:34" ht="13">
      <c r="A112" s="30" t="s">
        <v>339</v>
      </c>
      <c r="B112" s="30" t="s">
        <v>260</v>
      </c>
      <c r="C112" s="30" t="s">
        <v>261</v>
      </c>
      <c r="D112" s="30" t="s">
        <v>262</v>
      </c>
      <c r="E112" s="18" t="s">
        <v>645</v>
      </c>
      <c r="F112" s="18" t="s">
        <v>646</v>
      </c>
      <c r="G112" s="30" t="s">
        <v>647</v>
      </c>
      <c r="H112" s="48">
        <v>1988</v>
      </c>
      <c r="I112" s="49">
        <v>106850</v>
      </c>
      <c r="J112" s="49">
        <v>90895</v>
      </c>
      <c r="K112" s="48">
        <v>117528</v>
      </c>
      <c r="L112" s="38" t="s">
        <v>612</v>
      </c>
      <c r="M112" s="21" t="s">
        <v>341</v>
      </c>
      <c r="N112" s="18" t="s">
        <v>662</v>
      </c>
    </row>
    <row r="113" spans="1:14" ht="13">
      <c r="A113" s="30" t="s">
        <v>339</v>
      </c>
      <c r="B113" s="30" t="s">
        <v>260</v>
      </c>
      <c r="C113" s="30" t="s">
        <v>261</v>
      </c>
      <c r="D113" s="30" t="s">
        <v>262</v>
      </c>
      <c r="E113" s="18" t="s">
        <v>645</v>
      </c>
      <c r="F113" s="18" t="s">
        <v>646</v>
      </c>
      <c r="G113" s="30" t="s">
        <v>647</v>
      </c>
      <c r="H113" s="48">
        <v>1989</v>
      </c>
      <c r="I113" s="49">
        <v>116183</v>
      </c>
      <c r="J113" s="49">
        <v>101569</v>
      </c>
      <c r="K113" s="48">
        <v>126205</v>
      </c>
      <c r="L113" s="38" t="s">
        <v>612</v>
      </c>
      <c r="M113" s="21" t="s">
        <v>341</v>
      </c>
      <c r="N113" s="18" t="s">
        <v>663</v>
      </c>
    </row>
    <row r="114" spans="1:14" ht="13">
      <c r="A114" s="30" t="s">
        <v>339</v>
      </c>
      <c r="B114" s="30" t="s">
        <v>260</v>
      </c>
      <c r="C114" s="30" t="s">
        <v>261</v>
      </c>
      <c r="D114" s="30" t="s">
        <v>262</v>
      </c>
      <c r="E114" s="18" t="s">
        <v>645</v>
      </c>
      <c r="F114" s="18" t="s">
        <v>646</v>
      </c>
      <c r="G114" s="30" t="s">
        <v>647</v>
      </c>
      <c r="H114" s="48">
        <v>1990</v>
      </c>
      <c r="I114" s="49">
        <v>126321</v>
      </c>
      <c r="J114" s="49">
        <v>111575</v>
      </c>
      <c r="K114" s="48">
        <v>136212</v>
      </c>
      <c r="L114" s="38" t="s">
        <v>612</v>
      </c>
      <c r="M114" s="21" t="s">
        <v>341</v>
      </c>
      <c r="N114" s="18" t="s">
        <v>664</v>
      </c>
    </row>
    <row r="115" spans="1:14" ht="13">
      <c r="A115" s="30" t="s">
        <v>339</v>
      </c>
      <c r="B115" s="30" t="s">
        <v>260</v>
      </c>
      <c r="C115" s="30" t="s">
        <v>261</v>
      </c>
      <c r="D115" s="30" t="s">
        <v>262</v>
      </c>
      <c r="E115" s="18" t="s">
        <v>645</v>
      </c>
      <c r="F115" s="18" t="s">
        <v>646</v>
      </c>
      <c r="G115" s="30" t="s">
        <v>647</v>
      </c>
      <c r="H115" s="48">
        <v>1991</v>
      </c>
      <c r="I115" s="49">
        <v>139223</v>
      </c>
      <c r="J115" s="49">
        <v>125578</v>
      </c>
      <c r="K115" s="48">
        <v>148217</v>
      </c>
      <c r="L115" s="38" t="s">
        <v>612</v>
      </c>
      <c r="M115" s="21" t="s">
        <v>341</v>
      </c>
      <c r="N115" s="18" t="s">
        <v>665</v>
      </c>
    </row>
    <row r="116" spans="1:14" ht="13">
      <c r="A116" s="30" t="s">
        <v>339</v>
      </c>
      <c r="B116" s="30" t="s">
        <v>260</v>
      </c>
      <c r="C116" s="30" t="s">
        <v>261</v>
      </c>
      <c r="D116" s="30" t="s">
        <v>262</v>
      </c>
      <c r="E116" s="18" t="s">
        <v>645</v>
      </c>
      <c r="F116" s="18" t="s">
        <v>646</v>
      </c>
      <c r="G116" s="30" t="s">
        <v>647</v>
      </c>
      <c r="H116" s="48">
        <v>1992</v>
      </c>
      <c r="I116" s="49">
        <v>140338</v>
      </c>
      <c r="J116" s="49">
        <v>125597</v>
      </c>
      <c r="K116" s="48">
        <v>149566</v>
      </c>
      <c r="L116" s="38" t="s">
        <v>612</v>
      </c>
      <c r="M116" s="21" t="s">
        <v>341</v>
      </c>
      <c r="N116" s="18" t="s">
        <v>666</v>
      </c>
    </row>
    <row r="117" spans="1:14" ht="13">
      <c r="A117" s="30" t="s">
        <v>339</v>
      </c>
      <c r="B117" s="30" t="s">
        <v>260</v>
      </c>
      <c r="C117" s="30" t="s">
        <v>261</v>
      </c>
      <c r="D117" s="30" t="s">
        <v>262</v>
      </c>
      <c r="E117" s="18" t="s">
        <v>645</v>
      </c>
      <c r="F117" s="18" t="s">
        <v>646</v>
      </c>
      <c r="G117" s="30" t="s">
        <v>647</v>
      </c>
      <c r="H117" s="48">
        <v>1993</v>
      </c>
      <c r="I117" s="49">
        <v>139859</v>
      </c>
      <c r="J117" s="49">
        <v>124950</v>
      </c>
      <c r="K117" s="48">
        <v>149586</v>
      </c>
      <c r="L117" s="38" t="s">
        <v>612</v>
      </c>
      <c r="M117" s="21" t="s">
        <v>341</v>
      </c>
      <c r="N117" s="18" t="s">
        <v>667</v>
      </c>
    </row>
    <row r="118" spans="1:14" ht="13">
      <c r="A118" s="30" t="s">
        <v>339</v>
      </c>
      <c r="B118" s="30" t="s">
        <v>260</v>
      </c>
      <c r="C118" s="30" t="s">
        <v>261</v>
      </c>
      <c r="D118" s="30" t="s">
        <v>262</v>
      </c>
      <c r="E118" s="18" t="s">
        <v>645</v>
      </c>
      <c r="F118" s="18" t="s">
        <v>646</v>
      </c>
      <c r="G118" s="30" t="s">
        <v>647</v>
      </c>
      <c r="H118" s="48">
        <v>1994</v>
      </c>
      <c r="I118" s="49">
        <v>154128</v>
      </c>
      <c r="J118" s="49">
        <v>138951</v>
      </c>
      <c r="K118" s="48">
        <v>164254</v>
      </c>
      <c r="L118" s="38" t="s">
        <v>612</v>
      </c>
      <c r="M118" s="21" t="s">
        <v>341</v>
      </c>
      <c r="N118" s="18" t="s">
        <v>668</v>
      </c>
    </row>
    <row r="119" spans="1:14" ht="13">
      <c r="A119" s="30" t="s">
        <v>339</v>
      </c>
      <c r="B119" s="30" t="s">
        <v>260</v>
      </c>
      <c r="C119" s="30" t="s">
        <v>261</v>
      </c>
      <c r="D119" s="30" t="s">
        <v>262</v>
      </c>
      <c r="E119" s="18" t="s">
        <v>645</v>
      </c>
      <c r="F119" s="18" t="s">
        <v>646</v>
      </c>
      <c r="G119" s="30" t="s">
        <v>647</v>
      </c>
      <c r="H119" s="48">
        <v>1995</v>
      </c>
      <c r="I119" s="49">
        <v>169098</v>
      </c>
      <c r="J119" s="49">
        <v>149624</v>
      </c>
      <c r="K119" s="48">
        <v>180254</v>
      </c>
      <c r="L119" s="38" t="s">
        <v>612</v>
      </c>
      <c r="M119" s="21" t="s">
        <v>341</v>
      </c>
      <c r="N119" s="18" t="s">
        <v>669</v>
      </c>
    </row>
    <row r="120" spans="1:14" ht="13">
      <c r="A120" s="30" t="s">
        <v>339</v>
      </c>
      <c r="B120" s="30" t="s">
        <v>260</v>
      </c>
      <c r="C120" s="30" t="s">
        <v>261</v>
      </c>
      <c r="D120" s="30" t="s">
        <v>262</v>
      </c>
      <c r="E120" s="18" t="s">
        <v>645</v>
      </c>
      <c r="F120" s="18" t="s">
        <v>646</v>
      </c>
      <c r="G120" s="30" t="s">
        <v>647</v>
      </c>
      <c r="H120" s="48">
        <v>1996</v>
      </c>
      <c r="I120" s="49">
        <v>183101</v>
      </c>
      <c r="J120" s="49">
        <v>166956</v>
      </c>
      <c r="K120" s="48">
        <v>192924</v>
      </c>
      <c r="L120" s="38" t="s">
        <v>612</v>
      </c>
      <c r="M120" s="21" t="s">
        <v>341</v>
      </c>
      <c r="N120" s="18" t="s">
        <v>670</v>
      </c>
    </row>
    <row r="121" spans="1:14" ht="13">
      <c r="A121" s="30" t="s">
        <v>339</v>
      </c>
      <c r="B121" s="30" t="s">
        <v>260</v>
      </c>
      <c r="C121" s="30" t="s">
        <v>261</v>
      </c>
      <c r="D121" s="30" t="s">
        <v>262</v>
      </c>
      <c r="E121" s="18" t="s">
        <v>645</v>
      </c>
      <c r="F121" s="18" t="s">
        <v>646</v>
      </c>
      <c r="G121" s="30" t="s">
        <v>647</v>
      </c>
      <c r="H121" s="48">
        <v>1997</v>
      </c>
      <c r="I121" s="49">
        <v>191799</v>
      </c>
      <c r="J121" s="49">
        <v>174298</v>
      </c>
      <c r="K121" s="48">
        <v>202265</v>
      </c>
      <c r="L121" s="38" t="s">
        <v>612</v>
      </c>
      <c r="M121" s="21" t="s">
        <v>341</v>
      </c>
      <c r="N121" s="18" t="s">
        <v>671</v>
      </c>
    </row>
    <row r="122" spans="1:14" ht="13">
      <c r="A122" s="30" t="s">
        <v>339</v>
      </c>
      <c r="B122" s="30" t="s">
        <v>260</v>
      </c>
      <c r="C122" s="30" t="s">
        <v>261</v>
      </c>
      <c r="D122" s="30" t="s">
        <v>262</v>
      </c>
      <c r="E122" s="18" t="s">
        <v>645</v>
      </c>
      <c r="F122" s="18" t="s">
        <v>646</v>
      </c>
      <c r="G122" s="30" t="s">
        <v>647</v>
      </c>
      <c r="H122" s="48">
        <v>1998</v>
      </c>
      <c r="I122" s="49">
        <v>145911</v>
      </c>
      <c r="J122" s="49">
        <v>129705</v>
      </c>
      <c r="K122" s="48">
        <v>155675</v>
      </c>
      <c r="L122" s="38" t="s">
        <v>612</v>
      </c>
      <c r="M122" s="21" t="s">
        <v>341</v>
      </c>
      <c r="N122" s="18" t="s">
        <v>672</v>
      </c>
    </row>
    <row r="123" spans="1:14" ht="13">
      <c r="A123" s="30" t="s">
        <v>339</v>
      </c>
      <c r="B123" s="30" t="s">
        <v>260</v>
      </c>
      <c r="C123" s="30" t="s">
        <v>261</v>
      </c>
      <c r="D123" s="30" t="s">
        <v>262</v>
      </c>
      <c r="E123" s="18" t="s">
        <v>645</v>
      </c>
      <c r="F123" s="18" t="s">
        <v>646</v>
      </c>
      <c r="G123" s="30" t="s">
        <v>647</v>
      </c>
      <c r="H123" s="48">
        <v>1999</v>
      </c>
      <c r="I123" s="49">
        <v>167358</v>
      </c>
      <c r="J123" s="49">
        <v>153696</v>
      </c>
      <c r="K123" s="48">
        <v>178332</v>
      </c>
      <c r="L123" s="38" t="s">
        <v>612</v>
      </c>
      <c r="M123" s="21" t="s">
        <v>341</v>
      </c>
      <c r="N123" s="18" t="s">
        <v>673</v>
      </c>
    </row>
    <row r="124" spans="1:14" ht="13">
      <c r="A124" s="30" t="s">
        <v>339</v>
      </c>
      <c r="B124" s="30" t="s">
        <v>260</v>
      </c>
      <c r="C124" s="30" t="s">
        <v>261</v>
      </c>
      <c r="D124" s="30" t="s">
        <v>262</v>
      </c>
      <c r="E124" s="18" t="s">
        <v>645</v>
      </c>
      <c r="F124" s="18" t="s">
        <v>646</v>
      </c>
      <c r="G124" s="30" t="s">
        <v>647</v>
      </c>
      <c r="H124" s="48">
        <v>2000</v>
      </c>
      <c r="I124" s="49">
        <v>191632</v>
      </c>
      <c r="J124" s="49">
        <v>177685</v>
      </c>
      <c r="K124" s="48">
        <v>199658</v>
      </c>
      <c r="L124" s="38" t="s">
        <v>612</v>
      </c>
      <c r="M124" s="21" t="s">
        <v>341</v>
      </c>
      <c r="N124" s="18" t="s">
        <v>674</v>
      </c>
    </row>
    <row r="125" spans="1:14" ht="13">
      <c r="A125" s="30" t="s">
        <v>339</v>
      </c>
      <c r="B125" s="30" t="s">
        <v>260</v>
      </c>
      <c r="C125" s="30" t="s">
        <v>261</v>
      </c>
      <c r="D125" s="30" t="s">
        <v>262</v>
      </c>
      <c r="E125" s="18" t="s">
        <v>645</v>
      </c>
      <c r="F125" s="18" t="s">
        <v>646</v>
      </c>
      <c r="G125" s="30" t="s">
        <v>647</v>
      </c>
      <c r="H125" s="48">
        <v>2001</v>
      </c>
      <c r="I125" s="49">
        <v>195805</v>
      </c>
      <c r="J125" s="49">
        <v>181700</v>
      </c>
      <c r="K125" s="48">
        <v>204338</v>
      </c>
      <c r="L125" s="38" t="s">
        <v>612</v>
      </c>
      <c r="M125" s="21" t="s">
        <v>341</v>
      </c>
      <c r="N125" s="18" t="s">
        <v>675</v>
      </c>
    </row>
    <row r="126" spans="1:14" ht="13">
      <c r="A126" s="30" t="s">
        <v>339</v>
      </c>
      <c r="B126" s="30" t="s">
        <v>260</v>
      </c>
      <c r="C126" s="30" t="s">
        <v>261</v>
      </c>
      <c r="D126" s="30" t="s">
        <v>262</v>
      </c>
      <c r="E126" s="18" t="s">
        <v>645</v>
      </c>
      <c r="F126" s="18" t="s">
        <v>646</v>
      </c>
      <c r="G126" s="30" t="s">
        <v>647</v>
      </c>
      <c r="H126" s="48">
        <v>2002</v>
      </c>
      <c r="I126" s="49">
        <v>200865</v>
      </c>
      <c r="J126" s="49">
        <v>187712</v>
      </c>
      <c r="K126" s="48">
        <v>210351</v>
      </c>
      <c r="L126" s="38" t="s">
        <v>612</v>
      </c>
      <c r="M126" s="21" t="s">
        <v>341</v>
      </c>
      <c r="N126" s="18" t="s">
        <v>676</v>
      </c>
    </row>
    <row r="127" spans="1:14" ht="13">
      <c r="A127" s="30" t="s">
        <v>339</v>
      </c>
      <c r="B127" s="30" t="s">
        <v>260</v>
      </c>
      <c r="C127" s="30" t="s">
        <v>261</v>
      </c>
      <c r="D127" s="30" t="s">
        <v>262</v>
      </c>
      <c r="E127" s="18" t="s">
        <v>645</v>
      </c>
      <c r="F127" s="18" t="s">
        <v>646</v>
      </c>
      <c r="G127" s="30" t="s">
        <v>647</v>
      </c>
      <c r="H127" s="48">
        <v>2003</v>
      </c>
      <c r="I127" s="49">
        <v>192075</v>
      </c>
      <c r="J127" s="49">
        <v>179076</v>
      </c>
      <c r="K127" s="48">
        <v>203713</v>
      </c>
      <c r="L127" s="38" t="s">
        <v>612</v>
      </c>
      <c r="M127" s="21" t="s">
        <v>341</v>
      </c>
      <c r="N127" s="18" t="s">
        <v>677</v>
      </c>
    </row>
    <row r="128" spans="1:14" ht="13">
      <c r="A128" s="30" t="s">
        <v>339</v>
      </c>
      <c r="B128" s="30" t="s">
        <v>260</v>
      </c>
      <c r="C128" s="30" t="s">
        <v>261</v>
      </c>
      <c r="D128" s="30" t="s">
        <v>262</v>
      </c>
      <c r="E128" s="18" t="s">
        <v>645</v>
      </c>
      <c r="F128" s="18" t="s">
        <v>646</v>
      </c>
      <c r="G128" s="30" t="s">
        <v>647</v>
      </c>
      <c r="H128" s="48">
        <v>2004</v>
      </c>
      <c r="I128" s="49">
        <v>200327</v>
      </c>
      <c r="J128" s="49">
        <v>187750</v>
      </c>
      <c r="K128" s="48">
        <v>210389</v>
      </c>
      <c r="L128" s="38" t="s">
        <v>612</v>
      </c>
      <c r="M128" s="21" t="s">
        <v>341</v>
      </c>
      <c r="N128" s="18" t="s">
        <v>678</v>
      </c>
    </row>
    <row r="129" spans="1:34" ht="13">
      <c r="A129" s="30" t="s">
        <v>339</v>
      </c>
      <c r="B129" s="30" t="s">
        <v>260</v>
      </c>
      <c r="C129" s="30" t="s">
        <v>261</v>
      </c>
      <c r="D129" s="30" t="s">
        <v>262</v>
      </c>
      <c r="E129" s="18" t="s">
        <v>645</v>
      </c>
      <c r="F129" s="18" t="s">
        <v>646</v>
      </c>
      <c r="G129" s="30" t="s">
        <v>647</v>
      </c>
      <c r="H129" s="48">
        <v>2005</v>
      </c>
      <c r="I129" s="49">
        <v>215248</v>
      </c>
      <c r="J129" s="49">
        <v>203083</v>
      </c>
      <c r="K129" s="48">
        <v>226389</v>
      </c>
      <c r="L129" s="38" t="s">
        <v>612</v>
      </c>
      <c r="M129" s="21" t="s">
        <v>341</v>
      </c>
      <c r="N129" s="18" t="s">
        <v>679</v>
      </c>
    </row>
    <row r="130" spans="1:34" ht="13">
      <c r="A130" s="30" t="s">
        <v>339</v>
      </c>
      <c r="B130" s="30" t="s">
        <v>260</v>
      </c>
      <c r="C130" s="30" t="s">
        <v>261</v>
      </c>
      <c r="D130" s="30" t="s">
        <v>262</v>
      </c>
      <c r="E130" s="18" t="s">
        <v>645</v>
      </c>
      <c r="F130" s="18" t="s">
        <v>646</v>
      </c>
      <c r="G130" s="30" t="s">
        <v>647</v>
      </c>
      <c r="H130" s="48">
        <v>2006</v>
      </c>
      <c r="I130" s="49">
        <v>242193</v>
      </c>
      <c r="J130" s="49">
        <v>229737</v>
      </c>
      <c r="K130" s="48">
        <v>253708</v>
      </c>
      <c r="L130" s="38" t="s">
        <v>612</v>
      </c>
      <c r="M130" s="21" t="s">
        <v>341</v>
      </c>
      <c r="N130" s="18" t="s">
        <v>680</v>
      </c>
    </row>
    <row r="131" spans="1:34" ht="13">
      <c r="A131" s="30" t="s">
        <v>339</v>
      </c>
      <c r="B131" s="30" t="s">
        <v>260</v>
      </c>
      <c r="C131" s="30" t="s">
        <v>261</v>
      </c>
      <c r="D131" s="30" t="s">
        <v>262</v>
      </c>
      <c r="E131" s="18" t="s">
        <v>645</v>
      </c>
      <c r="F131" s="18" t="s">
        <v>646</v>
      </c>
      <c r="G131" s="30" t="s">
        <v>647</v>
      </c>
      <c r="H131" s="48">
        <v>2007</v>
      </c>
      <c r="I131" s="49">
        <v>259004</v>
      </c>
      <c r="J131" s="49">
        <v>245071</v>
      </c>
      <c r="K131" s="48">
        <v>272372</v>
      </c>
      <c r="L131" s="38" t="s">
        <v>612</v>
      </c>
      <c r="M131" s="21" t="s">
        <v>341</v>
      </c>
      <c r="N131" s="18" t="s">
        <v>681</v>
      </c>
    </row>
    <row r="132" spans="1:34" ht="13">
      <c r="A132" s="30" t="s">
        <v>339</v>
      </c>
      <c r="B132" s="30" t="s">
        <v>260</v>
      </c>
      <c r="C132" s="30" t="s">
        <v>261</v>
      </c>
      <c r="D132" s="30" t="s">
        <v>262</v>
      </c>
      <c r="E132" s="18" t="s">
        <v>645</v>
      </c>
      <c r="F132" s="18" t="s">
        <v>646</v>
      </c>
      <c r="G132" s="30" t="s">
        <v>647</v>
      </c>
      <c r="H132" s="48">
        <v>2008</v>
      </c>
      <c r="I132" s="49">
        <v>281450</v>
      </c>
      <c r="J132" s="49">
        <v>267064</v>
      </c>
      <c r="K132" s="48">
        <v>295029</v>
      </c>
      <c r="L132" s="38" t="s">
        <v>612</v>
      </c>
      <c r="M132" s="21" t="s">
        <v>341</v>
      </c>
      <c r="N132" s="18" t="s">
        <v>682</v>
      </c>
    </row>
    <row r="133" spans="1:34" ht="13">
      <c r="A133" s="30" t="s">
        <v>339</v>
      </c>
      <c r="B133" s="30" t="s">
        <v>260</v>
      </c>
      <c r="C133" s="30" t="s">
        <v>261</v>
      </c>
      <c r="D133" s="30" t="s">
        <v>262</v>
      </c>
      <c r="E133" s="18" t="s">
        <v>645</v>
      </c>
      <c r="F133" s="18" t="s">
        <v>646</v>
      </c>
      <c r="G133" s="30" t="s">
        <v>647</v>
      </c>
      <c r="H133" s="48">
        <v>2009</v>
      </c>
      <c r="I133" s="49">
        <v>276155</v>
      </c>
      <c r="J133" s="49">
        <v>254431</v>
      </c>
      <c r="K133" s="48">
        <v>291720</v>
      </c>
      <c r="L133" s="38" t="s">
        <v>612</v>
      </c>
      <c r="M133" s="21" t="s">
        <v>341</v>
      </c>
      <c r="N133" s="18" t="s">
        <v>683</v>
      </c>
    </row>
    <row r="134" spans="1:34" ht="13">
      <c r="A134" s="30" t="s">
        <v>339</v>
      </c>
      <c r="B134" s="30" t="s">
        <v>260</v>
      </c>
      <c r="C134" s="30" t="s">
        <v>261</v>
      </c>
      <c r="D134" s="30" t="s">
        <v>262</v>
      </c>
      <c r="E134" s="18" t="s">
        <v>645</v>
      </c>
      <c r="F134" s="18" t="s">
        <v>646</v>
      </c>
      <c r="G134" s="30" t="s">
        <v>647</v>
      </c>
      <c r="H134" s="48">
        <v>2010</v>
      </c>
      <c r="I134" s="49">
        <v>246331</v>
      </c>
      <c r="J134" s="49">
        <v>228481</v>
      </c>
      <c r="K134" s="48">
        <v>261775</v>
      </c>
      <c r="L134" s="38" t="s">
        <v>612</v>
      </c>
      <c r="M134" s="21" t="s">
        <v>341</v>
      </c>
      <c r="N134" s="18" t="s">
        <v>684</v>
      </c>
    </row>
    <row r="135" spans="1:34" ht="13">
      <c r="A135" s="30" t="s">
        <v>339</v>
      </c>
      <c r="B135" s="30" t="s">
        <v>260</v>
      </c>
      <c r="C135" s="30" t="s">
        <v>261</v>
      </c>
      <c r="D135" s="30" t="s">
        <v>262</v>
      </c>
      <c r="E135" s="18" t="s">
        <v>645</v>
      </c>
      <c r="F135" s="18" t="s">
        <v>646</v>
      </c>
      <c r="G135" s="30" t="s">
        <v>647</v>
      </c>
      <c r="H135" s="48">
        <v>2011</v>
      </c>
      <c r="I135" s="49">
        <v>275489</v>
      </c>
      <c r="J135" s="49">
        <v>257132</v>
      </c>
      <c r="K135" s="48">
        <v>289759</v>
      </c>
      <c r="L135" s="38" t="s">
        <v>612</v>
      </c>
      <c r="M135" s="21" t="s">
        <v>341</v>
      </c>
      <c r="N135" s="18" t="s">
        <v>685</v>
      </c>
    </row>
    <row r="136" spans="1:34" ht="13">
      <c r="A136" s="30" t="s">
        <v>339</v>
      </c>
      <c r="B136" s="30" t="s">
        <v>260</v>
      </c>
      <c r="C136" s="30" t="s">
        <v>261</v>
      </c>
      <c r="D136" s="30" t="s">
        <v>262</v>
      </c>
      <c r="E136" s="18" t="s">
        <v>645</v>
      </c>
      <c r="F136" s="18" t="s">
        <v>646</v>
      </c>
      <c r="G136" s="30" t="s">
        <v>647</v>
      </c>
      <c r="H136" s="48">
        <v>2012</v>
      </c>
      <c r="I136" s="49">
        <v>306220</v>
      </c>
      <c r="J136" s="49">
        <v>280457</v>
      </c>
      <c r="K136" s="48">
        <v>321074</v>
      </c>
      <c r="L136" s="38" t="s">
        <v>612</v>
      </c>
      <c r="M136" s="21" t="s">
        <v>341</v>
      </c>
      <c r="N136" s="18" t="s">
        <v>686</v>
      </c>
    </row>
    <row r="137" spans="1:34" ht="13">
      <c r="A137" s="30" t="s">
        <v>339</v>
      </c>
      <c r="B137" s="30" t="s">
        <v>260</v>
      </c>
      <c r="C137" s="30" t="s">
        <v>261</v>
      </c>
      <c r="D137" s="30" t="s">
        <v>262</v>
      </c>
      <c r="E137" s="18" t="s">
        <v>645</v>
      </c>
      <c r="F137" s="18" t="s">
        <v>646</v>
      </c>
      <c r="G137" s="30" t="s">
        <v>647</v>
      </c>
      <c r="H137" s="48">
        <v>2013</v>
      </c>
      <c r="I137" s="49">
        <v>253662</v>
      </c>
      <c r="J137" s="49">
        <v>232534</v>
      </c>
      <c r="K137" s="48">
        <v>267824</v>
      </c>
      <c r="L137" s="38" t="s">
        <v>612</v>
      </c>
      <c r="M137" s="21" t="s">
        <v>341</v>
      </c>
      <c r="N137" s="18" t="s">
        <v>687</v>
      </c>
    </row>
    <row r="138" spans="1:34" ht="13">
      <c r="A138" s="30" t="s">
        <v>339</v>
      </c>
      <c r="B138" s="30" t="s">
        <v>260</v>
      </c>
      <c r="C138" s="30" t="s">
        <v>261</v>
      </c>
      <c r="D138" s="30" t="s">
        <v>262</v>
      </c>
      <c r="E138" s="18" t="s">
        <v>645</v>
      </c>
      <c r="F138" s="18" t="s">
        <v>646</v>
      </c>
      <c r="G138" s="30" t="s">
        <v>647</v>
      </c>
      <c r="H138" s="48">
        <v>2014</v>
      </c>
      <c r="I138" s="49">
        <v>257606</v>
      </c>
      <c r="J138" s="49">
        <v>235216</v>
      </c>
      <c r="K138" s="48">
        <v>272505</v>
      </c>
      <c r="L138" s="38" t="s">
        <v>612</v>
      </c>
      <c r="M138" s="21" t="s">
        <v>341</v>
      </c>
      <c r="N138" s="18" t="s">
        <v>688</v>
      </c>
    </row>
    <row r="139" spans="1:34" ht="13">
      <c r="A139" s="30" t="s">
        <v>339</v>
      </c>
      <c r="B139" s="30" t="s">
        <v>260</v>
      </c>
      <c r="C139" s="30" t="s">
        <v>261</v>
      </c>
      <c r="D139" s="30" t="s">
        <v>262</v>
      </c>
      <c r="E139" s="30" t="s">
        <v>645</v>
      </c>
      <c r="F139" s="30" t="s">
        <v>689</v>
      </c>
      <c r="G139" s="30" t="s">
        <v>690</v>
      </c>
      <c r="H139" s="48">
        <v>1975</v>
      </c>
      <c r="I139" s="49">
        <v>12499</v>
      </c>
      <c r="J139" s="49" t="s">
        <v>402</v>
      </c>
      <c r="K139" s="48" t="s">
        <v>402</v>
      </c>
      <c r="L139" s="50" t="s">
        <v>612</v>
      </c>
      <c r="M139" s="21" t="s">
        <v>341</v>
      </c>
      <c r="N139" s="30" t="s">
        <v>648</v>
      </c>
      <c r="O139" s="30" t="s">
        <v>649</v>
      </c>
      <c r="P139" s="30"/>
      <c r="Q139" s="30"/>
      <c r="R139" s="30"/>
      <c r="S139" s="30"/>
      <c r="T139" s="30"/>
      <c r="U139" s="30"/>
      <c r="V139" s="30"/>
      <c r="W139" s="30"/>
      <c r="X139" s="30"/>
      <c r="Y139" s="30"/>
      <c r="Z139" s="30"/>
      <c r="AA139" s="30"/>
      <c r="AB139" s="30"/>
      <c r="AC139" s="30"/>
      <c r="AD139" s="30"/>
      <c r="AE139" s="30"/>
      <c r="AF139" s="30"/>
      <c r="AG139" s="30"/>
      <c r="AH139" s="30"/>
    </row>
    <row r="140" spans="1:34" ht="13">
      <c r="A140" s="30" t="s">
        <v>339</v>
      </c>
      <c r="B140" s="30" t="s">
        <v>260</v>
      </c>
      <c r="C140" s="30" t="s">
        <v>261</v>
      </c>
      <c r="D140" s="30" t="s">
        <v>262</v>
      </c>
      <c r="E140" s="30" t="s">
        <v>645</v>
      </c>
      <c r="F140" s="30" t="s">
        <v>689</v>
      </c>
      <c r="G140" s="30" t="s">
        <v>690</v>
      </c>
      <c r="H140" s="48">
        <v>1976</v>
      </c>
      <c r="I140" s="49">
        <v>14749</v>
      </c>
      <c r="J140" s="49" t="s">
        <v>402</v>
      </c>
      <c r="K140" s="48" t="s">
        <v>402</v>
      </c>
      <c r="L140" s="50" t="s">
        <v>612</v>
      </c>
      <c r="M140" s="21" t="s">
        <v>341</v>
      </c>
      <c r="N140" s="30" t="s">
        <v>650</v>
      </c>
      <c r="O140" s="30"/>
      <c r="P140" s="30"/>
      <c r="Q140" s="30"/>
      <c r="R140" s="30"/>
      <c r="S140" s="30"/>
      <c r="T140" s="30"/>
      <c r="U140" s="30"/>
      <c r="V140" s="30"/>
      <c r="W140" s="30"/>
      <c r="X140" s="30"/>
      <c r="Y140" s="30"/>
      <c r="Z140" s="30"/>
      <c r="AA140" s="30"/>
      <c r="AB140" s="30"/>
      <c r="AC140" s="30"/>
      <c r="AD140" s="30"/>
      <c r="AE140" s="30"/>
      <c r="AF140" s="30"/>
      <c r="AG140" s="30"/>
      <c r="AH140" s="30"/>
    </row>
    <row r="141" spans="1:34" ht="13">
      <c r="A141" s="30" t="s">
        <v>339</v>
      </c>
      <c r="B141" s="30" t="s">
        <v>260</v>
      </c>
      <c r="C141" s="30" t="s">
        <v>261</v>
      </c>
      <c r="D141" s="30" t="s">
        <v>262</v>
      </c>
      <c r="E141" s="30" t="s">
        <v>645</v>
      </c>
      <c r="F141" s="30" t="s">
        <v>689</v>
      </c>
      <c r="G141" s="30" t="s">
        <v>690</v>
      </c>
      <c r="H141" s="48">
        <v>1977</v>
      </c>
      <c r="I141" s="49">
        <v>11712</v>
      </c>
      <c r="J141" s="49" t="s">
        <v>402</v>
      </c>
      <c r="K141" s="48" t="s">
        <v>402</v>
      </c>
      <c r="L141" s="50" t="s">
        <v>612</v>
      </c>
      <c r="M141" s="21" t="s">
        <v>341</v>
      </c>
      <c r="N141" s="30" t="s">
        <v>651</v>
      </c>
      <c r="O141" s="30"/>
      <c r="P141" s="30"/>
      <c r="Q141" s="30"/>
      <c r="R141" s="30"/>
      <c r="S141" s="30"/>
      <c r="T141" s="30"/>
      <c r="U141" s="30"/>
      <c r="V141" s="30"/>
      <c r="W141" s="30"/>
      <c r="X141" s="30"/>
      <c r="Y141" s="30"/>
      <c r="Z141" s="30"/>
      <c r="AA141" s="30"/>
      <c r="AB141" s="30"/>
      <c r="AC141" s="30"/>
      <c r="AD141" s="30"/>
      <c r="AE141" s="30"/>
      <c r="AF141" s="30"/>
      <c r="AG141" s="30"/>
      <c r="AH141" s="30"/>
    </row>
    <row r="142" spans="1:34" ht="13">
      <c r="A142" s="30" t="s">
        <v>339</v>
      </c>
      <c r="B142" s="30" t="s">
        <v>260</v>
      </c>
      <c r="C142" s="30" t="s">
        <v>261</v>
      </c>
      <c r="D142" s="30" t="s">
        <v>262</v>
      </c>
      <c r="E142" s="30" t="s">
        <v>645</v>
      </c>
      <c r="F142" s="30" t="s">
        <v>689</v>
      </c>
      <c r="G142" s="30" t="s">
        <v>690</v>
      </c>
      <c r="H142" s="48">
        <v>1978</v>
      </c>
      <c r="I142" s="49">
        <v>13449</v>
      </c>
      <c r="J142" s="49" t="s">
        <v>402</v>
      </c>
      <c r="K142" s="48" t="s">
        <v>402</v>
      </c>
      <c r="L142" s="50" t="s">
        <v>612</v>
      </c>
      <c r="M142" s="21" t="s">
        <v>341</v>
      </c>
      <c r="N142" s="30" t="s">
        <v>652</v>
      </c>
      <c r="O142" s="30"/>
      <c r="P142" s="30"/>
      <c r="Q142" s="30"/>
      <c r="R142" s="30"/>
      <c r="S142" s="30"/>
      <c r="T142" s="30"/>
      <c r="U142" s="30"/>
      <c r="V142" s="30"/>
      <c r="W142" s="30"/>
      <c r="X142" s="30"/>
      <c r="Y142" s="30"/>
      <c r="Z142" s="30"/>
      <c r="AA142" s="30"/>
      <c r="AB142" s="30"/>
      <c r="AC142" s="30"/>
      <c r="AD142" s="30"/>
      <c r="AE142" s="30"/>
      <c r="AF142" s="30"/>
      <c r="AG142" s="30"/>
      <c r="AH142" s="30"/>
    </row>
    <row r="143" spans="1:34" ht="13">
      <c r="A143" s="30" t="s">
        <v>339</v>
      </c>
      <c r="B143" s="30" t="s">
        <v>260</v>
      </c>
      <c r="C143" s="30" t="s">
        <v>261</v>
      </c>
      <c r="D143" s="30" t="s">
        <v>262</v>
      </c>
      <c r="E143" s="30" t="s">
        <v>645</v>
      </c>
      <c r="F143" s="30" t="s">
        <v>689</v>
      </c>
      <c r="G143" s="30" t="s">
        <v>690</v>
      </c>
      <c r="H143" s="48">
        <v>1979</v>
      </c>
      <c r="I143" s="49">
        <v>14145</v>
      </c>
      <c r="J143" s="49" t="s">
        <v>402</v>
      </c>
      <c r="K143" s="48" t="s">
        <v>402</v>
      </c>
      <c r="L143" s="50" t="s">
        <v>612</v>
      </c>
      <c r="M143" s="21" t="s">
        <v>341</v>
      </c>
      <c r="N143" s="30" t="s">
        <v>653</v>
      </c>
      <c r="O143" s="30"/>
      <c r="P143" s="30"/>
      <c r="Q143" s="30"/>
      <c r="R143" s="30"/>
      <c r="S143" s="30"/>
      <c r="T143" s="30"/>
      <c r="U143" s="30"/>
      <c r="V143" s="30"/>
      <c r="W143" s="30"/>
      <c r="X143" s="30"/>
      <c r="Y143" s="30"/>
      <c r="Z143" s="30"/>
      <c r="AA143" s="30"/>
      <c r="AB143" s="30"/>
      <c r="AC143" s="30"/>
      <c r="AD143" s="30"/>
      <c r="AE143" s="30"/>
      <c r="AF143" s="30"/>
      <c r="AG143" s="30"/>
      <c r="AH143" s="30"/>
    </row>
    <row r="144" spans="1:34" ht="13">
      <c r="A144" s="30" t="s">
        <v>339</v>
      </c>
      <c r="B144" s="30" t="s">
        <v>260</v>
      </c>
      <c r="C144" s="30" t="s">
        <v>261</v>
      </c>
      <c r="D144" s="30" t="s">
        <v>262</v>
      </c>
      <c r="E144" s="30" t="s">
        <v>645</v>
      </c>
      <c r="F144" s="30" t="s">
        <v>689</v>
      </c>
      <c r="G144" s="30" t="s">
        <v>690</v>
      </c>
      <c r="H144" s="48">
        <v>1980</v>
      </c>
      <c r="I144" s="49">
        <v>14878</v>
      </c>
      <c r="J144" s="49" t="s">
        <v>402</v>
      </c>
      <c r="K144" s="48" t="s">
        <v>402</v>
      </c>
      <c r="L144" s="50" t="s">
        <v>612</v>
      </c>
      <c r="M144" s="21" t="s">
        <v>341</v>
      </c>
      <c r="N144" s="30" t="s">
        <v>654</v>
      </c>
      <c r="O144" s="30"/>
      <c r="P144" s="30"/>
      <c r="Q144" s="30"/>
      <c r="R144" s="30"/>
      <c r="S144" s="30"/>
      <c r="T144" s="30"/>
      <c r="U144" s="30"/>
      <c r="V144" s="30"/>
      <c r="W144" s="30"/>
      <c r="X144" s="30"/>
      <c r="Y144" s="30"/>
      <c r="Z144" s="30"/>
      <c r="AA144" s="30"/>
      <c r="AB144" s="30"/>
      <c r="AC144" s="30"/>
      <c r="AD144" s="30"/>
      <c r="AE144" s="30"/>
      <c r="AF144" s="30"/>
      <c r="AG144" s="30"/>
      <c r="AH144" s="30"/>
    </row>
    <row r="145" spans="1:34" ht="13">
      <c r="A145" s="30" t="s">
        <v>339</v>
      </c>
      <c r="B145" s="30" t="s">
        <v>260</v>
      </c>
      <c r="C145" s="30" t="s">
        <v>261</v>
      </c>
      <c r="D145" s="30" t="s">
        <v>262</v>
      </c>
      <c r="E145" s="30" t="s">
        <v>645</v>
      </c>
      <c r="F145" s="30" t="s">
        <v>689</v>
      </c>
      <c r="G145" s="30" t="s">
        <v>690</v>
      </c>
      <c r="H145" s="48">
        <v>1981</v>
      </c>
      <c r="I145" s="49">
        <v>16701</v>
      </c>
      <c r="J145" s="49" t="s">
        <v>402</v>
      </c>
      <c r="K145" s="48" t="s">
        <v>402</v>
      </c>
      <c r="L145" s="50" t="s">
        <v>612</v>
      </c>
      <c r="M145" s="21" t="s">
        <v>341</v>
      </c>
      <c r="N145" s="30" t="s">
        <v>655</v>
      </c>
      <c r="O145" s="30"/>
      <c r="P145" s="30"/>
      <c r="Q145" s="30"/>
      <c r="R145" s="30"/>
      <c r="S145" s="30"/>
      <c r="T145" s="30"/>
      <c r="U145" s="30"/>
      <c r="V145" s="30"/>
      <c r="W145" s="30"/>
      <c r="X145" s="30"/>
      <c r="Y145" s="30"/>
      <c r="Z145" s="30"/>
      <c r="AA145" s="30"/>
      <c r="AB145" s="30"/>
      <c r="AC145" s="30"/>
      <c r="AD145" s="30"/>
      <c r="AE145" s="30"/>
      <c r="AF145" s="30"/>
      <c r="AG145" s="30"/>
      <c r="AH145" s="30"/>
    </row>
    <row r="146" spans="1:34" ht="13">
      <c r="A146" s="30" t="s">
        <v>339</v>
      </c>
      <c r="B146" s="30" t="s">
        <v>260</v>
      </c>
      <c r="C146" s="30" t="s">
        <v>261</v>
      </c>
      <c r="D146" s="30" t="s">
        <v>262</v>
      </c>
      <c r="E146" s="30" t="s">
        <v>645</v>
      </c>
      <c r="F146" s="30" t="s">
        <v>689</v>
      </c>
      <c r="G146" s="30" t="s">
        <v>690</v>
      </c>
      <c r="H146" s="48">
        <v>1982</v>
      </c>
      <c r="I146" s="49">
        <v>20540</v>
      </c>
      <c r="J146" s="49" t="s">
        <v>402</v>
      </c>
      <c r="K146" s="48" t="s">
        <v>402</v>
      </c>
      <c r="L146" s="50" t="s">
        <v>612</v>
      </c>
      <c r="M146" s="21" t="s">
        <v>341</v>
      </c>
      <c r="N146" s="30" t="s">
        <v>656</v>
      </c>
      <c r="O146" s="30"/>
      <c r="P146" s="30"/>
      <c r="Q146" s="30"/>
      <c r="R146" s="30"/>
      <c r="S146" s="30"/>
      <c r="T146" s="30"/>
      <c r="U146" s="30"/>
      <c r="V146" s="30"/>
      <c r="W146" s="30"/>
      <c r="X146" s="30"/>
      <c r="Y146" s="30"/>
      <c r="Z146" s="30"/>
      <c r="AA146" s="30"/>
      <c r="AB146" s="30"/>
      <c r="AC146" s="30"/>
      <c r="AD146" s="30"/>
      <c r="AE146" s="30"/>
      <c r="AF146" s="30"/>
      <c r="AG146" s="30"/>
      <c r="AH146" s="30"/>
    </row>
    <row r="147" spans="1:34" ht="13">
      <c r="A147" s="30" t="s">
        <v>339</v>
      </c>
      <c r="B147" s="30" t="s">
        <v>260</v>
      </c>
      <c r="C147" s="30" t="s">
        <v>261</v>
      </c>
      <c r="D147" s="30" t="s">
        <v>262</v>
      </c>
      <c r="E147" s="30" t="s">
        <v>645</v>
      </c>
      <c r="F147" s="30" t="s">
        <v>689</v>
      </c>
      <c r="G147" s="30" t="s">
        <v>690</v>
      </c>
      <c r="H147" s="48">
        <v>1983</v>
      </c>
      <c r="I147" s="49">
        <v>11595</v>
      </c>
      <c r="J147" s="49" t="s">
        <v>402</v>
      </c>
      <c r="K147" s="48" t="s">
        <v>402</v>
      </c>
      <c r="L147" s="50" t="s">
        <v>612</v>
      </c>
      <c r="M147" s="21" t="s">
        <v>341</v>
      </c>
      <c r="N147" s="30" t="s">
        <v>657</v>
      </c>
      <c r="O147" s="30"/>
      <c r="P147" s="30"/>
      <c r="Q147" s="30"/>
      <c r="R147" s="30"/>
      <c r="S147" s="30"/>
      <c r="T147" s="30"/>
      <c r="U147" s="30"/>
      <c r="V147" s="30"/>
      <c r="W147" s="30"/>
      <c r="X147" s="30"/>
      <c r="Y147" s="30"/>
      <c r="Z147" s="30"/>
      <c r="AA147" s="30"/>
      <c r="AB147" s="30"/>
      <c r="AC147" s="30"/>
      <c r="AD147" s="30"/>
      <c r="AE147" s="30"/>
      <c r="AF147" s="30"/>
      <c r="AG147" s="30"/>
      <c r="AH147" s="30"/>
    </row>
    <row r="148" spans="1:34" ht="13">
      <c r="A148" s="30" t="s">
        <v>339</v>
      </c>
      <c r="B148" s="30" t="s">
        <v>260</v>
      </c>
      <c r="C148" s="30" t="s">
        <v>261</v>
      </c>
      <c r="D148" s="30" t="s">
        <v>262</v>
      </c>
      <c r="E148" s="30" t="s">
        <v>645</v>
      </c>
      <c r="F148" s="30" t="s">
        <v>689</v>
      </c>
      <c r="G148" s="30" t="s">
        <v>690</v>
      </c>
      <c r="H148" s="48">
        <v>1984</v>
      </c>
      <c r="I148" s="49">
        <v>13550</v>
      </c>
      <c r="J148" s="49" t="s">
        <v>402</v>
      </c>
      <c r="K148" s="48" t="s">
        <v>402</v>
      </c>
      <c r="L148" s="50" t="s">
        <v>612</v>
      </c>
      <c r="M148" s="21" t="s">
        <v>341</v>
      </c>
      <c r="N148" s="30" t="s">
        <v>658</v>
      </c>
      <c r="O148" s="30"/>
      <c r="P148" s="30"/>
      <c r="Q148" s="30"/>
      <c r="R148" s="30"/>
      <c r="S148" s="30"/>
      <c r="T148" s="30"/>
      <c r="U148" s="30"/>
      <c r="V148" s="30"/>
      <c r="W148" s="30"/>
      <c r="X148" s="30"/>
      <c r="Y148" s="30"/>
      <c r="Z148" s="30"/>
      <c r="AA148" s="30"/>
      <c r="AB148" s="30"/>
      <c r="AC148" s="30"/>
      <c r="AD148" s="30"/>
      <c r="AE148" s="30"/>
      <c r="AF148" s="30"/>
      <c r="AG148" s="30"/>
      <c r="AH148" s="30"/>
    </row>
    <row r="149" spans="1:34" ht="13">
      <c r="A149" s="30" t="s">
        <v>339</v>
      </c>
      <c r="B149" s="30" t="s">
        <v>260</v>
      </c>
      <c r="C149" s="30" t="s">
        <v>261</v>
      </c>
      <c r="D149" s="30" t="s">
        <v>262</v>
      </c>
      <c r="E149" s="30" t="s">
        <v>645</v>
      </c>
      <c r="F149" s="30" t="s">
        <v>689</v>
      </c>
      <c r="G149" s="30" t="s">
        <v>690</v>
      </c>
      <c r="H149" s="48">
        <v>1985</v>
      </c>
      <c r="I149" s="49">
        <v>15224</v>
      </c>
      <c r="J149" s="49" t="s">
        <v>402</v>
      </c>
      <c r="K149" s="48" t="s">
        <v>402</v>
      </c>
      <c r="L149" s="50" t="s">
        <v>612</v>
      </c>
      <c r="M149" s="21" t="s">
        <v>341</v>
      </c>
      <c r="N149" s="30" t="s">
        <v>659</v>
      </c>
      <c r="O149" s="30"/>
      <c r="P149" s="30"/>
      <c r="Q149" s="30"/>
      <c r="R149" s="30"/>
      <c r="S149" s="30"/>
      <c r="T149" s="30"/>
      <c r="U149" s="30"/>
      <c r="V149" s="30"/>
      <c r="W149" s="30"/>
      <c r="X149" s="30"/>
      <c r="Y149" s="30"/>
      <c r="Z149" s="30"/>
      <c r="AA149" s="30"/>
      <c r="AB149" s="30"/>
      <c r="AC149" s="30"/>
      <c r="AD149" s="30"/>
      <c r="AE149" s="30"/>
      <c r="AF149" s="30"/>
      <c r="AG149" s="30"/>
      <c r="AH149" s="30"/>
    </row>
    <row r="150" spans="1:34" ht="13">
      <c r="A150" s="30" t="s">
        <v>339</v>
      </c>
      <c r="B150" s="30" t="s">
        <v>260</v>
      </c>
      <c r="C150" s="30" t="s">
        <v>261</v>
      </c>
      <c r="D150" s="30" t="s">
        <v>262</v>
      </c>
      <c r="E150" s="30" t="s">
        <v>645</v>
      </c>
      <c r="F150" s="30" t="s">
        <v>689</v>
      </c>
      <c r="G150" s="30" t="s">
        <v>690</v>
      </c>
      <c r="H150" s="48">
        <v>1986</v>
      </c>
      <c r="I150" s="49">
        <v>17896</v>
      </c>
      <c r="J150" s="49" t="s">
        <v>402</v>
      </c>
      <c r="K150" s="48" t="s">
        <v>402</v>
      </c>
      <c r="L150" s="50" t="s">
        <v>612</v>
      </c>
      <c r="M150" s="21" t="s">
        <v>341</v>
      </c>
      <c r="N150" s="30" t="s">
        <v>660</v>
      </c>
      <c r="O150" s="30"/>
      <c r="P150" s="30"/>
      <c r="Q150" s="30"/>
      <c r="R150" s="30"/>
      <c r="S150" s="30"/>
      <c r="T150" s="30"/>
      <c r="U150" s="30"/>
      <c r="V150" s="30"/>
      <c r="W150" s="30"/>
      <c r="X150" s="30"/>
      <c r="Y150" s="30"/>
      <c r="Z150" s="30"/>
      <c r="AA150" s="30"/>
      <c r="AB150" s="30"/>
      <c r="AC150" s="30"/>
      <c r="AD150" s="30"/>
      <c r="AE150" s="30"/>
      <c r="AF150" s="30"/>
      <c r="AG150" s="30"/>
      <c r="AH150" s="30"/>
    </row>
    <row r="151" spans="1:34" ht="13">
      <c r="A151" s="30" t="s">
        <v>339</v>
      </c>
      <c r="B151" s="30" t="s">
        <v>260</v>
      </c>
      <c r="C151" s="30" t="s">
        <v>261</v>
      </c>
      <c r="D151" s="30" t="s">
        <v>262</v>
      </c>
      <c r="E151" s="30" t="s">
        <v>645</v>
      </c>
      <c r="F151" s="30" t="s">
        <v>689</v>
      </c>
      <c r="G151" s="30" t="s">
        <v>690</v>
      </c>
      <c r="H151" s="48">
        <v>1987</v>
      </c>
      <c r="I151" s="49">
        <v>19796</v>
      </c>
      <c r="J151" s="49" t="s">
        <v>402</v>
      </c>
      <c r="K151" s="48" t="s">
        <v>402</v>
      </c>
      <c r="L151" s="50" t="s">
        <v>612</v>
      </c>
      <c r="M151" s="21" t="s">
        <v>341</v>
      </c>
      <c r="N151" s="30" t="s">
        <v>661</v>
      </c>
      <c r="O151" s="30"/>
      <c r="P151" s="30"/>
      <c r="Q151" s="30"/>
      <c r="R151" s="30"/>
      <c r="S151" s="30"/>
      <c r="T151" s="30"/>
      <c r="U151" s="30"/>
      <c r="V151" s="30"/>
      <c r="W151" s="30"/>
      <c r="X151" s="30"/>
      <c r="Y151" s="30"/>
      <c r="Z151" s="30"/>
      <c r="AA151" s="30"/>
      <c r="AB151" s="30"/>
      <c r="AC151" s="30"/>
      <c r="AD151" s="30"/>
      <c r="AE151" s="30"/>
      <c r="AF151" s="30"/>
      <c r="AG151" s="30"/>
      <c r="AH151" s="30"/>
    </row>
    <row r="152" spans="1:34" ht="13">
      <c r="A152" s="30" t="s">
        <v>339</v>
      </c>
      <c r="B152" s="30" t="s">
        <v>260</v>
      </c>
      <c r="C152" s="30" t="s">
        <v>261</v>
      </c>
      <c r="D152" s="30" t="s">
        <v>262</v>
      </c>
      <c r="E152" s="30" t="s">
        <v>645</v>
      </c>
      <c r="F152" s="30" t="s">
        <v>689</v>
      </c>
      <c r="G152" s="30" t="s">
        <v>690</v>
      </c>
      <c r="H152" s="48">
        <v>1988</v>
      </c>
      <c r="I152" s="49">
        <v>19452</v>
      </c>
      <c r="J152" s="49" t="s">
        <v>402</v>
      </c>
      <c r="K152" s="48" t="s">
        <v>402</v>
      </c>
      <c r="L152" s="50" t="s">
        <v>612</v>
      </c>
      <c r="M152" s="21" t="s">
        <v>341</v>
      </c>
      <c r="N152" s="30" t="s">
        <v>662</v>
      </c>
      <c r="O152" s="30"/>
      <c r="P152" s="30"/>
      <c r="Q152" s="30"/>
      <c r="R152" s="30"/>
      <c r="S152" s="30"/>
      <c r="T152" s="30"/>
      <c r="U152" s="30"/>
      <c r="V152" s="30"/>
      <c r="W152" s="30"/>
      <c r="X152" s="30"/>
      <c r="Y152" s="30"/>
      <c r="Z152" s="30"/>
      <c r="AA152" s="30"/>
      <c r="AB152" s="30"/>
      <c r="AC152" s="30"/>
      <c r="AD152" s="30"/>
      <c r="AE152" s="30"/>
      <c r="AF152" s="30"/>
      <c r="AG152" s="30"/>
      <c r="AH152" s="30"/>
    </row>
    <row r="153" spans="1:34" ht="13">
      <c r="A153" s="30" t="s">
        <v>339</v>
      </c>
      <c r="B153" s="30" t="s">
        <v>260</v>
      </c>
      <c r="C153" s="30" t="s">
        <v>261</v>
      </c>
      <c r="D153" s="30" t="s">
        <v>262</v>
      </c>
      <c r="E153" s="30" t="s">
        <v>645</v>
      </c>
      <c r="F153" s="30" t="s">
        <v>689</v>
      </c>
      <c r="G153" s="30" t="s">
        <v>690</v>
      </c>
      <c r="H153" s="48">
        <v>1989</v>
      </c>
      <c r="I153" s="49">
        <v>23757</v>
      </c>
      <c r="J153" s="49" t="s">
        <v>402</v>
      </c>
      <c r="K153" s="48" t="s">
        <v>402</v>
      </c>
      <c r="L153" s="50" t="s">
        <v>612</v>
      </c>
      <c r="M153" s="21" t="s">
        <v>341</v>
      </c>
      <c r="N153" s="30" t="s">
        <v>663</v>
      </c>
      <c r="O153" s="30"/>
      <c r="P153" s="30"/>
      <c r="Q153" s="30"/>
      <c r="R153" s="30"/>
      <c r="S153" s="30"/>
      <c r="T153" s="30"/>
      <c r="U153" s="30"/>
      <c r="V153" s="30"/>
      <c r="W153" s="30"/>
      <c r="X153" s="30"/>
      <c r="Y153" s="30"/>
      <c r="Z153" s="30"/>
      <c r="AA153" s="30"/>
      <c r="AB153" s="30"/>
      <c r="AC153" s="30"/>
      <c r="AD153" s="30"/>
      <c r="AE153" s="30"/>
      <c r="AF153" s="30"/>
      <c r="AG153" s="30"/>
      <c r="AH153" s="30"/>
    </row>
    <row r="154" spans="1:34" ht="13">
      <c r="A154" s="30" t="s">
        <v>339</v>
      </c>
      <c r="B154" s="30" t="s">
        <v>260</v>
      </c>
      <c r="C154" s="30" t="s">
        <v>261</v>
      </c>
      <c r="D154" s="30" t="s">
        <v>262</v>
      </c>
      <c r="E154" s="30" t="s">
        <v>645</v>
      </c>
      <c r="F154" s="30" t="s">
        <v>689</v>
      </c>
      <c r="G154" s="30" t="s">
        <v>690</v>
      </c>
      <c r="H154" s="48">
        <v>1990</v>
      </c>
      <c r="I154" s="49">
        <v>25422</v>
      </c>
      <c r="J154" s="49" t="s">
        <v>402</v>
      </c>
      <c r="K154" s="48" t="s">
        <v>402</v>
      </c>
      <c r="L154" s="50" t="s">
        <v>612</v>
      </c>
      <c r="M154" s="21" t="s">
        <v>341</v>
      </c>
      <c r="N154" s="30" t="s">
        <v>664</v>
      </c>
      <c r="O154" s="30"/>
      <c r="P154" s="30"/>
      <c r="Q154" s="30"/>
      <c r="R154" s="30"/>
      <c r="S154" s="30"/>
      <c r="T154" s="30"/>
      <c r="U154" s="30"/>
      <c r="V154" s="30"/>
      <c r="W154" s="30"/>
      <c r="X154" s="30"/>
      <c r="Y154" s="30"/>
      <c r="Z154" s="30"/>
      <c r="AA154" s="30"/>
      <c r="AB154" s="30"/>
      <c r="AC154" s="30"/>
      <c r="AD154" s="30"/>
      <c r="AE154" s="30"/>
      <c r="AF154" s="30"/>
      <c r="AG154" s="30"/>
      <c r="AH154" s="30"/>
    </row>
    <row r="155" spans="1:34" ht="13">
      <c r="A155" s="30" t="s">
        <v>339</v>
      </c>
      <c r="B155" s="30" t="s">
        <v>260</v>
      </c>
      <c r="C155" s="30" t="s">
        <v>261</v>
      </c>
      <c r="D155" s="30" t="s">
        <v>262</v>
      </c>
      <c r="E155" s="30" t="s">
        <v>645</v>
      </c>
      <c r="F155" s="30" t="s">
        <v>689</v>
      </c>
      <c r="G155" s="30" t="s">
        <v>690</v>
      </c>
      <c r="H155" s="48">
        <v>1991</v>
      </c>
      <c r="I155" s="49">
        <v>30747</v>
      </c>
      <c r="J155" s="49" t="s">
        <v>402</v>
      </c>
      <c r="K155" s="48" t="s">
        <v>402</v>
      </c>
      <c r="L155" s="50" t="s">
        <v>612</v>
      </c>
      <c r="M155" s="21" t="s">
        <v>341</v>
      </c>
      <c r="N155" s="30" t="s">
        <v>665</v>
      </c>
      <c r="O155" s="30"/>
      <c r="P155" s="30"/>
      <c r="Q155" s="30"/>
      <c r="R155" s="30"/>
      <c r="S155" s="30"/>
      <c r="T155" s="30"/>
      <c r="U155" s="30"/>
      <c r="V155" s="30"/>
      <c r="W155" s="30"/>
      <c r="X155" s="30"/>
      <c r="Y155" s="30"/>
      <c r="Z155" s="30"/>
      <c r="AA155" s="30"/>
      <c r="AB155" s="30"/>
      <c r="AC155" s="30"/>
      <c r="AD155" s="30"/>
      <c r="AE155" s="30"/>
      <c r="AF155" s="30"/>
      <c r="AG155" s="30"/>
      <c r="AH155" s="30"/>
    </row>
    <row r="156" spans="1:34" ht="13">
      <c r="A156" s="30" t="s">
        <v>339</v>
      </c>
      <c r="B156" s="30" t="s">
        <v>260</v>
      </c>
      <c r="C156" s="30" t="s">
        <v>261</v>
      </c>
      <c r="D156" s="30" t="s">
        <v>262</v>
      </c>
      <c r="E156" s="30" t="s">
        <v>645</v>
      </c>
      <c r="F156" s="30" t="s">
        <v>689</v>
      </c>
      <c r="G156" s="30" t="s">
        <v>690</v>
      </c>
      <c r="H156" s="48">
        <v>1992</v>
      </c>
      <c r="I156" s="49">
        <v>22364</v>
      </c>
      <c r="J156" s="49" t="s">
        <v>402</v>
      </c>
      <c r="K156" s="48" t="s">
        <v>402</v>
      </c>
      <c r="L156" s="50" t="s">
        <v>612</v>
      </c>
      <c r="M156" s="21" t="s">
        <v>341</v>
      </c>
      <c r="N156" s="30" t="s">
        <v>666</v>
      </c>
      <c r="O156" s="30"/>
      <c r="P156" s="30"/>
      <c r="Q156" s="30"/>
      <c r="R156" s="30"/>
      <c r="S156" s="30"/>
      <c r="T156" s="30"/>
      <c r="U156" s="30"/>
      <c r="V156" s="30"/>
      <c r="W156" s="30"/>
      <c r="X156" s="30"/>
      <c r="Y156" s="30"/>
      <c r="Z156" s="30"/>
      <c r="AA156" s="30"/>
      <c r="AB156" s="30"/>
      <c r="AC156" s="30"/>
      <c r="AD156" s="30"/>
      <c r="AE156" s="30"/>
      <c r="AF156" s="30"/>
      <c r="AG156" s="30"/>
      <c r="AH156" s="30"/>
    </row>
    <row r="157" spans="1:34" ht="13">
      <c r="A157" s="30" t="s">
        <v>339</v>
      </c>
      <c r="B157" s="30" t="s">
        <v>260</v>
      </c>
      <c r="C157" s="30" t="s">
        <v>261</v>
      </c>
      <c r="D157" s="30" t="s">
        <v>262</v>
      </c>
      <c r="E157" s="30" t="s">
        <v>645</v>
      </c>
      <c r="F157" s="30" t="s">
        <v>689</v>
      </c>
      <c r="G157" s="30" t="s">
        <v>690</v>
      </c>
      <c r="H157" s="48">
        <v>1993</v>
      </c>
      <c r="I157" s="49">
        <v>24274</v>
      </c>
      <c r="J157" s="49" t="s">
        <v>402</v>
      </c>
      <c r="K157" s="48" t="s">
        <v>402</v>
      </c>
      <c r="L157" s="50" t="s">
        <v>612</v>
      </c>
      <c r="M157" s="21" t="s">
        <v>341</v>
      </c>
      <c r="N157" s="30" t="s">
        <v>667</v>
      </c>
      <c r="O157" s="30"/>
      <c r="P157" s="30"/>
      <c r="Q157" s="30"/>
      <c r="R157" s="30"/>
      <c r="S157" s="30"/>
      <c r="T157" s="30"/>
      <c r="U157" s="30"/>
      <c r="V157" s="30"/>
      <c r="W157" s="30"/>
      <c r="X157" s="30"/>
      <c r="Y157" s="30"/>
      <c r="Z157" s="30"/>
      <c r="AA157" s="30"/>
      <c r="AB157" s="30"/>
      <c r="AC157" s="30"/>
      <c r="AD157" s="30"/>
      <c r="AE157" s="30"/>
      <c r="AF157" s="30"/>
      <c r="AG157" s="30"/>
      <c r="AH157" s="30"/>
    </row>
    <row r="158" spans="1:34" ht="13">
      <c r="A158" s="30" t="s">
        <v>339</v>
      </c>
      <c r="B158" s="30" t="s">
        <v>260</v>
      </c>
      <c r="C158" s="30" t="s">
        <v>261</v>
      </c>
      <c r="D158" s="30" t="s">
        <v>262</v>
      </c>
      <c r="E158" s="30" t="s">
        <v>645</v>
      </c>
      <c r="F158" s="30" t="s">
        <v>689</v>
      </c>
      <c r="G158" s="30" t="s">
        <v>690</v>
      </c>
      <c r="H158" s="48">
        <v>1994</v>
      </c>
      <c r="I158" s="49">
        <v>36184</v>
      </c>
      <c r="J158" s="49" t="s">
        <v>402</v>
      </c>
      <c r="K158" s="48" t="s">
        <v>402</v>
      </c>
      <c r="L158" s="50" t="s">
        <v>612</v>
      </c>
      <c r="M158" s="21" t="s">
        <v>341</v>
      </c>
      <c r="N158" s="30" t="s">
        <v>668</v>
      </c>
      <c r="O158" s="30"/>
      <c r="P158" s="30"/>
      <c r="Q158" s="30"/>
      <c r="R158" s="30"/>
      <c r="S158" s="30"/>
      <c r="T158" s="30"/>
      <c r="U158" s="30"/>
      <c r="V158" s="30"/>
      <c r="W158" s="30"/>
      <c r="X158" s="30"/>
      <c r="Y158" s="30"/>
      <c r="Z158" s="30"/>
      <c r="AA158" s="30"/>
      <c r="AB158" s="30"/>
      <c r="AC158" s="30"/>
      <c r="AD158" s="30"/>
      <c r="AE158" s="30"/>
      <c r="AF158" s="30"/>
      <c r="AG158" s="30"/>
      <c r="AH158" s="30"/>
    </row>
    <row r="159" spans="1:34" ht="13">
      <c r="A159" s="30" t="s">
        <v>339</v>
      </c>
      <c r="B159" s="30" t="s">
        <v>260</v>
      </c>
      <c r="C159" s="30" t="s">
        <v>261</v>
      </c>
      <c r="D159" s="30" t="s">
        <v>262</v>
      </c>
      <c r="E159" s="30" t="s">
        <v>645</v>
      </c>
      <c r="F159" s="30" t="s">
        <v>689</v>
      </c>
      <c r="G159" s="30" t="s">
        <v>690</v>
      </c>
      <c r="H159" s="48">
        <v>1995</v>
      </c>
      <c r="I159" s="49">
        <v>36073</v>
      </c>
      <c r="J159" s="49" t="s">
        <v>402</v>
      </c>
      <c r="K159" s="48" t="s">
        <v>402</v>
      </c>
      <c r="L159" s="50" t="s">
        <v>612</v>
      </c>
      <c r="M159" s="21" t="s">
        <v>341</v>
      </c>
      <c r="N159" s="30" t="s">
        <v>669</v>
      </c>
      <c r="O159" s="30"/>
      <c r="P159" s="30"/>
      <c r="Q159" s="30"/>
      <c r="R159" s="30"/>
      <c r="S159" s="30"/>
      <c r="T159" s="30"/>
      <c r="U159" s="30"/>
      <c r="V159" s="30"/>
      <c r="W159" s="30"/>
      <c r="X159" s="30"/>
      <c r="Y159" s="30"/>
      <c r="Z159" s="30"/>
      <c r="AA159" s="30"/>
      <c r="AB159" s="30"/>
      <c r="AC159" s="30"/>
      <c r="AD159" s="30"/>
      <c r="AE159" s="30"/>
      <c r="AF159" s="30"/>
      <c r="AG159" s="30"/>
      <c r="AH159" s="30"/>
    </row>
    <row r="160" spans="1:34" ht="13">
      <c r="A160" s="30" t="s">
        <v>339</v>
      </c>
      <c r="B160" s="30" t="s">
        <v>260</v>
      </c>
      <c r="C160" s="30" t="s">
        <v>261</v>
      </c>
      <c r="D160" s="30" t="s">
        <v>262</v>
      </c>
      <c r="E160" s="30" t="s">
        <v>645</v>
      </c>
      <c r="F160" s="30" t="s">
        <v>689</v>
      </c>
      <c r="G160" s="30" t="s">
        <v>690</v>
      </c>
      <c r="H160" s="48">
        <v>1996</v>
      </c>
      <c r="I160" s="49">
        <v>41044</v>
      </c>
      <c r="J160" s="49" t="s">
        <v>402</v>
      </c>
      <c r="K160" s="48" t="s">
        <v>402</v>
      </c>
      <c r="L160" s="50" t="s">
        <v>612</v>
      </c>
      <c r="M160" s="21" t="s">
        <v>341</v>
      </c>
      <c r="N160" s="30" t="s">
        <v>670</v>
      </c>
      <c r="O160" s="30"/>
      <c r="P160" s="30"/>
      <c r="Q160" s="30"/>
      <c r="R160" s="30"/>
      <c r="S160" s="30"/>
      <c r="T160" s="30"/>
      <c r="U160" s="30"/>
      <c r="V160" s="30"/>
      <c r="W160" s="30"/>
      <c r="X160" s="30"/>
      <c r="Y160" s="30"/>
      <c r="Z160" s="30"/>
      <c r="AA160" s="30"/>
      <c r="AB160" s="30"/>
      <c r="AC160" s="30"/>
      <c r="AD160" s="30"/>
      <c r="AE160" s="30"/>
      <c r="AF160" s="30"/>
      <c r="AG160" s="30"/>
      <c r="AH160" s="30"/>
    </row>
    <row r="161" spans="1:34" ht="13">
      <c r="A161" s="30" t="s">
        <v>339</v>
      </c>
      <c r="B161" s="30" t="s">
        <v>260</v>
      </c>
      <c r="C161" s="30" t="s">
        <v>261</v>
      </c>
      <c r="D161" s="30" t="s">
        <v>262</v>
      </c>
      <c r="E161" s="30" t="s">
        <v>645</v>
      </c>
      <c r="F161" s="30" t="s">
        <v>689</v>
      </c>
      <c r="G161" s="30" t="s">
        <v>690</v>
      </c>
      <c r="H161" s="48">
        <v>1997</v>
      </c>
      <c r="I161" s="49">
        <v>39245</v>
      </c>
      <c r="J161" s="49" t="s">
        <v>402</v>
      </c>
      <c r="K161" s="48" t="s">
        <v>402</v>
      </c>
      <c r="L161" s="50" t="s">
        <v>612</v>
      </c>
      <c r="M161" s="21" t="s">
        <v>341</v>
      </c>
      <c r="N161" s="30" t="s">
        <v>671</v>
      </c>
      <c r="O161" s="30"/>
      <c r="P161" s="30"/>
      <c r="Q161" s="30"/>
      <c r="R161" s="30"/>
      <c r="S161" s="30"/>
      <c r="T161" s="30"/>
      <c r="U161" s="30"/>
      <c r="V161" s="30"/>
      <c r="W161" s="30"/>
      <c r="X161" s="30"/>
      <c r="Y161" s="30"/>
      <c r="Z161" s="30"/>
      <c r="AA161" s="30"/>
      <c r="AB161" s="30"/>
      <c r="AC161" s="30"/>
      <c r="AD161" s="30"/>
      <c r="AE161" s="30"/>
      <c r="AF161" s="30"/>
      <c r="AG161" s="30"/>
      <c r="AH161" s="30"/>
    </row>
    <row r="162" spans="1:34" ht="13">
      <c r="A162" s="30" t="s">
        <v>339</v>
      </c>
      <c r="B162" s="30" t="s">
        <v>260</v>
      </c>
      <c r="C162" s="30" t="s">
        <v>261</v>
      </c>
      <c r="D162" s="30" t="s">
        <v>262</v>
      </c>
      <c r="E162" s="30" t="s">
        <v>645</v>
      </c>
      <c r="F162" s="30" t="s">
        <v>689</v>
      </c>
      <c r="G162" s="30" t="s">
        <v>690</v>
      </c>
      <c r="H162" s="48">
        <v>1998</v>
      </c>
      <c r="I162" s="49">
        <v>14506</v>
      </c>
      <c r="J162" s="49" t="s">
        <v>402</v>
      </c>
      <c r="K162" s="48" t="s">
        <v>402</v>
      </c>
      <c r="L162" s="50" t="s">
        <v>612</v>
      </c>
      <c r="M162" s="21" t="s">
        <v>341</v>
      </c>
      <c r="N162" s="30" t="s">
        <v>672</v>
      </c>
      <c r="O162" s="30"/>
      <c r="P162" s="30"/>
      <c r="Q162" s="30"/>
      <c r="R162" s="30"/>
      <c r="S162" s="30"/>
      <c r="T162" s="30"/>
      <c r="U162" s="30"/>
      <c r="V162" s="30"/>
      <c r="W162" s="30"/>
      <c r="X162" s="30"/>
      <c r="Y162" s="30"/>
      <c r="Z162" s="30"/>
      <c r="AA162" s="30"/>
      <c r="AB162" s="30"/>
      <c r="AC162" s="30"/>
      <c r="AD162" s="30"/>
      <c r="AE162" s="30"/>
      <c r="AF162" s="30"/>
      <c r="AG162" s="30"/>
      <c r="AH162" s="30"/>
    </row>
    <row r="163" spans="1:34" ht="13">
      <c r="A163" s="30" t="s">
        <v>339</v>
      </c>
      <c r="B163" s="30" t="s">
        <v>260</v>
      </c>
      <c r="C163" s="30" t="s">
        <v>261</v>
      </c>
      <c r="D163" s="30" t="s">
        <v>262</v>
      </c>
      <c r="E163" s="30" t="s">
        <v>645</v>
      </c>
      <c r="F163" s="30" t="s">
        <v>689</v>
      </c>
      <c r="G163" s="30" t="s">
        <v>690</v>
      </c>
      <c r="H163" s="48">
        <v>1999</v>
      </c>
      <c r="I163" s="49">
        <v>41695</v>
      </c>
      <c r="J163" s="49" t="s">
        <v>402</v>
      </c>
      <c r="K163" s="48" t="s">
        <v>402</v>
      </c>
      <c r="L163" s="50" t="s">
        <v>612</v>
      </c>
      <c r="M163" s="21" t="s">
        <v>341</v>
      </c>
      <c r="N163" s="30" t="s">
        <v>673</v>
      </c>
      <c r="O163" s="30"/>
      <c r="P163" s="30"/>
      <c r="Q163" s="30"/>
      <c r="R163" s="30"/>
      <c r="S163" s="30"/>
      <c r="T163" s="30"/>
      <c r="U163" s="30"/>
      <c r="V163" s="30"/>
      <c r="W163" s="30"/>
      <c r="X163" s="30"/>
      <c r="Y163" s="30"/>
      <c r="Z163" s="30"/>
      <c r="AA163" s="30"/>
      <c r="AB163" s="30"/>
      <c r="AC163" s="30"/>
      <c r="AD163" s="30"/>
      <c r="AE163" s="30"/>
      <c r="AF163" s="30"/>
      <c r="AG163" s="30"/>
      <c r="AH163" s="30"/>
    </row>
    <row r="164" spans="1:34" ht="13">
      <c r="A164" s="30" t="s">
        <v>339</v>
      </c>
      <c r="B164" s="30" t="s">
        <v>260</v>
      </c>
      <c r="C164" s="30" t="s">
        <v>261</v>
      </c>
      <c r="D164" s="30" t="s">
        <v>262</v>
      </c>
      <c r="E164" s="30" t="s">
        <v>645</v>
      </c>
      <c r="F164" s="30" t="s">
        <v>689</v>
      </c>
      <c r="G164" s="30" t="s">
        <v>690</v>
      </c>
      <c r="H164" s="48">
        <v>2000</v>
      </c>
      <c r="I164" s="49">
        <v>49372</v>
      </c>
      <c r="J164" s="49" t="s">
        <v>402</v>
      </c>
      <c r="K164" s="48" t="s">
        <v>402</v>
      </c>
      <c r="L164" s="50" t="s">
        <v>612</v>
      </c>
      <c r="M164" s="21" t="s">
        <v>341</v>
      </c>
      <c r="N164" s="30" t="s">
        <v>674</v>
      </c>
      <c r="O164" s="30"/>
      <c r="P164" s="30"/>
      <c r="Q164" s="30"/>
      <c r="R164" s="30"/>
      <c r="S164" s="30"/>
      <c r="T164" s="30"/>
      <c r="U164" s="30"/>
      <c r="V164" s="30"/>
      <c r="W164" s="30"/>
      <c r="X164" s="30"/>
      <c r="Y164" s="30"/>
      <c r="Z164" s="30"/>
      <c r="AA164" s="30"/>
      <c r="AB164" s="30"/>
      <c r="AC164" s="30"/>
      <c r="AD164" s="30"/>
      <c r="AE164" s="30"/>
      <c r="AF164" s="30"/>
      <c r="AG164" s="30"/>
      <c r="AH164" s="30"/>
    </row>
    <row r="165" spans="1:34" ht="13">
      <c r="A165" s="30" t="s">
        <v>339</v>
      </c>
      <c r="B165" s="30" t="s">
        <v>260</v>
      </c>
      <c r="C165" s="30" t="s">
        <v>261</v>
      </c>
      <c r="D165" s="30" t="s">
        <v>262</v>
      </c>
      <c r="E165" s="30" t="s">
        <v>645</v>
      </c>
      <c r="F165" s="30" t="s">
        <v>689</v>
      </c>
      <c r="G165" s="30" t="s">
        <v>690</v>
      </c>
      <c r="H165" s="48">
        <v>2001</v>
      </c>
      <c r="I165" s="49">
        <v>49078</v>
      </c>
      <c r="J165" s="49" t="s">
        <v>402</v>
      </c>
      <c r="K165" s="48" t="s">
        <v>402</v>
      </c>
      <c r="L165" s="50" t="s">
        <v>612</v>
      </c>
      <c r="M165" s="21" t="s">
        <v>341</v>
      </c>
      <c r="N165" s="30" t="s">
        <v>675</v>
      </c>
      <c r="O165" s="30"/>
      <c r="P165" s="30"/>
      <c r="Q165" s="30"/>
      <c r="R165" s="30"/>
      <c r="S165" s="30"/>
      <c r="T165" s="30"/>
      <c r="U165" s="30"/>
      <c r="V165" s="30"/>
      <c r="W165" s="30"/>
      <c r="X165" s="30"/>
      <c r="Y165" s="30"/>
      <c r="Z165" s="30"/>
      <c r="AA165" s="30"/>
      <c r="AB165" s="30"/>
      <c r="AC165" s="30"/>
      <c r="AD165" s="30"/>
      <c r="AE165" s="30"/>
      <c r="AF165" s="30"/>
      <c r="AG165" s="30"/>
      <c r="AH165" s="30"/>
    </row>
    <row r="166" spans="1:34" ht="13">
      <c r="A166" s="30" t="s">
        <v>339</v>
      </c>
      <c r="B166" s="30" t="s">
        <v>260</v>
      </c>
      <c r="C166" s="30" t="s">
        <v>261</v>
      </c>
      <c r="D166" s="30" t="s">
        <v>262</v>
      </c>
      <c r="E166" s="30" t="s">
        <v>645</v>
      </c>
      <c r="F166" s="30" t="s">
        <v>689</v>
      </c>
      <c r="G166" s="30" t="s">
        <v>690</v>
      </c>
      <c r="H166" s="48">
        <v>2002</v>
      </c>
      <c r="I166" s="49">
        <v>45658</v>
      </c>
      <c r="J166" s="49" t="s">
        <v>402</v>
      </c>
      <c r="K166" s="48" t="s">
        <v>402</v>
      </c>
      <c r="L166" s="50" t="s">
        <v>612</v>
      </c>
      <c r="M166" s="21" t="s">
        <v>341</v>
      </c>
      <c r="N166" s="30" t="s">
        <v>676</v>
      </c>
      <c r="O166" s="30"/>
      <c r="P166" s="30"/>
      <c r="Q166" s="30"/>
      <c r="R166" s="30"/>
      <c r="S166" s="30"/>
      <c r="T166" s="30"/>
      <c r="U166" s="30"/>
      <c r="V166" s="30"/>
      <c r="W166" s="30"/>
      <c r="X166" s="30"/>
      <c r="Y166" s="30"/>
      <c r="Z166" s="30"/>
      <c r="AA166" s="30"/>
      <c r="AB166" s="30"/>
      <c r="AC166" s="30"/>
      <c r="AD166" s="30"/>
      <c r="AE166" s="30"/>
      <c r="AF166" s="30"/>
      <c r="AG166" s="30"/>
      <c r="AH166" s="30"/>
    </row>
    <row r="167" spans="1:34" ht="13">
      <c r="A167" s="30" t="s">
        <v>339</v>
      </c>
      <c r="B167" s="30" t="s">
        <v>260</v>
      </c>
      <c r="C167" s="30" t="s">
        <v>261</v>
      </c>
      <c r="D167" s="30" t="s">
        <v>262</v>
      </c>
      <c r="E167" s="30" t="s">
        <v>645</v>
      </c>
      <c r="F167" s="30" t="s">
        <v>689</v>
      </c>
      <c r="G167" s="30" t="s">
        <v>690</v>
      </c>
      <c r="H167" s="48">
        <v>2003</v>
      </c>
      <c r="I167" s="49">
        <v>36659</v>
      </c>
      <c r="J167" s="49" t="s">
        <v>402</v>
      </c>
      <c r="K167" s="48" t="s">
        <v>402</v>
      </c>
      <c r="L167" s="50" t="s">
        <v>612</v>
      </c>
      <c r="M167" s="21" t="s">
        <v>341</v>
      </c>
      <c r="N167" s="30" t="s">
        <v>677</v>
      </c>
      <c r="O167" s="30"/>
      <c r="P167" s="30"/>
      <c r="Q167" s="30"/>
      <c r="R167" s="30"/>
      <c r="S167" s="30"/>
      <c r="T167" s="30"/>
      <c r="U167" s="30"/>
      <c r="V167" s="30"/>
      <c r="W167" s="30"/>
      <c r="X167" s="30"/>
      <c r="Y167" s="30"/>
      <c r="Z167" s="30"/>
      <c r="AA167" s="30"/>
      <c r="AB167" s="30"/>
      <c r="AC167" s="30"/>
      <c r="AD167" s="30"/>
      <c r="AE167" s="30"/>
      <c r="AF167" s="30"/>
      <c r="AG167" s="30"/>
      <c r="AH167" s="30"/>
    </row>
    <row r="168" spans="1:34" ht="13">
      <c r="A168" s="30" t="s">
        <v>339</v>
      </c>
      <c r="B168" s="30" t="s">
        <v>260</v>
      </c>
      <c r="C168" s="30" t="s">
        <v>261</v>
      </c>
      <c r="D168" s="30" t="s">
        <v>262</v>
      </c>
      <c r="E168" s="30" t="s">
        <v>645</v>
      </c>
      <c r="F168" s="30" t="s">
        <v>689</v>
      </c>
      <c r="G168" s="30" t="s">
        <v>690</v>
      </c>
      <c r="H168" s="48">
        <v>2004</v>
      </c>
      <c r="I168" s="49">
        <v>43490</v>
      </c>
      <c r="J168" s="49" t="s">
        <v>402</v>
      </c>
      <c r="K168" s="48" t="s">
        <v>402</v>
      </c>
      <c r="L168" s="50" t="s">
        <v>612</v>
      </c>
      <c r="M168" s="21" t="s">
        <v>341</v>
      </c>
      <c r="N168" s="30" t="s">
        <v>678</v>
      </c>
      <c r="O168" s="30"/>
      <c r="P168" s="30"/>
      <c r="Q168" s="30"/>
      <c r="R168" s="30"/>
      <c r="S168" s="30"/>
      <c r="T168" s="30"/>
      <c r="U168" s="30"/>
      <c r="V168" s="30"/>
      <c r="W168" s="30"/>
      <c r="X168" s="30"/>
      <c r="Y168" s="30"/>
      <c r="Z168" s="30"/>
      <c r="AA168" s="30"/>
      <c r="AB168" s="30"/>
      <c r="AC168" s="30"/>
      <c r="AD168" s="30"/>
      <c r="AE168" s="30"/>
      <c r="AF168" s="30"/>
      <c r="AG168" s="30"/>
      <c r="AH168" s="30"/>
    </row>
    <row r="169" spans="1:34" ht="13">
      <c r="A169" s="30" t="s">
        <v>339</v>
      </c>
      <c r="B169" s="30" t="s">
        <v>260</v>
      </c>
      <c r="C169" s="30" t="s">
        <v>261</v>
      </c>
      <c r="D169" s="30" t="s">
        <v>262</v>
      </c>
      <c r="E169" s="30" t="s">
        <v>645</v>
      </c>
      <c r="F169" s="30" t="s">
        <v>689</v>
      </c>
      <c r="G169" s="30" t="s">
        <v>690</v>
      </c>
      <c r="H169" s="48">
        <v>2005</v>
      </c>
      <c r="I169" s="49">
        <v>48331</v>
      </c>
      <c r="J169" s="49" t="s">
        <v>402</v>
      </c>
      <c r="K169" s="48" t="s">
        <v>402</v>
      </c>
      <c r="L169" s="50" t="s">
        <v>612</v>
      </c>
      <c r="M169" s="21" t="s">
        <v>341</v>
      </c>
      <c r="N169" s="30" t="s">
        <v>679</v>
      </c>
      <c r="O169" s="30"/>
      <c r="P169" s="30"/>
      <c r="Q169" s="30"/>
      <c r="R169" s="30"/>
      <c r="S169" s="30"/>
      <c r="T169" s="30"/>
      <c r="U169" s="30"/>
      <c r="V169" s="30"/>
      <c r="W169" s="30"/>
      <c r="X169" s="30"/>
      <c r="Y169" s="30"/>
      <c r="Z169" s="30"/>
      <c r="AA169" s="30"/>
      <c r="AB169" s="30"/>
      <c r="AC169" s="30"/>
      <c r="AD169" s="30"/>
      <c r="AE169" s="30"/>
      <c r="AF169" s="30"/>
      <c r="AG169" s="30"/>
      <c r="AH169" s="30"/>
    </row>
    <row r="170" spans="1:34" ht="13">
      <c r="A170" s="30" t="s">
        <v>339</v>
      </c>
      <c r="B170" s="30" t="s">
        <v>260</v>
      </c>
      <c r="C170" s="30" t="s">
        <v>261</v>
      </c>
      <c r="D170" s="30" t="s">
        <v>262</v>
      </c>
      <c r="E170" s="30" t="s">
        <v>645</v>
      </c>
      <c r="F170" s="30" t="s">
        <v>689</v>
      </c>
      <c r="G170" s="30" t="s">
        <v>690</v>
      </c>
      <c r="H170" s="48">
        <v>2006</v>
      </c>
      <c r="I170" s="49">
        <v>56144</v>
      </c>
      <c r="J170" s="49" t="s">
        <v>402</v>
      </c>
      <c r="K170" s="48" t="s">
        <v>402</v>
      </c>
      <c r="L170" s="50" t="s">
        <v>612</v>
      </c>
      <c r="M170" s="21" t="s">
        <v>341</v>
      </c>
      <c r="N170" s="30" t="s">
        <v>680</v>
      </c>
      <c r="O170" s="30"/>
      <c r="P170" s="30"/>
      <c r="Q170" s="30"/>
      <c r="R170" s="30"/>
      <c r="S170" s="30"/>
      <c r="T170" s="30"/>
      <c r="U170" s="30"/>
      <c r="V170" s="30"/>
      <c r="W170" s="30"/>
      <c r="X170" s="30"/>
      <c r="Y170" s="30"/>
      <c r="Z170" s="30"/>
      <c r="AA170" s="30"/>
      <c r="AB170" s="30"/>
      <c r="AC170" s="30"/>
      <c r="AD170" s="30"/>
      <c r="AE170" s="30"/>
      <c r="AF170" s="30"/>
      <c r="AG170" s="30"/>
      <c r="AH170" s="30"/>
    </row>
    <row r="171" spans="1:34" ht="13">
      <c r="A171" s="30" t="s">
        <v>339</v>
      </c>
      <c r="B171" s="30" t="s">
        <v>260</v>
      </c>
      <c r="C171" s="30" t="s">
        <v>261</v>
      </c>
      <c r="D171" s="30" t="s">
        <v>262</v>
      </c>
      <c r="E171" s="30" t="s">
        <v>645</v>
      </c>
      <c r="F171" s="30" t="s">
        <v>689</v>
      </c>
      <c r="G171" s="30" t="s">
        <v>690</v>
      </c>
      <c r="H171" s="48">
        <v>2007</v>
      </c>
      <c r="I171" s="49">
        <v>54088</v>
      </c>
      <c r="J171" s="49" t="s">
        <v>402</v>
      </c>
      <c r="K171" s="48" t="s">
        <v>402</v>
      </c>
      <c r="L171" s="50" t="s">
        <v>612</v>
      </c>
      <c r="M171" s="21" t="s">
        <v>341</v>
      </c>
      <c r="N171" s="30" t="s">
        <v>681</v>
      </c>
      <c r="O171" s="30"/>
      <c r="P171" s="30"/>
      <c r="Q171" s="30"/>
      <c r="R171" s="30"/>
      <c r="S171" s="30"/>
      <c r="T171" s="30"/>
      <c r="U171" s="30"/>
      <c r="V171" s="30"/>
      <c r="W171" s="30"/>
      <c r="X171" s="30"/>
      <c r="Y171" s="30"/>
      <c r="Z171" s="30"/>
      <c r="AA171" s="30"/>
      <c r="AB171" s="30"/>
      <c r="AC171" s="30"/>
      <c r="AD171" s="30"/>
      <c r="AE171" s="30"/>
      <c r="AF171" s="30"/>
      <c r="AG171" s="30"/>
      <c r="AH171" s="30"/>
    </row>
    <row r="172" spans="1:34" ht="13">
      <c r="A172" s="30" t="s">
        <v>339</v>
      </c>
      <c r="B172" s="30" t="s">
        <v>260</v>
      </c>
      <c r="C172" s="30" t="s">
        <v>261</v>
      </c>
      <c r="D172" s="30" t="s">
        <v>262</v>
      </c>
      <c r="E172" s="30" t="s">
        <v>645</v>
      </c>
      <c r="F172" s="30" t="s">
        <v>689</v>
      </c>
      <c r="G172" s="30" t="s">
        <v>690</v>
      </c>
      <c r="H172" s="48">
        <v>2008</v>
      </c>
      <c r="I172" s="49">
        <v>59774</v>
      </c>
      <c r="J172" s="49" t="s">
        <v>402</v>
      </c>
      <c r="K172" s="48" t="s">
        <v>402</v>
      </c>
      <c r="L172" s="50" t="s">
        <v>612</v>
      </c>
      <c r="M172" s="21" t="s">
        <v>341</v>
      </c>
      <c r="N172" s="30" t="s">
        <v>682</v>
      </c>
      <c r="O172" s="30"/>
      <c r="P172" s="30"/>
      <c r="Q172" s="30"/>
      <c r="R172" s="30"/>
      <c r="S172" s="30"/>
      <c r="T172" s="30"/>
      <c r="U172" s="30"/>
      <c r="V172" s="30"/>
      <c r="W172" s="30"/>
      <c r="X172" s="30"/>
      <c r="Y172" s="30"/>
      <c r="Z172" s="30"/>
      <c r="AA172" s="30"/>
      <c r="AB172" s="30"/>
      <c r="AC172" s="30"/>
      <c r="AD172" s="30"/>
      <c r="AE172" s="30"/>
      <c r="AF172" s="30"/>
      <c r="AG172" s="30"/>
      <c r="AH172" s="30"/>
    </row>
    <row r="173" spans="1:34" ht="13">
      <c r="A173" s="30" t="s">
        <v>339</v>
      </c>
      <c r="B173" s="30" t="s">
        <v>260</v>
      </c>
      <c r="C173" s="30" t="s">
        <v>261</v>
      </c>
      <c r="D173" s="30" t="s">
        <v>262</v>
      </c>
      <c r="E173" s="30" t="s">
        <v>645</v>
      </c>
      <c r="F173" s="30" t="s">
        <v>689</v>
      </c>
      <c r="G173" s="30" t="s">
        <v>690</v>
      </c>
      <c r="H173" s="48">
        <v>2009</v>
      </c>
      <c r="I173" s="49">
        <v>35914</v>
      </c>
      <c r="J173" s="49" t="s">
        <v>402</v>
      </c>
      <c r="K173" s="48" t="s">
        <v>402</v>
      </c>
      <c r="L173" s="50" t="s">
        <v>612</v>
      </c>
      <c r="M173" s="21" t="s">
        <v>341</v>
      </c>
      <c r="N173" s="30" t="s">
        <v>683</v>
      </c>
      <c r="O173" s="30"/>
      <c r="P173" s="30"/>
      <c r="Q173" s="30"/>
      <c r="R173" s="30"/>
      <c r="S173" s="30"/>
      <c r="T173" s="30"/>
      <c r="U173" s="30"/>
      <c r="V173" s="30"/>
      <c r="W173" s="30"/>
      <c r="X173" s="30"/>
      <c r="Y173" s="30"/>
      <c r="Z173" s="30"/>
      <c r="AA173" s="30"/>
      <c r="AB173" s="30"/>
      <c r="AC173" s="30"/>
      <c r="AD173" s="30"/>
      <c r="AE173" s="30"/>
      <c r="AF173" s="30"/>
      <c r="AG173" s="30"/>
      <c r="AH173" s="30"/>
    </row>
    <row r="174" spans="1:34" ht="13">
      <c r="A174" s="30" t="s">
        <v>339</v>
      </c>
      <c r="B174" s="30" t="s">
        <v>260</v>
      </c>
      <c r="C174" s="30" t="s">
        <v>261</v>
      </c>
      <c r="D174" s="30" t="s">
        <v>262</v>
      </c>
      <c r="E174" s="30" t="s">
        <v>645</v>
      </c>
      <c r="F174" s="30" t="s">
        <v>689</v>
      </c>
      <c r="G174" s="30" t="s">
        <v>690</v>
      </c>
      <c r="H174" s="48">
        <v>2010</v>
      </c>
      <c r="I174" s="49">
        <v>33873</v>
      </c>
      <c r="J174" s="49" t="s">
        <v>402</v>
      </c>
      <c r="K174" s="48" t="s">
        <v>402</v>
      </c>
      <c r="L174" s="50" t="s">
        <v>612</v>
      </c>
      <c r="M174" s="21" t="s">
        <v>341</v>
      </c>
      <c r="N174" s="30" t="s">
        <v>684</v>
      </c>
      <c r="O174" s="30"/>
      <c r="P174" s="30"/>
      <c r="Q174" s="30"/>
      <c r="R174" s="30"/>
      <c r="S174" s="30"/>
      <c r="T174" s="30"/>
      <c r="U174" s="30"/>
      <c r="V174" s="30"/>
      <c r="W174" s="30"/>
      <c r="X174" s="30"/>
      <c r="Y174" s="30"/>
      <c r="Z174" s="30"/>
      <c r="AA174" s="30"/>
      <c r="AB174" s="30"/>
      <c r="AC174" s="30"/>
      <c r="AD174" s="30"/>
      <c r="AE174" s="30"/>
      <c r="AF174" s="30"/>
      <c r="AG174" s="30"/>
      <c r="AH174" s="30"/>
    </row>
    <row r="175" spans="1:34" ht="13">
      <c r="A175" s="30" t="s">
        <v>339</v>
      </c>
      <c r="B175" s="30" t="s">
        <v>260</v>
      </c>
      <c r="C175" s="30" t="s">
        <v>261</v>
      </c>
      <c r="D175" s="30" t="s">
        <v>262</v>
      </c>
      <c r="E175" s="30" t="s">
        <v>645</v>
      </c>
      <c r="F175" s="30" t="s">
        <v>689</v>
      </c>
      <c r="G175" s="30" t="s">
        <v>690</v>
      </c>
      <c r="H175" s="48">
        <v>2011</v>
      </c>
      <c r="I175" s="49">
        <v>62109</v>
      </c>
      <c r="J175" s="49" t="s">
        <v>402</v>
      </c>
      <c r="K175" s="48" t="s">
        <v>402</v>
      </c>
      <c r="L175" s="50" t="s">
        <v>612</v>
      </c>
      <c r="M175" s="21" t="s">
        <v>341</v>
      </c>
      <c r="N175" s="30" t="s">
        <v>685</v>
      </c>
      <c r="O175" s="30"/>
      <c r="P175" s="30"/>
      <c r="Q175" s="30"/>
      <c r="R175" s="30"/>
      <c r="S175" s="30"/>
      <c r="T175" s="30"/>
      <c r="U175" s="30"/>
      <c r="V175" s="30"/>
      <c r="W175" s="30"/>
      <c r="X175" s="30"/>
      <c r="Y175" s="30"/>
      <c r="Z175" s="30"/>
      <c r="AA175" s="30"/>
      <c r="AB175" s="30"/>
      <c r="AC175" s="30"/>
      <c r="AD175" s="30"/>
      <c r="AE175" s="30"/>
      <c r="AF175" s="30"/>
      <c r="AG175" s="30"/>
      <c r="AH175" s="30"/>
    </row>
    <row r="176" spans="1:34" ht="13">
      <c r="A176" s="30" t="s">
        <v>339</v>
      </c>
      <c r="B176" s="30" t="s">
        <v>260</v>
      </c>
      <c r="C176" s="30" t="s">
        <v>261</v>
      </c>
      <c r="D176" s="30" t="s">
        <v>262</v>
      </c>
      <c r="E176" s="30" t="s">
        <v>645</v>
      </c>
      <c r="F176" s="30" t="s">
        <v>689</v>
      </c>
      <c r="G176" s="30" t="s">
        <v>690</v>
      </c>
      <c r="H176" s="48">
        <v>2012</v>
      </c>
      <c r="I176" s="49">
        <v>67396</v>
      </c>
      <c r="J176" s="49" t="s">
        <v>402</v>
      </c>
      <c r="K176" s="48" t="s">
        <v>402</v>
      </c>
      <c r="L176" s="50" t="s">
        <v>612</v>
      </c>
      <c r="M176" s="21" t="s">
        <v>341</v>
      </c>
      <c r="N176" s="30" t="s">
        <v>686</v>
      </c>
      <c r="O176" s="30"/>
      <c r="P176" s="30"/>
      <c r="Q176" s="30"/>
      <c r="R176" s="30"/>
      <c r="S176" s="30"/>
      <c r="T176" s="30"/>
      <c r="U176" s="30"/>
      <c r="V176" s="30"/>
      <c r="W176" s="30"/>
      <c r="X176" s="30"/>
      <c r="Y176" s="30"/>
      <c r="Z176" s="30"/>
      <c r="AA176" s="30"/>
      <c r="AB176" s="30"/>
      <c r="AC176" s="30"/>
      <c r="AD176" s="30"/>
      <c r="AE176" s="30"/>
      <c r="AF176" s="30"/>
      <c r="AG176" s="30"/>
      <c r="AH176" s="30"/>
    </row>
    <row r="177" spans="1:34" ht="13">
      <c r="A177" s="30" t="s">
        <v>339</v>
      </c>
      <c r="B177" s="30" t="s">
        <v>260</v>
      </c>
      <c r="C177" s="30" t="s">
        <v>261</v>
      </c>
      <c r="D177" s="30" t="s">
        <v>262</v>
      </c>
      <c r="E177" s="30" t="s">
        <v>645</v>
      </c>
      <c r="F177" s="30" t="s">
        <v>689</v>
      </c>
      <c r="G177" s="30" t="s">
        <v>690</v>
      </c>
      <c r="H177" s="48">
        <v>2013</v>
      </c>
      <c r="I177" s="49">
        <v>42913</v>
      </c>
      <c r="J177" s="49" t="s">
        <v>402</v>
      </c>
      <c r="K177" s="48" t="s">
        <v>402</v>
      </c>
      <c r="L177" s="50" t="s">
        <v>612</v>
      </c>
      <c r="M177" s="21" t="s">
        <v>341</v>
      </c>
      <c r="N177" s="30" t="s">
        <v>687</v>
      </c>
      <c r="O177" s="30"/>
      <c r="P177" s="30"/>
      <c r="Q177" s="30"/>
      <c r="R177" s="30"/>
      <c r="S177" s="30"/>
      <c r="T177" s="30"/>
      <c r="U177" s="30"/>
      <c r="V177" s="30"/>
      <c r="W177" s="30"/>
      <c r="X177" s="30"/>
      <c r="Y177" s="30"/>
      <c r="Z177" s="30"/>
      <c r="AA177" s="30"/>
      <c r="AB177" s="30"/>
      <c r="AC177" s="30"/>
      <c r="AD177" s="30"/>
      <c r="AE177" s="30"/>
      <c r="AF177" s="30"/>
      <c r="AG177" s="30"/>
      <c r="AH177" s="30"/>
    </row>
    <row r="178" spans="1:34" ht="13">
      <c r="A178" s="30" t="s">
        <v>339</v>
      </c>
      <c r="B178" s="30" t="s">
        <v>260</v>
      </c>
      <c r="C178" s="30" t="s">
        <v>261</v>
      </c>
      <c r="D178" s="30" t="s">
        <v>262</v>
      </c>
      <c r="E178" s="30" t="s">
        <v>645</v>
      </c>
      <c r="F178" s="30" t="s">
        <v>689</v>
      </c>
      <c r="G178" s="30" t="s">
        <v>690</v>
      </c>
      <c r="H178" s="48">
        <v>2014</v>
      </c>
      <c r="I178" s="49">
        <v>47691</v>
      </c>
      <c r="J178" s="49" t="s">
        <v>402</v>
      </c>
      <c r="K178" s="48" t="s">
        <v>402</v>
      </c>
      <c r="L178" s="50" t="s">
        <v>612</v>
      </c>
      <c r="M178" s="21" t="s">
        <v>341</v>
      </c>
      <c r="N178" s="30" t="s">
        <v>688</v>
      </c>
      <c r="O178" s="30"/>
      <c r="P178" s="30"/>
      <c r="Q178" s="30"/>
      <c r="R178" s="30"/>
      <c r="S178" s="30"/>
      <c r="T178" s="30"/>
      <c r="U178" s="30"/>
      <c r="V178" s="30"/>
      <c r="W178" s="30"/>
      <c r="X178" s="30"/>
      <c r="Y178" s="30"/>
      <c r="Z178" s="30"/>
      <c r="AA178" s="30"/>
      <c r="AB178" s="30"/>
      <c r="AC178" s="30"/>
      <c r="AD178" s="30"/>
      <c r="AE178" s="30"/>
      <c r="AF178" s="30"/>
      <c r="AG178" s="30"/>
      <c r="AH178" s="30"/>
    </row>
    <row r="179" spans="1:34" ht="13">
      <c r="A179" s="18" t="s">
        <v>272</v>
      </c>
      <c r="B179" s="18" t="s">
        <v>260</v>
      </c>
      <c r="C179" s="18" t="s">
        <v>371</v>
      </c>
      <c r="D179" s="18" t="s">
        <v>691</v>
      </c>
      <c r="E179" s="18" t="s">
        <v>692</v>
      </c>
      <c r="F179" s="18" t="s">
        <v>610</v>
      </c>
      <c r="G179" s="27" t="s">
        <v>611</v>
      </c>
      <c r="H179" s="37">
        <v>1990.96875</v>
      </c>
      <c r="I179" s="37">
        <v>4860</v>
      </c>
      <c r="J179" s="37">
        <v>1619.5965417867401</v>
      </c>
      <c r="K179" s="37">
        <v>14207.492795389</v>
      </c>
      <c r="L179" s="38" t="s">
        <v>612</v>
      </c>
      <c r="M179" s="21" t="s">
        <v>311</v>
      </c>
      <c r="N179" s="18" t="s">
        <v>312</v>
      </c>
      <c r="O179" s="18" t="s">
        <v>693</v>
      </c>
    </row>
    <row r="180" spans="1:34" ht="13">
      <c r="A180" s="18" t="s">
        <v>272</v>
      </c>
      <c r="B180" s="18" t="s">
        <v>260</v>
      </c>
      <c r="C180" s="18" t="s">
        <v>371</v>
      </c>
      <c r="D180" s="18" t="s">
        <v>691</v>
      </c>
      <c r="E180" s="18" t="s">
        <v>692</v>
      </c>
      <c r="F180" s="18" t="s">
        <v>610</v>
      </c>
      <c r="G180" s="27" t="s">
        <v>611</v>
      </c>
      <c r="H180" s="37">
        <v>1993.03125</v>
      </c>
      <c r="I180" s="37">
        <v>4812</v>
      </c>
      <c r="J180" s="37">
        <v>1654.17867435159</v>
      </c>
      <c r="K180" s="37">
        <v>14311.2391930836</v>
      </c>
      <c r="L180" s="38" t="s">
        <v>612</v>
      </c>
      <c r="M180" s="21" t="s">
        <v>311</v>
      </c>
      <c r="N180" s="18" t="s">
        <v>312</v>
      </c>
    </row>
    <row r="181" spans="1:34" ht="13">
      <c r="A181" s="18" t="s">
        <v>272</v>
      </c>
      <c r="B181" s="18" t="s">
        <v>260</v>
      </c>
      <c r="C181" s="18" t="s">
        <v>371</v>
      </c>
      <c r="D181" s="18" t="s">
        <v>691</v>
      </c>
      <c r="E181" s="18" t="s">
        <v>692</v>
      </c>
      <c r="F181" s="18" t="s">
        <v>610</v>
      </c>
      <c r="G181" s="27" t="s">
        <v>611</v>
      </c>
      <c r="H181" s="37">
        <v>1996.03125</v>
      </c>
      <c r="I181" s="37">
        <v>2680</v>
      </c>
      <c r="J181" s="37">
        <v>858.78962536023005</v>
      </c>
      <c r="K181" s="37">
        <v>8190.2017291066304</v>
      </c>
      <c r="L181" s="38" t="s">
        <v>612</v>
      </c>
      <c r="M181" s="21" t="s">
        <v>311</v>
      </c>
      <c r="N181" s="18" t="s">
        <v>312</v>
      </c>
    </row>
    <row r="182" spans="1:34" ht="13">
      <c r="A182" s="18" t="s">
        <v>272</v>
      </c>
      <c r="B182" s="18" t="s">
        <v>260</v>
      </c>
      <c r="C182" s="18" t="s">
        <v>371</v>
      </c>
      <c r="D182" s="18" t="s">
        <v>691</v>
      </c>
      <c r="E182" s="18" t="s">
        <v>692</v>
      </c>
      <c r="F182" s="18" t="s">
        <v>610</v>
      </c>
      <c r="G182" s="27" t="s">
        <v>611</v>
      </c>
      <c r="H182" s="37">
        <v>2000.96875</v>
      </c>
      <c r="I182" s="37">
        <v>2422</v>
      </c>
      <c r="J182" s="37">
        <v>789.62536023054804</v>
      </c>
      <c r="K182" s="37">
        <v>7913.5446685878997</v>
      </c>
      <c r="L182" s="38" t="s">
        <v>612</v>
      </c>
      <c r="M182" s="21" t="s">
        <v>311</v>
      </c>
      <c r="N182" s="18" t="s">
        <v>312</v>
      </c>
    </row>
    <row r="183" spans="1:34" ht="13">
      <c r="A183" s="18" t="s">
        <v>272</v>
      </c>
      <c r="B183" s="18" t="s">
        <v>260</v>
      </c>
      <c r="C183" s="18" t="s">
        <v>371</v>
      </c>
      <c r="D183" s="18" t="s">
        <v>691</v>
      </c>
      <c r="E183" s="18" t="s">
        <v>692</v>
      </c>
      <c r="F183" s="18" t="s">
        <v>610</v>
      </c>
      <c r="G183" s="27" t="s">
        <v>611</v>
      </c>
      <c r="H183" s="37">
        <v>2005.03125</v>
      </c>
      <c r="I183" s="37">
        <v>2246</v>
      </c>
      <c r="J183" s="37">
        <v>720.46109510086501</v>
      </c>
      <c r="K183" s="37">
        <v>7325.6484149855896</v>
      </c>
      <c r="L183" s="38" t="s">
        <v>612</v>
      </c>
      <c r="M183" s="21" t="s">
        <v>311</v>
      </c>
      <c r="N183" s="18" t="s">
        <v>312</v>
      </c>
    </row>
    <row r="184" spans="1:34" ht="13">
      <c r="A184" s="18" t="s">
        <v>272</v>
      </c>
      <c r="B184" s="18" t="s">
        <v>260</v>
      </c>
      <c r="C184" s="18" t="s">
        <v>371</v>
      </c>
      <c r="D184" s="18" t="s">
        <v>691</v>
      </c>
      <c r="E184" s="18" t="s">
        <v>692</v>
      </c>
      <c r="F184" s="18" t="s">
        <v>610</v>
      </c>
      <c r="G184" s="27" t="s">
        <v>611</v>
      </c>
      <c r="H184" s="37">
        <v>2008.0625</v>
      </c>
      <c r="I184" s="37">
        <v>3314</v>
      </c>
      <c r="J184" s="37">
        <v>1031.7002881844401</v>
      </c>
      <c r="K184" s="37">
        <v>10334.2939481268</v>
      </c>
      <c r="L184" s="38" t="s">
        <v>612</v>
      </c>
      <c r="M184" s="21" t="s">
        <v>311</v>
      </c>
      <c r="N184" s="18" t="s">
        <v>312</v>
      </c>
    </row>
    <row r="185" spans="1:34" ht="13">
      <c r="A185" s="18" t="s">
        <v>272</v>
      </c>
      <c r="B185" s="18" t="s">
        <v>260</v>
      </c>
      <c r="C185" s="18" t="s">
        <v>371</v>
      </c>
      <c r="D185" s="18" t="s">
        <v>691</v>
      </c>
      <c r="E185" s="18" t="s">
        <v>692</v>
      </c>
      <c r="F185" s="18" t="s">
        <v>610</v>
      </c>
      <c r="G185" s="27" t="s">
        <v>611</v>
      </c>
      <c r="H185" s="37">
        <v>2014.03125</v>
      </c>
      <c r="I185" s="37">
        <v>3274</v>
      </c>
      <c r="J185" s="37">
        <v>997.11815561959497</v>
      </c>
      <c r="K185" s="37">
        <v>10853.025936599401</v>
      </c>
      <c r="L185" s="38" t="s">
        <v>612</v>
      </c>
      <c r="M185" s="21" t="s">
        <v>311</v>
      </c>
      <c r="N185" s="24" t="s">
        <v>694</v>
      </c>
    </row>
    <row r="186" spans="1:34" ht="13">
      <c r="A186" s="18" t="s">
        <v>272</v>
      </c>
      <c r="B186" s="18" t="s">
        <v>260</v>
      </c>
      <c r="C186" s="18" t="s">
        <v>371</v>
      </c>
      <c r="D186" s="18" t="s">
        <v>691</v>
      </c>
      <c r="E186" s="18" t="s">
        <v>692</v>
      </c>
      <c r="F186" s="18" t="s">
        <v>695</v>
      </c>
      <c r="G186" s="27" t="s">
        <v>611</v>
      </c>
      <c r="H186" s="36">
        <v>2016</v>
      </c>
      <c r="I186" s="37">
        <v>5454</v>
      </c>
      <c r="J186" s="37">
        <v>3151</v>
      </c>
      <c r="K186" s="37">
        <v>8907</v>
      </c>
      <c r="L186" s="38" t="s">
        <v>612</v>
      </c>
      <c r="M186" s="21" t="s">
        <v>311</v>
      </c>
      <c r="N186" s="24" t="s">
        <v>696</v>
      </c>
      <c r="O186" s="18" t="s">
        <v>697</v>
      </c>
    </row>
    <row r="187" spans="1:34" ht="16">
      <c r="A187" s="18" t="s">
        <v>266</v>
      </c>
      <c r="B187" s="18" t="s">
        <v>260</v>
      </c>
      <c r="C187" s="18" t="s">
        <v>371</v>
      </c>
      <c r="D187" s="18" t="s">
        <v>575</v>
      </c>
      <c r="E187" s="18" t="s">
        <v>698</v>
      </c>
      <c r="F187" s="18" t="s">
        <v>636</v>
      </c>
      <c r="G187" s="27" t="s">
        <v>611</v>
      </c>
      <c r="H187" s="18">
        <v>1991</v>
      </c>
      <c r="I187" s="51">
        <v>25323</v>
      </c>
      <c r="J187" s="51">
        <v>4134</v>
      </c>
      <c r="K187" s="52">
        <v>151421</v>
      </c>
      <c r="L187" s="41" t="s">
        <v>637</v>
      </c>
      <c r="M187" s="21" t="s">
        <v>699</v>
      </c>
      <c r="N187" s="18"/>
    </row>
    <row r="188" spans="1:34" ht="16">
      <c r="A188" s="18" t="s">
        <v>266</v>
      </c>
      <c r="B188" s="18" t="s">
        <v>260</v>
      </c>
      <c r="C188" s="18" t="s">
        <v>371</v>
      </c>
      <c r="D188" s="18" t="s">
        <v>575</v>
      </c>
      <c r="E188" s="18" t="s">
        <v>698</v>
      </c>
      <c r="F188" s="18" t="s">
        <v>636</v>
      </c>
      <c r="G188" s="27" t="s">
        <v>611</v>
      </c>
      <c r="H188" s="18">
        <v>1993</v>
      </c>
      <c r="I188" s="51">
        <v>8269</v>
      </c>
      <c r="J188" s="51">
        <v>1034</v>
      </c>
      <c r="K188" s="52">
        <v>63049</v>
      </c>
      <c r="L188" s="41" t="s">
        <v>637</v>
      </c>
      <c r="M188" s="21" t="s">
        <v>699</v>
      </c>
      <c r="N188" s="18"/>
    </row>
    <row r="189" spans="1:34" ht="16">
      <c r="A189" s="18" t="s">
        <v>266</v>
      </c>
      <c r="B189" s="18" t="s">
        <v>260</v>
      </c>
      <c r="C189" s="18" t="s">
        <v>371</v>
      </c>
      <c r="D189" s="18" t="s">
        <v>575</v>
      </c>
      <c r="E189" s="18" t="s">
        <v>698</v>
      </c>
      <c r="F189" s="18" t="s">
        <v>636</v>
      </c>
      <c r="G189" s="27" t="s">
        <v>611</v>
      </c>
      <c r="H189" s="18">
        <v>1996</v>
      </c>
      <c r="I189" s="51">
        <v>56848</v>
      </c>
      <c r="J189" s="51">
        <v>17054</v>
      </c>
      <c r="K189" s="52">
        <v>200000</v>
      </c>
      <c r="L189" s="41" t="s">
        <v>637</v>
      </c>
      <c r="M189" s="21" t="s">
        <v>699</v>
      </c>
      <c r="N189" s="18"/>
    </row>
    <row r="190" spans="1:34" ht="16">
      <c r="A190" s="18" t="s">
        <v>266</v>
      </c>
      <c r="B190" s="18" t="s">
        <v>260</v>
      </c>
      <c r="C190" s="18" t="s">
        <v>371</v>
      </c>
      <c r="D190" s="18" t="s">
        <v>575</v>
      </c>
      <c r="E190" s="18" t="s">
        <v>698</v>
      </c>
      <c r="F190" s="18" t="s">
        <v>636</v>
      </c>
      <c r="G190" s="27" t="s">
        <v>611</v>
      </c>
      <c r="H190" s="18">
        <v>2001</v>
      </c>
      <c r="I190" s="51">
        <v>27390</v>
      </c>
      <c r="J190" s="51">
        <v>10336</v>
      </c>
      <c r="K190" s="52">
        <v>78036</v>
      </c>
      <c r="L190" s="41" t="s">
        <v>637</v>
      </c>
      <c r="M190" s="21" t="s">
        <v>699</v>
      </c>
      <c r="N190" s="18"/>
    </row>
    <row r="191" spans="1:34" ht="16">
      <c r="A191" s="18" t="s">
        <v>266</v>
      </c>
      <c r="B191" s="18" t="s">
        <v>260</v>
      </c>
      <c r="C191" s="18" t="s">
        <v>371</v>
      </c>
      <c r="D191" s="18" t="s">
        <v>575</v>
      </c>
      <c r="E191" s="18" t="s">
        <v>698</v>
      </c>
      <c r="F191" s="18" t="s">
        <v>636</v>
      </c>
      <c r="G191" s="27" t="s">
        <v>611</v>
      </c>
      <c r="H191" s="18">
        <v>2005</v>
      </c>
      <c r="I191" s="51">
        <v>45995</v>
      </c>
      <c r="J191" s="51">
        <v>12920</v>
      </c>
      <c r="K191" s="52">
        <v>168992</v>
      </c>
      <c r="L191" s="41" t="s">
        <v>637</v>
      </c>
      <c r="M191" s="21" t="s">
        <v>699</v>
      </c>
      <c r="N191" s="18"/>
    </row>
    <row r="192" spans="1:34" ht="16">
      <c r="A192" s="18" t="s">
        <v>266</v>
      </c>
      <c r="B192" s="18" t="s">
        <v>260</v>
      </c>
      <c r="C192" s="18" t="s">
        <v>371</v>
      </c>
      <c r="D192" s="18" t="s">
        <v>575</v>
      </c>
      <c r="E192" s="18" t="s">
        <v>698</v>
      </c>
      <c r="F192" s="18" t="s">
        <v>636</v>
      </c>
      <c r="G192" s="27" t="s">
        <v>611</v>
      </c>
      <c r="H192" s="18">
        <v>2008</v>
      </c>
      <c r="I192" s="51">
        <v>29974</v>
      </c>
      <c r="J192" s="51">
        <v>10336</v>
      </c>
      <c r="K192" s="52">
        <v>90439</v>
      </c>
      <c r="L192" s="41" t="s">
        <v>637</v>
      </c>
      <c r="M192" s="21" t="s">
        <v>699</v>
      </c>
      <c r="N192" s="18"/>
    </row>
    <row r="193" spans="1:15" ht="16">
      <c r="A193" s="18" t="s">
        <v>266</v>
      </c>
      <c r="B193" s="18" t="s">
        <v>260</v>
      </c>
      <c r="C193" s="18" t="s">
        <v>371</v>
      </c>
      <c r="D193" s="18" t="s">
        <v>575</v>
      </c>
      <c r="E193" s="18" t="s">
        <v>698</v>
      </c>
      <c r="F193" s="18" t="s">
        <v>636</v>
      </c>
      <c r="G193" s="27" t="s">
        <v>611</v>
      </c>
      <c r="H193" s="18">
        <v>2014</v>
      </c>
      <c r="I193" s="51">
        <v>21705</v>
      </c>
      <c r="J193" s="51">
        <v>6718</v>
      </c>
      <c r="K193" s="52">
        <v>77519</v>
      </c>
      <c r="L193" s="41" t="s">
        <v>637</v>
      </c>
      <c r="M193" s="21" t="s">
        <v>699</v>
      </c>
      <c r="N193" s="18"/>
    </row>
    <row r="194" spans="1:15" ht="16">
      <c r="A194" s="18" t="s">
        <v>266</v>
      </c>
      <c r="B194" s="18" t="s">
        <v>260</v>
      </c>
      <c r="C194" s="18" t="s">
        <v>371</v>
      </c>
      <c r="D194" s="18" t="s">
        <v>575</v>
      </c>
      <c r="E194" s="18" t="s">
        <v>698</v>
      </c>
      <c r="F194" s="18" t="s">
        <v>700</v>
      </c>
      <c r="G194" s="27" t="s">
        <v>611</v>
      </c>
      <c r="H194" s="18">
        <v>1996</v>
      </c>
      <c r="I194" s="51">
        <v>50129</v>
      </c>
      <c r="J194" s="51">
        <v>36693</v>
      </c>
      <c r="K194" s="52">
        <v>66667</v>
      </c>
      <c r="L194" s="41" t="s">
        <v>637</v>
      </c>
      <c r="M194" s="21" t="s">
        <v>699</v>
      </c>
      <c r="N194" s="18"/>
    </row>
    <row r="195" spans="1:15" ht="16">
      <c r="A195" s="18" t="s">
        <v>266</v>
      </c>
      <c r="B195" s="18" t="s">
        <v>260</v>
      </c>
      <c r="C195" s="18" t="s">
        <v>371</v>
      </c>
      <c r="D195" s="18" t="s">
        <v>575</v>
      </c>
      <c r="E195" s="18" t="s">
        <v>698</v>
      </c>
      <c r="F195" s="18" t="s">
        <v>700</v>
      </c>
      <c r="G195" s="27" t="s">
        <v>611</v>
      </c>
      <c r="H195" s="18">
        <v>2002</v>
      </c>
      <c r="I195" s="51">
        <v>48062</v>
      </c>
      <c r="J195" s="51">
        <v>33075</v>
      </c>
      <c r="K195" s="52">
        <v>68217</v>
      </c>
      <c r="L195" s="41" t="s">
        <v>637</v>
      </c>
      <c r="M195" s="21" t="s">
        <v>699</v>
      </c>
      <c r="N195" s="18"/>
    </row>
    <row r="196" spans="1:15" ht="16">
      <c r="A196" s="18" t="s">
        <v>266</v>
      </c>
      <c r="B196" s="18" t="s">
        <v>260</v>
      </c>
      <c r="C196" s="18" t="s">
        <v>371</v>
      </c>
      <c r="D196" s="18" t="s">
        <v>575</v>
      </c>
      <c r="E196" s="18" t="s">
        <v>698</v>
      </c>
      <c r="F196" s="18" t="s">
        <v>700</v>
      </c>
      <c r="G196" s="27" t="s">
        <v>611</v>
      </c>
      <c r="H196" s="18">
        <v>2006</v>
      </c>
      <c r="I196" s="51">
        <v>49096</v>
      </c>
      <c r="J196" s="51">
        <v>35142</v>
      </c>
      <c r="K196" s="52">
        <v>67700</v>
      </c>
      <c r="L196" s="41" t="s">
        <v>637</v>
      </c>
      <c r="M196" s="21" t="s">
        <v>699</v>
      </c>
      <c r="N196" s="18"/>
    </row>
    <row r="197" spans="1:15" ht="16">
      <c r="A197" s="18" t="s">
        <v>266</v>
      </c>
      <c r="B197" s="18" t="s">
        <v>260</v>
      </c>
      <c r="C197" s="18" t="s">
        <v>371</v>
      </c>
      <c r="D197" s="18" t="s">
        <v>575</v>
      </c>
      <c r="E197" s="18" t="s">
        <v>698</v>
      </c>
      <c r="F197" s="18" t="s">
        <v>700</v>
      </c>
      <c r="G197" s="27" t="s">
        <v>611</v>
      </c>
      <c r="H197" s="18">
        <v>2009</v>
      </c>
      <c r="I197" s="51">
        <v>39793</v>
      </c>
      <c r="J197" s="51">
        <v>27390</v>
      </c>
      <c r="K197" s="52">
        <v>55297</v>
      </c>
      <c r="L197" s="41" t="s">
        <v>637</v>
      </c>
      <c r="M197" s="21" t="s">
        <v>699</v>
      </c>
      <c r="N197" s="18"/>
    </row>
    <row r="198" spans="1:15" ht="13">
      <c r="A198" s="18" t="s">
        <v>266</v>
      </c>
      <c r="B198" s="18" t="s">
        <v>260</v>
      </c>
      <c r="C198" s="18" t="s">
        <v>371</v>
      </c>
      <c r="D198" s="18" t="s">
        <v>575</v>
      </c>
      <c r="E198" s="18" t="s">
        <v>698</v>
      </c>
      <c r="F198" s="18" t="s">
        <v>621</v>
      </c>
      <c r="G198" s="18" t="s">
        <v>622</v>
      </c>
      <c r="H198" s="18">
        <v>1996</v>
      </c>
      <c r="I198" s="40">
        <v>49811</v>
      </c>
      <c r="J198" s="40">
        <v>17541</v>
      </c>
      <c r="K198" s="26">
        <v>141452</v>
      </c>
      <c r="L198" s="41" t="s">
        <v>623</v>
      </c>
      <c r="M198" s="21" t="s">
        <v>699</v>
      </c>
      <c r="N198" s="18"/>
    </row>
    <row r="199" spans="1:15" ht="13">
      <c r="A199" s="18" t="s">
        <v>266</v>
      </c>
      <c r="B199" s="18" t="s">
        <v>260</v>
      </c>
      <c r="C199" s="18" t="s">
        <v>371</v>
      </c>
      <c r="D199" s="18" t="s">
        <v>575</v>
      </c>
      <c r="E199" s="18" t="s">
        <v>698</v>
      </c>
      <c r="F199" s="18" t="s">
        <v>621</v>
      </c>
      <c r="G199" s="18" t="s">
        <v>622</v>
      </c>
      <c r="H199" s="18">
        <v>2001</v>
      </c>
      <c r="I199" s="40">
        <v>44418</v>
      </c>
      <c r="J199" s="40">
        <v>16376</v>
      </c>
      <c r="K199" s="26">
        <v>120481</v>
      </c>
      <c r="L199" s="41" t="s">
        <v>623</v>
      </c>
      <c r="M199" s="21" t="s">
        <v>699</v>
      </c>
      <c r="N199" s="18"/>
    </row>
    <row r="200" spans="1:15" ht="13">
      <c r="A200" s="18" t="s">
        <v>266</v>
      </c>
      <c r="B200" s="18" t="s">
        <v>260</v>
      </c>
      <c r="C200" s="18" t="s">
        <v>371</v>
      </c>
      <c r="D200" s="18" t="s">
        <v>575</v>
      </c>
      <c r="E200" s="18" t="s">
        <v>698</v>
      </c>
      <c r="F200" s="18" t="s">
        <v>621</v>
      </c>
      <c r="G200" s="18" t="s">
        <v>622</v>
      </c>
      <c r="H200" s="18">
        <v>2005</v>
      </c>
      <c r="I200" s="40">
        <v>36373</v>
      </c>
      <c r="J200" s="40">
        <v>13328</v>
      </c>
      <c r="K200" s="26">
        <v>99264</v>
      </c>
      <c r="L200" s="41" t="s">
        <v>623</v>
      </c>
      <c r="M200" s="21" t="s">
        <v>699</v>
      </c>
      <c r="N200" s="18"/>
    </row>
    <row r="201" spans="1:15" ht="13">
      <c r="A201" s="18" t="s">
        <v>266</v>
      </c>
      <c r="B201" s="18" t="s">
        <v>260</v>
      </c>
      <c r="C201" s="18" t="s">
        <v>371</v>
      </c>
      <c r="D201" s="18" t="s">
        <v>575</v>
      </c>
      <c r="E201" s="18" t="s">
        <v>698</v>
      </c>
      <c r="F201" s="18" t="s">
        <v>621</v>
      </c>
      <c r="G201" s="18" t="s">
        <v>622</v>
      </c>
      <c r="H201" s="18">
        <v>2008</v>
      </c>
      <c r="I201" s="40">
        <v>34654</v>
      </c>
      <c r="J201" s="40">
        <v>12861</v>
      </c>
      <c r="K201" s="26">
        <v>93374</v>
      </c>
      <c r="L201" s="41" t="s">
        <v>623</v>
      </c>
      <c r="M201" s="21" t="s">
        <v>699</v>
      </c>
      <c r="N201" s="18"/>
    </row>
    <row r="202" spans="1:15" ht="13">
      <c r="A202" s="18" t="s">
        <v>266</v>
      </c>
      <c r="B202" s="18" t="s">
        <v>260</v>
      </c>
      <c r="C202" s="18" t="s">
        <v>371</v>
      </c>
      <c r="D202" s="18" t="s">
        <v>575</v>
      </c>
      <c r="E202" s="18" t="s">
        <v>698</v>
      </c>
      <c r="F202" s="18" t="s">
        <v>621</v>
      </c>
      <c r="G202" s="18" t="s">
        <v>622</v>
      </c>
      <c r="H202" s="18">
        <v>2014</v>
      </c>
      <c r="I202" s="40">
        <v>21219</v>
      </c>
      <c r="J202" s="40">
        <v>7686</v>
      </c>
      <c r="K202" s="26">
        <v>58580</v>
      </c>
      <c r="L202" s="41" t="s">
        <v>623</v>
      </c>
      <c r="M202" s="21" t="s">
        <v>699</v>
      </c>
      <c r="N202" s="18"/>
    </row>
    <row r="203" spans="1:15" ht="13">
      <c r="A203" s="18" t="s">
        <v>266</v>
      </c>
      <c r="B203" s="18" t="s">
        <v>260</v>
      </c>
      <c r="C203" s="18" t="s">
        <v>371</v>
      </c>
      <c r="D203" s="18" t="s">
        <v>575</v>
      </c>
      <c r="E203" s="18" t="s">
        <v>698</v>
      </c>
      <c r="F203" s="18" t="s">
        <v>621</v>
      </c>
      <c r="G203" s="18" t="s">
        <v>622</v>
      </c>
      <c r="H203" s="18">
        <v>2018</v>
      </c>
      <c r="I203" s="40">
        <v>16498</v>
      </c>
      <c r="J203" s="40">
        <v>5493</v>
      </c>
      <c r="K203" s="26">
        <v>49554</v>
      </c>
      <c r="L203" s="41" t="s">
        <v>623</v>
      </c>
      <c r="M203" s="21" t="s">
        <v>699</v>
      </c>
      <c r="N203" s="18"/>
    </row>
    <row r="204" spans="1:15" ht="13">
      <c r="A204" s="18" t="s">
        <v>266</v>
      </c>
      <c r="B204" s="18" t="s">
        <v>260</v>
      </c>
      <c r="C204" s="18" t="s">
        <v>376</v>
      </c>
      <c r="D204" s="18" t="s">
        <v>319</v>
      </c>
      <c r="E204" s="18" t="s">
        <v>701</v>
      </c>
      <c r="F204" s="18" t="s">
        <v>702</v>
      </c>
      <c r="G204" s="18" t="s">
        <v>611</v>
      </c>
      <c r="H204" s="18">
        <v>2002</v>
      </c>
      <c r="I204" s="40">
        <v>613</v>
      </c>
      <c r="J204" s="40">
        <v>96</v>
      </c>
      <c r="K204" s="18">
        <v>3906</v>
      </c>
      <c r="L204" s="38" t="s">
        <v>612</v>
      </c>
      <c r="M204" s="21" t="s">
        <v>321</v>
      </c>
      <c r="N204" s="18" t="s">
        <v>322</v>
      </c>
      <c r="O204" s="18" t="s">
        <v>703</v>
      </c>
    </row>
    <row r="205" spans="1:15" ht="13">
      <c r="A205" s="18" t="s">
        <v>266</v>
      </c>
      <c r="B205" s="18" t="s">
        <v>260</v>
      </c>
      <c r="C205" s="18" t="s">
        <v>376</v>
      </c>
      <c r="D205" s="18" t="s">
        <v>319</v>
      </c>
      <c r="E205" s="18" t="s">
        <v>701</v>
      </c>
      <c r="F205" s="18" t="s">
        <v>702</v>
      </c>
      <c r="G205" s="18" t="s">
        <v>611</v>
      </c>
      <c r="H205" s="18">
        <v>2010</v>
      </c>
      <c r="I205" s="40">
        <v>2489</v>
      </c>
      <c r="J205" s="40">
        <v>678</v>
      </c>
      <c r="K205" s="18">
        <v>9143</v>
      </c>
      <c r="L205" s="38" t="s">
        <v>612</v>
      </c>
      <c r="M205" s="21" t="s">
        <v>321</v>
      </c>
      <c r="N205" s="18" t="s">
        <v>322</v>
      </c>
    </row>
    <row r="206" spans="1:15" ht="13">
      <c r="A206" s="18" t="s">
        <v>266</v>
      </c>
      <c r="B206" s="18" t="s">
        <v>260</v>
      </c>
      <c r="C206" s="18" t="s">
        <v>376</v>
      </c>
      <c r="D206" s="18" t="s">
        <v>319</v>
      </c>
      <c r="E206" s="18" t="s">
        <v>701</v>
      </c>
      <c r="F206" s="18" t="s">
        <v>702</v>
      </c>
      <c r="G206" s="18" t="s">
        <v>611</v>
      </c>
      <c r="H206" s="18">
        <v>2017</v>
      </c>
      <c r="I206" s="40">
        <v>5106</v>
      </c>
      <c r="J206" s="40">
        <v>1640</v>
      </c>
      <c r="K206" s="18">
        <v>15892</v>
      </c>
      <c r="L206" s="38" t="s">
        <v>612</v>
      </c>
      <c r="M206" s="21" t="s">
        <v>321</v>
      </c>
      <c r="N206" s="18" t="s">
        <v>322</v>
      </c>
    </row>
    <row r="207" spans="1:15" ht="13">
      <c r="A207" s="18" t="s">
        <v>266</v>
      </c>
      <c r="B207" s="18" t="s">
        <v>260</v>
      </c>
      <c r="C207" s="18" t="s">
        <v>376</v>
      </c>
      <c r="D207" s="18" t="s">
        <v>319</v>
      </c>
      <c r="E207" s="18" t="s">
        <v>701</v>
      </c>
      <c r="F207" s="18" t="s">
        <v>704</v>
      </c>
      <c r="G207" s="18" t="s">
        <v>611</v>
      </c>
      <c r="H207" s="18">
        <v>2002</v>
      </c>
      <c r="I207" s="40">
        <v>2122</v>
      </c>
      <c r="J207" s="40">
        <v>1136</v>
      </c>
      <c r="K207" s="18">
        <v>3964</v>
      </c>
      <c r="L207" s="38" t="s">
        <v>612</v>
      </c>
      <c r="M207" s="21" t="s">
        <v>321</v>
      </c>
      <c r="N207" s="18" t="s">
        <v>322</v>
      </c>
    </row>
    <row r="208" spans="1:15" ht="13">
      <c r="A208" s="18" t="s">
        <v>266</v>
      </c>
      <c r="B208" s="18" t="s">
        <v>260</v>
      </c>
      <c r="C208" s="18" t="s">
        <v>376</v>
      </c>
      <c r="D208" s="18" t="s">
        <v>319</v>
      </c>
      <c r="E208" s="18" t="s">
        <v>701</v>
      </c>
      <c r="F208" s="18" t="s">
        <v>704</v>
      </c>
      <c r="G208" s="18" t="s">
        <v>611</v>
      </c>
      <c r="H208" s="18">
        <v>2010</v>
      </c>
      <c r="I208" s="40">
        <v>2144</v>
      </c>
      <c r="J208" s="40">
        <v>1159</v>
      </c>
      <c r="K208" s="18">
        <v>3965</v>
      </c>
      <c r="L208" s="38" t="s">
        <v>612</v>
      </c>
      <c r="M208" s="21" t="s">
        <v>321</v>
      </c>
      <c r="N208" s="18" t="s">
        <v>322</v>
      </c>
    </row>
    <row r="209" spans="1:15" ht="13">
      <c r="A209" s="18" t="s">
        <v>266</v>
      </c>
      <c r="B209" s="18" t="s">
        <v>260</v>
      </c>
      <c r="C209" s="18" t="s">
        <v>376</v>
      </c>
      <c r="D209" s="18" t="s">
        <v>319</v>
      </c>
      <c r="E209" s="18" t="s">
        <v>701</v>
      </c>
      <c r="F209" s="18" t="s">
        <v>704</v>
      </c>
      <c r="G209" s="18" t="s">
        <v>611</v>
      </c>
      <c r="H209" s="18">
        <v>2017</v>
      </c>
      <c r="I209" s="40">
        <v>2086</v>
      </c>
      <c r="J209" s="40">
        <v>1079</v>
      </c>
      <c r="K209" s="18">
        <v>4031</v>
      </c>
      <c r="L209" s="38" t="s">
        <v>612</v>
      </c>
      <c r="M209" s="21" t="s">
        <v>321</v>
      </c>
      <c r="N209" s="18" t="s">
        <v>322</v>
      </c>
    </row>
    <row r="210" spans="1:15" ht="13">
      <c r="A210" s="18" t="s">
        <v>266</v>
      </c>
      <c r="B210" s="18" t="s">
        <v>260</v>
      </c>
      <c r="C210" s="18" t="s">
        <v>371</v>
      </c>
      <c r="D210" s="18" t="s">
        <v>279</v>
      </c>
      <c r="E210" s="18" t="s">
        <v>705</v>
      </c>
      <c r="F210" s="18" t="s">
        <v>706</v>
      </c>
      <c r="G210" s="18" t="s">
        <v>611</v>
      </c>
      <c r="H210" s="37">
        <v>1991</v>
      </c>
      <c r="I210" s="37">
        <v>1381</v>
      </c>
      <c r="J210" s="37">
        <v>1077</v>
      </c>
      <c r="K210" s="37">
        <v>2795</v>
      </c>
      <c r="L210" s="38" t="s">
        <v>612</v>
      </c>
      <c r="M210" s="21" t="s">
        <v>281</v>
      </c>
      <c r="N210" s="18" t="s">
        <v>282</v>
      </c>
      <c r="O210" s="18" t="s">
        <v>707</v>
      </c>
    </row>
    <row r="211" spans="1:15" ht="13">
      <c r="A211" s="18" t="s">
        <v>266</v>
      </c>
      <c r="B211" s="18" t="s">
        <v>260</v>
      </c>
      <c r="C211" s="18" t="s">
        <v>371</v>
      </c>
      <c r="D211" s="18" t="s">
        <v>279</v>
      </c>
      <c r="E211" s="18" t="s">
        <v>705</v>
      </c>
      <c r="F211" s="18" t="s">
        <v>706</v>
      </c>
      <c r="G211" s="18" t="s">
        <v>611</v>
      </c>
      <c r="H211" s="37">
        <v>1993</v>
      </c>
      <c r="I211" s="37">
        <v>2779</v>
      </c>
      <c r="J211" s="37">
        <v>2285</v>
      </c>
      <c r="K211" s="37">
        <v>5099</v>
      </c>
      <c r="L211" s="38" t="s">
        <v>612</v>
      </c>
      <c r="M211" s="21" t="s">
        <v>281</v>
      </c>
      <c r="N211" s="18" t="s">
        <v>282</v>
      </c>
    </row>
    <row r="212" spans="1:15" ht="13">
      <c r="A212" s="18" t="s">
        <v>266</v>
      </c>
      <c r="B212" s="18" t="s">
        <v>260</v>
      </c>
      <c r="C212" s="18" t="s">
        <v>371</v>
      </c>
      <c r="D212" s="18" t="s">
        <v>279</v>
      </c>
      <c r="E212" s="18" t="s">
        <v>705</v>
      </c>
      <c r="F212" s="18" t="s">
        <v>706</v>
      </c>
      <c r="G212" s="18" t="s">
        <v>611</v>
      </c>
      <c r="H212" s="37">
        <v>1995.5038022813701</v>
      </c>
      <c r="I212" s="37">
        <v>3680</v>
      </c>
      <c r="J212" s="37">
        <v>3071</v>
      </c>
      <c r="K212" s="37">
        <v>5196</v>
      </c>
      <c r="L212" s="38" t="s">
        <v>612</v>
      </c>
      <c r="M212" s="21" t="s">
        <v>281</v>
      </c>
      <c r="N212" s="18" t="s">
        <v>282</v>
      </c>
    </row>
    <row r="213" spans="1:15" ht="13">
      <c r="A213" s="18" t="s">
        <v>266</v>
      </c>
      <c r="B213" s="18" t="s">
        <v>260</v>
      </c>
      <c r="C213" s="18" t="s">
        <v>371</v>
      </c>
      <c r="D213" s="18" t="s">
        <v>279</v>
      </c>
      <c r="E213" s="18" t="s">
        <v>705</v>
      </c>
      <c r="F213" s="18" t="s">
        <v>706</v>
      </c>
      <c r="G213" s="18" t="s">
        <v>611</v>
      </c>
      <c r="H213" s="37">
        <v>2000.5323193916399</v>
      </c>
      <c r="I213" s="37">
        <v>3491</v>
      </c>
      <c r="J213" s="37">
        <v>2680</v>
      </c>
      <c r="K213" s="37">
        <v>6050</v>
      </c>
      <c r="L213" s="38" t="s">
        <v>612</v>
      </c>
      <c r="M213" s="21" t="s">
        <v>281</v>
      </c>
      <c r="N213" s="18" t="s">
        <v>282</v>
      </c>
    </row>
    <row r="214" spans="1:15" ht="13">
      <c r="A214" s="18" t="s">
        <v>266</v>
      </c>
      <c r="B214" s="18" t="s">
        <v>260</v>
      </c>
      <c r="C214" s="18" t="s">
        <v>371</v>
      </c>
      <c r="D214" s="18" t="s">
        <v>279</v>
      </c>
      <c r="E214" s="18" t="s">
        <v>705</v>
      </c>
      <c r="F214" s="18" t="s">
        <v>706</v>
      </c>
      <c r="G214" s="18" t="s">
        <v>611</v>
      </c>
      <c r="H214" s="37">
        <v>2005</v>
      </c>
      <c r="I214" s="37">
        <v>6801</v>
      </c>
      <c r="J214" s="37">
        <v>6048</v>
      </c>
      <c r="K214" s="37">
        <v>9775</v>
      </c>
      <c r="L214" s="38" t="s">
        <v>612</v>
      </c>
      <c r="M214" s="21" t="s">
        <v>281</v>
      </c>
      <c r="N214" s="18" t="s">
        <v>282</v>
      </c>
    </row>
    <row r="215" spans="1:15" ht="13">
      <c r="A215" s="18" t="s">
        <v>266</v>
      </c>
      <c r="B215" s="18" t="s">
        <v>260</v>
      </c>
      <c r="C215" s="18" t="s">
        <v>371</v>
      </c>
      <c r="D215" s="18" t="s">
        <v>279</v>
      </c>
      <c r="E215" s="18" t="s">
        <v>705</v>
      </c>
      <c r="F215" s="18" t="s">
        <v>706</v>
      </c>
      <c r="G215" s="18" t="s">
        <v>611</v>
      </c>
      <c r="H215" s="37">
        <v>2008</v>
      </c>
      <c r="I215" s="37">
        <v>7624</v>
      </c>
      <c r="J215" s="37">
        <v>6567</v>
      </c>
      <c r="K215" s="37">
        <v>11740</v>
      </c>
      <c r="L215" s="38" t="s">
        <v>612</v>
      </c>
      <c r="M215" s="21" t="s">
        <v>281</v>
      </c>
      <c r="N215" s="18" t="s">
        <v>282</v>
      </c>
    </row>
    <row r="216" spans="1:15" ht="13">
      <c r="A216" s="18" t="s">
        <v>266</v>
      </c>
      <c r="B216" s="18" t="s">
        <v>260</v>
      </c>
      <c r="C216" s="18" t="s">
        <v>371</v>
      </c>
      <c r="D216" s="18" t="s">
        <v>279</v>
      </c>
      <c r="E216" s="18" t="s">
        <v>705</v>
      </c>
      <c r="F216" s="18" t="s">
        <v>706</v>
      </c>
      <c r="G216" s="18" t="s">
        <v>611</v>
      </c>
      <c r="H216" s="37">
        <v>2014</v>
      </c>
      <c r="I216" s="37">
        <v>8127</v>
      </c>
      <c r="J216" s="37">
        <v>7185</v>
      </c>
      <c r="K216" s="37">
        <v>11386</v>
      </c>
      <c r="L216" s="38" t="s">
        <v>612</v>
      </c>
      <c r="M216" s="21" t="s">
        <v>281</v>
      </c>
      <c r="N216" s="18" t="s">
        <v>282</v>
      </c>
    </row>
    <row r="217" spans="1:15" ht="13">
      <c r="A217" s="18" t="s">
        <v>266</v>
      </c>
      <c r="B217" s="18" t="s">
        <v>260</v>
      </c>
      <c r="C217" s="18" t="s">
        <v>371</v>
      </c>
      <c r="D217" s="18" t="s">
        <v>279</v>
      </c>
      <c r="E217" s="18" t="s">
        <v>705</v>
      </c>
      <c r="F217" s="18" t="s">
        <v>708</v>
      </c>
      <c r="G217" s="18" t="s">
        <v>611</v>
      </c>
      <c r="H217" s="37">
        <v>1991.48098859316</v>
      </c>
      <c r="I217" s="37">
        <v>1486.6136176551299</v>
      </c>
      <c r="J217" s="37">
        <v>455.685782603581</v>
      </c>
      <c r="K217" s="37">
        <v>4734.0362980675</v>
      </c>
      <c r="L217" s="38" t="s">
        <v>637</v>
      </c>
      <c r="M217" s="21" t="s">
        <v>281</v>
      </c>
      <c r="N217" s="18" t="s">
        <v>282</v>
      </c>
    </row>
    <row r="218" spans="1:15" ht="13">
      <c r="A218" s="18" t="s">
        <v>266</v>
      </c>
      <c r="B218" s="18" t="s">
        <v>260</v>
      </c>
      <c r="C218" s="18" t="s">
        <v>371</v>
      </c>
      <c r="D218" s="18" t="s">
        <v>279</v>
      </c>
      <c r="E218" s="18" t="s">
        <v>705</v>
      </c>
      <c r="F218" s="18" t="s">
        <v>708</v>
      </c>
      <c r="G218" s="18" t="s">
        <v>611</v>
      </c>
      <c r="H218" s="37">
        <v>1993.44866920152</v>
      </c>
      <c r="I218" s="37">
        <v>3080.1418995727299</v>
      </c>
      <c r="J218" s="37">
        <v>1276.0181882325301</v>
      </c>
      <c r="K218" s="37">
        <v>7358.4924150366496</v>
      </c>
      <c r="L218" s="38" t="s">
        <v>637</v>
      </c>
      <c r="M218" s="21" t="s">
        <v>281</v>
      </c>
      <c r="N218" s="18" t="s">
        <v>282</v>
      </c>
    </row>
    <row r="219" spans="1:15" ht="13">
      <c r="A219" s="18" t="s">
        <v>266</v>
      </c>
      <c r="B219" s="18" t="s">
        <v>260</v>
      </c>
      <c r="C219" s="18" t="s">
        <v>371</v>
      </c>
      <c r="D219" s="18" t="s">
        <v>279</v>
      </c>
      <c r="E219" s="18" t="s">
        <v>705</v>
      </c>
      <c r="F219" s="18" t="s">
        <v>708</v>
      </c>
      <c r="G219" s="18" t="s">
        <v>611</v>
      </c>
      <c r="H219" s="37">
        <v>1996.46577946768</v>
      </c>
      <c r="I219" s="37">
        <v>4671.3182548704499</v>
      </c>
      <c r="J219" s="37">
        <v>2557.81819607228</v>
      </c>
      <c r="K219" s="37">
        <v>8691.9368115714806</v>
      </c>
      <c r="L219" s="38" t="s">
        <v>637</v>
      </c>
      <c r="M219" s="21" t="s">
        <v>281</v>
      </c>
      <c r="N219" s="18" t="s">
        <v>282</v>
      </c>
    </row>
    <row r="220" spans="1:15" ht="13">
      <c r="A220" s="18" t="s">
        <v>266</v>
      </c>
      <c r="B220" s="18" t="s">
        <v>260</v>
      </c>
      <c r="C220" s="18" t="s">
        <v>371</v>
      </c>
      <c r="D220" s="18" t="s">
        <v>279</v>
      </c>
      <c r="E220" s="18" t="s">
        <v>705</v>
      </c>
      <c r="F220" s="18" t="s">
        <v>708</v>
      </c>
      <c r="G220" s="18" t="s">
        <v>611</v>
      </c>
      <c r="H220" s="37">
        <v>2001.4505703422101</v>
      </c>
      <c r="I220" s="37">
        <v>5072.5177374465902</v>
      </c>
      <c r="J220" s="37">
        <v>1567.26510132883</v>
      </c>
      <c r="K220" s="37">
        <v>16309.533142566001</v>
      </c>
      <c r="L220" s="38" t="s">
        <v>637</v>
      </c>
      <c r="M220" s="21" t="s">
        <v>281</v>
      </c>
      <c r="N220" s="18" t="s">
        <v>282</v>
      </c>
    </row>
    <row r="221" spans="1:15" ht="13">
      <c r="A221" s="18" t="s">
        <v>266</v>
      </c>
      <c r="B221" s="18" t="s">
        <v>260</v>
      </c>
      <c r="C221" s="18" t="s">
        <v>371</v>
      </c>
      <c r="D221" s="18" t="s">
        <v>279</v>
      </c>
      <c r="E221" s="18" t="s">
        <v>705</v>
      </c>
      <c r="F221" s="18" t="s">
        <v>708</v>
      </c>
      <c r="G221" s="18" t="s">
        <v>611</v>
      </c>
      <c r="H221" s="37">
        <v>2005.47338403042</v>
      </c>
      <c r="I221" s="37">
        <v>8207.8319156442303</v>
      </c>
      <c r="J221" s="37">
        <v>4238.8577476382698</v>
      </c>
      <c r="K221" s="37">
        <v>15733.605111520499</v>
      </c>
      <c r="L221" s="38" t="s">
        <v>637</v>
      </c>
      <c r="M221" s="21" t="s">
        <v>281</v>
      </c>
      <c r="N221" s="18" t="s">
        <v>282</v>
      </c>
    </row>
    <row r="222" spans="1:15" ht="13">
      <c r="A222" s="18" t="s">
        <v>266</v>
      </c>
      <c r="B222" s="18" t="s">
        <v>260</v>
      </c>
      <c r="C222" s="18" t="s">
        <v>371</v>
      </c>
      <c r="D222" s="18" t="s">
        <v>279</v>
      </c>
      <c r="E222" s="18" t="s">
        <v>705</v>
      </c>
      <c r="F222" s="18" t="s">
        <v>708</v>
      </c>
      <c r="G222" s="18" t="s">
        <v>611</v>
      </c>
      <c r="H222" s="37">
        <v>2008.44676806084</v>
      </c>
      <c r="I222" s="37">
        <v>7221.78668025558</v>
      </c>
      <c r="J222" s="37">
        <v>4283.5443534161705</v>
      </c>
      <c r="K222" s="37">
        <v>12221.688683313099</v>
      </c>
      <c r="L222" s="38" t="s">
        <v>637</v>
      </c>
      <c r="M222" s="21" t="s">
        <v>281</v>
      </c>
      <c r="N222" s="18" t="s">
        <v>282</v>
      </c>
    </row>
    <row r="223" spans="1:15" ht="13">
      <c r="A223" s="18" t="s">
        <v>266</v>
      </c>
      <c r="B223" s="18" t="s">
        <v>260</v>
      </c>
      <c r="C223" s="18" t="s">
        <v>371</v>
      </c>
      <c r="D223" s="18" t="s">
        <v>279</v>
      </c>
      <c r="E223" s="18" t="s">
        <v>705</v>
      </c>
      <c r="F223" s="18" t="s">
        <v>708</v>
      </c>
      <c r="G223" s="18" t="s">
        <v>611</v>
      </c>
      <c r="H223" s="37">
        <v>2014.48098859316</v>
      </c>
      <c r="I223" s="37">
        <v>9785.5826898200794</v>
      </c>
      <c r="J223" s="37">
        <v>4734.03629806749</v>
      </c>
      <c r="K223" s="37">
        <v>20301.046607345899</v>
      </c>
      <c r="L223" s="38" t="s">
        <v>637</v>
      </c>
      <c r="M223" s="21" t="s">
        <v>281</v>
      </c>
      <c r="N223" s="18" t="s">
        <v>282</v>
      </c>
    </row>
    <row r="224" spans="1:15" ht="13">
      <c r="A224" s="18" t="s">
        <v>266</v>
      </c>
      <c r="B224" s="18" t="s">
        <v>260</v>
      </c>
      <c r="C224" s="18" t="s">
        <v>371</v>
      </c>
      <c r="D224" s="18" t="s">
        <v>579</v>
      </c>
      <c r="E224" s="18" t="s">
        <v>705</v>
      </c>
      <c r="F224" s="18" t="s">
        <v>621</v>
      </c>
      <c r="G224" s="18" t="s">
        <v>622</v>
      </c>
      <c r="H224" s="18">
        <v>1996</v>
      </c>
      <c r="I224" s="40">
        <v>3804</v>
      </c>
      <c r="J224" s="40">
        <v>2120</v>
      </c>
      <c r="K224" s="26">
        <v>6826</v>
      </c>
      <c r="L224" s="41" t="s">
        <v>623</v>
      </c>
      <c r="M224" s="21" t="s">
        <v>281</v>
      </c>
      <c r="N224" s="18" t="s">
        <v>282</v>
      </c>
    </row>
    <row r="225" spans="1:34" ht="13">
      <c r="A225" s="18" t="s">
        <v>266</v>
      </c>
      <c r="B225" s="18" t="s">
        <v>260</v>
      </c>
      <c r="C225" s="18" t="s">
        <v>371</v>
      </c>
      <c r="D225" s="18" t="s">
        <v>579</v>
      </c>
      <c r="E225" s="18" t="s">
        <v>705</v>
      </c>
      <c r="F225" s="18" t="s">
        <v>621</v>
      </c>
      <c r="G225" s="18" t="s">
        <v>622</v>
      </c>
      <c r="H225" s="18">
        <v>2001</v>
      </c>
      <c r="I225" s="40">
        <v>5733</v>
      </c>
      <c r="J225" s="40">
        <v>3149</v>
      </c>
      <c r="K225" s="26">
        <v>10439</v>
      </c>
      <c r="L225" s="41" t="s">
        <v>623</v>
      </c>
      <c r="M225" s="21" t="s">
        <v>281</v>
      </c>
      <c r="N225" s="18" t="s">
        <v>282</v>
      </c>
    </row>
    <row r="226" spans="1:34" ht="13">
      <c r="A226" s="18" t="s">
        <v>266</v>
      </c>
      <c r="B226" s="18" t="s">
        <v>260</v>
      </c>
      <c r="C226" s="18" t="s">
        <v>371</v>
      </c>
      <c r="D226" s="18" t="s">
        <v>579</v>
      </c>
      <c r="E226" s="18" t="s">
        <v>705</v>
      </c>
      <c r="F226" s="18" t="s">
        <v>621</v>
      </c>
      <c r="G226" s="18" t="s">
        <v>622</v>
      </c>
      <c r="H226" s="18">
        <v>2005</v>
      </c>
      <c r="I226" s="40">
        <v>7319</v>
      </c>
      <c r="J226" s="40">
        <v>3828</v>
      </c>
      <c r="K226" s="26">
        <v>13994</v>
      </c>
      <c r="L226" s="41" t="s">
        <v>623</v>
      </c>
      <c r="M226" s="21" t="s">
        <v>281</v>
      </c>
      <c r="N226" s="18" t="s">
        <v>282</v>
      </c>
    </row>
    <row r="227" spans="1:34" ht="13">
      <c r="A227" s="18" t="s">
        <v>266</v>
      </c>
      <c r="B227" s="18" t="s">
        <v>260</v>
      </c>
      <c r="C227" s="18" t="s">
        <v>371</v>
      </c>
      <c r="D227" s="18" t="s">
        <v>579</v>
      </c>
      <c r="E227" s="18" t="s">
        <v>705</v>
      </c>
      <c r="F227" s="18" t="s">
        <v>621</v>
      </c>
      <c r="G227" s="18" t="s">
        <v>622</v>
      </c>
      <c r="H227" s="18">
        <v>2008</v>
      </c>
      <c r="I227" s="40">
        <v>7606</v>
      </c>
      <c r="J227" s="40">
        <v>3699</v>
      </c>
      <c r="K227" s="26">
        <v>15640</v>
      </c>
      <c r="L227" s="41" t="s">
        <v>623</v>
      </c>
      <c r="M227" s="21" t="s">
        <v>281</v>
      </c>
      <c r="N227" s="18" t="s">
        <v>282</v>
      </c>
    </row>
    <row r="228" spans="1:34" ht="13">
      <c r="A228" s="18" t="s">
        <v>266</v>
      </c>
      <c r="B228" s="18" t="s">
        <v>260</v>
      </c>
      <c r="C228" s="18" t="s">
        <v>371</v>
      </c>
      <c r="D228" s="18" t="s">
        <v>579</v>
      </c>
      <c r="E228" s="18" t="s">
        <v>705</v>
      </c>
      <c r="F228" s="18" t="s">
        <v>621</v>
      </c>
      <c r="G228" s="18" t="s">
        <v>622</v>
      </c>
      <c r="H228" s="18">
        <v>2014</v>
      </c>
      <c r="I228" s="40">
        <v>10139</v>
      </c>
      <c r="J228" s="40">
        <v>5817</v>
      </c>
      <c r="K228" s="26">
        <v>17672</v>
      </c>
      <c r="L228" s="41" t="s">
        <v>623</v>
      </c>
      <c r="M228" s="21" t="s">
        <v>281</v>
      </c>
      <c r="N228" s="18" t="s">
        <v>282</v>
      </c>
    </row>
    <row r="229" spans="1:34" ht="13">
      <c r="A229" s="18" t="s">
        <v>266</v>
      </c>
      <c r="B229" s="18" t="s">
        <v>260</v>
      </c>
      <c r="C229" s="18" t="s">
        <v>371</v>
      </c>
      <c r="D229" s="18" t="s">
        <v>579</v>
      </c>
      <c r="E229" s="18" t="s">
        <v>705</v>
      </c>
      <c r="F229" s="18" t="s">
        <v>621</v>
      </c>
      <c r="G229" s="18" t="s">
        <v>622</v>
      </c>
      <c r="H229" s="18">
        <v>2018</v>
      </c>
      <c r="I229" s="40">
        <v>11065</v>
      </c>
      <c r="J229" s="40">
        <v>5156</v>
      </c>
      <c r="K229" s="26">
        <v>23747</v>
      </c>
      <c r="L229" s="41" t="s">
        <v>623</v>
      </c>
      <c r="M229" s="21" t="s">
        <v>281</v>
      </c>
      <c r="N229" s="18" t="s">
        <v>282</v>
      </c>
    </row>
    <row r="230" spans="1:34" ht="13">
      <c r="A230" s="18" t="s">
        <v>283</v>
      </c>
      <c r="B230" s="27" t="s">
        <v>260</v>
      </c>
      <c r="C230" s="27" t="s">
        <v>634</v>
      </c>
      <c r="D230" s="27" t="s">
        <v>288</v>
      </c>
      <c r="E230" s="18" t="s">
        <v>709</v>
      </c>
      <c r="F230" s="27" t="s">
        <v>710</v>
      </c>
      <c r="G230" s="27" t="s">
        <v>611</v>
      </c>
      <c r="H230" s="37">
        <v>1966.9269776876299</v>
      </c>
      <c r="I230" s="37">
        <v>13426</v>
      </c>
      <c r="J230" s="37">
        <v>10952.4</v>
      </c>
      <c r="K230" s="37">
        <v>15899.6</v>
      </c>
      <c r="L230" s="38" t="s">
        <v>623</v>
      </c>
      <c r="M230" s="29" t="s">
        <v>290</v>
      </c>
      <c r="N230" s="18" t="s">
        <v>291</v>
      </c>
      <c r="O230" s="27"/>
      <c r="P230" s="27"/>
      <c r="Q230" s="27"/>
      <c r="R230" s="27"/>
      <c r="S230" s="27"/>
      <c r="T230" s="27"/>
      <c r="U230" s="27"/>
      <c r="V230" s="27"/>
      <c r="W230" s="27"/>
      <c r="X230" s="27"/>
      <c r="Y230" s="27"/>
      <c r="Z230" s="27"/>
      <c r="AA230" s="27"/>
      <c r="AB230" s="27"/>
      <c r="AC230" s="27"/>
      <c r="AD230" s="27"/>
      <c r="AE230" s="27"/>
      <c r="AF230" s="27"/>
      <c r="AG230" s="27"/>
      <c r="AH230" s="27"/>
    </row>
    <row r="231" spans="1:34" ht="13">
      <c r="A231" s="18" t="s">
        <v>283</v>
      </c>
      <c r="B231" s="27" t="s">
        <v>260</v>
      </c>
      <c r="C231" s="27" t="s">
        <v>634</v>
      </c>
      <c r="D231" s="27" t="s">
        <v>288</v>
      </c>
      <c r="E231" s="18" t="s">
        <v>709</v>
      </c>
      <c r="F231" s="27" t="s">
        <v>710</v>
      </c>
      <c r="G231" s="27" t="s">
        <v>611</v>
      </c>
      <c r="H231" s="37">
        <v>1967.9411764705901</v>
      </c>
      <c r="I231" s="37">
        <v>14548</v>
      </c>
      <c r="J231" s="37">
        <v>12266.9</v>
      </c>
      <c r="K231" s="37">
        <v>16829.099999999999</v>
      </c>
      <c r="L231" s="38" t="s">
        <v>623</v>
      </c>
      <c r="M231" s="29" t="s">
        <v>290</v>
      </c>
      <c r="N231" s="18" t="s">
        <v>291</v>
      </c>
    </row>
    <row r="232" spans="1:34" ht="13">
      <c r="A232" s="18" t="s">
        <v>283</v>
      </c>
      <c r="B232" s="27" t="s">
        <v>260</v>
      </c>
      <c r="C232" s="27" t="s">
        <v>634</v>
      </c>
      <c r="D232" s="27" t="s">
        <v>288</v>
      </c>
      <c r="E232" s="18" t="s">
        <v>709</v>
      </c>
      <c r="F232" s="27" t="s">
        <v>710</v>
      </c>
      <c r="G232" s="27" t="s">
        <v>611</v>
      </c>
      <c r="H232" s="37">
        <v>1968.8539553752501</v>
      </c>
      <c r="I232" s="37">
        <v>14553</v>
      </c>
      <c r="J232" s="37">
        <v>12185.5</v>
      </c>
      <c r="K232" s="37">
        <v>16920.5</v>
      </c>
      <c r="L232" s="38" t="s">
        <v>623</v>
      </c>
      <c r="M232" s="29" t="s">
        <v>290</v>
      </c>
      <c r="N232" s="18" t="s">
        <v>291</v>
      </c>
    </row>
    <row r="233" spans="1:34" ht="13">
      <c r="A233" s="18" t="s">
        <v>283</v>
      </c>
      <c r="B233" s="27" t="s">
        <v>260</v>
      </c>
      <c r="C233" s="27" t="s">
        <v>634</v>
      </c>
      <c r="D233" s="27" t="s">
        <v>288</v>
      </c>
      <c r="E233" s="18" t="s">
        <v>709</v>
      </c>
      <c r="F233" s="27" t="s">
        <v>710</v>
      </c>
      <c r="G233" s="27" t="s">
        <v>611</v>
      </c>
      <c r="H233" s="37">
        <v>1969.96957403651</v>
      </c>
      <c r="I233" s="37">
        <v>12771</v>
      </c>
      <c r="J233" s="37">
        <v>10734.5</v>
      </c>
      <c r="K233" s="37">
        <v>14798.5</v>
      </c>
      <c r="L233" s="38" t="s">
        <v>623</v>
      </c>
      <c r="M233" s="29" t="s">
        <v>290</v>
      </c>
      <c r="N233" s="18" t="s">
        <v>291</v>
      </c>
    </row>
    <row r="234" spans="1:34" ht="13">
      <c r="A234" s="18" t="s">
        <v>283</v>
      </c>
      <c r="B234" s="27" t="s">
        <v>260</v>
      </c>
      <c r="C234" s="27" t="s">
        <v>634</v>
      </c>
      <c r="D234" s="27" t="s">
        <v>288</v>
      </c>
      <c r="E234" s="18" t="s">
        <v>709</v>
      </c>
      <c r="F234" s="27" t="s">
        <v>710</v>
      </c>
      <c r="G234" s="27" t="s">
        <v>611</v>
      </c>
      <c r="H234" s="37">
        <v>1970.88235294118</v>
      </c>
      <c r="I234" s="37">
        <v>11079</v>
      </c>
      <c r="J234" s="37">
        <v>9059.5</v>
      </c>
      <c r="K234" s="37">
        <v>13098.5</v>
      </c>
      <c r="L234" s="38" t="s">
        <v>623</v>
      </c>
      <c r="M234" s="29" t="s">
        <v>290</v>
      </c>
      <c r="N234" s="18" t="s">
        <v>291</v>
      </c>
    </row>
    <row r="235" spans="1:34" ht="13">
      <c r="A235" s="18" t="s">
        <v>283</v>
      </c>
      <c r="B235" s="27" t="s">
        <v>260</v>
      </c>
      <c r="C235" s="27" t="s">
        <v>634</v>
      </c>
      <c r="D235" s="27" t="s">
        <v>288</v>
      </c>
      <c r="E235" s="18" t="s">
        <v>709</v>
      </c>
      <c r="F235" s="27" t="s">
        <v>710</v>
      </c>
      <c r="G235" s="27" t="s">
        <v>611</v>
      </c>
      <c r="H235" s="37">
        <v>1971.89655172414</v>
      </c>
      <c r="I235" s="37">
        <v>17365</v>
      </c>
      <c r="J235" s="37">
        <v>14342.2</v>
      </c>
      <c r="K235" s="37">
        <v>20087.8</v>
      </c>
      <c r="L235" s="38" t="s">
        <v>623</v>
      </c>
      <c r="M235" s="29" t="s">
        <v>290</v>
      </c>
      <c r="N235" s="18" t="s">
        <v>291</v>
      </c>
    </row>
    <row r="236" spans="1:34" ht="13">
      <c r="A236" s="18" t="s">
        <v>283</v>
      </c>
      <c r="B236" s="27" t="s">
        <v>260</v>
      </c>
      <c r="C236" s="27" t="s">
        <v>634</v>
      </c>
      <c r="D236" s="27" t="s">
        <v>288</v>
      </c>
      <c r="E236" s="18" t="s">
        <v>709</v>
      </c>
      <c r="F236" s="27" t="s">
        <v>710</v>
      </c>
      <c r="G236" s="27" t="s">
        <v>611</v>
      </c>
      <c r="H236" s="37">
        <v>1972.9107505070999</v>
      </c>
      <c r="I236" s="37">
        <v>17375</v>
      </c>
      <c r="J236" s="37">
        <v>14682.5</v>
      </c>
      <c r="K236" s="37">
        <v>20167.5</v>
      </c>
      <c r="L236" s="38" t="s">
        <v>623</v>
      </c>
      <c r="M236" s="29" t="s">
        <v>290</v>
      </c>
      <c r="N236" s="18" t="s">
        <v>291</v>
      </c>
    </row>
    <row r="237" spans="1:34" ht="13">
      <c r="A237" s="18" t="s">
        <v>283</v>
      </c>
      <c r="B237" s="27" t="s">
        <v>260</v>
      </c>
      <c r="C237" s="27" t="s">
        <v>634</v>
      </c>
      <c r="D237" s="27" t="s">
        <v>288</v>
      </c>
      <c r="E237" s="18" t="s">
        <v>709</v>
      </c>
      <c r="F237" s="27" t="s">
        <v>710</v>
      </c>
      <c r="G237" s="27" t="s">
        <v>611</v>
      </c>
      <c r="H237" s="37">
        <v>1973.9249492900601</v>
      </c>
      <c r="I237" s="37">
        <v>15290</v>
      </c>
      <c r="J237" s="37">
        <v>12772.7</v>
      </c>
      <c r="K237" s="37">
        <v>17807.3</v>
      </c>
      <c r="L237" s="38" t="s">
        <v>623</v>
      </c>
      <c r="M237" s="29" t="s">
        <v>290</v>
      </c>
      <c r="N237" s="18" t="s">
        <v>291</v>
      </c>
      <c r="O237" s="30"/>
      <c r="P237" s="30"/>
      <c r="Q237" s="30"/>
      <c r="R237" s="30"/>
      <c r="S237" s="30"/>
      <c r="T237" s="30"/>
      <c r="U237" s="30"/>
      <c r="V237" s="30"/>
      <c r="W237" s="30"/>
      <c r="X237" s="30"/>
      <c r="Y237" s="30"/>
      <c r="Z237" s="30"/>
      <c r="AA237" s="30"/>
      <c r="AB237" s="30"/>
      <c r="AC237" s="30"/>
      <c r="AD237" s="30"/>
      <c r="AE237" s="30"/>
      <c r="AF237" s="30"/>
      <c r="AG237" s="30"/>
      <c r="AH237" s="30"/>
    </row>
    <row r="238" spans="1:34" ht="13">
      <c r="A238" s="18" t="s">
        <v>283</v>
      </c>
      <c r="B238" s="27" t="s">
        <v>260</v>
      </c>
      <c r="C238" s="27" t="s">
        <v>634</v>
      </c>
      <c r="D238" s="27" t="s">
        <v>288</v>
      </c>
      <c r="E238" s="18" t="s">
        <v>709</v>
      </c>
      <c r="F238" s="27" t="s">
        <v>710</v>
      </c>
      <c r="G238" s="27" t="s">
        <v>611</v>
      </c>
      <c r="H238" s="37">
        <v>1974.8377281947301</v>
      </c>
      <c r="I238" s="37">
        <v>17564</v>
      </c>
      <c r="J238" s="37">
        <v>14063.4</v>
      </c>
      <c r="K238" s="37">
        <v>20524.599999999999</v>
      </c>
      <c r="L238" s="38" t="s">
        <v>623</v>
      </c>
      <c r="M238" s="29" t="s">
        <v>290</v>
      </c>
      <c r="N238" s="18" t="s">
        <v>291</v>
      </c>
      <c r="O238" s="30"/>
      <c r="P238" s="30"/>
      <c r="Q238" s="30"/>
      <c r="R238" s="30"/>
      <c r="S238" s="30"/>
      <c r="T238" s="30"/>
      <c r="U238" s="30"/>
      <c r="V238" s="30"/>
      <c r="W238" s="30"/>
      <c r="X238" s="30"/>
      <c r="Y238" s="30"/>
      <c r="Z238" s="30"/>
      <c r="AA238" s="30"/>
      <c r="AB238" s="30"/>
      <c r="AC238" s="30"/>
      <c r="AD238" s="30"/>
      <c r="AE238" s="30"/>
      <c r="AF238" s="30"/>
      <c r="AG238" s="30"/>
      <c r="AH238" s="30"/>
    </row>
    <row r="239" spans="1:34" ht="13">
      <c r="A239" s="18" t="s">
        <v>283</v>
      </c>
      <c r="B239" s="27" t="s">
        <v>260</v>
      </c>
      <c r="C239" s="27" t="s">
        <v>634</v>
      </c>
      <c r="D239" s="27" t="s">
        <v>288</v>
      </c>
      <c r="E239" s="18" t="s">
        <v>709</v>
      </c>
      <c r="F239" s="27" t="s">
        <v>710</v>
      </c>
      <c r="G239" s="27" t="s">
        <v>611</v>
      </c>
      <c r="H239" s="37">
        <v>1975.95334685598</v>
      </c>
      <c r="I239" s="37">
        <v>18377</v>
      </c>
      <c r="J239" s="37">
        <v>15495.5</v>
      </c>
      <c r="K239" s="37">
        <v>21258.5</v>
      </c>
      <c r="L239" s="38" t="s">
        <v>623</v>
      </c>
      <c r="M239" s="29" t="s">
        <v>290</v>
      </c>
      <c r="N239" s="18" t="s">
        <v>291</v>
      </c>
      <c r="O239" s="30"/>
      <c r="P239" s="30"/>
      <c r="Q239" s="30"/>
      <c r="R239" s="30"/>
      <c r="S239" s="30"/>
      <c r="T239" s="30"/>
      <c r="U239" s="30"/>
      <c r="V239" s="30"/>
      <c r="W239" s="30"/>
      <c r="X239" s="30"/>
      <c r="Y239" s="30"/>
      <c r="Z239" s="30"/>
      <c r="AA239" s="30"/>
      <c r="AB239" s="30"/>
      <c r="AC239" s="30"/>
      <c r="AD239" s="30"/>
      <c r="AE239" s="30"/>
      <c r="AF239" s="30"/>
      <c r="AG239" s="30"/>
      <c r="AH239" s="30"/>
    </row>
    <row r="240" spans="1:34" ht="13">
      <c r="A240" s="18" t="s">
        <v>283</v>
      </c>
      <c r="B240" s="27" t="s">
        <v>260</v>
      </c>
      <c r="C240" s="27" t="s">
        <v>634</v>
      </c>
      <c r="D240" s="27" t="s">
        <v>288</v>
      </c>
      <c r="E240" s="18" t="s">
        <v>709</v>
      </c>
      <c r="F240" s="27" t="s">
        <v>710</v>
      </c>
      <c r="G240" s="27" t="s">
        <v>611</v>
      </c>
      <c r="H240" s="37">
        <v>1976.96754563895</v>
      </c>
      <c r="I240" s="37">
        <v>19538</v>
      </c>
      <c r="J240" s="37">
        <v>16168.1</v>
      </c>
      <c r="K240" s="37">
        <v>22907.9</v>
      </c>
      <c r="L240" s="38" t="s">
        <v>623</v>
      </c>
      <c r="M240" s="29" t="s">
        <v>290</v>
      </c>
      <c r="N240" s="18" t="s">
        <v>291</v>
      </c>
      <c r="O240" s="30"/>
      <c r="P240" s="30"/>
      <c r="Q240" s="30"/>
      <c r="R240" s="30"/>
      <c r="S240" s="30"/>
      <c r="T240" s="30"/>
      <c r="U240" s="30"/>
      <c r="V240" s="30"/>
      <c r="W240" s="30"/>
      <c r="X240" s="30"/>
      <c r="Y240" s="30"/>
      <c r="Z240" s="30"/>
      <c r="AA240" s="30"/>
      <c r="AB240" s="30"/>
      <c r="AC240" s="30"/>
      <c r="AD240" s="30"/>
      <c r="AE240" s="30"/>
      <c r="AF240" s="30"/>
      <c r="AG240" s="30"/>
      <c r="AH240" s="30"/>
    </row>
    <row r="241" spans="1:34" ht="13">
      <c r="A241" s="18" t="s">
        <v>283</v>
      </c>
      <c r="B241" s="27" t="s">
        <v>260</v>
      </c>
      <c r="C241" s="27" t="s">
        <v>634</v>
      </c>
      <c r="D241" s="27" t="s">
        <v>288</v>
      </c>
      <c r="E241" s="18" t="s">
        <v>709</v>
      </c>
      <c r="F241" s="27" t="s">
        <v>710</v>
      </c>
      <c r="G241" s="27" t="s">
        <v>611</v>
      </c>
      <c r="H241" s="37">
        <v>1977.88032454361</v>
      </c>
      <c r="I241" s="37">
        <v>15384</v>
      </c>
      <c r="J241" s="37">
        <v>12971.8</v>
      </c>
      <c r="K241" s="37">
        <v>17796.2</v>
      </c>
      <c r="L241" s="38" t="s">
        <v>623</v>
      </c>
      <c r="M241" s="29" t="s">
        <v>290</v>
      </c>
      <c r="N241" s="18" t="s">
        <v>291</v>
      </c>
      <c r="O241" s="30"/>
      <c r="P241" s="30"/>
      <c r="Q241" s="30"/>
      <c r="R241" s="30"/>
      <c r="S241" s="30"/>
      <c r="T241" s="30"/>
      <c r="U241" s="30"/>
      <c r="V241" s="30"/>
      <c r="W241" s="30"/>
      <c r="X241" s="30"/>
      <c r="Y241" s="30"/>
      <c r="Z241" s="30"/>
      <c r="AA241" s="30"/>
      <c r="AB241" s="30"/>
      <c r="AC241" s="30"/>
      <c r="AD241" s="30"/>
      <c r="AE241" s="30"/>
      <c r="AF241" s="30"/>
      <c r="AG241" s="30"/>
      <c r="AH241" s="30"/>
    </row>
    <row r="242" spans="1:34" ht="13">
      <c r="A242" s="18" t="s">
        <v>283</v>
      </c>
      <c r="B242" s="27" t="s">
        <v>260</v>
      </c>
      <c r="C242" s="27" t="s">
        <v>634</v>
      </c>
      <c r="D242" s="27" t="s">
        <v>288</v>
      </c>
      <c r="E242" s="18" t="s">
        <v>709</v>
      </c>
      <c r="F242" s="27" t="s">
        <v>710</v>
      </c>
      <c r="G242" s="27" t="s">
        <v>611</v>
      </c>
      <c r="H242" s="37">
        <v>1978.8945233265699</v>
      </c>
      <c r="I242" s="37">
        <v>19763</v>
      </c>
      <c r="J242" s="37">
        <v>16548</v>
      </c>
      <c r="K242" s="37">
        <v>22978</v>
      </c>
      <c r="L242" s="38" t="s">
        <v>623</v>
      </c>
      <c r="M242" s="29" t="s">
        <v>290</v>
      </c>
      <c r="N242" s="18" t="s">
        <v>291</v>
      </c>
      <c r="O242" s="30"/>
      <c r="P242" s="30"/>
      <c r="Q242" s="30"/>
      <c r="R242" s="30"/>
      <c r="S242" s="30"/>
      <c r="T242" s="30"/>
      <c r="U242" s="30"/>
      <c r="V242" s="30"/>
      <c r="W242" s="30"/>
      <c r="X242" s="30"/>
      <c r="Y242" s="30"/>
      <c r="Z242" s="30"/>
      <c r="AA242" s="30"/>
      <c r="AB242" s="30"/>
      <c r="AC242" s="30"/>
      <c r="AD242" s="30"/>
      <c r="AE242" s="30"/>
      <c r="AF242" s="30"/>
      <c r="AG242" s="30"/>
      <c r="AH242" s="30"/>
    </row>
    <row r="243" spans="1:34" ht="13">
      <c r="A243" s="18" t="s">
        <v>283</v>
      </c>
      <c r="B243" s="27" t="s">
        <v>260</v>
      </c>
      <c r="C243" s="27" t="s">
        <v>634</v>
      </c>
      <c r="D243" s="27" t="s">
        <v>288</v>
      </c>
      <c r="E243" s="18" t="s">
        <v>709</v>
      </c>
      <c r="F243" s="27" t="s">
        <v>710</v>
      </c>
      <c r="G243" s="27" t="s">
        <v>611</v>
      </c>
      <c r="H243" s="37">
        <v>1983.96551724138</v>
      </c>
      <c r="I243" s="37">
        <v>23499</v>
      </c>
      <c r="J243" s="37">
        <v>19399.8</v>
      </c>
      <c r="K243" s="37">
        <v>27598.2</v>
      </c>
      <c r="L243" s="38" t="s">
        <v>623</v>
      </c>
      <c r="M243" s="29" t="s">
        <v>290</v>
      </c>
      <c r="N243" s="18" t="s">
        <v>291</v>
      </c>
      <c r="O243" s="30"/>
      <c r="P243" s="30"/>
      <c r="Q243" s="30"/>
      <c r="R243" s="30"/>
      <c r="S243" s="30"/>
      <c r="T243" s="30"/>
      <c r="U243" s="30"/>
      <c r="V243" s="30"/>
      <c r="W243" s="30"/>
      <c r="X243" s="30"/>
      <c r="Y243" s="30"/>
      <c r="Z243" s="30"/>
      <c r="AA243" s="30"/>
      <c r="AB243" s="30"/>
      <c r="AC243" s="30"/>
      <c r="AD243" s="30"/>
      <c r="AE243" s="30"/>
      <c r="AF243" s="30"/>
      <c r="AG243" s="30"/>
      <c r="AH243" s="30"/>
    </row>
    <row r="244" spans="1:34" ht="13">
      <c r="A244" s="18" t="s">
        <v>283</v>
      </c>
      <c r="B244" s="27" t="s">
        <v>260</v>
      </c>
      <c r="C244" s="27" t="s">
        <v>634</v>
      </c>
      <c r="D244" s="27" t="s">
        <v>288</v>
      </c>
      <c r="E244" s="18" t="s">
        <v>709</v>
      </c>
      <c r="F244" s="27" t="s">
        <v>710</v>
      </c>
      <c r="G244" s="27" t="s">
        <v>611</v>
      </c>
      <c r="H244" s="37">
        <v>1984.97971602434</v>
      </c>
      <c r="I244" s="37">
        <v>22921</v>
      </c>
      <c r="J244" s="37">
        <v>19237.099999999999</v>
      </c>
      <c r="K244" s="37">
        <v>26604.9</v>
      </c>
      <c r="L244" s="38" t="s">
        <v>623</v>
      </c>
      <c r="M244" s="29" t="s">
        <v>290</v>
      </c>
      <c r="N244" s="18" t="s">
        <v>291</v>
      </c>
      <c r="O244" s="30"/>
      <c r="P244" s="30"/>
      <c r="Q244" s="30"/>
      <c r="R244" s="30"/>
      <c r="S244" s="30"/>
      <c r="T244" s="30"/>
      <c r="U244" s="30"/>
      <c r="V244" s="30"/>
      <c r="W244" s="30"/>
      <c r="X244" s="30"/>
      <c r="Y244" s="30"/>
      <c r="Z244" s="30"/>
      <c r="AA244" s="30"/>
      <c r="AB244" s="30"/>
      <c r="AC244" s="30"/>
      <c r="AD244" s="30"/>
      <c r="AE244" s="30"/>
      <c r="AF244" s="30"/>
      <c r="AG244" s="30"/>
      <c r="AH244" s="30"/>
    </row>
    <row r="245" spans="1:34" ht="13">
      <c r="A245" s="18" t="s">
        <v>283</v>
      </c>
      <c r="B245" s="27" t="s">
        <v>260</v>
      </c>
      <c r="C245" s="27" t="s">
        <v>634</v>
      </c>
      <c r="D245" s="27" t="s">
        <v>288</v>
      </c>
      <c r="E245" s="18" t="s">
        <v>709</v>
      </c>
      <c r="F245" s="27" t="s">
        <v>710</v>
      </c>
      <c r="G245" s="27" t="s">
        <v>611</v>
      </c>
      <c r="H245" s="37">
        <v>1987.0081135902601</v>
      </c>
      <c r="I245" s="37">
        <v>26916</v>
      </c>
      <c r="J245" s="37">
        <v>23856.2</v>
      </c>
      <c r="K245" s="37">
        <v>29957.8</v>
      </c>
      <c r="L245" s="38" t="s">
        <v>623</v>
      </c>
      <c r="M245" s="29" t="s">
        <v>290</v>
      </c>
      <c r="N245" s="18" t="s">
        <v>291</v>
      </c>
      <c r="O245" s="30"/>
      <c r="P245" s="30"/>
      <c r="Q245" s="30"/>
      <c r="R245" s="30"/>
      <c r="S245" s="30"/>
      <c r="T245" s="30"/>
      <c r="U245" s="30"/>
      <c r="V245" s="30"/>
      <c r="W245" s="30"/>
      <c r="X245" s="30"/>
      <c r="Y245" s="30"/>
      <c r="Z245" s="30"/>
      <c r="AA245" s="30"/>
      <c r="AB245" s="30"/>
      <c r="AC245" s="30"/>
      <c r="AD245" s="30"/>
      <c r="AE245" s="30"/>
      <c r="AF245" s="30"/>
      <c r="AG245" s="30"/>
      <c r="AH245" s="30"/>
    </row>
    <row r="246" spans="1:34" ht="13">
      <c r="A246" s="18" t="s">
        <v>283</v>
      </c>
      <c r="B246" s="27" t="s">
        <v>260</v>
      </c>
      <c r="C246" s="27" t="s">
        <v>634</v>
      </c>
      <c r="D246" s="27" t="s">
        <v>288</v>
      </c>
      <c r="E246" s="18" t="s">
        <v>709</v>
      </c>
      <c r="F246" s="27" t="s">
        <v>710</v>
      </c>
      <c r="G246" s="27" t="s">
        <v>611</v>
      </c>
      <c r="H246" s="37">
        <v>1991.8762677484799</v>
      </c>
      <c r="I246" s="37">
        <v>15762</v>
      </c>
      <c r="J246" s="37">
        <v>13611.2</v>
      </c>
      <c r="K246" s="37">
        <v>17862.8</v>
      </c>
      <c r="L246" s="38" t="s">
        <v>623</v>
      </c>
      <c r="M246" s="29" t="s">
        <v>290</v>
      </c>
      <c r="N246" s="18" t="s">
        <v>291</v>
      </c>
      <c r="O246" s="30"/>
      <c r="P246" s="30"/>
      <c r="Q246" s="30"/>
      <c r="R246" s="30"/>
      <c r="S246" s="30"/>
      <c r="T246" s="30"/>
      <c r="U246" s="30"/>
      <c r="V246" s="30"/>
      <c r="W246" s="30"/>
      <c r="X246" s="30"/>
      <c r="Y246" s="30"/>
      <c r="Z246" s="30"/>
      <c r="AA246" s="30"/>
      <c r="AB246" s="30"/>
      <c r="AC246" s="30"/>
      <c r="AD246" s="30"/>
      <c r="AE246" s="30"/>
      <c r="AF246" s="30"/>
      <c r="AG246" s="30"/>
      <c r="AH246" s="30"/>
    </row>
    <row r="247" spans="1:34" ht="13">
      <c r="A247" s="18" t="s">
        <v>283</v>
      </c>
      <c r="B247" s="27" t="s">
        <v>260</v>
      </c>
      <c r="C247" s="27" t="s">
        <v>634</v>
      </c>
      <c r="D247" s="27" t="s">
        <v>288</v>
      </c>
      <c r="E247" s="18" t="s">
        <v>709</v>
      </c>
      <c r="F247" s="27" t="s">
        <v>710</v>
      </c>
      <c r="G247" s="27" t="s">
        <v>611</v>
      </c>
      <c r="H247" s="37">
        <v>1992.9918864097399</v>
      </c>
      <c r="I247" s="37">
        <v>20103</v>
      </c>
      <c r="J247" s="37">
        <v>17953.900000000001</v>
      </c>
      <c r="K247" s="37">
        <v>22270.1</v>
      </c>
      <c r="L247" s="38" t="s">
        <v>623</v>
      </c>
      <c r="M247" s="29" t="s">
        <v>290</v>
      </c>
      <c r="N247" s="18" t="s">
        <v>291</v>
      </c>
      <c r="O247" s="30"/>
      <c r="P247" s="30"/>
      <c r="Q247" s="30"/>
      <c r="R247" s="30"/>
      <c r="S247" s="30"/>
      <c r="T247" s="30"/>
      <c r="U247" s="30"/>
      <c r="V247" s="30"/>
      <c r="W247" s="30"/>
      <c r="X247" s="30"/>
      <c r="Y247" s="30"/>
      <c r="Z247" s="30"/>
      <c r="AA247" s="30"/>
      <c r="AB247" s="30"/>
      <c r="AC247" s="30"/>
      <c r="AD247" s="30"/>
      <c r="AE247" s="30"/>
      <c r="AF247" s="30"/>
      <c r="AG247" s="30"/>
      <c r="AH247" s="30"/>
    </row>
    <row r="248" spans="1:34" ht="13">
      <c r="A248" s="18" t="s">
        <v>283</v>
      </c>
      <c r="B248" s="27" t="s">
        <v>260</v>
      </c>
      <c r="C248" s="27" t="s">
        <v>634</v>
      </c>
      <c r="D248" s="27" t="s">
        <v>288</v>
      </c>
      <c r="E248" s="18" t="s">
        <v>709</v>
      </c>
      <c r="F248" s="27" t="s">
        <v>710</v>
      </c>
      <c r="G248" s="27" t="s">
        <v>611</v>
      </c>
      <c r="H248" s="37">
        <v>1994.81744421907</v>
      </c>
      <c r="I248" s="37">
        <v>20944</v>
      </c>
      <c r="J248" s="37">
        <v>18439.900000000001</v>
      </c>
      <c r="K248" s="37">
        <v>23448.1</v>
      </c>
      <c r="L248" s="38" t="s">
        <v>623</v>
      </c>
      <c r="M248" s="29" t="s">
        <v>290</v>
      </c>
      <c r="N248" s="18" t="s">
        <v>291</v>
      </c>
      <c r="O248" s="30"/>
      <c r="P248" s="30"/>
      <c r="Q248" s="30"/>
      <c r="R248" s="30"/>
      <c r="S248" s="30"/>
      <c r="T248" s="30"/>
      <c r="U248" s="30"/>
      <c r="V248" s="30"/>
      <c r="W248" s="30"/>
      <c r="X248" s="30"/>
      <c r="Y248" s="30"/>
      <c r="Z248" s="30"/>
      <c r="AA248" s="30"/>
      <c r="AB248" s="30"/>
      <c r="AC248" s="30"/>
      <c r="AD248" s="30"/>
      <c r="AE248" s="30"/>
      <c r="AF248" s="30"/>
      <c r="AG248" s="30"/>
      <c r="AH248" s="30"/>
    </row>
    <row r="249" spans="1:34" ht="13">
      <c r="A249" s="18" t="s">
        <v>283</v>
      </c>
      <c r="B249" s="27" t="s">
        <v>260</v>
      </c>
      <c r="C249" s="27" t="s">
        <v>634</v>
      </c>
      <c r="D249" s="27" t="s">
        <v>288</v>
      </c>
      <c r="E249" s="18" t="s">
        <v>709</v>
      </c>
      <c r="F249" s="27" t="s">
        <v>710</v>
      </c>
      <c r="G249" s="27" t="s">
        <v>611</v>
      </c>
      <c r="H249" s="37">
        <v>1996.94726166329</v>
      </c>
      <c r="I249" s="37">
        <v>21135</v>
      </c>
      <c r="J249" s="37">
        <v>18318.099999999999</v>
      </c>
      <c r="K249" s="37">
        <v>23951.9</v>
      </c>
      <c r="L249" s="38" t="s">
        <v>623</v>
      </c>
      <c r="M249" s="29" t="s">
        <v>290</v>
      </c>
      <c r="N249" s="18" t="s">
        <v>291</v>
      </c>
      <c r="O249" s="30"/>
      <c r="P249" s="30"/>
      <c r="Q249" s="30"/>
      <c r="R249" s="30"/>
      <c r="S249" s="30"/>
      <c r="T249" s="30"/>
      <c r="U249" s="30"/>
      <c r="V249" s="30"/>
      <c r="W249" s="30"/>
      <c r="X249" s="30"/>
      <c r="Y249" s="30"/>
      <c r="Z249" s="30"/>
      <c r="AA249" s="30"/>
      <c r="AB249" s="30"/>
      <c r="AC249" s="30"/>
      <c r="AD249" s="30"/>
      <c r="AE249" s="30"/>
      <c r="AF249" s="30"/>
      <c r="AG249" s="30"/>
      <c r="AH249" s="30"/>
    </row>
    <row r="250" spans="1:34" ht="13">
      <c r="A250" s="18" t="s">
        <v>283</v>
      </c>
      <c r="B250" s="27" t="s">
        <v>260</v>
      </c>
      <c r="C250" s="27" t="s">
        <v>634</v>
      </c>
      <c r="D250" s="27" t="s">
        <v>288</v>
      </c>
      <c r="E250" s="18" t="s">
        <v>709</v>
      </c>
      <c r="F250" s="27" t="s">
        <v>710</v>
      </c>
      <c r="G250" s="27" t="s">
        <v>611</v>
      </c>
      <c r="H250" s="37">
        <v>1999.8884381338701</v>
      </c>
      <c r="I250" s="37">
        <v>16369</v>
      </c>
      <c r="J250" s="37">
        <v>14411.9</v>
      </c>
      <c r="K250" s="37">
        <v>18326.099999999999</v>
      </c>
      <c r="L250" s="38" t="s">
        <v>623</v>
      </c>
      <c r="M250" s="29" t="s">
        <v>290</v>
      </c>
      <c r="N250" s="18" t="s">
        <v>291</v>
      </c>
      <c r="O250" s="30"/>
      <c r="P250" s="30"/>
      <c r="Q250" s="30"/>
      <c r="R250" s="30"/>
      <c r="S250" s="30"/>
      <c r="T250" s="30"/>
      <c r="U250" s="30"/>
      <c r="V250" s="30"/>
      <c r="W250" s="30"/>
      <c r="X250" s="30"/>
      <c r="Y250" s="30"/>
      <c r="Z250" s="30"/>
      <c r="AA250" s="30"/>
      <c r="AB250" s="30"/>
      <c r="AC250" s="30"/>
      <c r="AD250" s="30"/>
      <c r="AE250" s="30"/>
      <c r="AF250" s="30"/>
      <c r="AG250" s="30"/>
      <c r="AH250" s="30"/>
    </row>
    <row r="251" spans="1:34" ht="13">
      <c r="A251" s="18" t="s">
        <v>283</v>
      </c>
      <c r="B251" s="27" t="s">
        <v>260</v>
      </c>
      <c r="C251" s="27" t="s">
        <v>634</v>
      </c>
      <c r="D251" s="27" t="s">
        <v>288</v>
      </c>
      <c r="E251" s="18" t="s">
        <v>709</v>
      </c>
      <c r="F251" s="27" t="s">
        <v>710</v>
      </c>
      <c r="G251" s="27" t="s">
        <v>611</v>
      </c>
      <c r="H251" s="37">
        <v>2000.90263691684</v>
      </c>
      <c r="I251" s="37">
        <v>16033</v>
      </c>
      <c r="J251" s="37">
        <v>13864.7</v>
      </c>
      <c r="K251" s="37">
        <v>18201.3</v>
      </c>
      <c r="L251" s="38" t="s">
        <v>623</v>
      </c>
      <c r="M251" s="29" t="s">
        <v>290</v>
      </c>
      <c r="N251" s="18" t="s">
        <v>291</v>
      </c>
    </row>
    <row r="252" spans="1:34" ht="13">
      <c r="A252" s="18" t="s">
        <v>283</v>
      </c>
      <c r="B252" s="27" t="s">
        <v>260</v>
      </c>
      <c r="C252" s="27" t="s">
        <v>634</v>
      </c>
      <c r="D252" s="27" t="s">
        <v>288</v>
      </c>
      <c r="E252" s="18" t="s">
        <v>709</v>
      </c>
      <c r="F252" s="27" t="s">
        <v>710</v>
      </c>
      <c r="G252" s="27" t="s">
        <v>611</v>
      </c>
      <c r="H252" s="37">
        <v>2005.8722109533501</v>
      </c>
      <c r="I252" s="37">
        <v>19126</v>
      </c>
      <c r="J252" s="37">
        <v>16464.400000000001</v>
      </c>
      <c r="K252" s="37">
        <v>21787.599999999999</v>
      </c>
      <c r="L252" s="38" t="s">
        <v>623</v>
      </c>
      <c r="M252" s="29" t="s">
        <v>290</v>
      </c>
      <c r="N252" s="18" t="s">
        <v>291</v>
      </c>
    </row>
    <row r="253" spans="1:34" ht="13">
      <c r="A253" s="18" t="s">
        <v>283</v>
      </c>
      <c r="B253" s="27" t="s">
        <v>260</v>
      </c>
      <c r="C253" s="27" t="s">
        <v>634</v>
      </c>
      <c r="D253" s="27" t="s">
        <v>288</v>
      </c>
      <c r="E253" s="18" t="s">
        <v>709</v>
      </c>
      <c r="F253" s="27" t="s">
        <v>710</v>
      </c>
      <c r="G253" s="27" t="s">
        <v>611</v>
      </c>
      <c r="H253" s="37">
        <v>2007</v>
      </c>
      <c r="I253" s="37">
        <v>17820</v>
      </c>
      <c r="J253" s="37">
        <v>16150</v>
      </c>
      <c r="K253" s="37">
        <v>19920</v>
      </c>
      <c r="L253" s="38" t="s">
        <v>623</v>
      </c>
      <c r="M253" s="29" t="s">
        <v>290</v>
      </c>
      <c r="N253" s="18" t="s">
        <v>291</v>
      </c>
    </row>
    <row r="254" spans="1:34" ht="13">
      <c r="A254" s="18" t="s">
        <v>283</v>
      </c>
      <c r="B254" s="27" t="s">
        <v>260</v>
      </c>
      <c r="C254" s="27" t="s">
        <v>634</v>
      </c>
      <c r="D254" s="27" t="s">
        <v>288</v>
      </c>
      <c r="E254" s="18" t="s">
        <v>709</v>
      </c>
      <c r="F254" s="27" t="s">
        <v>710</v>
      </c>
      <c r="G254" s="27" t="s">
        <v>611</v>
      </c>
      <c r="H254" s="37">
        <v>2009</v>
      </c>
      <c r="I254" s="37">
        <v>21210</v>
      </c>
      <c r="J254" s="37">
        <v>19420</v>
      </c>
      <c r="K254" s="37">
        <v>23250</v>
      </c>
      <c r="L254" s="38" t="s">
        <v>623</v>
      </c>
      <c r="M254" s="29" t="s">
        <v>290</v>
      </c>
      <c r="N254" s="18" t="s">
        <v>291</v>
      </c>
    </row>
    <row r="255" spans="1:34" ht="13">
      <c r="A255" s="18" t="s">
        <v>283</v>
      </c>
      <c r="B255" s="27" t="s">
        <v>260</v>
      </c>
      <c r="C255" s="27" t="s">
        <v>634</v>
      </c>
      <c r="D255" s="27" t="s">
        <v>288</v>
      </c>
      <c r="E255" s="18" t="s">
        <v>709</v>
      </c>
      <c r="F255" s="27" t="s">
        <v>710</v>
      </c>
      <c r="G255" s="27" t="s">
        <v>611</v>
      </c>
      <c r="H255" s="37">
        <v>2010</v>
      </c>
      <c r="I255" s="37">
        <v>20990</v>
      </c>
      <c r="J255" s="37">
        <v>19230</v>
      </c>
      <c r="K255" s="37">
        <v>22900</v>
      </c>
      <c r="L255" s="38" t="s">
        <v>623</v>
      </c>
      <c r="M255" s="29" t="s">
        <v>290</v>
      </c>
      <c r="N255" s="18" t="s">
        <v>291</v>
      </c>
    </row>
    <row r="256" spans="1:34" ht="13">
      <c r="A256" s="18" t="s">
        <v>283</v>
      </c>
      <c r="B256" s="27" t="s">
        <v>260</v>
      </c>
      <c r="C256" s="27" t="s">
        <v>634</v>
      </c>
      <c r="D256" s="27" t="s">
        <v>288</v>
      </c>
      <c r="E256" s="18" t="s">
        <v>709</v>
      </c>
      <c r="F256" s="27" t="s">
        <v>710</v>
      </c>
      <c r="G256" s="27" t="s">
        <v>611</v>
      </c>
      <c r="H256" s="37">
        <v>2014</v>
      </c>
      <c r="I256" s="37">
        <v>28790</v>
      </c>
      <c r="J256" s="37">
        <v>23620</v>
      </c>
      <c r="K256" s="37">
        <v>39210</v>
      </c>
      <c r="L256" s="38" t="s">
        <v>623</v>
      </c>
      <c r="M256" s="29" t="s">
        <v>290</v>
      </c>
      <c r="N256" s="18" t="s">
        <v>291</v>
      </c>
    </row>
    <row r="257" spans="1:14" ht="13">
      <c r="A257" s="18" t="s">
        <v>283</v>
      </c>
      <c r="B257" s="27" t="s">
        <v>260</v>
      </c>
      <c r="C257" s="27" t="s">
        <v>634</v>
      </c>
      <c r="D257" s="27" t="s">
        <v>288</v>
      </c>
      <c r="E257" s="18" t="s">
        <v>709</v>
      </c>
      <c r="F257" s="27" t="s">
        <v>710</v>
      </c>
      <c r="G257" s="27" t="s">
        <v>611</v>
      </c>
      <c r="H257" s="37">
        <v>2015</v>
      </c>
      <c r="I257" s="37">
        <v>26960</v>
      </c>
      <c r="J257" s="37">
        <v>24420</v>
      </c>
      <c r="K257" s="37">
        <v>29830</v>
      </c>
      <c r="L257" s="38" t="s">
        <v>623</v>
      </c>
      <c r="M257" s="29" t="s">
        <v>290</v>
      </c>
      <c r="N257" s="18" t="s">
        <v>291</v>
      </c>
    </row>
    <row r="258" spans="1:14" ht="13">
      <c r="A258" s="27" t="s">
        <v>266</v>
      </c>
      <c r="B258" s="18" t="s">
        <v>260</v>
      </c>
      <c r="C258" s="27" t="s">
        <v>363</v>
      </c>
      <c r="D258" s="27" t="s">
        <v>364</v>
      </c>
      <c r="E258" s="18" t="s">
        <v>711</v>
      </c>
      <c r="F258" s="18" t="s">
        <v>712</v>
      </c>
      <c r="G258" s="18" t="s">
        <v>622</v>
      </c>
      <c r="H258" s="18">
        <v>1986</v>
      </c>
      <c r="I258" s="40">
        <v>5014</v>
      </c>
      <c r="J258" s="40">
        <v>2642</v>
      </c>
      <c r="K258" s="18">
        <v>9824</v>
      </c>
      <c r="L258" s="38" t="s">
        <v>637</v>
      </c>
      <c r="M258" s="24" t="s">
        <v>365</v>
      </c>
      <c r="N258" s="18" t="s">
        <v>366</v>
      </c>
    </row>
    <row r="259" spans="1:14" ht="13">
      <c r="A259" s="27" t="s">
        <v>266</v>
      </c>
      <c r="B259" s="18" t="s">
        <v>260</v>
      </c>
      <c r="C259" s="27" t="s">
        <v>363</v>
      </c>
      <c r="D259" s="27" t="s">
        <v>364</v>
      </c>
      <c r="E259" s="18" t="s">
        <v>711</v>
      </c>
      <c r="F259" s="18" t="s">
        <v>712</v>
      </c>
      <c r="G259" s="18" t="s">
        <v>622</v>
      </c>
      <c r="H259" s="18">
        <v>1987</v>
      </c>
      <c r="I259" s="40">
        <v>3320</v>
      </c>
      <c r="J259" s="40">
        <v>1829</v>
      </c>
      <c r="K259" s="18">
        <v>6640</v>
      </c>
      <c r="L259" s="38" t="s">
        <v>637</v>
      </c>
      <c r="M259" s="24" t="s">
        <v>365</v>
      </c>
      <c r="N259" s="18" t="s">
        <v>366</v>
      </c>
    </row>
    <row r="260" spans="1:14" ht="13">
      <c r="A260" s="27" t="s">
        <v>266</v>
      </c>
      <c r="B260" s="18" t="s">
        <v>260</v>
      </c>
      <c r="C260" s="27" t="s">
        <v>363</v>
      </c>
      <c r="D260" s="27" t="s">
        <v>364</v>
      </c>
      <c r="E260" s="18" t="s">
        <v>711</v>
      </c>
      <c r="F260" s="18" t="s">
        <v>712</v>
      </c>
      <c r="G260" s="18" t="s">
        <v>622</v>
      </c>
      <c r="H260" s="18">
        <v>1988</v>
      </c>
      <c r="I260" s="40">
        <v>3930</v>
      </c>
      <c r="J260" s="40">
        <v>2304</v>
      </c>
      <c r="K260" s="18">
        <v>7385</v>
      </c>
      <c r="L260" s="38" t="s">
        <v>637</v>
      </c>
      <c r="M260" s="24" t="s">
        <v>365</v>
      </c>
      <c r="N260" s="18" t="s">
        <v>366</v>
      </c>
    </row>
    <row r="261" spans="1:14" ht="13">
      <c r="A261" s="27" t="s">
        <v>266</v>
      </c>
      <c r="B261" s="18" t="s">
        <v>260</v>
      </c>
      <c r="C261" s="27" t="s">
        <v>363</v>
      </c>
      <c r="D261" s="27" t="s">
        <v>364</v>
      </c>
      <c r="E261" s="18" t="s">
        <v>711</v>
      </c>
      <c r="F261" s="18" t="s">
        <v>712</v>
      </c>
      <c r="G261" s="18" t="s">
        <v>622</v>
      </c>
      <c r="H261" s="18">
        <v>1989</v>
      </c>
      <c r="I261" s="40">
        <v>3930</v>
      </c>
      <c r="J261" s="40">
        <v>2236</v>
      </c>
      <c r="K261" s="18">
        <v>7182</v>
      </c>
      <c r="L261" s="38" t="s">
        <v>637</v>
      </c>
      <c r="M261" s="24" t="s">
        <v>365</v>
      </c>
      <c r="N261" s="18" t="s">
        <v>366</v>
      </c>
    </row>
    <row r="262" spans="1:14" ht="13">
      <c r="A262" s="27" t="s">
        <v>266</v>
      </c>
      <c r="B262" s="18" t="s">
        <v>260</v>
      </c>
      <c r="C262" s="27" t="s">
        <v>363</v>
      </c>
      <c r="D262" s="27" t="s">
        <v>364</v>
      </c>
      <c r="E262" s="18" t="s">
        <v>711</v>
      </c>
      <c r="F262" s="18" t="s">
        <v>712</v>
      </c>
      <c r="G262" s="18" t="s">
        <v>622</v>
      </c>
      <c r="H262" s="18">
        <v>1990</v>
      </c>
      <c r="I262" s="40">
        <v>3930</v>
      </c>
      <c r="J262" s="40">
        <v>2371</v>
      </c>
      <c r="K262" s="18">
        <v>7114</v>
      </c>
      <c r="L262" s="38" t="s">
        <v>637</v>
      </c>
      <c r="M262" s="24" t="s">
        <v>365</v>
      </c>
      <c r="N262" s="18" t="s">
        <v>366</v>
      </c>
    </row>
    <row r="263" spans="1:14" ht="13">
      <c r="A263" s="27" t="s">
        <v>266</v>
      </c>
      <c r="B263" s="18" t="s">
        <v>260</v>
      </c>
      <c r="C263" s="27" t="s">
        <v>363</v>
      </c>
      <c r="D263" s="27" t="s">
        <v>364</v>
      </c>
      <c r="E263" s="18" t="s">
        <v>711</v>
      </c>
      <c r="F263" s="18" t="s">
        <v>712</v>
      </c>
      <c r="G263" s="18" t="s">
        <v>622</v>
      </c>
      <c r="H263" s="18">
        <v>1991</v>
      </c>
      <c r="I263" s="40">
        <v>3455</v>
      </c>
      <c r="J263" s="40">
        <v>1897</v>
      </c>
      <c r="K263" s="18">
        <v>6436</v>
      </c>
      <c r="L263" s="38" t="s">
        <v>637</v>
      </c>
      <c r="M263" s="24" t="s">
        <v>365</v>
      </c>
      <c r="N263" s="18" t="s">
        <v>366</v>
      </c>
    </row>
    <row r="264" spans="1:14" ht="13">
      <c r="A264" s="27" t="s">
        <v>266</v>
      </c>
      <c r="B264" s="18" t="s">
        <v>260</v>
      </c>
      <c r="C264" s="27" t="s">
        <v>363</v>
      </c>
      <c r="D264" s="27" t="s">
        <v>364</v>
      </c>
      <c r="E264" s="18" t="s">
        <v>711</v>
      </c>
      <c r="F264" s="18" t="s">
        <v>712</v>
      </c>
      <c r="G264" s="18" t="s">
        <v>622</v>
      </c>
      <c r="H264" s="18">
        <v>1992</v>
      </c>
      <c r="I264" s="40">
        <v>4065</v>
      </c>
      <c r="J264" s="40">
        <v>2236</v>
      </c>
      <c r="K264" s="18">
        <v>8062</v>
      </c>
      <c r="L264" s="38" t="s">
        <v>637</v>
      </c>
      <c r="M264" s="24" t="s">
        <v>365</v>
      </c>
      <c r="N264" s="18" t="s">
        <v>366</v>
      </c>
    </row>
    <row r="265" spans="1:14" ht="13">
      <c r="A265" s="27" t="s">
        <v>266</v>
      </c>
      <c r="B265" s="18" t="s">
        <v>260</v>
      </c>
      <c r="C265" s="27" t="s">
        <v>363</v>
      </c>
      <c r="D265" s="27" t="s">
        <v>364</v>
      </c>
      <c r="E265" s="18" t="s">
        <v>711</v>
      </c>
      <c r="F265" s="18" t="s">
        <v>712</v>
      </c>
      <c r="G265" s="18" t="s">
        <v>622</v>
      </c>
      <c r="H265" s="18">
        <v>1993</v>
      </c>
      <c r="I265" s="40">
        <v>4201</v>
      </c>
      <c r="J265" s="40">
        <v>2439</v>
      </c>
      <c r="K265" s="18">
        <v>7724</v>
      </c>
      <c r="L265" s="38" t="s">
        <v>637</v>
      </c>
      <c r="M265" s="24" t="s">
        <v>365</v>
      </c>
      <c r="N265" s="18" t="s">
        <v>366</v>
      </c>
    </row>
    <row r="266" spans="1:14" ht="13">
      <c r="A266" s="27" t="s">
        <v>266</v>
      </c>
      <c r="B266" s="18" t="s">
        <v>260</v>
      </c>
      <c r="C266" s="27" t="s">
        <v>363</v>
      </c>
      <c r="D266" s="27" t="s">
        <v>364</v>
      </c>
      <c r="E266" s="18" t="s">
        <v>711</v>
      </c>
      <c r="F266" s="18" t="s">
        <v>712</v>
      </c>
      <c r="G266" s="18" t="s">
        <v>622</v>
      </c>
      <c r="H266" s="18">
        <v>1994</v>
      </c>
      <c r="I266" s="40">
        <v>4743</v>
      </c>
      <c r="J266" s="40">
        <v>2778</v>
      </c>
      <c r="K266" s="18">
        <v>9553</v>
      </c>
      <c r="L266" s="38" t="s">
        <v>637</v>
      </c>
      <c r="M266" s="24" t="s">
        <v>365</v>
      </c>
      <c r="N266" s="18" t="s">
        <v>366</v>
      </c>
    </row>
    <row r="267" spans="1:14" ht="13">
      <c r="A267" s="27" t="s">
        <v>266</v>
      </c>
      <c r="B267" s="18" t="s">
        <v>260</v>
      </c>
      <c r="C267" s="27" t="s">
        <v>363</v>
      </c>
      <c r="D267" s="27" t="s">
        <v>364</v>
      </c>
      <c r="E267" s="18" t="s">
        <v>711</v>
      </c>
      <c r="F267" s="18" t="s">
        <v>712</v>
      </c>
      <c r="G267" s="18" t="s">
        <v>622</v>
      </c>
      <c r="H267" s="18">
        <v>1995</v>
      </c>
      <c r="I267" s="40">
        <v>5149</v>
      </c>
      <c r="J267" s="40">
        <v>2981</v>
      </c>
      <c r="K267" s="18">
        <v>9688</v>
      </c>
      <c r="L267" s="38" t="s">
        <v>637</v>
      </c>
      <c r="M267" s="24" t="s">
        <v>365</v>
      </c>
      <c r="N267" s="18" t="s">
        <v>366</v>
      </c>
    </row>
    <row r="268" spans="1:14" ht="13">
      <c r="A268" s="27" t="s">
        <v>266</v>
      </c>
      <c r="B268" s="18" t="s">
        <v>260</v>
      </c>
      <c r="C268" s="27" t="s">
        <v>363</v>
      </c>
      <c r="D268" s="27" t="s">
        <v>364</v>
      </c>
      <c r="E268" s="18" t="s">
        <v>711</v>
      </c>
      <c r="F268" s="18" t="s">
        <v>712</v>
      </c>
      <c r="G268" s="18" t="s">
        <v>622</v>
      </c>
      <c r="H268" s="18">
        <v>1996</v>
      </c>
      <c r="I268" s="40">
        <v>6233</v>
      </c>
      <c r="J268" s="40">
        <v>3455</v>
      </c>
      <c r="K268" s="18">
        <v>12195</v>
      </c>
      <c r="L268" s="38" t="s">
        <v>637</v>
      </c>
      <c r="M268" s="24" t="s">
        <v>365</v>
      </c>
      <c r="N268" s="18" t="s">
        <v>366</v>
      </c>
    </row>
    <row r="269" spans="1:14" ht="13">
      <c r="A269" s="27" t="s">
        <v>266</v>
      </c>
      <c r="B269" s="18" t="s">
        <v>260</v>
      </c>
      <c r="C269" s="27" t="s">
        <v>363</v>
      </c>
      <c r="D269" s="27" t="s">
        <v>364</v>
      </c>
      <c r="E269" s="18" t="s">
        <v>711</v>
      </c>
      <c r="F269" s="18" t="s">
        <v>712</v>
      </c>
      <c r="G269" s="18" t="s">
        <v>622</v>
      </c>
      <c r="H269" s="18">
        <v>1997</v>
      </c>
      <c r="I269" s="40">
        <v>7859</v>
      </c>
      <c r="J269" s="40">
        <v>4607</v>
      </c>
      <c r="K269" s="18">
        <v>14905</v>
      </c>
      <c r="L269" s="38" t="s">
        <v>637</v>
      </c>
      <c r="M269" s="24" t="s">
        <v>365</v>
      </c>
      <c r="N269" s="18" t="s">
        <v>366</v>
      </c>
    </row>
    <row r="270" spans="1:14" ht="13">
      <c r="A270" s="27" t="s">
        <v>266</v>
      </c>
      <c r="B270" s="18" t="s">
        <v>260</v>
      </c>
      <c r="C270" s="27" t="s">
        <v>363</v>
      </c>
      <c r="D270" s="27" t="s">
        <v>364</v>
      </c>
      <c r="E270" s="18" t="s">
        <v>711</v>
      </c>
      <c r="F270" s="18" t="s">
        <v>712</v>
      </c>
      <c r="G270" s="18" t="s">
        <v>622</v>
      </c>
      <c r="H270" s="18">
        <v>1998</v>
      </c>
      <c r="I270" s="40">
        <v>8333</v>
      </c>
      <c r="J270" s="40">
        <v>4607</v>
      </c>
      <c r="K270" s="18">
        <v>16396</v>
      </c>
      <c r="L270" s="38" t="s">
        <v>637</v>
      </c>
      <c r="M270" s="24" t="s">
        <v>365</v>
      </c>
      <c r="N270" s="18" t="s">
        <v>366</v>
      </c>
    </row>
    <row r="271" spans="1:14" ht="13">
      <c r="A271" s="27" t="s">
        <v>266</v>
      </c>
      <c r="B271" s="18" t="s">
        <v>260</v>
      </c>
      <c r="C271" s="27" t="s">
        <v>363</v>
      </c>
      <c r="D271" s="27" t="s">
        <v>364</v>
      </c>
      <c r="E271" s="18" t="s">
        <v>711</v>
      </c>
      <c r="F271" s="18" t="s">
        <v>712</v>
      </c>
      <c r="G271" s="18" t="s">
        <v>622</v>
      </c>
      <c r="H271" s="18">
        <v>1999</v>
      </c>
      <c r="I271" s="40">
        <v>9011</v>
      </c>
      <c r="J271" s="40">
        <v>5285</v>
      </c>
      <c r="K271" s="18">
        <v>16802</v>
      </c>
      <c r="L271" s="38" t="s">
        <v>637</v>
      </c>
      <c r="M271" s="24" t="s">
        <v>365</v>
      </c>
      <c r="N271" s="18" t="s">
        <v>366</v>
      </c>
    </row>
    <row r="272" spans="1:14" ht="13">
      <c r="A272" s="27" t="s">
        <v>266</v>
      </c>
      <c r="B272" s="18" t="s">
        <v>260</v>
      </c>
      <c r="C272" s="27" t="s">
        <v>363</v>
      </c>
      <c r="D272" s="27" t="s">
        <v>364</v>
      </c>
      <c r="E272" s="18" t="s">
        <v>711</v>
      </c>
      <c r="F272" s="18" t="s">
        <v>712</v>
      </c>
      <c r="G272" s="18" t="s">
        <v>622</v>
      </c>
      <c r="H272" s="18">
        <v>2000</v>
      </c>
      <c r="I272" s="40">
        <v>9146</v>
      </c>
      <c r="J272" s="40">
        <v>5149</v>
      </c>
      <c r="K272" s="18">
        <v>16802</v>
      </c>
      <c r="L272" s="38" t="s">
        <v>637</v>
      </c>
      <c r="M272" s="24" t="s">
        <v>365</v>
      </c>
      <c r="N272" s="18" t="s">
        <v>366</v>
      </c>
    </row>
    <row r="273" spans="1:14" ht="13">
      <c r="A273" s="27" t="s">
        <v>266</v>
      </c>
      <c r="B273" s="18" t="s">
        <v>260</v>
      </c>
      <c r="C273" s="27" t="s">
        <v>363</v>
      </c>
      <c r="D273" s="27" t="s">
        <v>364</v>
      </c>
      <c r="E273" s="18" t="s">
        <v>711</v>
      </c>
      <c r="F273" s="18" t="s">
        <v>712</v>
      </c>
      <c r="G273" s="18" t="s">
        <v>622</v>
      </c>
      <c r="H273" s="18">
        <v>2001</v>
      </c>
      <c r="I273" s="40">
        <v>8672</v>
      </c>
      <c r="J273" s="40">
        <v>5014</v>
      </c>
      <c r="K273" s="18">
        <v>16192</v>
      </c>
      <c r="L273" s="38" t="s">
        <v>637</v>
      </c>
      <c r="M273" s="24" t="s">
        <v>365</v>
      </c>
      <c r="N273" s="18" t="s">
        <v>366</v>
      </c>
    </row>
    <row r="274" spans="1:14" ht="13">
      <c r="A274" s="27" t="s">
        <v>266</v>
      </c>
      <c r="B274" s="18" t="s">
        <v>260</v>
      </c>
      <c r="C274" s="27" t="s">
        <v>363</v>
      </c>
      <c r="D274" s="27" t="s">
        <v>364</v>
      </c>
      <c r="E274" s="18" t="s">
        <v>711</v>
      </c>
      <c r="F274" s="18" t="s">
        <v>712</v>
      </c>
      <c r="G274" s="18" t="s">
        <v>622</v>
      </c>
      <c r="H274" s="18">
        <v>2002</v>
      </c>
      <c r="I274" s="40">
        <v>11247</v>
      </c>
      <c r="J274" s="40">
        <v>6775</v>
      </c>
      <c r="K274" s="18">
        <v>20596</v>
      </c>
      <c r="L274" s="38" t="s">
        <v>637</v>
      </c>
      <c r="M274" s="24" t="s">
        <v>365</v>
      </c>
      <c r="N274" s="18" t="s">
        <v>366</v>
      </c>
    </row>
    <row r="275" spans="1:14" ht="13">
      <c r="A275" s="27" t="s">
        <v>266</v>
      </c>
      <c r="B275" s="18" t="s">
        <v>260</v>
      </c>
      <c r="C275" s="27" t="s">
        <v>363</v>
      </c>
      <c r="D275" s="27" t="s">
        <v>364</v>
      </c>
      <c r="E275" s="18" t="s">
        <v>711</v>
      </c>
      <c r="F275" s="18" t="s">
        <v>712</v>
      </c>
      <c r="G275" s="18" t="s">
        <v>622</v>
      </c>
      <c r="H275" s="18">
        <v>2003</v>
      </c>
      <c r="I275" s="40">
        <v>11721</v>
      </c>
      <c r="J275" s="40">
        <v>6911</v>
      </c>
      <c r="K275" s="18">
        <v>22493</v>
      </c>
      <c r="L275" s="38" t="s">
        <v>637</v>
      </c>
      <c r="M275" s="24" t="s">
        <v>365</v>
      </c>
      <c r="N275" s="18" t="s">
        <v>366</v>
      </c>
    </row>
    <row r="276" spans="1:14" ht="13">
      <c r="A276" s="27" t="s">
        <v>266</v>
      </c>
      <c r="B276" s="18" t="s">
        <v>260</v>
      </c>
      <c r="C276" s="27" t="s">
        <v>363</v>
      </c>
      <c r="D276" s="27" t="s">
        <v>364</v>
      </c>
      <c r="E276" s="18" t="s">
        <v>711</v>
      </c>
      <c r="F276" s="18" t="s">
        <v>712</v>
      </c>
      <c r="G276" s="18" t="s">
        <v>622</v>
      </c>
      <c r="H276" s="18">
        <v>2004</v>
      </c>
      <c r="I276" s="40">
        <v>13076</v>
      </c>
      <c r="J276" s="40">
        <v>7656</v>
      </c>
      <c r="K276" s="18">
        <v>24593</v>
      </c>
      <c r="L276" s="38" t="s">
        <v>637</v>
      </c>
      <c r="M276" s="24" t="s">
        <v>365</v>
      </c>
      <c r="N276" s="18" t="s">
        <v>366</v>
      </c>
    </row>
    <row r="277" spans="1:14" ht="13">
      <c r="A277" s="27" t="s">
        <v>266</v>
      </c>
      <c r="B277" s="18" t="s">
        <v>260</v>
      </c>
      <c r="C277" s="27" t="s">
        <v>363</v>
      </c>
      <c r="D277" s="27" t="s">
        <v>364</v>
      </c>
      <c r="E277" s="18" t="s">
        <v>711</v>
      </c>
      <c r="F277" s="18" t="s">
        <v>712</v>
      </c>
      <c r="G277" s="18" t="s">
        <v>622</v>
      </c>
      <c r="H277" s="18">
        <v>2005</v>
      </c>
      <c r="I277" s="40">
        <v>14363</v>
      </c>
      <c r="J277" s="40">
        <v>8333</v>
      </c>
      <c r="K277" s="18">
        <v>27846</v>
      </c>
      <c r="L277" s="38" t="s">
        <v>637</v>
      </c>
      <c r="M277" s="24" t="s">
        <v>365</v>
      </c>
      <c r="N277" s="18" t="s">
        <v>366</v>
      </c>
    </row>
    <row r="278" spans="1:14" ht="13">
      <c r="A278" s="27" t="s">
        <v>266</v>
      </c>
      <c r="B278" s="18" t="s">
        <v>260</v>
      </c>
      <c r="C278" s="27" t="s">
        <v>363</v>
      </c>
      <c r="D278" s="27" t="s">
        <v>364</v>
      </c>
      <c r="E278" s="18" t="s">
        <v>711</v>
      </c>
      <c r="F278" s="18" t="s">
        <v>712</v>
      </c>
      <c r="G278" s="18" t="s">
        <v>622</v>
      </c>
      <c r="H278" s="18">
        <v>2006</v>
      </c>
      <c r="I278" s="40">
        <v>10434</v>
      </c>
      <c r="J278" s="40">
        <v>6369</v>
      </c>
      <c r="K278" s="18">
        <v>19377</v>
      </c>
      <c r="L278" s="38" t="s">
        <v>637</v>
      </c>
      <c r="M278" s="24" t="s">
        <v>365</v>
      </c>
      <c r="N278" s="18" t="s">
        <v>366</v>
      </c>
    </row>
    <row r="279" spans="1:14" ht="13">
      <c r="A279" s="27" t="s">
        <v>266</v>
      </c>
      <c r="B279" s="18" t="s">
        <v>260</v>
      </c>
      <c r="C279" s="27" t="s">
        <v>363</v>
      </c>
      <c r="D279" s="27" t="s">
        <v>364</v>
      </c>
      <c r="E279" s="18" t="s">
        <v>711</v>
      </c>
      <c r="F279" s="18" t="s">
        <v>712</v>
      </c>
      <c r="G279" s="18" t="s">
        <v>622</v>
      </c>
      <c r="H279" s="18">
        <v>2007</v>
      </c>
      <c r="I279" s="40">
        <v>7995</v>
      </c>
      <c r="J279" s="40">
        <v>4743</v>
      </c>
      <c r="K279" s="18">
        <v>14905</v>
      </c>
      <c r="L279" s="38" t="s">
        <v>637</v>
      </c>
      <c r="M279" s="24" t="s">
        <v>365</v>
      </c>
      <c r="N279" s="18" t="s">
        <v>366</v>
      </c>
    </row>
    <row r="280" spans="1:14" ht="13">
      <c r="A280" s="27" t="s">
        <v>266</v>
      </c>
      <c r="B280" s="18" t="s">
        <v>260</v>
      </c>
      <c r="C280" s="27" t="s">
        <v>363</v>
      </c>
      <c r="D280" s="27" t="s">
        <v>364</v>
      </c>
      <c r="E280" s="18" t="s">
        <v>711</v>
      </c>
      <c r="F280" s="18" t="s">
        <v>712</v>
      </c>
      <c r="G280" s="18" t="s">
        <v>622</v>
      </c>
      <c r="H280" s="18">
        <v>2008</v>
      </c>
      <c r="I280" s="40">
        <v>8875</v>
      </c>
      <c r="J280" s="40">
        <v>5285</v>
      </c>
      <c r="K280" s="18">
        <v>16396</v>
      </c>
      <c r="L280" s="38" t="s">
        <v>637</v>
      </c>
      <c r="M280" s="24" t="s">
        <v>365</v>
      </c>
      <c r="N280" s="18" t="s">
        <v>366</v>
      </c>
    </row>
    <row r="281" spans="1:14" ht="13">
      <c r="A281" s="27" t="s">
        <v>266</v>
      </c>
      <c r="B281" s="18" t="s">
        <v>260</v>
      </c>
      <c r="C281" s="27" t="s">
        <v>363</v>
      </c>
      <c r="D281" s="27" t="s">
        <v>364</v>
      </c>
      <c r="E281" s="18" t="s">
        <v>711</v>
      </c>
      <c r="F281" s="18" t="s">
        <v>712</v>
      </c>
      <c r="G281" s="18" t="s">
        <v>622</v>
      </c>
      <c r="H281" s="18">
        <v>2009</v>
      </c>
      <c r="I281" s="40">
        <v>8875</v>
      </c>
      <c r="J281" s="40">
        <v>5285</v>
      </c>
      <c r="K281" s="18">
        <v>16938</v>
      </c>
      <c r="L281" s="38" t="s">
        <v>637</v>
      </c>
      <c r="M281" s="24" t="s">
        <v>365</v>
      </c>
      <c r="N281" s="18" t="s">
        <v>366</v>
      </c>
    </row>
    <row r="282" spans="1:14" ht="13">
      <c r="A282" s="27" t="s">
        <v>266</v>
      </c>
      <c r="B282" s="18" t="s">
        <v>260</v>
      </c>
      <c r="C282" s="27" t="s">
        <v>363</v>
      </c>
      <c r="D282" s="27" t="s">
        <v>364</v>
      </c>
      <c r="E282" s="18" t="s">
        <v>711</v>
      </c>
      <c r="F282" s="18" t="s">
        <v>712</v>
      </c>
      <c r="G282" s="18" t="s">
        <v>622</v>
      </c>
      <c r="H282" s="18">
        <v>2010</v>
      </c>
      <c r="I282" s="40">
        <v>8333</v>
      </c>
      <c r="J282" s="40">
        <v>4946</v>
      </c>
      <c r="K282" s="18">
        <v>15650</v>
      </c>
      <c r="L282" s="38" t="s">
        <v>637</v>
      </c>
      <c r="M282" s="24" t="s">
        <v>365</v>
      </c>
      <c r="N282" s="18" t="s">
        <v>366</v>
      </c>
    </row>
    <row r="283" spans="1:14" ht="13">
      <c r="A283" s="27" t="s">
        <v>266</v>
      </c>
      <c r="B283" s="18" t="s">
        <v>260</v>
      </c>
      <c r="C283" s="27" t="s">
        <v>363</v>
      </c>
      <c r="D283" s="27" t="s">
        <v>364</v>
      </c>
      <c r="E283" s="18" t="s">
        <v>711</v>
      </c>
      <c r="F283" s="18" t="s">
        <v>712</v>
      </c>
      <c r="G283" s="18" t="s">
        <v>622</v>
      </c>
      <c r="H283" s="18">
        <v>2011</v>
      </c>
      <c r="I283" s="40">
        <v>8198</v>
      </c>
      <c r="J283" s="40">
        <v>4810</v>
      </c>
      <c r="K283" s="18">
        <v>15176</v>
      </c>
      <c r="L283" s="38" t="s">
        <v>637</v>
      </c>
      <c r="M283" s="24" t="s">
        <v>365</v>
      </c>
      <c r="N283" s="18" t="s">
        <v>366</v>
      </c>
    </row>
    <row r="284" spans="1:14" ht="13">
      <c r="A284" s="27" t="s">
        <v>266</v>
      </c>
      <c r="B284" s="18" t="s">
        <v>260</v>
      </c>
      <c r="C284" s="27" t="s">
        <v>363</v>
      </c>
      <c r="D284" s="27" t="s">
        <v>364</v>
      </c>
      <c r="E284" s="18" t="s">
        <v>711</v>
      </c>
      <c r="F284" s="18" t="s">
        <v>712</v>
      </c>
      <c r="G284" s="18" t="s">
        <v>622</v>
      </c>
      <c r="H284" s="18">
        <v>2012</v>
      </c>
      <c r="I284" s="40">
        <v>7249</v>
      </c>
      <c r="J284" s="40">
        <v>3997</v>
      </c>
      <c r="K284" s="18">
        <v>14092</v>
      </c>
      <c r="L284" s="38" t="s">
        <v>637</v>
      </c>
      <c r="M284" s="24" t="s">
        <v>365</v>
      </c>
      <c r="N284" s="18" t="s">
        <v>366</v>
      </c>
    </row>
    <row r="285" spans="1:14" ht="13">
      <c r="A285" s="27" t="s">
        <v>266</v>
      </c>
      <c r="B285" s="18" t="s">
        <v>260</v>
      </c>
      <c r="C285" s="27" t="s">
        <v>363</v>
      </c>
      <c r="D285" s="27" t="s">
        <v>364</v>
      </c>
      <c r="E285" s="18" t="s">
        <v>711</v>
      </c>
      <c r="F285" s="18" t="s">
        <v>712</v>
      </c>
      <c r="G285" s="18" t="s">
        <v>622</v>
      </c>
      <c r="H285" s="18">
        <v>2013</v>
      </c>
      <c r="I285" s="40">
        <v>6843</v>
      </c>
      <c r="J285" s="40">
        <v>3794</v>
      </c>
      <c r="K285" s="18">
        <v>13008</v>
      </c>
      <c r="L285" s="38" t="s">
        <v>637</v>
      </c>
      <c r="M285" s="24" t="s">
        <v>365</v>
      </c>
      <c r="N285" s="18" t="s">
        <v>366</v>
      </c>
    </row>
    <row r="286" spans="1:14" ht="13">
      <c r="A286" s="27" t="s">
        <v>266</v>
      </c>
      <c r="B286" s="18" t="s">
        <v>260</v>
      </c>
      <c r="C286" s="27" t="s">
        <v>363</v>
      </c>
      <c r="D286" s="27" t="s">
        <v>364</v>
      </c>
      <c r="E286" s="18" t="s">
        <v>711</v>
      </c>
      <c r="F286" s="18" t="s">
        <v>712</v>
      </c>
      <c r="G286" s="18" t="s">
        <v>622</v>
      </c>
      <c r="H286" s="18">
        <v>2014</v>
      </c>
      <c r="I286" s="40">
        <v>7859</v>
      </c>
      <c r="J286" s="40">
        <v>4607</v>
      </c>
      <c r="K286" s="18">
        <v>14770</v>
      </c>
      <c r="L286" s="38" t="s">
        <v>637</v>
      </c>
      <c r="M286" s="24" t="s">
        <v>365</v>
      </c>
      <c r="N286" s="18" t="s">
        <v>366</v>
      </c>
    </row>
    <row r="287" spans="1:14" ht="13">
      <c r="A287" s="27" t="s">
        <v>266</v>
      </c>
      <c r="B287" s="18" t="s">
        <v>260</v>
      </c>
      <c r="C287" s="27" t="s">
        <v>363</v>
      </c>
      <c r="D287" s="27" t="s">
        <v>364</v>
      </c>
      <c r="E287" s="18" t="s">
        <v>711</v>
      </c>
      <c r="F287" s="18" t="s">
        <v>712</v>
      </c>
      <c r="G287" s="18" t="s">
        <v>622</v>
      </c>
      <c r="H287" s="18">
        <v>2015</v>
      </c>
      <c r="I287" s="40">
        <v>7791</v>
      </c>
      <c r="J287" s="40">
        <v>4336</v>
      </c>
      <c r="K287" s="18">
        <v>15244</v>
      </c>
      <c r="L287" s="38" t="s">
        <v>637</v>
      </c>
      <c r="M287" s="24" t="s">
        <v>365</v>
      </c>
      <c r="N287" s="18" t="s">
        <v>366</v>
      </c>
    </row>
    <row r="288" spans="1:14" ht="13">
      <c r="A288" s="27" t="s">
        <v>266</v>
      </c>
      <c r="B288" s="18" t="s">
        <v>260</v>
      </c>
      <c r="C288" s="27" t="s">
        <v>363</v>
      </c>
      <c r="D288" s="27" t="s">
        <v>364</v>
      </c>
      <c r="E288" s="18" t="s">
        <v>711</v>
      </c>
      <c r="F288" s="18" t="s">
        <v>712</v>
      </c>
      <c r="G288" s="18" t="s">
        <v>622</v>
      </c>
      <c r="H288" s="18">
        <v>2016</v>
      </c>
      <c r="I288" s="40">
        <v>7791</v>
      </c>
      <c r="J288" s="40">
        <v>4607</v>
      </c>
      <c r="K288" s="18">
        <v>14770</v>
      </c>
      <c r="L288" s="38" t="s">
        <v>637</v>
      </c>
      <c r="M288" s="24" t="s">
        <v>365</v>
      </c>
      <c r="N288" s="18" t="s">
        <v>366</v>
      </c>
    </row>
    <row r="289" spans="1:15" ht="13">
      <c r="A289" s="27" t="s">
        <v>266</v>
      </c>
      <c r="B289" s="18" t="s">
        <v>260</v>
      </c>
      <c r="C289" s="27" t="s">
        <v>363</v>
      </c>
      <c r="D289" s="27" t="s">
        <v>364</v>
      </c>
      <c r="E289" s="18" t="s">
        <v>711</v>
      </c>
      <c r="F289" s="18" t="s">
        <v>712</v>
      </c>
      <c r="G289" s="18" t="s">
        <v>622</v>
      </c>
      <c r="H289" s="18">
        <v>2017</v>
      </c>
      <c r="I289" s="40">
        <v>7995</v>
      </c>
      <c r="J289" s="40">
        <v>4675</v>
      </c>
      <c r="K289" s="18">
        <v>15176</v>
      </c>
      <c r="L289" s="38" t="s">
        <v>637</v>
      </c>
      <c r="M289" s="24" t="s">
        <v>365</v>
      </c>
      <c r="N289" s="18" t="s">
        <v>366</v>
      </c>
    </row>
    <row r="290" spans="1:15" ht="13">
      <c r="A290" s="18" t="s">
        <v>266</v>
      </c>
      <c r="B290" s="18" t="s">
        <v>260</v>
      </c>
      <c r="C290" s="18" t="s">
        <v>713</v>
      </c>
      <c r="D290" s="18" t="s">
        <v>355</v>
      </c>
      <c r="E290" s="18" t="s">
        <v>714</v>
      </c>
      <c r="F290" s="18" t="s">
        <v>715</v>
      </c>
      <c r="G290" s="18" t="s">
        <v>611</v>
      </c>
      <c r="H290" s="18">
        <v>1986</v>
      </c>
      <c r="I290" s="40">
        <v>1980</v>
      </c>
      <c r="J290" s="40">
        <v>1052</v>
      </c>
      <c r="K290" s="18">
        <v>3961</v>
      </c>
      <c r="L290" s="38" t="s">
        <v>637</v>
      </c>
      <c r="M290" s="21" t="s">
        <v>357</v>
      </c>
      <c r="N290" s="18" t="s">
        <v>358</v>
      </c>
      <c r="O290" s="18" t="s">
        <v>716</v>
      </c>
    </row>
    <row r="291" spans="1:15" ht="13">
      <c r="A291" s="18" t="s">
        <v>266</v>
      </c>
      <c r="B291" s="18" t="s">
        <v>260</v>
      </c>
      <c r="C291" s="18" t="s">
        <v>713</v>
      </c>
      <c r="D291" s="18" t="s">
        <v>355</v>
      </c>
      <c r="E291" s="18" t="s">
        <v>714</v>
      </c>
      <c r="F291" s="18" t="s">
        <v>715</v>
      </c>
      <c r="G291" s="18" t="s">
        <v>611</v>
      </c>
      <c r="H291" s="18">
        <v>1987</v>
      </c>
      <c r="I291" s="40">
        <v>1377</v>
      </c>
      <c r="J291" s="40">
        <v>750</v>
      </c>
      <c r="K291" s="18">
        <v>2732</v>
      </c>
      <c r="L291" s="38" t="s">
        <v>637</v>
      </c>
      <c r="M291" s="21" t="s">
        <v>357</v>
      </c>
      <c r="N291" s="18" t="s">
        <v>358</v>
      </c>
    </row>
    <row r="292" spans="1:15" ht="13">
      <c r="A292" s="18" t="s">
        <v>266</v>
      </c>
      <c r="B292" s="18" t="s">
        <v>260</v>
      </c>
      <c r="C292" s="18" t="s">
        <v>713</v>
      </c>
      <c r="D292" s="18" t="s">
        <v>355</v>
      </c>
      <c r="E292" s="18" t="s">
        <v>714</v>
      </c>
      <c r="F292" s="18" t="s">
        <v>715</v>
      </c>
      <c r="G292" s="18" t="s">
        <v>611</v>
      </c>
      <c r="H292" s="18">
        <v>1988</v>
      </c>
      <c r="I292" s="40">
        <v>1025</v>
      </c>
      <c r="J292" s="40">
        <v>549</v>
      </c>
      <c r="K292" s="18">
        <v>1953</v>
      </c>
      <c r="L292" s="38" t="s">
        <v>637</v>
      </c>
      <c r="M292" s="21" t="s">
        <v>357</v>
      </c>
      <c r="N292" s="18" t="s">
        <v>358</v>
      </c>
    </row>
    <row r="293" spans="1:15" ht="13">
      <c r="A293" s="18" t="s">
        <v>266</v>
      </c>
      <c r="B293" s="18" t="s">
        <v>260</v>
      </c>
      <c r="C293" s="18" t="s">
        <v>713</v>
      </c>
      <c r="D293" s="18" t="s">
        <v>355</v>
      </c>
      <c r="E293" s="18" t="s">
        <v>714</v>
      </c>
      <c r="F293" s="18" t="s">
        <v>715</v>
      </c>
      <c r="G293" s="18" t="s">
        <v>611</v>
      </c>
      <c r="H293" s="18">
        <v>1989</v>
      </c>
      <c r="I293" s="40">
        <v>748</v>
      </c>
      <c r="J293" s="40">
        <v>422</v>
      </c>
      <c r="K293" s="18">
        <v>1451</v>
      </c>
      <c r="L293" s="38" t="s">
        <v>637</v>
      </c>
      <c r="M293" s="21" t="s">
        <v>357</v>
      </c>
      <c r="N293" s="18" t="s">
        <v>358</v>
      </c>
    </row>
    <row r="294" spans="1:15" ht="13">
      <c r="A294" s="18" t="s">
        <v>266</v>
      </c>
      <c r="B294" s="18" t="s">
        <v>260</v>
      </c>
      <c r="C294" s="18" t="s">
        <v>713</v>
      </c>
      <c r="D294" s="18" t="s">
        <v>355</v>
      </c>
      <c r="E294" s="18" t="s">
        <v>714</v>
      </c>
      <c r="F294" s="18" t="s">
        <v>715</v>
      </c>
      <c r="G294" s="18" t="s">
        <v>611</v>
      </c>
      <c r="H294" s="18">
        <v>1990</v>
      </c>
      <c r="I294" s="40">
        <v>547</v>
      </c>
      <c r="J294" s="40">
        <v>271</v>
      </c>
      <c r="K294" s="18">
        <v>1073</v>
      </c>
      <c r="L294" s="38" t="s">
        <v>637</v>
      </c>
      <c r="M294" s="21" t="s">
        <v>357</v>
      </c>
      <c r="N294" s="18" t="s">
        <v>358</v>
      </c>
    </row>
    <row r="295" spans="1:15" ht="13">
      <c r="A295" s="18" t="s">
        <v>266</v>
      </c>
      <c r="B295" s="18" t="s">
        <v>260</v>
      </c>
      <c r="C295" s="18" t="s">
        <v>713</v>
      </c>
      <c r="D295" s="18" t="s">
        <v>355</v>
      </c>
      <c r="E295" s="18" t="s">
        <v>714</v>
      </c>
      <c r="F295" s="18" t="s">
        <v>715</v>
      </c>
      <c r="G295" s="18" t="s">
        <v>611</v>
      </c>
      <c r="H295" s="18">
        <v>1991</v>
      </c>
      <c r="I295" s="40">
        <v>571</v>
      </c>
      <c r="J295" s="40">
        <v>295</v>
      </c>
      <c r="K295" s="18">
        <v>1173</v>
      </c>
      <c r="L295" s="38" t="s">
        <v>637</v>
      </c>
      <c r="M295" s="21" t="s">
        <v>357</v>
      </c>
      <c r="N295" s="18" t="s">
        <v>358</v>
      </c>
    </row>
    <row r="296" spans="1:15" ht="13">
      <c r="A296" s="18" t="s">
        <v>266</v>
      </c>
      <c r="B296" s="18" t="s">
        <v>260</v>
      </c>
      <c r="C296" s="18" t="s">
        <v>713</v>
      </c>
      <c r="D296" s="18" t="s">
        <v>355</v>
      </c>
      <c r="E296" s="18" t="s">
        <v>714</v>
      </c>
      <c r="F296" s="18" t="s">
        <v>715</v>
      </c>
      <c r="G296" s="18" t="s">
        <v>611</v>
      </c>
      <c r="H296" s="18">
        <v>1992</v>
      </c>
      <c r="I296" s="40">
        <v>620</v>
      </c>
      <c r="J296" s="40">
        <v>369</v>
      </c>
      <c r="K296" s="18">
        <v>1272</v>
      </c>
      <c r="L296" s="38" t="s">
        <v>637</v>
      </c>
      <c r="M296" s="21" t="s">
        <v>357</v>
      </c>
      <c r="N296" s="18" t="s">
        <v>358</v>
      </c>
    </row>
    <row r="297" spans="1:15" ht="13">
      <c r="A297" s="18" t="s">
        <v>266</v>
      </c>
      <c r="B297" s="18" t="s">
        <v>260</v>
      </c>
      <c r="C297" s="18" t="s">
        <v>713</v>
      </c>
      <c r="D297" s="18" t="s">
        <v>355</v>
      </c>
      <c r="E297" s="18" t="s">
        <v>714</v>
      </c>
      <c r="F297" s="18" t="s">
        <v>715</v>
      </c>
      <c r="G297" s="18" t="s">
        <v>611</v>
      </c>
      <c r="H297" s="18">
        <v>1993</v>
      </c>
      <c r="I297" s="40">
        <v>669</v>
      </c>
      <c r="J297" s="40">
        <v>368</v>
      </c>
      <c r="K297" s="18">
        <v>1396</v>
      </c>
      <c r="L297" s="38" t="s">
        <v>637</v>
      </c>
      <c r="M297" s="21" t="s">
        <v>357</v>
      </c>
      <c r="N297" s="18" t="s">
        <v>358</v>
      </c>
    </row>
    <row r="298" spans="1:15" ht="13">
      <c r="A298" s="18" t="s">
        <v>266</v>
      </c>
      <c r="B298" s="18" t="s">
        <v>260</v>
      </c>
      <c r="C298" s="18" t="s">
        <v>713</v>
      </c>
      <c r="D298" s="18" t="s">
        <v>355</v>
      </c>
      <c r="E298" s="18" t="s">
        <v>714</v>
      </c>
      <c r="F298" s="18" t="s">
        <v>715</v>
      </c>
      <c r="G298" s="18" t="s">
        <v>611</v>
      </c>
      <c r="H298" s="18">
        <v>1994</v>
      </c>
      <c r="I298" s="40">
        <v>768</v>
      </c>
      <c r="J298" s="40">
        <v>417</v>
      </c>
      <c r="K298" s="18">
        <v>1571</v>
      </c>
      <c r="L298" s="38" t="s">
        <v>637</v>
      </c>
      <c r="M298" s="21" t="s">
        <v>357</v>
      </c>
      <c r="N298" s="18" t="s">
        <v>358</v>
      </c>
    </row>
    <row r="299" spans="1:15" ht="13">
      <c r="A299" s="18" t="s">
        <v>266</v>
      </c>
      <c r="B299" s="18" t="s">
        <v>260</v>
      </c>
      <c r="C299" s="18" t="s">
        <v>713</v>
      </c>
      <c r="D299" s="18" t="s">
        <v>355</v>
      </c>
      <c r="E299" s="18" t="s">
        <v>714</v>
      </c>
      <c r="F299" s="18" t="s">
        <v>715</v>
      </c>
      <c r="G299" s="18" t="s">
        <v>611</v>
      </c>
      <c r="H299" s="18">
        <v>1995</v>
      </c>
      <c r="I299" s="40">
        <v>893</v>
      </c>
      <c r="J299" s="40">
        <v>467</v>
      </c>
      <c r="K299" s="18">
        <v>1771</v>
      </c>
      <c r="L299" s="38" t="s">
        <v>637</v>
      </c>
      <c r="M299" s="21" t="s">
        <v>357</v>
      </c>
      <c r="N299" s="18" t="s">
        <v>358</v>
      </c>
    </row>
    <row r="300" spans="1:15" ht="13">
      <c r="A300" s="18" t="s">
        <v>266</v>
      </c>
      <c r="B300" s="18" t="s">
        <v>260</v>
      </c>
      <c r="C300" s="18" t="s">
        <v>713</v>
      </c>
      <c r="D300" s="18" t="s">
        <v>355</v>
      </c>
      <c r="E300" s="18" t="s">
        <v>714</v>
      </c>
      <c r="F300" s="18" t="s">
        <v>715</v>
      </c>
      <c r="G300" s="18" t="s">
        <v>611</v>
      </c>
      <c r="H300" s="18">
        <v>1996</v>
      </c>
      <c r="I300" s="40">
        <v>1017</v>
      </c>
      <c r="J300" s="40">
        <v>566</v>
      </c>
      <c r="K300" s="18">
        <v>2020</v>
      </c>
      <c r="L300" s="38" t="s">
        <v>637</v>
      </c>
      <c r="M300" s="21" t="s">
        <v>357</v>
      </c>
      <c r="N300" s="18" t="s">
        <v>358</v>
      </c>
    </row>
    <row r="301" spans="1:15" ht="13">
      <c r="A301" s="18" t="s">
        <v>266</v>
      </c>
      <c r="B301" s="18" t="s">
        <v>260</v>
      </c>
      <c r="C301" s="18" t="s">
        <v>713</v>
      </c>
      <c r="D301" s="18" t="s">
        <v>355</v>
      </c>
      <c r="E301" s="18" t="s">
        <v>714</v>
      </c>
      <c r="F301" s="18" t="s">
        <v>715</v>
      </c>
      <c r="G301" s="18" t="s">
        <v>611</v>
      </c>
      <c r="H301" s="18">
        <v>1997</v>
      </c>
      <c r="I301" s="40">
        <v>1167</v>
      </c>
      <c r="J301" s="40">
        <v>665</v>
      </c>
      <c r="K301" s="18">
        <v>2220</v>
      </c>
      <c r="L301" s="38" t="s">
        <v>637</v>
      </c>
      <c r="M301" s="21" t="s">
        <v>357</v>
      </c>
      <c r="N301" s="18" t="s">
        <v>358</v>
      </c>
    </row>
    <row r="302" spans="1:15" ht="13">
      <c r="A302" s="18" t="s">
        <v>266</v>
      </c>
      <c r="B302" s="18" t="s">
        <v>260</v>
      </c>
      <c r="C302" s="18" t="s">
        <v>713</v>
      </c>
      <c r="D302" s="18" t="s">
        <v>355</v>
      </c>
      <c r="E302" s="18" t="s">
        <v>714</v>
      </c>
      <c r="F302" s="18" t="s">
        <v>715</v>
      </c>
      <c r="G302" s="18" t="s">
        <v>611</v>
      </c>
      <c r="H302" s="18">
        <v>1998</v>
      </c>
      <c r="I302" s="40">
        <v>1266</v>
      </c>
      <c r="J302" s="40">
        <v>739</v>
      </c>
      <c r="K302" s="18">
        <v>2520</v>
      </c>
      <c r="L302" s="38" t="s">
        <v>637</v>
      </c>
      <c r="M302" s="21" t="s">
        <v>357</v>
      </c>
      <c r="N302" s="18" t="s">
        <v>358</v>
      </c>
    </row>
    <row r="303" spans="1:15" ht="13">
      <c r="A303" s="18" t="s">
        <v>266</v>
      </c>
      <c r="B303" s="18" t="s">
        <v>260</v>
      </c>
      <c r="C303" s="18" t="s">
        <v>713</v>
      </c>
      <c r="D303" s="18" t="s">
        <v>355</v>
      </c>
      <c r="E303" s="18" t="s">
        <v>714</v>
      </c>
      <c r="F303" s="18" t="s">
        <v>715</v>
      </c>
      <c r="G303" s="18" t="s">
        <v>611</v>
      </c>
      <c r="H303" s="18">
        <v>1999</v>
      </c>
      <c r="I303" s="40">
        <v>1441</v>
      </c>
      <c r="J303" s="40">
        <v>889</v>
      </c>
      <c r="K303" s="18">
        <v>2795</v>
      </c>
      <c r="L303" s="38" t="s">
        <v>637</v>
      </c>
      <c r="M303" s="21" t="s">
        <v>357</v>
      </c>
      <c r="N303" s="18" t="s">
        <v>358</v>
      </c>
    </row>
    <row r="304" spans="1:15" ht="13">
      <c r="A304" s="18" t="s">
        <v>266</v>
      </c>
      <c r="B304" s="18" t="s">
        <v>260</v>
      </c>
      <c r="C304" s="18" t="s">
        <v>713</v>
      </c>
      <c r="D304" s="18" t="s">
        <v>355</v>
      </c>
      <c r="E304" s="18" t="s">
        <v>714</v>
      </c>
      <c r="F304" s="18" t="s">
        <v>715</v>
      </c>
      <c r="G304" s="18" t="s">
        <v>611</v>
      </c>
      <c r="H304" s="18">
        <v>2000</v>
      </c>
      <c r="I304" s="40">
        <v>1590</v>
      </c>
      <c r="J304" s="40">
        <v>938</v>
      </c>
      <c r="K304" s="18">
        <v>3145</v>
      </c>
      <c r="L304" s="38" t="s">
        <v>637</v>
      </c>
      <c r="M304" s="21" t="s">
        <v>357</v>
      </c>
      <c r="N304" s="18" t="s">
        <v>358</v>
      </c>
    </row>
    <row r="305" spans="1:15" ht="13">
      <c r="A305" s="18" t="s">
        <v>266</v>
      </c>
      <c r="B305" s="18" t="s">
        <v>260</v>
      </c>
      <c r="C305" s="18" t="s">
        <v>713</v>
      </c>
      <c r="D305" s="18" t="s">
        <v>355</v>
      </c>
      <c r="E305" s="18" t="s">
        <v>714</v>
      </c>
      <c r="F305" s="18" t="s">
        <v>715</v>
      </c>
      <c r="G305" s="18" t="s">
        <v>611</v>
      </c>
      <c r="H305" s="18">
        <v>2001</v>
      </c>
      <c r="I305" s="40">
        <v>1765</v>
      </c>
      <c r="J305" s="40">
        <v>1037</v>
      </c>
      <c r="K305" s="18">
        <v>3445</v>
      </c>
      <c r="L305" s="38" t="s">
        <v>637</v>
      </c>
      <c r="M305" s="21" t="s">
        <v>357</v>
      </c>
      <c r="N305" s="18" t="s">
        <v>358</v>
      </c>
    </row>
    <row r="306" spans="1:15" ht="13">
      <c r="A306" s="18" t="s">
        <v>266</v>
      </c>
      <c r="B306" s="18" t="s">
        <v>260</v>
      </c>
      <c r="C306" s="18" t="s">
        <v>713</v>
      </c>
      <c r="D306" s="18" t="s">
        <v>355</v>
      </c>
      <c r="E306" s="18" t="s">
        <v>714</v>
      </c>
      <c r="F306" s="18" t="s">
        <v>715</v>
      </c>
      <c r="G306" s="18" t="s">
        <v>611</v>
      </c>
      <c r="H306" s="18">
        <v>2002</v>
      </c>
      <c r="I306" s="40">
        <v>1964</v>
      </c>
      <c r="J306" s="40">
        <v>1137</v>
      </c>
      <c r="K306" s="18">
        <v>3720</v>
      </c>
      <c r="L306" s="38" t="s">
        <v>637</v>
      </c>
      <c r="M306" s="21" t="s">
        <v>357</v>
      </c>
      <c r="N306" s="18" t="s">
        <v>358</v>
      </c>
    </row>
    <row r="307" spans="1:15" ht="13">
      <c r="A307" s="18" t="s">
        <v>266</v>
      </c>
      <c r="B307" s="18" t="s">
        <v>260</v>
      </c>
      <c r="C307" s="18" t="s">
        <v>713</v>
      </c>
      <c r="D307" s="18" t="s">
        <v>355</v>
      </c>
      <c r="E307" s="18" t="s">
        <v>714</v>
      </c>
      <c r="F307" s="18" t="s">
        <v>715</v>
      </c>
      <c r="G307" s="18" t="s">
        <v>611</v>
      </c>
      <c r="H307" s="18">
        <v>2003</v>
      </c>
      <c r="I307" s="40">
        <v>2089</v>
      </c>
      <c r="J307" s="40">
        <v>1211</v>
      </c>
      <c r="K307" s="18">
        <v>4070</v>
      </c>
      <c r="L307" s="38" t="s">
        <v>637</v>
      </c>
      <c r="M307" s="21" t="s">
        <v>357</v>
      </c>
      <c r="N307" s="18" t="s">
        <v>358</v>
      </c>
    </row>
    <row r="308" spans="1:15" ht="13">
      <c r="A308" s="18" t="s">
        <v>266</v>
      </c>
      <c r="B308" s="18" t="s">
        <v>260</v>
      </c>
      <c r="C308" s="18" t="s">
        <v>713</v>
      </c>
      <c r="D308" s="18" t="s">
        <v>355</v>
      </c>
      <c r="E308" s="18" t="s">
        <v>714</v>
      </c>
      <c r="F308" s="18" t="s">
        <v>715</v>
      </c>
      <c r="G308" s="18" t="s">
        <v>611</v>
      </c>
      <c r="H308" s="18">
        <v>2004</v>
      </c>
      <c r="I308" s="40">
        <v>2238</v>
      </c>
      <c r="J308" s="40">
        <v>1310</v>
      </c>
      <c r="K308" s="18">
        <v>4319</v>
      </c>
      <c r="L308" s="38" t="s">
        <v>637</v>
      </c>
      <c r="M308" s="21" t="s">
        <v>357</v>
      </c>
      <c r="N308" s="18" t="s">
        <v>358</v>
      </c>
    </row>
    <row r="309" spans="1:15" ht="13">
      <c r="A309" s="18" t="s">
        <v>266</v>
      </c>
      <c r="B309" s="18" t="s">
        <v>260</v>
      </c>
      <c r="C309" s="18" t="s">
        <v>713</v>
      </c>
      <c r="D309" s="18" t="s">
        <v>355</v>
      </c>
      <c r="E309" s="18" t="s">
        <v>714</v>
      </c>
      <c r="F309" s="18" t="s">
        <v>715</v>
      </c>
      <c r="G309" s="18" t="s">
        <v>611</v>
      </c>
      <c r="H309" s="18">
        <v>2005</v>
      </c>
      <c r="I309" s="40">
        <v>2413</v>
      </c>
      <c r="J309" s="40">
        <v>1359</v>
      </c>
      <c r="K309" s="18">
        <v>4644</v>
      </c>
      <c r="L309" s="38" t="s">
        <v>637</v>
      </c>
      <c r="M309" s="21" t="s">
        <v>357</v>
      </c>
      <c r="N309" s="18" t="s">
        <v>358</v>
      </c>
    </row>
    <row r="310" spans="1:15" ht="13">
      <c r="A310" s="18" t="s">
        <v>266</v>
      </c>
      <c r="B310" s="18" t="s">
        <v>260</v>
      </c>
      <c r="C310" s="18" t="s">
        <v>713</v>
      </c>
      <c r="D310" s="18" t="s">
        <v>355</v>
      </c>
      <c r="E310" s="18" t="s">
        <v>714</v>
      </c>
      <c r="F310" s="18" t="s">
        <v>715</v>
      </c>
      <c r="G310" s="18" t="s">
        <v>611</v>
      </c>
      <c r="H310" s="18">
        <v>2006</v>
      </c>
      <c r="I310" s="40">
        <v>2587</v>
      </c>
      <c r="J310" s="40">
        <v>1484</v>
      </c>
      <c r="K310" s="18">
        <v>4894</v>
      </c>
      <c r="L310" s="38" t="s">
        <v>637</v>
      </c>
      <c r="M310" s="21" t="s">
        <v>357</v>
      </c>
      <c r="N310" s="18" t="s">
        <v>358</v>
      </c>
    </row>
    <row r="311" spans="1:15" ht="13">
      <c r="A311" s="18" t="s">
        <v>266</v>
      </c>
      <c r="B311" s="18" t="s">
        <v>260</v>
      </c>
      <c r="C311" s="18" t="s">
        <v>713</v>
      </c>
      <c r="D311" s="18" t="s">
        <v>355</v>
      </c>
      <c r="E311" s="18" t="s">
        <v>714</v>
      </c>
      <c r="F311" s="18" t="s">
        <v>715</v>
      </c>
      <c r="G311" s="18" t="s">
        <v>611</v>
      </c>
      <c r="H311" s="18">
        <v>2007</v>
      </c>
      <c r="I311" s="40">
        <v>2837</v>
      </c>
      <c r="J311" s="40">
        <v>1683</v>
      </c>
      <c r="K311" s="18">
        <v>5395</v>
      </c>
      <c r="L311" s="38" t="s">
        <v>637</v>
      </c>
      <c r="M311" s="21" t="s">
        <v>357</v>
      </c>
      <c r="N311" s="18" t="s">
        <v>358</v>
      </c>
    </row>
    <row r="312" spans="1:15" ht="13">
      <c r="A312" s="18" t="s">
        <v>266</v>
      </c>
      <c r="B312" s="18" t="s">
        <v>260</v>
      </c>
      <c r="C312" s="18" t="s">
        <v>713</v>
      </c>
      <c r="D312" s="18" t="s">
        <v>355</v>
      </c>
      <c r="E312" s="18" t="s">
        <v>714</v>
      </c>
      <c r="F312" s="18" t="s">
        <v>715</v>
      </c>
      <c r="G312" s="18" t="s">
        <v>611</v>
      </c>
      <c r="H312" s="18">
        <v>2008</v>
      </c>
      <c r="I312" s="40">
        <v>3087</v>
      </c>
      <c r="J312" s="40">
        <v>1757</v>
      </c>
      <c r="K312" s="18">
        <v>5996</v>
      </c>
      <c r="L312" s="38" t="s">
        <v>637</v>
      </c>
      <c r="M312" s="21" t="s">
        <v>357</v>
      </c>
      <c r="N312" s="18" t="s">
        <v>358</v>
      </c>
    </row>
    <row r="313" spans="1:15" ht="13">
      <c r="A313" s="18" t="s">
        <v>266</v>
      </c>
      <c r="B313" s="18" t="s">
        <v>260</v>
      </c>
      <c r="C313" s="18" t="s">
        <v>713</v>
      </c>
      <c r="D313" s="18" t="s">
        <v>355</v>
      </c>
      <c r="E313" s="18" t="s">
        <v>714</v>
      </c>
      <c r="F313" s="18" t="s">
        <v>715</v>
      </c>
      <c r="G313" s="18" t="s">
        <v>611</v>
      </c>
      <c r="H313" s="18">
        <v>2009</v>
      </c>
      <c r="I313" s="40">
        <v>3437</v>
      </c>
      <c r="J313" s="40">
        <v>1932</v>
      </c>
      <c r="K313" s="18">
        <v>6722</v>
      </c>
      <c r="L313" s="38" t="s">
        <v>637</v>
      </c>
      <c r="M313" s="21" t="s">
        <v>357</v>
      </c>
      <c r="N313" s="18" t="s">
        <v>358</v>
      </c>
    </row>
    <row r="314" spans="1:15" ht="13">
      <c r="A314" s="18" t="s">
        <v>266</v>
      </c>
      <c r="B314" s="18" t="s">
        <v>260</v>
      </c>
      <c r="C314" s="18" t="s">
        <v>713</v>
      </c>
      <c r="D314" s="18" t="s">
        <v>355</v>
      </c>
      <c r="E314" s="18" t="s">
        <v>714</v>
      </c>
      <c r="F314" s="18" t="s">
        <v>715</v>
      </c>
      <c r="G314" s="18" t="s">
        <v>611</v>
      </c>
      <c r="H314" s="18">
        <v>2010</v>
      </c>
      <c r="I314" s="40">
        <v>3737</v>
      </c>
      <c r="J314" s="40">
        <v>2082</v>
      </c>
      <c r="K314" s="18">
        <v>7373</v>
      </c>
      <c r="L314" s="38" t="s">
        <v>637</v>
      </c>
      <c r="M314" s="21" t="s">
        <v>357</v>
      </c>
      <c r="N314" s="18" t="s">
        <v>358</v>
      </c>
    </row>
    <row r="315" spans="1:15" ht="13">
      <c r="A315" s="18" t="s">
        <v>266</v>
      </c>
      <c r="B315" s="18" t="s">
        <v>260</v>
      </c>
      <c r="C315" s="18" t="s">
        <v>713</v>
      </c>
      <c r="D315" s="18" t="s">
        <v>355</v>
      </c>
      <c r="E315" s="18" t="s">
        <v>714</v>
      </c>
      <c r="F315" s="18" t="s">
        <v>715</v>
      </c>
      <c r="G315" s="18" t="s">
        <v>611</v>
      </c>
      <c r="H315" s="18">
        <v>2011</v>
      </c>
      <c r="I315" s="40">
        <v>4087</v>
      </c>
      <c r="J315" s="40">
        <v>2231</v>
      </c>
      <c r="K315" s="18">
        <v>8099</v>
      </c>
      <c r="L315" s="38" t="s">
        <v>637</v>
      </c>
      <c r="M315" s="21" t="s">
        <v>357</v>
      </c>
      <c r="N315" s="18" t="s">
        <v>358</v>
      </c>
    </row>
    <row r="316" spans="1:15" ht="13">
      <c r="A316" s="18" t="s">
        <v>266</v>
      </c>
      <c r="B316" s="18" t="s">
        <v>260</v>
      </c>
      <c r="C316" s="18" t="s">
        <v>359</v>
      </c>
      <c r="D316" s="18" t="s">
        <v>355</v>
      </c>
      <c r="E316" s="18" t="s">
        <v>717</v>
      </c>
      <c r="F316" s="18" t="s">
        <v>715</v>
      </c>
      <c r="G316" s="18" t="s">
        <v>622</v>
      </c>
      <c r="H316" s="18">
        <v>1986</v>
      </c>
      <c r="I316" s="40">
        <v>1573</v>
      </c>
      <c r="J316" s="40">
        <v>957</v>
      </c>
      <c r="K316" s="18">
        <v>2988</v>
      </c>
      <c r="L316" s="38" t="s">
        <v>637</v>
      </c>
      <c r="M316" s="21" t="s">
        <v>360</v>
      </c>
      <c r="N316" s="18" t="s">
        <v>361</v>
      </c>
      <c r="O316" s="18" t="s">
        <v>718</v>
      </c>
    </row>
    <row r="317" spans="1:15" ht="13">
      <c r="A317" s="18" t="s">
        <v>266</v>
      </c>
      <c r="B317" s="18" t="s">
        <v>260</v>
      </c>
      <c r="C317" s="18" t="s">
        <v>359</v>
      </c>
      <c r="D317" s="18" t="s">
        <v>355</v>
      </c>
      <c r="E317" s="18" t="s">
        <v>717</v>
      </c>
      <c r="F317" s="18" t="s">
        <v>715</v>
      </c>
      <c r="G317" s="18" t="s">
        <v>622</v>
      </c>
      <c r="H317" s="18">
        <v>1987</v>
      </c>
      <c r="I317" s="40">
        <v>1527</v>
      </c>
      <c r="J317" s="40">
        <v>911</v>
      </c>
      <c r="K317" s="18">
        <v>2804</v>
      </c>
      <c r="L317" s="38" t="s">
        <v>637</v>
      </c>
      <c r="M317" s="21" t="s">
        <v>360</v>
      </c>
      <c r="N317" s="18" t="s">
        <v>361</v>
      </c>
    </row>
    <row r="318" spans="1:15" ht="13">
      <c r="A318" s="18" t="s">
        <v>266</v>
      </c>
      <c r="B318" s="18" t="s">
        <v>260</v>
      </c>
      <c r="C318" s="18" t="s">
        <v>359</v>
      </c>
      <c r="D318" s="18" t="s">
        <v>355</v>
      </c>
      <c r="E318" s="18" t="s">
        <v>717</v>
      </c>
      <c r="F318" s="18" t="s">
        <v>715</v>
      </c>
      <c r="G318" s="18" t="s">
        <v>622</v>
      </c>
      <c r="H318" s="18">
        <v>1988</v>
      </c>
      <c r="I318" s="40">
        <v>1548</v>
      </c>
      <c r="J318" s="40">
        <v>910</v>
      </c>
      <c r="K318" s="18">
        <v>2826</v>
      </c>
      <c r="L318" s="38" t="s">
        <v>637</v>
      </c>
      <c r="M318" s="21" t="s">
        <v>360</v>
      </c>
      <c r="N318" s="18" t="s">
        <v>361</v>
      </c>
    </row>
    <row r="319" spans="1:15" ht="13">
      <c r="A319" s="18" t="s">
        <v>266</v>
      </c>
      <c r="B319" s="18" t="s">
        <v>260</v>
      </c>
      <c r="C319" s="18" t="s">
        <v>359</v>
      </c>
      <c r="D319" s="18" t="s">
        <v>355</v>
      </c>
      <c r="E319" s="18" t="s">
        <v>717</v>
      </c>
      <c r="F319" s="18" t="s">
        <v>715</v>
      </c>
      <c r="G319" s="18" t="s">
        <v>622</v>
      </c>
      <c r="H319" s="18">
        <v>1989</v>
      </c>
      <c r="I319" s="40">
        <v>1662</v>
      </c>
      <c r="J319" s="40">
        <v>1000</v>
      </c>
      <c r="K319" s="18">
        <v>3030</v>
      </c>
      <c r="L319" s="38" t="s">
        <v>637</v>
      </c>
      <c r="M319" s="21" t="s">
        <v>360</v>
      </c>
      <c r="N319" s="18" t="s">
        <v>361</v>
      </c>
    </row>
    <row r="320" spans="1:15" ht="13">
      <c r="A320" s="18" t="s">
        <v>266</v>
      </c>
      <c r="B320" s="18" t="s">
        <v>260</v>
      </c>
      <c r="C320" s="18" t="s">
        <v>359</v>
      </c>
      <c r="D320" s="18" t="s">
        <v>355</v>
      </c>
      <c r="E320" s="18" t="s">
        <v>717</v>
      </c>
      <c r="F320" s="18" t="s">
        <v>715</v>
      </c>
      <c r="G320" s="18" t="s">
        <v>622</v>
      </c>
      <c r="H320" s="18">
        <v>1990</v>
      </c>
      <c r="I320" s="40">
        <v>1729</v>
      </c>
      <c r="J320" s="40">
        <v>1045</v>
      </c>
      <c r="K320" s="18">
        <v>3189</v>
      </c>
      <c r="L320" s="38" t="s">
        <v>637</v>
      </c>
      <c r="M320" s="21" t="s">
        <v>360</v>
      </c>
      <c r="N320" s="18" t="s">
        <v>361</v>
      </c>
    </row>
    <row r="321" spans="1:14" ht="13">
      <c r="A321" s="18" t="s">
        <v>266</v>
      </c>
      <c r="B321" s="18" t="s">
        <v>260</v>
      </c>
      <c r="C321" s="18" t="s">
        <v>359</v>
      </c>
      <c r="D321" s="18" t="s">
        <v>355</v>
      </c>
      <c r="E321" s="18" t="s">
        <v>717</v>
      </c>
      <c r="F321" s="18" t="s">
        <v>715</v>
      </c>
      <c r="G321" s="18" t="s">
        <v>622</v>
      </c>
      <c r="H321" s="18">
        <v>1991</v>
      </c>
      <c r="I321" s="40">
        <v>1751</v>
      </c>
      <c r="J321" s="40">
        <v>1089</v>
      </c>
      <c r="K321" s="18">
        <v>3211</v>
      </c>
      <c r="L321" s="38" t="s">
        <v>637</v>
      </c>
      <c r="M321" s="21" t="s">
        <v>360</v>
      </c>
      <c r="N321" s="18" t="s">
        <v>361</v>
      </c>
    </row>
    <row r="322" spans="1:14" ht="13">
      <c r="A322" s="18" t="s">
        <v>266</v>
      </c>
      <c r="B322" s="18" t="s">
        <v>260</v>
      </c>
      <c r="C322" s="18" t="s">
        <v>359</v>
      </c>
      <c r="D322" s="18" t="s">
        <v>355</v>
      </c>
      <c r="E322" s="18" t="s">
        <v>717</v>
      </c>
      <c r="F322" s="18" t="s">
        <v>715</v>
      </c>
      <c r="G322" s="18" t="s">
        <v>622</v>
      </c>
      <c r="H322" s="18">
        <v>1992</v>
      </c>
      <c r="I322" s="40">
        <v>1727</v>
      </c>
      <c r="J322" s="40">
        <v>1066</v>
      </c>
      <c r="K322" s="18">
        <v>3210</v>
      </c>
      <c r="L322" s="38" t="s">
        <v>637</v>
      </c>
      <c r="M322" s="21" t="s">
        <v>360</v>
      </c>
      <c r="N322" s="18" t="s">
        <v>361</v>
      </c>
    </row>
    <row r="323" spans="1:14" ht="13">
      <c r="A323" s="18" t="s">
        <v>266</v>
      </c>
      <c r="B323" s="18" t="s">
        <v>260</v>
      </c>
      <c r="C323" s="18" t="s">
        <v>359</v>
      </c>
      <c r="D323" s="18" t="s">
        <v>355</v>
      </c>
      <c r="E323" s="18" t="s">
        <v>717</v>
      </c>
      <c r="F323" s="18" t="s">
        <v>715</v>
      </c>
      <c r="G323" s="18" t="s">
        <v>622</v>
      </c>
      <c r="H323" s="18">
        <v>1993</v>
      </c>
      <c r="I323" s="40">
        <v>1749</v>
      </c>
      <c r="J323" s="40">
        <v>1065</v>
      </c>
      <c r="K323" s="18">
        <v>3278</v>
      </c>
      <c r="L323" s="38" t="s">
        <v>637</v>
      </c>
      <c r="M323" s="21" t="s">
        <v>360</v>
      </c>
      <c r="N323" s="18" t="s">
        <v>361</v>
      </c>
    </row>
    <row r="324" spans="1:14" ht="13">
      <c r="A324" s="18" t="s">
        <v>266</v>
      </c>
      <c r="B324" s="18" t="s">
        <v>260</v>
      </c>
      <c r="C324" s="18" t="s">
        <v>359</v>
      </c>
      <c r="D324" s="18" t="s">
        <v>355</v>
      </c>
      <c r="E324" s="18" t="s">
        <v>717</v>
      </c>
      <c r="F324" s="18" t="s">
        <v>715</v>
      </c>
      <c r="G324" s="18" t="s">
        <v>622</v>
      </c>
      <c r="H324" s="18">
        <v>1994</v>
      </c>
      <c r="I324" s="40">
        <v>1794</v>
      </c>
      <c r="J324" s="40">
        <v>1086</v>
      </c>
      <c r="K324" s="18">
        <v>3345</v>
      </c>
      <c r="L324" s="38" t="s">
        <v>637</v>
      </c>
      <c r="M324" s="21" t="s">
        <v>360</v>
      </c>
      <c r="N324" s="18" t="s">
        <v>361</v>
      </c>
    </row>
    <row r="325" spans="1:14" ht="13">
      <c r="A325" s="18" t="s">
        <v>266</v>
      </c>
      <c r="B325" s="18" t="s">
        <v>260</v>
      </c>
      <c r="C325" s="18" t="s">
        <v>359</v>
      </c>
      <c r="D325" s="18" t="s">
        <v>355</v>
      </c>
      <c r="E325" s="18" t="s">
        <v>717</v>
      </c>
      <c r="F325" s="18" t="s">
        <v>715</v>
      </c>
      <c r="G325" s="18" t="s">
        <v>622</v>
      </c>
      <c r="H325" s="18">
        <v>1995</v>
      </c>
      <c r="I325" s="40">
        <v>1884</v>
      </c>
      <c r="J325" s="40">
        <v>1154</v>
      </c>
      <c r="K325" s="18">
        <v>3458</v>
      </c>
      <c r="L325" s="38" t="s">
        <v>637</v>
      </c>
      <c r="M325" s="21" t="s">
        <v>360</v>
      </c>
      <c r="N325" s="18" t="s">
        <v>361</v>
      </c>
    </row>
    <row r="326" spans="1:14" ht="13">
      <c r="A326" s="18" t="s">
        <v>266</v>
      </c>
      <c r="B326" s="18" t="s">
        <v>260</v>
      </c>
      <c r="C326" s="18" t="s">
        <v>359</v>
      </c>
      <c r="D326" s="18" t="s">
        <v>355</v>
      </c>
      <c r="E326" s="18" t="s">
        <v>717</v>
      </c>
      <c r="F326" s="18" t="s">
        <v>715</v>
      </c>
      <c r="G326" s="18" t="s">
        <v>622</v>
      </c>
      <c r="H326" s="18">
        <v>1996</v>
      </c>
      <c r="I326" s="40">
        <v>1906</v>
      </c>
      <c r="J326" s="40">
        <v>1199</v>
      </c>
      <c r="K326" s="18">
        <v>3526</v>
      </c>
      <c r="L326" s="38" t="s">
        <v>637</v>
      </c>
      <c r="M326" s="21" t="s">
        <v>360</v>
      </c>
      <c r="N326" s="18" t="s">
        <v>361</v>
      </c>
    </row>
    <row r="327" spans="1:14" ht="13">
      <c r="A327" s="18" t="s">
        <v>266</v>
      </c>
      <c r="B327" s="18" t="s">
        <v>260</v>
      </c>
      <c r="C327" s="18" t="s">
        <v>359</v>
      </c>
      <c r="D327" s="18" t="s">
        <v>355</v>
      </c>
      <c r="E327" s="18" t="s">
        <v>717</v>
      </c>
      <c r="F327" s="18" t="s">
        <v>715</v>
      </c>
      <c r="G327" s="18" t="s">
        <v>622</v>
      </c>
      <c r="H327" s="18">
        <v>1997</v>
      </c>
      <c r="I327" s="40">
        <v>1950</v>
      </c>
      <c r="J327" s="40">
        <v>1175</v>
      </c>
      <c r="K327" s="18">
        <v>3616</v>
      </c>
      <c r="L327" s="38" t="s">
        <v>637</v>
      </c>
      <c r="M327" s="21" t="s">
        <v>360</v>
      </c>
      <c r="N327" s="18" t="s">
        <v>361</v>
      </c>
    </row>
    <row r="328" spans="1:14" ht="13">
      <c r="A328" s="18" t="s">
        <v>266</v>
      </c>
      <c r="B328" s="18" t="s">
        <v>260</v>
      </c>
      <c r="C328" s="18" t="s">
        <v>359</v>
      </c>
      <c r="D328" s="18" t="s">
        <v>355</v>
      </c>
      <c r="E328" s="18" t="s">
        <v>717</v>
      </c>
      <c r="F328" s="18" t="s">
        <v>715</v>
      </c>
      <c r="G328" s="18" t="s">
        <v>622</v>
      </c>
      <c r="H328" s="18">
        <v>1998</v>
      </c>
      <c r="I328" s="40">
        <v>1972</v>
      </c>
      <c r="J328" s="40">
        <v>1197</v>
      </c>
      <c r="K328" s="18">
        <v>3592</v>
      </c>
      <c r="L328" s="38" t="s">
        <v>637</v>
      </c>
      <c r="M328" s="21" t="s">
        <v>360</v>
      </c>
      <c r="N328" s="18" t="s">
        <v>361</v>
      </c>
    </row>
    <row r="329" spans="1:14" ht="13">
      <c r="A329" s="18" t="s">
        <v>266</v>
      </c>
      <c r="B329" s="18" t="s">
        <v>260</v>
      </c>
      <c r="C329" s="18" t="s">
        <v>359</v>
      </c>
      <c r="D329" s="18" t="s">
        <v>355</v>
      </c>
      <c r="E329" s="18" t="s">
        <v>717</v>
      </c>
      <c r="F329" s="18" t="s">
        <v>715</v>
      </c>
      <c r="G329" s="18" t="s">
        <v>622</v>
      </c>
      <c r="H329" s="18">
        <v>1999</v>
      </c>
      <c r="I329" s="40">
        <v>1926</v>
      </c>
      <c r="J329" s="40">
        <v>1173</v>
      </c>
      <c r="K329" s="18">
        <v>3523</v>
      </c>
      <c r="L329" s="38" t="s">
        <v>637</v>
      </c>
      <c r="M329" s="21" t="s">
        <v>360</v>
      </c>
      <c r="N329" s="18" t="s">
        <v>361</v>
      </c>
    </row>
    <row r="330" spans="1:14" ht="13">
      <c r="A330" s="18" t="s">
        <v>266</v>
      </c>
      <c r="B330" s="18" t="s">
        <v>260</v>
      </c>
      <c r="C330" s="18" t="s">
        <v>359</v>
      </c>
      <c r="D330" s="18" t="s">
        <v>355</v>
      </c>
      <c r="E330" s="18" t="s">
        <v>717</v>
      </c>
      <c r="F330" s="18" t="s">
        <v>715</v>
      </c>
      <c r="G330" s="18" t="s">
        <v>622</v>
      </c>
      <c r="H330" s="18">
        <v>2000</v>
      </c>
      <c r="I330" s="40">
        <v>1948</v>
      </c>
      <c r="J330" s="40">
        <v>1172</v>
      </c>
      <c r="K330" s="18">
        <v>3545</v>
      </c>
      <c r="L330" s="38" t="s">
        <v>637</v>
      </c>
      <c r="M330" s="21" t="s">
        <v>360</v>
      </c>
      <c r="N330" s="18" t="s">
        <v>361</v>
      </c>
    </row>
    <row r="331" spans="1:14" ht="13">
      <c r="A331" s="18" t="s">
        <v>266</v>
      </c>
      <c r="B331" s="18" t="s">
        <v>260</v>
      </c>
      <c r="C331" s="18" t="s">
        <v>359</v>
      </c>
      <c r="D331" s="18" t="s">
        <v>355</v>
      </c>
      <c r="E331" s="18" t="s">
        <v>717</v>
      </c>
      <c r="F331" s="18" t="s">
        <v>715</v>
      </c>
      <c r="G331" s="18" t="s">
        <v>622</v>
      </c>
      <c r="H331" s="18">
        <v>2001</v>
      </c>
      <c r="I331" s="40">
        <v>2061</v>
      </c>
      <c r="J331" s="40">
        <v>1239</v>
      </c>
      <c r="K331" s="18">
        <v>3749</v>
      </c>
      <c r="L331" s="38" t="s">
        <v>637</v>
      </c>
      <c r="M331" s="21" t="s">
        <v>360</v>
      </c>
      <c r="N331" s="18" t="s">
        <v>361</v>
      </c>
    </row>
    <row r="332" spans="1:14" ht="13">
      <c r="A332" s="18" t="s">
        <v>266</v>
      </c>
      <c r="B332" s="18" t="s">
        <v>260</v>
      </c>
      <c r="C332" s="18" t="s">
        <v>359</v>
      </c>
      <c r="D332" s="18" t="s">
        <v>355</v>
      </c>
      <c r="E332" s="18" t="s">
        <v>717</v>
      </c>
      <c r="F332" s="18" t="s">
        <v>715</v>
      </c>
      <c r="G332" s="18" t="s">
        <v>622</v>
      </c>
      <c r="H332" s="18">
        <v>2002</v>
      </c>
      <c r="I332" s="40">
        <v>2151</v>
      </c>
      <c r="J332" s="40">
        <v>1307</v>
      </c>
      <c r="K332" s="18">
        <v>3953</v>
      </c>
      <c r="L332" s="38" t="s">
        <v>637</v>
      </c>
      <c r="M332" s="21" t="s">
        <v>360</v>
      </c>
      <c r="N332" s="18" t="s">
        <v>361</v>
      </c>
    </row>
    <row r="333" spans="1:14" ht="13">
      <c r="A333" s="18" t="s">
        <v>266</v>
      </c>
      <c r="B333" s="18" t="s">
        <v>260</v>
      </c>
      <c r="C333" s="18" t="s">
        <v>359</v>
      </c>
      <c r="D333" s="18" t="s">
        <v>355</v>
      </c>
      <c r="E333" s="18" t="s">
        <v>717</v>
      </c>
      <c r="F333" s="18" t="s">
        <v>715</v>
      </c>
      <c r="G333" s="18" t="s">
        <v>622</v>
      </c>
      <c r="H333" s="18">
        <v>2003</v>
      </c>
      <c r="I333" s="40">
        <v>2241</v>
      </c>
      <c r="J333" s="40">
        <v>1374</v>
      </c>
      <c r="K333" s="18">
        <v>4158</v>
      </c>
      <c r="L333" s="38" t="s">
        <v>637</v>
      </c>
      <c r="M333" s="21" t="s">
        <v>360</v>
      </c>
      <c r="N333" s="18" t="s">
        <v>361</v>
      </c>
    </row>
    <row r="334" spans="1:14" ht="13">
      <c r="A334" s="18" t="s">
        <v>266</v>
      </c>
      <c r="B334" s="18" t="s">
        <v>260</v>
      </c>
      <c r="C334" s="18" t="s">
        <v>359</v>
      </c>
      <c r="D334" s="18" t="s">
        <v>355</v>
      </c>
      <c r="E334" s="18" t="s">
        <v>717</v>
      </c>
      <c r="F334" s="18" t="s">
        <v>715</v>
      </c>
      <c r="G334" s="18" t="s">
        <v>622</v>
      </c>
      <c r="H334" s="18">
        <v>2004</v>
      </c>
      <c r="I334" s="40">
        <v>2355</v>
      </c>
      <c r="J334" s="40">
        <v>1488</v>
      </c>
      <c r="K334" s="18">
        <v>4362</v>
      </c>
      <c r="L334" s="38" t="s">
        <v>637</v>
      </c>
      <c r="M334" s="21" t="s">
        <v>360</v>
      </c>
      <c r="N334" s="18" t="s">
        <v>361</v>
      </c>
    </row>
    <row r="335" spans="1:14" ht="13">
      <c r="A335" s="18" t="s">
        <v>266</v>
      </c>
      <c r="B335" s="18" t="s">
        <v>260</v>
      </c>
      <c r="C335" s="18" t="s">
        <v>359</v>
      </c>
      <c r="D335" s="18" t="s">
        <v>355</v>
      </c>
      <c r="E335" s="18" t="s">
        <v>717</v>
      </c>
      <c r="F335" s="18" t="s">
        <v>715</v>
      </c>
      <c r="G335" s="18" t="s">
        <v>622</v>
      </c>
      <c r="H335" s="18">
        <v>2005</v>
      </c>
      <c r="I335" s="40">
        <v>2422</v>
      </c>
      <c r="J335" s="40">
        <v>1487</v>
      </c>
      <c r="K335" s="18">
        <v>4430</v>
      </c>
      <c r="L335" s="38" t="s">
        <v>637</v>
      </c>
      <c r="M335" s="21" t="s">
        <v>360</v>
      </c>
      <c r="N335" s="18" t="s">
        <v>361</v>
      </c>
    </row>
    <row r="336" spans="1:14" ht="13">
      <c r="A336" s="18" t="s">
        <v>266</v>
      </c>
      <c r="B336" s="18" t="s">
        <v>260</v>
      </c>
      <c r="C336" s="18" t="s">
        <v>359</v>
      </c>
      <c r="D336" s="18" t="s">
        <v>355</v>
      </c>
      <c r="E336" s="18" t="s">
        <v>717</v>
      </c>
      <c r="F336" s="18" t="s">
        <v>715</v>
      </c>
      <c r="G336" s="18" t="s">
        <v>622</v>
      </c>
      <c r="H336" s="18">
        <v>2006</v>
      </c>
      <c r="I336" s="40">
        <v>2489</v>
      </c>
      <c r="J336" s="40">
        <v>1508</v>
      </c>
      <c r="K336" s="18">
        <v>4543</v>
      </c>
      <c r="L336" s="38" t="s">
        <v>637</v>
      </c>
      <c r="M336" s="21" t="s">
        <v>360</v>
      </c>
      <c r="N336" s="18" t="s">
        <v>361</v>
      </c>
    </row>
    <row r="337" spans="1:34" ht="13">
      <c r="A337" s="18" t="s">
        <v>266</v>
      </c>
      <c r="B337" s="18" t="s">
        <v>260</v>
      </c>
      <c r="C337" s="18" t="s">
        <v>359</v>
      </c>
      <c r="D337" s="18" t="s">
        <v>355</v>
      </c>
      <c r="E337" s="18" t="s">
        <v>717</v>
      </c>
      <c r="F337" s="18" t="s">
        <v>715</v>
      </c>
      <c r="G337" s="18" t="s">
        <v>622</v>
      </c>
      <c r="H337" s="18">
        <v>2007</v>
      </c>
      <c r="I337" s="40">
        <v>2739</v>
      </c>
      <c r="J337" s="40">
        <v>1667</v>
      </c>
      <c r="K337" s="18">
        <v>4975</v>
      </c>
      <c r="L337" s="38" t="s">
        <v>637</v>
      </c>
      <c r="M337" s="21" t="s">
        <v>360</v>
      </c>
      <c r="N337" s="18" t="s">
        <v>361</v>
      </c>
    </row>
    <row r="338" spans="1:34" ht="13">
      <c r="A338" s="18" t="s">
        <v>266</v>
      </c>
      <c r="B338" s="18" t="s">
        <v>260</v>
      </c>
      <c r="C338" s="18" t="s">
        <v>359</v>
      </c>
      <c r="D338" s="18" t="s">
        <v>355</v>
      </c>
      <c r="E338" s="18" t="s">
        <v>717</v>
      </c>
      <c r="F338" s="18" t="s">
        <v>715</v>
      </c>
      <c r="G338" s="18" t="s">
        <v>622</v>
      </c>
      <c r="H338" s="18">
        <v>2008</v>
      </c>
      <c r="I338" s="40">
        <v>2716</v>
      </c>
      <c r="J338" s="40">
        <v>1689</v>
      </c>
      <c r="K338" s="18">
        <v>5043</v>
      </c>
      <c r="L338" s="38" t="s">
        <v>637</v>
      </c>
      <c r="M338" s="21" t="s">
        <v>360</v>
      </c>
      <c r="N338" s="18" t="s">
        <v>361</v>
      </c>
    </row>
    <row r="339" spans="1:34" ht="13">
      <c r="A339" s="18" t="s">
        <v>266</v>
      </c>
      <c r="B339" s="18" t="s">
        <v>260</v>
      </c>
      <c r="C339" s="18" t="s">
        <v>359</v>
      </c>
      <c r="D339" s="18" t="s">
        <v>355</v>
      </c>
      <c r="E339" s="18" t="s">
        <v>717</v>
      </c>
      <c r="F339" s="18" t="s">
        <v>715</v>
      </c>
      <c r="G339" s="18" t="s">
        <v>622</v>
      </c>
      <c r="H339" s="18">
        <v>2009</v>
      </c>
      <c r="I339" s="40">
        <v>2966</v>
      </c>
      <c r="J339" s="40">
        <v>1779</v>
      </c>
      <c r="K339" s="18">
        <v>5430</v>
      </c>
      <c r="L339" s="38" t="s">
        <v>637</v>
      </c>
      <c r="M339" s="21" t="s">
        <v>360</v>
      </c>
      <c r="N339" s="18" t="s">
        <v>361</v>
      </c>
    </row>
    <row r="340" spans="1:34" ht="13">
      <c r="A340" s="18" t="s">
        <v>266</v>
      </c>
      <c r="B340" s="18" t="s">
        <v>260</v>
      </c>
      <c r="C340" s="18" t="s">
        <v>359</v>
      </c>
      <c r="D340" s="18" t="s">
        <v>355</v>
      </c>
      <c r="E340" s="18" t="s">
        <v>717</v>
      </c>
      <c r="F340" s="18" t="s">
        <v>715</v>
      </c>
      <c r="G340" s="18" t="s">
        <v>622</v>
      </c>
      <c r="H340" s="18">
        <v>2010</v>
      </c>
      <c r="I340" s="40">
        <v>3147</v>
      </c>
      <c r="J340" s="40">
        <v>1938</v>
      </c>
      <c r="K340" s="18">
        <v>5839</v>
      </c>
      <c r="L340" s="38" t="s">
        <v>637</v>
      </c>
      <c r="M340" s="21" t="s">
        <v>360</v>
      </c>
      <c r="N340" s="18" t="s">
        <v>361</v>
      </c>
    </row>
    <row r="341" spans="1:34" ht="13">
      <c r="A341" s="18" t="s">
        <v>266</v>
      </c>
      <c r="B341" s="18" t="s">
        <v>260</v>
      </c>
      <c r="C341" s="18" t="s">
        <v>359</v>
      </c>
      <c r="D341" s="18" t="s">
        <v>355</v>
      </c>
      <c r="E341" s="18" t="s">
        <v>717</v>
      </c>
      <c r="F341" s="18" t="s">
        <v>715</v>
      </c>
      <c r="G341" s="18" t="s">
        <v>622</v>
      </c>
      <c r="H341" s="18">
        <v>2011</v>
      </c>
      <c r="I341" s="40">
        <v>3260</v>
      </c>
      <c r="J341" s="40">
        <v>2028</v>
      </c>
      <c r="K341" s="18">
        <v>6089</v>
      </c>
      <c r="L341" s="38" t="s">
        <v>637</v>
      </c>
      <c r="M341" s="21" t="s">
        <v>360</v>
      </c>
      <c r="N341" s="18" t="s">
        <v>361</v>
      </c>
    </row>
    <row r="342" spans="1:34" ht="13">
      <c r="A342" s="18" t="s">
        <v>266</v>
      </c>
      <c r="B342" s="18" t="s">
        <v>260</v>
      </c>
      <c r="C342" s="18" t="s">
        <v>359</v>
      </c>
      <c r="D342" s="18" t="s">
        <v>355</v>
      </c>
      <c r="E342" s="18" t="s">
        <v>717</v>
      </c>
      <c r="F342" s="18" t="s">
        <v>715</v>
      </c>
      <c r="G342" s="18" t="s">
        <v>622</v>
      </c>
      <c r="H342" s="18">
        <v>2012</v>
      </c>
      <c r="I342" s="40">
        <v>3419</v>
      </c>
      <c r="J342" s="40">
        <v>2073</v>
      </c>
      <c r="K342" s="18">
        <v>6499</v>
      </c>
      <c r="L342" s="38" t="s">
        <v>637</v>
      </c>
      <c r="M342" s="21" t="s">
        <v>360</v>
      </c>
      <c r="N342" s="18" t="s">
        <v>361</v>
      </c>
    </row>
    <row r="343" spans="1:34" ht="13">
      <c r="A343" s="18" t="s">
        <v>266</v>
      </c>
      <c r="B343" s="18" t="s">
        <v>260</v>
      </c>
      <c r="C343" s="18" t="s">
        <v>359</v>
      </c>
      <c r="D343" s="18" t="s">
        <v>355</v>
      </c>
      <c r="E343" s="18" t="s">
        <v>717</v>
      </c>
      <c r="F343" s="18" t="s">
        <v>715</v>
      </c>
      <c r="G343" s="18" t="s">
        <v>622</v>
      </c>
      <c r="H343" s="18">
        <v>2013</v>
      </c>
      <c r="I343" s="40">
        <v>3623</v>
      </c>
      <c r="J343" s="40">
        <v>2163</v>
      </c>
      <c r="K343" s="18">
        <v>6977</v>
      </c>
      <c r="L343" s="38" t="s">
        <v>637</v>
      </c>
      <c r="M343" s="21" t="s">
        <v>360</v>
      </c>
      <c r="N343" s="18" t="s">
        <v>361</v>
      </c>
    </row>
    <row r="344" spans="1:34" ht="13">
      <c r="A344" s="30" t="s">
        <v>266</v>
      </c>
      <c r="B344" s="30" t="s">
        <v>260</v>
      </c>
      <c r="C344" s="30" t="s">
        <v>367</v>
      </c>
      <c r="D344" s="30" t="s">
        <v>355</v>
      </c>
      <c r="E344" s="18" t="s">
        <v>719</v>
      </c>
      <c r="F344" s="18" t="s">
        <v>715</v>
      </c>
      <c r="G344" s="18" t="s">
        <v>622</v>
      </c>
      <c r="H344" s="30">
        <v>1989</v>
      </c>
      <c r="I344" s="53">
        <v>7786</v>
      </c>
      <c r="J344" s="54">
        <v>3664</v>
      </c>
      <c r="K344" s="30">
        <v>16718</v>
      </c>
      <c r="L344" s="38" t="s">
        <v>637</v>
      </c>
      <c r="M344" s="32" t="s">
        <v>368</v>
      </c>
      <c r="N344" s="30" t="s">
        <v>369</v>
      </c>
      <c r="O344" s="30"/>
      <c r="P344" s="30"/>
      <c r="Q344" s="30"/>
      <c r="R344" s="30"/>
      <c r="S344" s="30"/>
      <c r="T344" s="30"/>
      <c r="U344" s="30"/>
      <c r="V344" s="30"/>
      <c r="W344" s="30"/>
      <c r="X344" s="30"/>
      <c r="Y344" s="30"/>
      <c r="Z344" s="30"/>
      <c r="AA344" s="30"/>
      <c r="AB344" s="30"/>
      <c r="AC344" s="30"/>
      <c r="AD344" s="30"/>
      <c r="AE344" s="30"/>
      <c r="AF344" s="30"/>
      <c r="AG344" s="30"/>
      <c r="AH344" s="30"/>
    </row>
    <row r="345" spans="1:34" ht="13">
      <c r="A345" s="30" t="s">
        <v>266</v>
      </c>
      <c r="B345" s="30" t="s">
        <v>260</v>
      </c>
      <c r="C345" s="30" t="s">
        <v>367</v>
      </c>
      <c r="D345" s="30" t="s">
        <v>355</v>
      </c>
      <c r="E345" s="18" t="s">
        <v>719</v>
      </c>
      <c r="F345" s="18" t="s">
        <v>715</v>
      </c>
      <c r="G345" s="18" t="s">
        <v>622</v>
      </c>
      <c r="H345" s="18">
        <v>1990</v>
      </c>
      <c r="I345" s="40">
        <v>13969</v>
      </c>
      <c r="J345" s="40">
        <v>8244</v>
      </c>
      <c r="K345" s="18">
        <v>26107</v>
      </c>
      <c r="L345" s="38" t="s">
        <v>637</v>
      </c>
      <c r="M345" s="32" t="s">
        <v>368</v>
      </c>
      <c r="N345" s="30" t="s">
        <v>369</v>
      </c>
    </row>
    <row r="346" spans="1:34" ht="13">
      <c r="A346" s="30" t="s">
        <v>266</v>
      </c>
      <c r="B346" s="30" t="s">
        <v>260</v>
      </c>
      <c r="C346" s="30" t="s">
        <v>367</v>
      </c>
      <c r="D346" s="30" t="s">
        <v>355</v>
      </c>
      <c r="E346" s="18" t="s">
        <v>719</v>
      </c>
      <c r="F346" s="18" t="s">
        <v>715</v>
      </c>
      <c r="G346" s="18" t="s">
        <v>622</v>
      </c>
      <c r="H346" s="18">
        <v>1991</v>
      </c>
      <c r="I346" s="40">
        <v>14656</v>
      </c>
      <c r="J346" s="40">
        <v>8702</v>
      </c>
      <c r="K346" s="18">
        <v>27710</v>
      </c>
      <c r="L346" s="38" t="s">
        <v>637</v>
      </c>
      <c r="M346" s="32" t="s">
        <v>368</v>
      </c>
      <c r="N346" s="30" t="s">
        <v>369</v>
      </c>
    </row>
    <row r="347" spans="1:34" ht="13">
      <c r="A347" s="30" t="s">
        <v>266</v>
      </c>
      <c r="B347" s="30" t="s">
        <v>260</v>
      </c>
      <c r="C347" s="30" t="s">
        <v>367</v>
      </c>
      <c r="D347" s="30" t="s">
        <v>355</v>
      </c>
      <c r="E347" s="18" t="s">
        <v>719</v>
      </c>
      <c r="F347" s="18" t="s">
        <v>715</v>
      </c>
      <c r="G347" s="18" t="s">
        <v>622</v>
      </c>
      <c r="H347" s="18">
        <v>1992</v>
      </c>
      <c r="I347" s="40">
        <v>15802</v>
      </c>
      <c r="J347" s="40">
        <v>7328</v>
      </c>
      <c r="K347" s="18">
        <v>41221</v>
      </c>
      <c r="L347" s="38" t="s">
        <v>637</v>
      </c>
      <c r="M347" s="32" t="s">
        <v>368</v>
      </c>
      <c r="N347" s="30" t="s">
        <v>369</v>
      </c>
    </row>
    <row r="348" spans="1:34" ht="13">
      <c r="A348" s="30" t="s">
        <v>266</v>
      </c>
      <c r="B348" s="30" t="s">
        <v>260</v>
      </c>
      <c r="C348" s="30" t="s">
        <v>367</v>
      </c>
      <c r="D348" s="30" t="s">
        <v>355</v>
      </c>
      <c r="E348" s="18" t="s">
        <v>719</v>
      </c>
      <c r="F348" s="18" t="s">
        <v>715</v>
      </c>
      <c r="G348" s="18" t="s">
        <v>622</v>
      </c>
      <c r="H348" s="18">
        <v>1993</v>
      </c>
      <c r="I348" s="40">
        <v>16947</v>
      </c>
      <c r="J348" s="40">
        <v>10076</v>
      </c>
      <c r="K348" s="18">
        <v>32061</v>
      </c>
      <c r="L348" s="38" t="s">
        <v>637</v>
      </c>
      <c r="M348" s="32" t="s">
        <v>368</v>
      </c>
      <c r="N348" s="30" t="s">
        <v>369</v>
      </c>
    </row>
    <row r="349" spans="1:34" ht="13">
      <c r="A349" s="30" t="s">
        <v>266</v>
      </c>
      <c r="B349" s="30" t="s">
        <v>260</v>
      </c>
      <c r="C349" s="30" t="s">
        <v>367</v>
      </c>
      <c r="D349" s="30" t="s">
        <v>355</v>
      </c>
      <c r="E349" s="18" t="s">
        <v>719</v>
      </c>
      <c r="F349" s="18" t="s">
        <v>715</v>
      </c>
      <c r="G349" s="18" t="s">
        <v>622</v>
      </c>
      <c r="H349" s="18">
        <v>1994</v>
      </c>
      <c r="I349" s="40">
        <v>24275</v>
      </c>
      <c r="J349" s="40">
        <v>11908</v>
      </c>
      <c r="K349" s="18">
        <v>72595</v>
      </c>
      <c r="L349" s="38" t="s">
        <v>637</v>
      </c>
      <c r="M349" s="32" t="s">
        <v>368</v>
      </c>
      <c r="N349" s="30" t="s">
        <v>369</v>
      </c>
    </row>
    <row r="350" spans="1:34" ht="13">
      <c r="A350" s="30" t="s">
        <v>266</v>
      </c>
      <c r="B350" s="30" t="s">
        <v>260</v>
      </c>
      <c r="C350" s="30" t="s">
        <v>367</v>
      </c>
      <c r="D350" s="30" t="s">
        <v>355</v>
      </c>
      <c r="E350" s="18" t="s">
        <v>719</v>
      </c>
      <c r="F350" s="18" t="s">
        <v>715</v>
      </c>
      <c r="G350" s="18" t="s">
        <v>622</v>
      </c>
      <c r="H350" s="18">
        <v>1995</v>
      </c>
      <c r="I350" s="40">
        <v>26565</v>
      </c>
      <c r="J350" s="40">
        <v>14427</v>
      </c>
      <c r="K350" s="18">
        <v>52443</v>
      </c>
      <c r="L350" s="38" t="s">
        <v>637</v>
      </c>
      <c r="M350" s="32" t="s">
        <v>368</v>
      </c>
      <c r="N350" s="30" t="s">
        <v>369</v>
      </c>
    </row>
    <row r="351" spans="1:34" ht="13">
      <c r="A351" s="30" t="s">
        <v>266</v>
      </c>
      <c r="B351" s="30" t="s">
        <v>260</v>
      </c>
      <c r="C351" s="30" t="s">
        <v>367</v>
      </c>
      <c r="D351" s="30" t="s">
        <v>355</v>
      </c>
      <c r="E351" s="18" t="s">
        <v>719</v>
      </c>
      <c r="F351" s="18" t="s">
        <v>715</v>
      </c>
      <c r="G351" s="18" t="s">
        <v>622</v>
      </c>
      <c r="H351" s="18">
        <v>1996</v>
      </c>
      <c r="I351" s="40">
        <v>21756</v>
      </c>
      <c r="J351" s="40">
        <v>11450</v>
      </c>
      <c r="K351" s="18">
        <v>49466</v>
      </c>
      <c r="L351" s="38" t="s">
        <v>637</v>
      </c>
      <c r="M351" s="32" t="s">
        <v>368</v>
      </c>
      <c r="N351" s="30" t="s">
        <v>369</v>
      </c>
    </row>
    <row r="352" spans="1:34" ht="13">
      <c r="A352" s="30" t="s">
        <v>266</v>
      </c>
      <c r="B352" s="30" t="s">
        <v>260</v>
      </c>
      <c r="C352" s="30" t="s">
        <v>367</v>
      </c>
      <c r="D352" s="30" t="s">
        <v>355</v>
      </c>
      <c r="E352" s="18" t="s">
        <v>719</v>
      </c>
      <c r="F352" s="18" t="s">
        <v>715</v>
      </c>
      <c r="G352" s="18" t="s">
        <v>622</v>
      </c>
      <c r="H352" s="18">
        <v>1997</v>
      </c>
      <c r="I352" s="40">
        <v>15802</v>
      </c>
      <c r="J352" s="40">
        <v>8931</v>
      </c>
      <c r="K352" s="18">
        <v>30229</v>
      </c>
      <c r="L352" s="38" t="s">
        <v>637</v>
      </c>
      <c r="M352" s="32" t="s">
        <v>368</v>
      </c>
      <c r="N352" s="30" t="s">
        <v>369</v>
      </c>
    </row>
    <row r="353" spans="1:14" ht="13">
      <c r="A353" s="30" t="s">
        <v>266</v>
      </c>
      <c r="B353" s="30" t="s">
        <v>260</v>
      </c>
      <c r="C353" s="30" t="s">
        <v>367</v>
      </c>
      <c r="D353" s="30" t="s">
        <v>355</v>
      </c>
      <c r="E353" s="18" t="s">
        <v>719</v>
      </c>
      <c r="F353" s="18" t="s">
        <v>715</v>
      </c>
      <c r="G353" s="18" t="s">
        <v>622</v>
      </c>
      <c r="H353" s="18">
        <v>1998</v>
      </c>
      <c r="I353" s="40">
        <v>15802</v>
      </c>
      <c r="J353" s="40">
        <v>5496</v>
      </c>
      <c r="K353" s="18">
        <v>33664</v>
      </c>
      <c r="L353" s="38" t="s">
        <v>637</v>
      </c>
      <c r="M353" s="32" t="s">
        <v>368</v>
      </c>
      <c r="N353" s="30" t="s">
        <v>369</v>
      </c>
    </row>
    <row r="354" spans="1:14" ht="13">
      <c r="A354" s="30" t="s">
        <v>266</v>
      </c>
      <c r="B354" s="30" t="s">
        <v>260</v>
      </c>
      <c r="C354" s="30" t="s">
        <v>367</v>
      </c>
      <c r="D354" s="30" t="s">
        <v>355</v>
      </c>
      <c r="E354" s="18" t="s">
        <v>719</v>
      </c>
      <c r="F354" s="18" t="s">
        <v>715</v>
      </c>
      <c r="G354" s="18" t="s">
        <v>622</v>
      </c>
      <c r="H354" s="18">
        <v>1999</v>
      </c>
      <c r="I354" s="40">
        <v>19466</v>
      </c>
      <c r="J354" s="40">
        <v>11679</v>
      </c>
      <c r="K354" s="18">
        <v>36641</v>
      </c>
      <c r="L354" s="38" t="s">
        <v>637</v>
      </c>
      <c r="M354" s="32" t="s">
        <v>368</v>
      </c>
      <c r="N354" s="30" t="s">
        <v>369</v>
      </c>
    </row>
    <row r="355" spans="1:14" ht="13">
      <c r="A355" s="30" t="s">
        <v>266</v>
      </c>
      <c r="B355" s="30" t="s">
        <v>260</v>
      </c>
      <c r="C355" s="30" t="s">
        <v>367</v>
      </c>
      <c r="D355" s="30" t="s">
        <v>355</v>
      </c>
      <c r="E355" s="18" t="s">
        <v>719</v>
      </c>
      <c r="F355" s="18" t="s">
        <v>715</v>
      </c>
      <c r="G355" s="18" t="s">
        <v>622</v>
      </c>
      <c r="H355" s="18">
        <v>2000</v>
      </c>
      <c r="I355" s="40">
        <v>19008</v>
      </c>
      <c r="J355" s="40">
        <v>9160</v>
      </c>
      <c r="K355" s="18">
        <v>49695</v>
      </c>
      <c r="L355" s="38" t="s">
        <v>637</v>
      </c>
      <c r="M355" s="32" t="s">
        <v>368</v>
      </c>
      <c r="N355" s="30" t="s">
        <v>369</v>
      </c>
    </row>
    <row r="356" spans="1:14" ht="13">
      <c r="A356" s="30" t="s">
        <v>266</v>
      </c>
      <c r="B356" s="30" t="s">
        <v>260</v>
      </c>
      <c r="C356" s="30" t="s">
        <v>367</v>
      </c>
      <c r="D356" s="30" t="s">
        <v>355</v>
      </c>
      <c r="E356" s="18" t="s">
        <v>719</v>
      </c>
      <c r="F356" s="18" t="s">
        <v>715</v>
      </c>
      <c r="G356" s="18" t="s">
        <v>622</v>
      </c>
      <c r="H356" s="18">
        <v>2001</v>
      </c>
      <c r="I356" s="40">
        <v>20611</v>
      </c>
      <c r="J356" s="40">
        <v>10305</v>
      </c>
      <c r="K356" s="18">
        <v>66870</v>
      </c>
      <c r="L356" s="38" t="s">
        <v>637</v>
      </c>
      <c r="M356" s="32" t="s">
        <v>368</v>
      </c>
      <c r="N356" s="30" t="s">
        <v>369</v>
      </c>
    </row>
    <row r="357" spans="1:14" ht="13">
      <c r="A357" s="30" t="s">
        <v>266</v>
      </c>
      <c r="B357" s="30" t="s">
        <v>260</v>
      </c>
      <c r="C357" s="30" t="s">
        <v>367</v>
      </c>
      <c r="D357" s="30" t="s">
        <v>355</v>
      </c>
      <c r="E357" s="18" t="s">
        <v>719</v>
      </c>
      <c r="F357" s="18" t="s">
        <v>715</v>
      </c>
      <c r="G357" s="18" t="s">
        <v>622</v>
      </c>
      <c r="H357" s="18">
        <v>2002</v>
      </c>
      <c r="I357" s="40">
        <v>18779</v>
      </c>
      <c r="J357" s="40">
        <v>10992</v>
      </c>
      <c r="K357" s="18">
        <v>35496</v>
      </c>
      <c r="L357" s="38" t="s">
        <v>637</v>
      </c>
      <c r="M357" s="32" t="s">
        <v>368</v>
      </c>
      <c r="N357" s="30" t="s">
        <v>369</v>
      </c>
    </row>
    <row r="358" spans="1:14" ht="13">
      <c r="A358" s="30" t="s">
        <v>266</v>
      </c>
      <c r="B358" s="30" t="s">
        <v>260</v>
      </c>
      <c r="C358" s="30" t="s">
        <v>367</v>
      </c>
      <c r="D358" s="30" t="s">
        <v>355</v>
      </c>
      <c r="E358" s="18" t="s">
        <v>719</v>
      </c>
      <c r="F358" s="18" t="s">
        <v>715</v>
      </c>
      <c r="G358" s="18" t="s">
        <v>622</v>
      </c>
      <c r="H358" s="18">
        <v>2003</v>
      </c>
      <c r="I358" s="40">
        <v>19237</v>
      </c>
      <c r="J358" s="40">
        <v>8702</v>
      </c>
      <c r="K358" s="18">
        <v>46718</v>
      </c>
      <c r="L358" s="38" t="s">
        <v>637</v>
      </c>
      <c r="M358" s="32" t="s">
        <v>368</v>
      </c>
      <c r="N358" s="30" t="s">
        <v>369</v>
      </c>
    </row>
    <row r="359" spans="1:14" ht="13">
      <c r="A359" s="30" t="s">
        <v>266</v>
      </c>
      <c r="B359" s="30" t="s">
        <v>260</v>
      </c>
      <c r="C359" s="30" t="s">
        <v>367</v>
      </c>
      <c r="D359" s="30" t="s">
        <v>355</v>
      </c>
      <c r="E359" s="18" t="s">
        <v>719</v>
      </c>
      <c r="F359" s="18" t="s">
        <v>715</v>
      </c>
      <c r="G359" s="18" t="s">
        <v>622</v>
      </c>
      <c r="H359" s="18">
        <v>2004</v>
      </c>
      <c r="I359" s="40">
        <v>19466</v>
      </c>
      <c r="J359" s="40">
        <v>8244</v>
      </c>
      <c r="K359" s="18">
        <v>50611</v>
      </c>
      <c r="L359" s="38" t="s">
        <v>637</v>
      </c>
      <c r="M359" s="32" t="s">
        <v>368</v>
      </c>
      <c r="N359" s="30" t="s">
        <v>369</v>
      </c>
    </row>
    <row r="360" spans="1:14" ht="13">
      <c r="A360" s="30" t="s">
        <v>266</v>
      </c>
      <c r="B360" s="30" t="s">
        <v>260</v>
      </c>
      <c r="C360" s="30" t="s">
        <v>367</v>
      </c>
      <c r="D360" s="30" t="s">
        <v>355</v>
      </c>
      <c r="E360" s="18" t="s">
        <v>719</v>
      </c>
      <c r="F360" s="18" t="s">
        <v>715</v>
      </c>
      <c r="G360" s="18" t="s">
        <v>622</v>
      </c>
      <c r="H360" s="18">
        <v>2005</v>
      </c>
      <c r="I360" s="40">
        <v>19466</v>
      </c>
      <c r="J360" s="40">
        <v>8473</v>
      </c>
      <c r="K360" s="18">
        <v>46260</v>
      </c>
      <c r="L360" s="38" t="s">
        <v>637</v>
      </c>
      <c r="M360" s="32" t="s">
        <v>368</v>
      </c>
      <c r="N360" s="30" t="s">
        <v>369</v>
      </c>
    </row>
    <row r="361" spans="1:14" ht="13">
      <c r="A361" s="30" t="s">
        <v>266</v>
      </c>
      <c r="B361" s="30" t="s">
        <v>260</v>
      </c>
      <c r="C361" s="30" t="s">
        <v>367</v>
      </c>
      <c r="D361" s="30" t="s">
        <v>355</v>
      </c>
      <c r="E361" s="18" t="s">
        <v>719</v>
      </c>
      <c r="F361" s="18" t="s">
        <v>715</v>
      </c>
      <c r="G361" s="18" t="s">
        <v>622</v>
      </c>
      <c r="H361" s="18">
        <v>2006</v>
      </c>
      <c r="I361" s="40">
        <v>21527</v>
      </c>
      <c r="J361" s="40">
        <v>10305</v>
      </c>
      <c r="K361" s="18">
        <v>60229</v>
      </c>
      <c r="L361" s="38" t="s">
        <v>637</v>
      </c>
      <c r="M361" s="32" t="s">
        <v>368</v>
      </c>
      <c r="N361" s="30" t="s">
        <v>369</v>
      </c>
    </row>
    <row r="362" spans="1:14" ht="13">
      <c r="A362" s="30" t="s">
        <v>266</v>
      </c>
      <c r="B362" s="30" t="s">
        <v>260</v>
      </c>
      <c r="C362" s="30" t="s">
        <v>367</v>
      </c>
      <c r="D362" s="30" t="s">
        <v>355</v>
      </c>
      <c r="E362" s="18" t="s">
        <v>719</v>
      </c>
      <c r="F362" s="18" t="s">
        <v>715</v>
      </c>
      <c r="G362" s="18" t="s">
        <v>622</v>
      </c>
      <c r="H362" s="18">
        <v>2007</v>
      </c>
      <c r="I362" s="40">
        <v>20153</v>
      </c>
      <c r="J362" s="40">
        <v>11679</v>
      </c>
      <c r="K362" s="18">
        <v>37557</v>
      </c>
      <c r="L362" s="38" t="s">
        <v>637</v>
      </c>
      <c r="M362" s="32" t="s">
        <v>368</v>
      </c>
      <c r="N362" s="30" t="s">
        <v>369</v>
      </c>
    </row>
    <row r="363" spans="1:14" ht="13">
      <c r="A363" s="30" t="s">
        <v>266</v>
      </c>
      <c r="B363" s="30" t="s">
        <v>260</v>
      </c>
      <c r="C363" s="30" t="s">
        <v>367</v>
      </c>
      <c r="D363" s="30" t="s">
        <v>355</v>
      </c>
      <c r="E363" s="18" t="s">
        <v>719</v>
      </c>
      <c r="F363" s="18" t="s">
        <v>715</v>
      </c>
      <c r="G363" s="18" t="s">
        <v>622</v>
      </c>
      <c r="H363" s="18">
        <v>2008</v>
      </c>
      <c r="I363" s="40">
        <v>14885</v>
      </c>
      <c r="J363" s="40">
        <v>4122</v>
      </c>
      <c r="K363" s="18">
        <v>31603</v>
      </c>
      <c r="L363" s="38" t="s">
        <v>637</v>
      </c>
      <c r="M363" s="32" t="s">
        <v>368</v>
      </c>
      <c r="N363" s="30" t="s">
        <v>369</v>
      </c>
    </row>
    <row r="364" spans="1:14" ht="13">
      <c r="A364" s="30" t="s">
        <v>266</v>
      </c>
      <c r="B364" s="30" t="s">
        <v>260</v>
      </c>
      <c r="C364" s="30" t="s">
        <v>367</v>
      </c>
      <c r="D364" s="30" t="s">
        <v>355</v>
      </c>
      <c r="E364" s="18" t="s">
        <v>719</v>
      </c>
      <c r="F364" s="18" t="s">
        <v>715</v>
      </c>
      <c r="G364" s="18" t="s">
        <v>622</v>
      </c>
      <c r="H364" s="18">
        <v>2009</v>
      </c>
      <c r="I364" s="40">
        <v>18550</v>
      </c>
      <c r="J364" s="40">
        <v>7786</v>
      </c>
      <c r="K364" s="18">
        <v>48092</v>
      </c>
      <c r="L364" s="38" t="s">
        <v>637</v>
      </c>
      <c r="M364" s="32" t="s">
        <v>368</v>
      </c>
      <c r="N364" s="30" t="s">
        <v>369</v>
      </c>
    </row>
    <row r="365" spans="1:14" ht="13">
      <c r="A365" s="30" t="s">
        <v>266</v>
      </c>
      <c r="B365" s="30" t="s">
        <v>260</v>
      </c>
      <c r="C365" s="30" t="s">
        <v>367</v>
      </c>
      <c r="D365" s="30" t="s">
        <v>355</v>
      </c>
      <c r="E365" s="18" t="s">
        <v>719</v>
      </c>
      <c r="F365" s="18" t="s">
        <v>715</v>
      </c>
      <c r="G365" s="18" t="s">
        <v>622</v>
      </c>
      <c r="H365" s="18">
        <v>2010</v>
      </c>
      <c r="I365" s="40">
        <v>19237</v>
      </c>
      <c r="J365" s="40">
        <v>8931</v>
      </c>
      <c r="K365" s="18">
        <v>43969</v>
      </c>
      <c r="L365" s="38" t="s">
        <v>637</v>
      </c>
      <c r="M365" s="32" t="s">
        <v>368</v>
      </c>
      <c r="N365" s="30" t="s">
        <v>369</v>
      </c>
    </row>
    <row r="366" spans="1:14" ht="13">
      <c r="A366" s="30" t="s">
        <v>266</v>
      </c>
      <c r="B366" s="30" t="s">
        <v>260</v>
      </c>
      <c r="C366" s="30" t="s">
        <v>367</v>
      </c>
      <c r="D366" s="30" t="s">
        <v>355</v>
      </c>
      <c r="E366" s="18" t="s">
        <v>719</v>
      </c>
      <c r="F366" s="18" t="s">
        <v>715</v>
      </c>
      <c r="G366" s="18" t="s">
        <v>622</v>
      </c>
      <c r="H366" s="18">
        <v>2011</v>
      </c>
      <c r="I366" s="40">
        <v>22672</v>
      </c>
      <c r="J366" s="40">
        <v>13053</v>
      </c>
      <c r="K366" s="18">
        <v>43053</v>
      </c>
      <c r="L366" s="38" t="s">
        <v>637</v>
      </c>
      <c r="M366" s="32" t="s">
        <v>368</v>
      </c>
      <c r="N366" s="30" t="s">
        <v>369</v>
      </c>
    </row>
    <row r="367" spans="1:14" ht="13">
      <c r="A367" s="30" t="s">
        <v>266</v>
      </c>
      <c r="B367" s="30" t="s">
        <v>260</v>
      </c>
      <c r="C367" s="30" t="s">
        <v>367</v>
      </c>
      <c r="D367" s="30" t="s">
        <v>355</v>
      </c>
      <c r="E367" s="18" t="s">
        <v>719</v>
      </c>
      <c r="F367" s="18" t="s">
        <v>715</v>
      </c>
      <c r="G367" s="18" t="s">
        <v>622</v>
      </c>
      <c r="H367" s="18">
        <v>2012</v>
      </c>
      <c r="I367" s="40">
        <v>18779</v>
      </c>
      <c r="J367" s="40">
        <v>8473</v>
      </c>
      <c r="K367" s="18">
        <v>43282</v>
      </c>
      <c r="L367" s="38" t="s">
        <v>637</v>
      </c>
      <c r="M367" s="32" t="s">
        <v>368</v>
      </c>
      <c r="N367" s="30" t="s">
        <v>369</v>
      </c>
    </row>
    <row r="368" spans="1:14" ht="13">
      <c r="A368" s="30" t="s">
        <v>266</v>
      </c>
      <c r="B368" s="30" t="s">
        <v>260</v>
      </c>
      <c r="C368" s="30" t="s">
        <v>367</v>
      </c>
      <c r="D368" s="30" t="s">
        <v>355</v>
      </c>
      <c r="E368" s="18" t="s">
        <v>719</v>
      </c>
      <c r="F368" s="18" t="s">
        <v>715</v>
      </c>
      <c r="G368" s="18" t="s">
        <v>622</v>
      </c>
      <c r="H368" s="18">
        <v>2013</v>
      </c>
      <c r="I368" s="40">
        <v>15802</v>
      </c>
      <c r="J368" s="40">
        <v>6412</v>
      </c>
      <c r="K368" s="18">
        <v>37557</v>
      </c>
      <c r="L368" s="38" t="s">
        <v>637</v>
      </c>
      <c r="M368" s="32" t="s">
        <v>368</v>
      </c>
      <c r="N368" s="30" t="s">
        <v>369</v>
      </c>
    </row>
    <row r="369" spans="1:14" ht="13">
      <c r="A369" s="30" t="s">
        <v>266</v>
      </c>
      <c r="B369" s="30" t="s">
        <v>260</v>
      </c>
      <c r="C369" s="30" t="s">
        <v>367</v>
      </c>
      <c r="D369" s="30" t="s">
        <v>355</v>
      </c>
      <c r="E369" s="18" t="s">
        <v>719</v>
      </c>
      <c r="F369" s="18" t="s">
        <v>715</v>
      </c>
      <c r="G369" s="18" t="s">
        <v>622</v>
      </c>
      <c r="H369" s="18">
        <v>2014</v>
      </c>
      <c r="I369" s="40">
        <v>13511</v>
      </c>
      <c r="J369" s="40">
        <v>6183</v>
      </c>
      <c r="K369" s="18">
        <v>28168</v>
      </c>
      <c r="L369" s="38" t="s">
        <v>637</v>
      </c>
      <c r="M369" s="32" t="s">
        <v>368</v>
      </c>
      <c r="N369" s="30" t="s">
        <v>369</v>
      </c>
    </row>
    <row r="370" spans="1:14" ht="13">
      <c r="A370" s="30" t="s">
        <v>266</v>
      </c>
      <c r="B370" s="30" t="s">
        <v>260</v>
      </c>
      <c r="C370" s="30" t="s">
        <v>367</v>
      </c>
      <c r="D370" s="30" t="s">
        <v>355</v>
      </c>
      <c r="E370" s="18" t="s">
        <v>719</v>
      </c>
      <c r="F370" s="18" t="s">
        <v>715</v>
      </c>
      <c r="G370" s="18" t="s">
        <v>622</v>
      </c>
      <c r="H370" s="18">
        <v>2015</v>
      </c>
      <c r="I370" s="40">
        <v>12824</v>
      </c>
      <c r="J370" s="40">
        <v>5038</v>
      </c>
      <c r="K370" s="18">
        <v>29542</v>
      </c>
      <c r="L370" s="38" t="s">
        <v>637</v>
      </c>
      <c r="M370" s="32" t="s">
        <v>368</v>
      </c>
      <c r="N370" s="30" t="s">
        <v>369</v>
      </c>
    </row>
    <row r="371" spans="1:14" ht="13">
      <c r="A371" s="30" t="s">
        <v>266</v>
      </c>
      <c r="B371" s="30" t="s">
        <v>260</v>
      </c>
      <c r="C371" s="30" t="s">
        <v>367</v>
      </c>
      <c r="D371" s="30" t="s">
        <v>355</v>
      </c>
      <c r="E371" s="18" t="s">
        <v>719</v>
      </c>
      <c r="F371" s="18" t="s">
        <v>715</v>
      </c>
      <c r="G371" s="18" t="s">
        <v>622</v>
      </c>
      <c r="H371" s="18">
        <v>2016</v>
      </c>
      <c r="I371" s="40">
        <v>12137</v>
      </c>
      <c r="J371" s="40">
        <v>5954</v>
      </c>
      <c r="K371" s="18">
        <v>25420</v>
      </c>
      <c r="L371" s="38" t="s">
        <v>637</v>
      </c>
      <c r="M371" s="32" t="s">
        <v>368</v>
      </c>
      <c r="N371" s="30" t="s">
        <v>369</v>
      </c>
    </row>
    <row r="372" spans="1:14" ht="13">
      <c r="A372" s="18" t="s">
        <v>283</v>
      </c>
      <c r="B372" s="18" t="s">
        <v>260</v>
      </c>
      <c r="C372" s="18" t="s">
        <v>380</v>
      </c>
      <c r="D372" s="18" t="s">
        <v>381</v>
      </c>
      <c r="E372" s="18" t="s">
        <v>720</v>
      </c>
      <c r="F372" s="33" t="s">
        <v>84</v>
      </c>
      <c r="G372" s="18" t="s">
        <v>611</v>
      </c>
      <c r="H372" s="18">
        <v>1996</v>
      </c>
      <c r="I372" s="40">
        <v>6048</v>
      </c>
      <c r="J372" s="40">
        <v>4931</v>
      </c>
      <c r="K372" s="18">
        <v>7194</v>
      </c>
      <c r="L372" s="38" t="s">
        <v>637</v>
      </c>
      <c r="M372" s="21" t="s">
        <v>383</v>
      </c>
      <c r="N372" s="18" t="s">
        <v>384</v>
      </c>
    </row>
    <row r="373" spans="1:14" ht="13">
      <c r="A373" s="18" t="s">
        <v>283</v>
      </c>
      <c r="B373" s="18" t="s">
        <v>260</v>
      </c>
      <c r="C373" s="18" t="s">
        <v>380</v>
      </c>
      <c r="D373" s="18" t="s">
        <v>381</v>
      </c>
      <c r="E373" s="18" t="s">
        <v>720</v>
      </c>
      <c r="F373" s="33" t="s">
        <v>84</v>
      </c>
      <c r="G373" s="18" t="s">
        <v>611</v>
      </c>
      <c r="H373" s="18">
        <v>1997</v>
      </c>
      <c r="I373" s="40">
        <v>5892</v>
      </c>
      <c r="J373" s="40">
        <v>4902</v>
      </c>
      <c r="K373" s="18">
        <v>6843</v>
      </c>
      <c r="L373" s="38" t="s">
        <v>637</v>
      </c>
      <c r="M373" s="21" t="s">
        <v>383</v>
      </c>
      <c r="N373" s="18" t="s">
        <v>384</v>
      </c>
    </row>
    <row r="374" spans="1:14" ht="13">
      <c r="A374" s="18" t="s">
        <v>283</v>
      </c>
      <c r="B374" s="18" t="s">
        <v>260</v>
      </c>
      <c r="C374" s="18" t="s">
        <v>380</v>
      </c>
      <c r="D374" s="18" t="s">
        <v>381</v>
      </c>
      <c r="E374" s="18" t="s">
        <v>720</v>
      </c>
      <c r="F374" s="33" t="s">
        <v>84</v>
      </c>
      <c r="G374" s="18" t="s">
        <v>611</v>
      </c>
      <c r="H374" s="18">
        <v>1998</v>
      </c>
      <c r="I374" s="40">
        <v>5581</v>
      </c>
      <c r="J374" s="40">
        <v>4901</v>
      </c>
      <c r="K374" s="18">
        <v>6309</v>
      </c>
      <c r="L374" s="38" t="s">
        <v>637</v>
      </c>
      <c r="M374" s="21" t="s">
        <v>383</v>
      </c>
      <c r="N374" s="18" t="s">
        <v>384</v>
      </c>
    </row>
    <row r="375" spans="1:14" ht="13">
      <c r="A375" s="18" t="s">
        <v>283</v>
      </c>
      <c r="B375" s="18" t="s">
        <v>260</v>
      </c>
      <c r="C375" s="18" t="s">
        <v>380</v>
      </c>
      <c r="D375" s="18" t="s">
        <v>381</v>
      </c>
      <c r="E375" s="18" t="s">
        <v>720</v>
      </c>
      <c r="F375" s="33" t="s">
        <v>84</v>
      </c>
      <c r="G375" s="18" t="s">
        <v>611</v>
      </c>
      <c r="H375" s="18">
        <v>1999</v>
      </c>
      <c r="I375" s="40">
        <v>5318</v>
      </c>
      <c r="J375" s="40">
        <v>4959</v>
      </c>
      <c r="K375" s="18">
        <v>5755</v>
      </c>
      <c r="L375" s="38" t="s">
        <v>637</v>
      </c>
      <c r="M375" s="21" t="s">
        <v>383</v>
      </c>
      <c r="N375" s="18" t="s">
        <v>384</v>
      </c>
    </row>
    <row r="376" spans="1:14" ht="13">
      <c r="A376" s="18" t="s">
        <v>283</v>
      </c>
      <c r="B376" s="18" t="s">
        <v>260</v>
      </c>
      <c r="C376" s="18" t="s">
        <v>380</v>
      </c>
      <c r="D376" s="18" t="s">
        <v>381</v>
      </c>
      <c r="E376" s="18" t="s">
        <v>720</v>
      </c>
      <c r="F376" s="33" t="s">
        <v>84</v>
      </c>
      <c r="G376" s="18" t="s">
        <v>611</v>
      </c>
      <c r="H376" s="18">
        <v>2000</v>
      </c>
      <c r="I376" s="40">
        <v>5502</v>
      </c>
      <c r="J376" s="40">
        <v>4803</v>
      </c>
      <c r="K376" s="18">
        <v>6327</v>
      </c>
      <c r="L376" s="38" t="s">
        <v>637</v>
      </c>
      <c r="M376" s="21" t="s">
        <v>383</v>
      </c>
      <c r="N376" s="18" t="s">
        <v>384</v>
      </c>
    </row>
    <row r="377" spans="1:14" ht="13">
      <c r="A377" s="18" t="s">
        <v>283</v>
      </c>
      <c r="B377" s="18" t="s">
        <v>260</v>
      </c>
      <c r="C377" s="18" t="s">
        <v>380</v>
      </c>
      <c r="D377" s="18" t="s">
        <v>381</v>
      </c>
      <c r="E377" s="18" t="s">
        <v>720</v>
      </c>
      <c r="F377" s="33" t="s">
        <v>84</v>
      </c>
      <c r="G377" s="18" t="s">
        <v>611</v>
      </c>
      <c r="H377" s="18">
        <v>2001</v>
      </c>
      <c r="I377" s="40">
        <v>5618</v>
      </c>
      <c r="J377" s="40">
        <v>4802</v>
      </c>
      <c r="K377" s="18">
        <v>6753</v>
      </c>
      <c r="L377" s="38" t="s">
        <v>637</v>
      </c>
      <c r="M377" s="21" t="s">
        <v>383</v>
      </c>
      <c r="N377" s="18" t="s">
        <v>384</v>
      </c>
    </row>
    <row r="378" spans="1:14" ht="13">
      <c r="A378" s="18" t="s">
        <v>283</v>
      </c>
      <c r="B378" s="18" t="s">
        <v>260</v>
      </c>
      <c r="C378" s="18" t="s">
        <v>380</v>
      </c>
      <c r="D378" s="18" t="s">
        <v>381</v>
      </c>
      <c r="E378" s="18" t="s">
        <v>720</v>
      </c>
      <c r="F378" s="33" t="s">
        <v>84</v>
      </c>
      <c r="G378" s="18" t="s">
        <v>611</v>
      </c>
      <c r="H378" s="18">
        <v>2002</v>
      </c>
      <c r="I378" s="40">
        <v>5627</v>
      </c>
      <c r="J378" s="40">
        <v>4772</v>
      </c>
      <c r="K378" s="18">
        <v>6763</v>
      </c>
      <c r="L378" s="38" t="s">
        <v>637</v>
      </c>
      <c r="M378" s="21" t="s">
        <v>383</v>
      </c>
      <c r="N378" s="18" t="s">
        <v>384</v>
      </c>
    </row>
    <row r="379" spans="1:14" ht="13">
      <c r="A379" s="18" t="s">
        <v>283</v>
      </c>
      <c r="B379" s="18" t="s">
        <v>260</v>
      </c>
      <c r="C379" s="18" t="s">
        <v>380</v>
      </c>
      <c r="D379" s="18" t="s">
        <v>381</v>
      </c>
      <c r="E379" s="18" t="s">
        <v>720</v>
      </c>
      <c r="F379" s="33" t="s">
        <v>84</v>
      </c>
      <c r="G379" s="18" t="s">
        <v>611</v>
      </c>
      <c r="H379" s="18">
        <v>2003</v>
      </c>
      <c r="I379" s="40">
        <v>5500</v>
      </c>
      <c r="J379" s="40">
        <v>4742</v>
      </c>
      <c r="K379" s="18">
        <v>6412</v>
      </c>
      <c r="L379" s="38" t="s">
        <v>637</v>
      </c>
      <c r="M379" s="21" t="s">
        <v>383</v>
      </c>
      <c r="N379" s="18" t="s">
        <v>384</v>
      </c>
    </row>
    <row r="380" spans="1:14" ht="13">
      <c r="A380" s="18" t="s">
        <v>283</v>
      </c>
      <c r="B380" s="18" t="s">
        <v>260</v>
      </c>
      <c r="C380" s="18" t="s">
        <v>380</v>
      </c>
      <c r="D380" s="18" t="s">
        <v>381</v>
      </c>
      <c r="E380" s="18" t="s">
        <v>720</v>
      </c>
      <c r="F380" s="33" t="s">
        <v>84</v>
      </c>
      <c r="G380" s="18" t="s">
        <v>611</v>
      </c>
      <c r="H380" s="18">
        <v>2004</v>
      </c>
      <c r="I380" s="40">
        <v>5033</v>
      </c>
      <c r="J380" s="40">
        <v>4625</v>
      </c>
      <c r="K380" s="18">
        <v>5499</v>
      </c>
      <c r="L380" s="38" t="s">
        <v>637</v>
      </c>
      <c r="M380" s="21" t="s">
        <v>383</v>
      </c>
      <c r="N380" s="18" t="s">
        <v>384</v>
      </c>
    </row>
    <row r="381" spans="1:14" ht="13">
      <c r="A381" s="18" t="s">
        <v>283</v>
      </c>
      <c r="B381" s="18" t="s">
        <v>260</v>
      </c>
      <c r="C381" s="18" t="s">
        <v>380</v>
      </c>
      <c r="D381" s="18" t="s">
        <v>381</v>
      </c>
      <c r="E381" s="18" t="s">
        <v>720</v>
      </c>
      <c r="F381" s="33" t="s">
        <v>84</v>
      </c>
      <c r="G381" s="18" t="s">
        <v>611</v>
      </c>
      <c r="H381" s="18">
        <v>2005</v>
      </c>
      <c r="I381" s="40">
        <v>5557</v>
      </c>
      <c r="J381" s="40">
        <v>4838</v>
      </c>
      <c r="K381" s="18">
        <v>6363</v>
      </c>
      <c r="L381" s="38" t="s">
        <v>637</v>
      </c>
      <c r="M381" s="21" t="s">
        <v>383</v>
      </c>
      <c r="N381" s="18" t="s">
        <v>384</v>
      </c>
    </row>
    <row r="382" spans="1:14" ht="13">
      <c r="A382" s="18" t="s">
        <v>283</v>
      </c>
      <c r="B382" s="18" t="s">
        <v>260</v>
      </c>
      <c r="C382" s="18" t="s">
        <v>380</v>
      </c>
      <c r="D382" s="18" t="s">
        <v>381</v>
      </c>
      <c r="E382" s="18" t="s">
        <v>720</v>
      </c>
      <c r="F382" s="33" t="s">
        <v>84</v>
      </c>
      <c r="G382" s="18" t="s">
        <v>611</v>
      </c>
      <c r="H382" s="18">
        <v>2006</v>
      </c>
      <c r="I382" s="40">
        <v>5876</v>
      </c>
      <c r="J382" s="40">
        <v>5032</v>
      </c>
      <c r="K382" s="18">
        <v>6886</v>
      </c>
      <c r="L382" s="38" t="s">
        <v>637</v>
      </c>
      <c r="M382" s="21" t="s">
        <v>383</v>
      </c>
      <c r="N382" s="18" t="s">
        <v>384</v>
      </c>
    </row>
    <row r="383" spans="1:14" ht="13">
      <c r="A383" s="18" t="s">
        <v>283</v>
      </c>
      <c r="B383" s="18" t="s">
        <v>260</v>
      </c>
      <c r="C383" s="18" t="s">
        <v>380</v>
      </c>
      <c r="D383" s="18" t="s">
        <v>381</v>
      </c>
      <c r="E383" s="18" t="s">
        <v>720</v>
      </c>
      <c r="F383" s="33" t="s">
        <v>84</v>
      </c>
      <c r="G383" s="18" t="s">
        <v>611</v>
      </c>
      <c r="H383" s="18">
        <v>2007</v>
      </c>
      <c r="I383" s="40">
        <v>6094</v>
      </c>
      <c r="J383" s="40">
        <v>5196</v>
      </c>
      <c r="K383" s="18">
        <v>7332</v>
      </c>
      <c r="L383" s="38" t="s">
        <v>637</v>
      </c>
      <c r="M383" s="21" t="s">
        <v>383</v>
      </c>
      <c r="N383" s="18" t="s">
        <v>384</v>
      </c>
    </row>
    <row r="384" spans="1:14" ht="13">
      <c r="A384" s="18" t="s">
        <v>283</v>
      </c>
      <c r="B384" s="18" t="s">
        <v>260</v>
      </c>
      <c r="C384" s="18" t="s">
        <v>380</v>
      </c>
      <c r="D384" s="18" t="s">
        <v>381</v>
      </c>
      <c r="E384" s="18" t="s">
        <v>720</v>
      </c>
      <c r="F384" s="33" t="s">
        <v>84</v>
      </c>
      <c r="G384" s="18" t="s">
        <v>611</v>
      </c>
      <c r="H384" s="18">
        <v>2008</v>
      </c>
      <c r="I384" s="40">
        <v>6196</v>
      </c>
      <c r="J384" s="40">
        <v>5351</v>
      </c>
      <c r="K384" s="18">
        <v>7108</v>
      </c>
      <c r="L384" s="38" t="s">
        <v>637</v>
      </c>
      <c r="M384" s="21" t="s">
        <v>383</v>
      </c>
      <c r="N384" s="18" t="s">
        <v>384</v>
      </c>
    </row>
    <row r="385" spans="1:14" ht="13">
      <c r="A385" s="18" t="s">
        <v>283</v>
      </c>
      <c r="B385" s="18" t="s">
        <v>260</v>
      </c>
      <c r="C385" s="18" t="s">
        <v>380</v>
      </c>
      <c r="D385" s="18" t="s">
        <v>381</v>
      </c>
      <c r="E385" s="18" t="s">
        <v>720</v>
      </c>
      <c r="F385" s="33" t="s">
        <v>84</v>
      </c>
      <c r="G385" s="18" t="s">
        <v>611</v>
      </c>
      <c r="H385" s="18">
        <v>2009</v>
      </c>
      <c r="I385" s="40">
        <v>6273</v>
      </c>
      <c r="J385" s="40">
        <v>5525</v>
      </c>
      <c r="K385" s="18">
        <v>7195</v>
      </c>
      <c r="L385" s="38" t="s">
        <v>637</v>
      </c>
      <c r="M385" s="21" t="s">
        <v>383</v>
      </c>
      <c r="N385" s="18" t="s">
        <v>384</v>
      </c>
    </row>
    <row r="386" spans="1:14" ht="13">
      <c r="A386" s="18" t="s">
        <v>283</v>
      </c>
      <c r="B386" s="18" t="s">
        <v>260</v>
      </c>
      <c r="C386" s="18" t="s">
        <v>380</v>
      </c>
      <c r="D386" s="18" t="s">
        <v>381</v>
      </c>
      <c r="E386" s="18" t="s">
        <v>720</v>
      </c>
      <c r="F386" s="33" t="s">
        <v>84</v>
      </c>
      <c r="G386" s="18" t="s">
        <v>611</v>
      </c>
      <c r="H386" s="18">
        <v>2010</v>
      </c>
      <c r="I386" s="40">
        <v>6233</v>
      </c>
      <c r="J386" s="40">
        <v>5408</v>
      </c>
      <c r="K386" s="18">
        <v>7340</v>
      </c>
      <c r="L386" s="38" t="s">
        <v>637</v>
      </c>
      <c r="M386" s="21" t="s">
        <v>383</v>
      </c>
      <c r="N386" s="18" t="s">
        <v>384</v>
      </c>
    </row>
    <row r="387" spans="1:14" ht="13">
      <c r="A387" s="18" t="s">
        <v>283</v>
      </c>
      <c r="B387" s="18" t="s">
        <v>260</v>
      </c>
      <c r="C387" s="18" t="s">
        <v>380</v>
      </c>
      <c r="D387" s="18" t="s">
        <v>381</v>
      </c>
      <c r="E387" s="18" t="s">
        <v>720</v>
      </c>
      <c r="F387" s="33" t="s">
        <v>84</v>
      </c>
      <c r="G387" s="18" t="s">
        <v>611</v>
      </c>
      <c r="H387" s="18">
        <v>2011</v>
      </c>
      <c r="I387" s="40">
        <v>6281</v>
      </c>
      <c r="J387" s="40">
        <v>5465</v>
      </c>
      <c r="K387" s="18">
        <v>7388</v>
      </c>
      <c r="L387" s="38" t="s">
        <v>637</v>
      </c>
      <c r="M387" s="21" t="s">
        <v>383</v>
      </c>
      <c r="N387" s="18" t="s">
        <v>384</v>
      </c>
    </row>
    <row r="388" spans="1:14" ht="13">
      <c r="A388" s="18" t="s">
        <v>283</v>
      </c>
      <c r="B388" s="18" t="s">
        <v>260</v>
      </c>
      <c r="C388" s="18" t="s">
        <v>380</v>
      </c>
      <c r="D388" s="18" t="s">
        <v>381</v>
      </c>
      <c r="E388" s="18" t="s">
        <v>720</v>
      </c>
      <c r="F388" s="33" t="s">
        <v>84</v>
      </c>
      <c r="G388" s="18" t="s">
        <v>611</v>
      </c>
      <c r="H388" s="18">
        <v>2012</v>
      </c>
      <c r="I388" s="40">
        <v>6290</v>
      </c>
      <c r="J388" s="40">
        <v>5368</v>
      </c>
      <c r="K388" s="18">
        <v>7494</v>
      </c>
      <c r="L388" s="38" t="s">
        <v>637</v>
      </c>
      <c r="M388" s="21" t="s">
        <v>383</v>
      </c>
      <c r="N388" s="18" t="s">
        <v>384</v>
      </c>
    </row>
    <row r="389" spans="1:14" ht="13">
      <c r="A389" s="18" t="s">
        <v>283</v>
      </c>
      <c r="B389" s="18" t="s">
        <v>260</v>
      </c>
      <c r="C389" s="18" t="s">
        <v>380</v>
      </c>
      <c r="D389" s="18" t="s">
        <v>381</v>
      </c>
      <c r="E389" s="18" t="s">
        <v>720</v>
      </c>
      <c r="F389" s="33" t="s">
        <v>84</v>
      </c>
      <c r="G389" s="18" t="s">
        <v>611</v>
      </c>
      <c r="H389" s="18">
        <v>2013</v>
      </c>
      <c r="I389" s="40">
        <v>6270</v>
      </c>
      <c r="J389" s="40">
        <v>5367</v>
      </c>
      <c r="K389" s="18">
        <v>7348</v>
      </c>
      <c r="L389" s="38" t="s">
        <v>637</v>
      </c>
      <c r="M389" s="21" t="s">
        <v>383</v>
      </c>
      <c r="N389" s="18" t="s">
        <v>384</v>
      </c>
    </row>
    <row r="390" spans="1:14" ht="13">
      <c r="A390" s="18" t="s">
        <v>283</v>
      </c>
      <c r="B390" s="18" t="s">
        <v>260</v>
      </c>
      <c r="C390" s="18" t="s">
        <v>380</v>
      </c>
      <c r="D390" s="18" t="s">
        <v>381</v>
      </c>
      <c r="E390" s="18" t="s">
        <v>720</v>
      </c>
      <c r="F390" s="33" t="s">
        <v>84</v>
      </c>
      <c r="G390" s="18" t="s">
        <v>611</v>
      </c>
      <c r="H390" s="18">
        <v>2014</v>
      </c>
      <c r="I390" s="40">
        <v>6182</v>
      </c>
      <c r="J390" s="40">
        <v>5328</v>
      </c>
      <c r="K390" s="18">
        <v>7250</v>
      </c>
      <c r="L390" s="38" t="s">
        <v>637</v>
      </c>
      <c r="M390" s="21" t="s">
        <v>383</v>
      </c>
      <c r="N390" s="18" t="s">
        <v>384</v>
      </c>
    </row>
    <row r="391" spans="1:14" ht="13">
      <c r="A391" s="18" t="s">
        <v>283</v>
      </c>
      <c r="B391" s="18" t="s">
        <v>260</v>
      </c>
      <c r="C391" s="18" t="s">
        <v>380</v>
      </c>
      <c r="D391" s="18" t="s">
        <v>381</v>
      </c>
      <c r="E391" s="18" t="s">
        <v>720</v>
      </c>
      <c r="F391" s="33" t="s">
        <v>84</v>
      </c>
      <c r="G391" s="18" t="s">
        <v>611</v>
      </c>
      <c r="H391" s="18">
        <v>2015</v>
      </c>
      <c r="I391" s="40">
        <v>5939</v>
      </c>
      <c r="J391" s="40">
        <v>5230</v>
      </c>
      <c r="K391" s="18">
        <v>6715</v>
      </c>
      <c r="L391" s="38" t="s">
        <v>637</v>
      </c>
      <c r="M391" s="21" t="s">
        <v>383</v>
      </c>
      <c r="N391" s="18" t="s">
        <v>384</v>
      </c>
    </row>
    <row r="392" spans="1:14" ht="13">
      <c r="A392" s="18" t="s">
        <v>283</v>
      </c>
      <c r="B392" s="18" t="s">
        <v>260</v>
      </c>
      <c r="C392" s="18" t="s">
        <v>380</v>
      </c>
      <c r="D392" s="18" t="s">
        <v>381</v>
      </c>
      <c r="E392" s="18" t="s">
        <v>720</v>
      </c>
      <c r="F392" s="33" t="s">
        <v>84</v>
      </c>
      <c r="G392" s="18" t="s">
        <v>611</v>
      </c>
      <c r="H392" s="18">
        <v>2016</v>
      </c>
      <c r="I392" s="40">
        <v>5744</v>
      </c>
      <c r="J392" s="40">
        <v>5064</v>
      </c>
      <c r="K392" s="18">
        <v>6482</v>
      </c>
      <c r="L392" s="38" t="s">
        <v>637</v>
      </c>
      <c r="M392" s="21" t="s">
        <v>383</v>
      </c>
      <c r="N392" s="18" t="s">
        <v>384</v>
      </c>
    </row>
    <row r="393" spans="1:14" ht="13">
      <c r="A393" s="18" t="s">
        <v>283</v>
      </c>
      <c r="B393" s="18" t="s">
        <v>260</v>
      </c>
      <c r="C393" s="18" t="s">
        <v>380</v>
      </c>
      <c r="D393" s="18" t="s">
        <v>381</v>
      </c>
      <c r="E393" s="18" t="s">
        <v>720</v>
      </c>
      <c r="F393" s="33" t="s">
        <v>84</v>
      </c>
      <c r="G393" s="18" t="s">
        <v>611</v>
      </c>
      <c r="H393" s="18">
        <v>2017</v>
      </c>
      <c r="I393" s="40">
        <v>5442</v>
      </c>
      <c r="J393" s="40">
        <v>4869</v>
      </c>
      <c r="K393" s="18">
        <v>6161</v>
      </c>
      <c r="L393" s="38" t="s">
        <v>637</v>
      </c>
      <c r="M393" s="21" t="s">
        <v>383</v>
      </c>
      <c r="N393" s="18" t="s">
        <v>384</v>
      </c>
    </row>
    <row r="394" spans="1:14" ht="13">
      <c r="A394" s="18" t="s">
        <v>283</v>
      </c>
      <c r="B394" s="18" t="s">
        <v>260</v>
      </c>
      <c r="C394" s="18" t="s">
        <v>380</v>
      </c>
      <c r="D394" s="18" t="s">
        <v>381</v>
      </c>
      <c r="E394" s="18" t="s">
        <v>720</v>
      </c>
      <c r="F394" s="33" t="s">
        <v>84</v>
      </c>
      <c r="G394" s="18" t="s">
        <v>611</v>
      </c>
      <c r="H394" s="18">
        <v>2018</v>
      </c>
      <c r="I394" s="40">
        <v>5570</v>
      </c>
      <c r="J394" s="40">
        <v>5063</v>
      </c>
      <c r="K394" s="18">
        <v>6160</v>
      </c>
      <c r="L394" s="38" t="s">
        <v>637</v>
      </c>
      <c r="M394" s="21" t="s">
        <v>383</v>
      </c>
      <c r="N394" s="18" t="s">
        <v>384</v>
      </c>
    </row>
    <row r="395" spans="1:14" ht="13">
      <c r="A395" s="18" t="s">
        <v>283</v>
      </c>
      <c r="B395" s="18" t="s">
        <v>260</v>
      </c>
      <c r="C395" s="18" t="s">
        <v>386</v>
      </c>
      <c r="D395" s="18" t="s">
        <v>381</v>
      </c>
      <c r="E395" s="18" t="s">
        <v>721</v>
      </c>
      <c r="F395" s="33" t="s">
        <v>84</v>
      </c>
      <c r="G395" s="18" t="s">
        <v>611</v>
      </c>
      <c r="H395" s="18">
        <v>1996</v>
      </c>
      <c r="I395" s="40">
        <v>36369</v>
      </c>
      <c r="J395" s="40">
        <v>28785</v>
      </c>
      <c r="K395" s="18">
        <v>50532</v>
      </c>
      <c r="L395" s="38" t="s">
        <v>637</v>
      </c>
      <c r="M395" s="32" t="s">
        <v>383</v>
      </c>
      <c r="N395" s="30" t="s">
        <v>384</v>
      </c>
    </row>
    <row r="396" spans="1:14" ht="13">
      <c r="A396" s="18" t="s">
        <v>283</v>
      </c>
      <c r="B396" s="18" t="s">
        <v>260</v>
      </c>
      <c r="C396" s="18" t="s">
        <v>386</v>
      </c>
      <c r="D396" s="18" t="s">
        <v>381</v>
      </c>
      <c r="E396" s="18" t="s">
        <v>721</v>
      </c>
      <c r="F396" s="33" t="s">
        <v>84</v>
      </c>
      <c r="G396" s="18" t="s">
        <v>611</v>
      </c>
      <c r="H396" s="18">
        <v>1997</v>
      </c>
      <c r="I396" s="40">
        <v>33462</v>
      </c>
      <c r="J396" s="40">
        <v>25990</v>
      </c>
      <c r="K396" s="18">
        <v>43388</v>
      </c>
      <c r="L396" s="38" t="s">
        <v>637</v>
      </c>
      <c r="M396" s="32" t="s">
        <v>383</v>
      </c>
      <c r="N396" s="30" t="s">
        <v>384</v>
      </c>
    </row>
    <row r="397" spans="1:14" ht="13">
      <c r="A397" s="18" t="s">
        <v>283</v>
      </c>
      <c r="B397" s="18" t="s">
        <v>260</v>
      </c>
      <c r="C397" s="18" t="s">
        <v>386</v>
      </c>
      <c r="D397" s="18" t="s">
        <v>381</v>
      </c>
      <c r="E397" s="18" t="s">
        <v>721</v>
      </c>
      <c r="F397" s="33" t="s">
        <v>84</v>
      </c>
      <c r="G397" s="18" t="s">
        <v>611</v>
      </c>
      <c r="H397" s="18">
        <v>1998</v>
      </c>
      <c r="I397" s="40">
        <v>30889</v>
      </c>
      <c r="J397" s="40">
        <v>25425</v>
      </c>
      <c r="K397" s="18">
        <v>36577</v>
      </c>
      <c r="L397" s="38" t="s">
        <v>637</v>
      </c>
      <c r="M397" s="32" t="s">
        <v>383</v>
      </c>
      <c r="N397" s="30" t="s">
        <v>384</v>
      </c>
    </row>
    <row r="398" spans="1:14" ht="13">
      <c r="A398" s="18" t="s">
        <v>283</v>
      </c>
      <c r="B398" s="18" t="s">
        <v>260</v>
      </c>
      <c r="C398" s="18" t="s">
        <v>386</v>
      </c>
      <c r="D398" s="18" t="s">
        <v>381</v>
      </c>
      <c r="E398" s="18" t="s">
        <v>721</v>
      </c>
      <c r="F398" s="33" t="s">
        <v>84</v>
      </c>
      <c r="G398" s="18" t="s">
        <v>611</v>
      </c>
      <c r="H398" s="18">
        <v>1999</v>
      </c>
      <c r="I398" s="40">
        <v>29990</v>
      </c>
      <c r="J398" s="40">
        <v>25863</v>
      </c>
      <c r="K398" s="18">
        <v>35231</v>
      </c>
      <c r="L398" s="38" t="s">
        <v>637</v>
      </c>
      <c r="M398" s="32" t="s">
        <v>383</v>
      </c>
      <c r="N398" s="30" t="s">
        <v>384</v>
      </c>
    </row>
    <row r="399" spans="1:14" ht="13">
      <c r="A399" s="18" t="s">
        <v>283</v>
      </c>
      <c r="B399" s="18" t="s">
        <v>260</v>
      </c>
      <c r="C399" s="18" t="s">
        <v>386</v>
      </c>
      <c r="D399" s="18" t="s">
        <v>381</v>
      </c>
      <c r="E399" s="18" t="s">
        <v>721</v>
      </c>
      <c r="F399" s="33" t="s">
        <v>84</v>
      </c>
      <c r="G399" s="18" t="s">
        <v>611</v>
      </c>
      <c r="H399" s="18">
        <v>2000</v>
      </c>
      <c r="I399" s="40">
        <v>29090</v>
      </c>
      <c r="J399" s="40">
        <v>25633</v>
      </c>
      <c r="K399" s="18">
        <v>34666</v>
      </c>
      <c r="L399" s="38" t="s">
        <v>637</v>
      </c>
      <c r="M399" s="32" t="s">
        <v>383</v>
      </c>
      <c r="N399" s="30" t="s">
        <v>384</v>
      </c>
    </row>
    <row r="400" spans="1:14" ht="13">
      <c r="A400" s="18" t="s">
        <v>283</v>
      </c>
      <c r="B400" s="18" t="s">
        <v>260</v>
      </c>
      <c r="C400" s="18" t="s">
        <v>386</v>
      </c>
      <c r="D400" s="18" t="s">
        <v>381</v>
      </c>
      <c r="E400" s="18" t="s">
        <v>721</v>
      </c>
      <c r="F400" s="33" t="s">
        <v>84</v>
      </c>
      <c r="G400" s="18" t="s">
        <v>611</v>
      </c>
      <c r="H400" s="18">
        <v>2001</v>
      </c>
      <c r="I400" s="40">
        <v>31425</v>
      </c>
      <c r="J400" s="40">
        <v>26518</v>
      </c>
      <c r="K400" s="18">
        <v>37893</v>
      </c>
      <c r="L400" s="38" t="s">
        <v>637</v>
      </c>
      <c r="M400" s="32" t="s">
        <v>383</v>
      </c>
      <c r="N400" s="30" t="s">
        <v>384</v>
      </c>
    </row>
    <row r="401" spans="1:14" ht="13">
      <c r="A401" s="18" t="s">
        <v>283</v>
      </c>
      <c r="B401" s="18" t="s">
        <v>260</v>
      </c>
      <c r="C401" s="18" t="s">
        <v>386</v>
      </c>
      <c r="D401" s="18" t="s">
        <v>381</v>
      </c>
      <c r="E401" s="18" t="s">
        <v>721</v>
      </c>
      <c r="F401" s="33" t="s">
        <v>84</v>
      </c>
      <c r="G401" s="18" t="s">
        <v>611</v>
      </c>
      <c r="H401" s="18">
        <v>2002</v>
      </c>
      <c r="I401" s="40">
        <v>32644</v>
      </c>
      <c r="J401" s="40">
        <v>27403</v>
      </c>
      <c r="K401" s="18">
        <v>37886</v>
      </c>
      <c r="L401" s="38" t="s">
        <v>637</v>
      </c>
      <c r="M401" s="32" t="s">
        <v>383</v>
      </c>
      <c r="N401" s="30" t="s">
        <v>384</v>
      </c>
    </row>
    <row r="402" spans="1:14" ht="13">
      <c r="A402" s="18" t="s">
        <v>283</v>
      </c>
      <c r="B402" s="18" t="s">
        <v>260</v>
      </c>
      <c r="C402" s="18" t="s">
        <v>386</v>
      </c>
      <c r="D402" s="18" t="s">
        <v>381</v>
      </c>
      <c r="E402" s="18" t="s">
        <v>721</v>
      </c>
      <c r="F402" s="33" t="s">
        <v>84</v>
      </c>
      <c r="G402" s="18" t="s">
        <v>611</v>
      </c>
      <c r="H402" s="18">
        <v>2003</v>
      </c>
      <c r="I402" s="40">
        <v>32414</v>
      </c>
      <c r="J402" s="40">
        <v>27507</v>
      </c>
      <c r="K402" s="18">
        <v>38213</v>
      </c>
      <c r="L402" s="38" t="s">
        <v>637</v>
      </c>
      <c r="M402" s="32" t="s">
        <v>383</v>
      </c>
      <c r="N402" s="30" t="s">
        <v>384</v>
      </c>
    </row>
    <row r="403" spans="1:14" ht="13">
      <c r="A403" s="18" t="s">
        <v>283</v>
      </c>
      <c r="B403" s="18" t="s">
        <v>260</v>
      </c>
      <c r="C403" s="18" t="s">
        <v>386</v>
      </c>
      <c r="D403" s="18" t="s">
        <v>381</v>
      </c>
      <c r="E403" s="18" t="s">
        <v>721</v>
      </c>
      <c r="F403" s="33" t="s">
        <v>84</v>
      </c>
      <c r="G403" s="18" t="s">
        <v>611</v>
      </c>
      <c r="H403" s="18">
        <v>2004</v>
      </c>
      <c r="I403" s="40">
        <v>37425</v>
      </c>
      <c r="J403" s="40">
        <v>32183</v>
      </c>
      <c r="K403" s="18">
        <v>43782</v>
      </c>
      <c r="L403" s="38" t="s">
        <v>637</v>
      </c>
      <c r="M403" s="32" t="s">
        <v>383</v>
      </c>
      <c r="N403" s="30" t="s">
        <v>384</v>
      </c>
    </row>
    <row r="404" spans="1:14" ht="13">
      <c r="A404" s="18" t="s">
        <v>283</v>
      </c>
      <c r="B404" s="18" t="s">
        <v>260</v>
      </c>
      <c r="C404" s="18" t="s">
        <v>386</v>
      </c>
      <c r="D404" s="18" t="s">
        <v>381</v>
      </c>
      <c r="E404" s="18" t="s">
        <v>721</v>
      </c>
      <c r="F404" s="33" t="s">
        <v>84</v>
      </c>
      <c r="G404" s="18" t="s">
        <v>611</v>
      </c>
      <c r="H404" s="18">
        <v>2005</v>
      </c>
      <c r="I404" s="40">
        <v>37418</v>
      </c>
      <c r="J404" s="40">
        <v>32064</v>
      </c>
      <c r="K404" s="18">
        <v>52250</v>
      </c>
      <c r="L404" s="38" t="s">
        <v>637</v>
      </c>
      <c r="M404" s="32" t="s">
        <v>383</v>
      </c>
      <c r="N404" s="30" t="s">
        <v>384</v>
      </c>
    </row>
    <row r="405" spans="1:14" ht="13">
      <c r="A405" s="18" t="s">
        <v>283</v>
      </c>
      <c r="B405" s="18" t="s">
        <v>260</v>
      </c>
      <c r="C405" s="18" t="s">
        <v>386</v>
      </c>
      <c r="D405" s="18" t="s">
        <v>381</v>
      </c>
      <c r="E405" s="18" t="s">
        <v>721</v>
      </c>
      <c r="F405" s="33" t="s">
        <v>84</v>
      </c>
      <c r="G405" s="18" t="s">
        <v>611</v>
      </c>
      <c r="H405" s="18">
        <v>2006</v>
      </c>
      <c r="I405" s="40">
        <v>34510</v>
      </c>
      <c r="J405" s="40">
        <v>28376</v>
      </c>
      <c r="K405" s="18">
        <v>44213</v>
      </c>
      <c r="L405" s="38" t="s">
        <v>637</v>
      </c>
      <c r="M405" s="32" t="s">
        <v>383</v>
      </c>
      <c r="N405" s="30" t="s">
        <v>384</v>
      </c>
    </row>
    <row r="406" spans="1:14" ht="13">
      <c r="A406" s="18" t="s">
        <v>283</v>
      </c>
      <c r="B406" s="18" t="s">
        <v>260</v>
      </c>
      <c r="C406" s="18" t="s">
        <v>386</v>
      </c>
      <c r="D406" s="18" t="s">
        <v>381</v>
      </c>
      <c r="E406" s="18" t="s">
        <v>721</v>
      </c>
      <c r="F406" s="33" t="s">
        <v>84</v>
      </c>
      <c r="G406" s="18" t="s">
        <v>611</v>
      </c>
      <c r="H406" s="18">
        <v>2007</v>
      </c>
      <c r="I406" s="40">
        <v>32829</v>
      </c>
      <c r="J406" s="40">
        <v>26473</v>
      </c>
      <c r="K406" s="18">
        <v>40525</v>
      </c>
      <c r="L406" s="38" t="s">
        <v>637</v>
      </c>
      <c r="M406" s="32" t="s">
        <v>383</v>
      </c>
      <c r="N406" s="30" t="s">
        <v>384</v>
      </c>
    </row>
    <row r="407" spans="1:14" ht="13">
      <c r="A407" s="18" t="s">
        <v>283</v>
      </c>
      <c r="B407" s="18" t="s">
        <v>260</v>
      </c>
      <c r="C407" s="18" t="s">
        <v>386</v>
      </c>
      <c r="D407" s="18" t="s">
        <v>381</v>
      </c>
      <c r="E407" s="18" t="s">
        <v>721</v>
      </c>
      <c r="F407" s="33" t="s">
        <v>84</v>
      </c>
      <c r="G407" s="18" t="s">
        <v>611</v>
      </c>
      <c r="H407" s="18">
        <v>2008</v>
      </c>
      <c r="I407" s="40">
        <v>29031</v>
      </c>
      <c r="J407" s="40">
        <v>25238</v>
      </c>
      <c r="K407" s="18">
        <v>34049</v>
      </c>
      <c r="L407" s="38" t="s">
        <v>637</v>
      </c>
      <c r="M407" s="32" t="s">
        <v>383</v>
      </c>
      <c r="N407" s="30" t="s">
        <v>384</v>
      </c>
    </row>
    <row r="408" spans="1:14" ht="13">
      <c r="A408" s="18" t="s">
        <v>283</v>
      </c>
      <c r="B408" s="18" t="s">
        <v>260</v>
      </c>
      <c r="C408" s="18" t="s">
        <v>386</v>
      </c>
      <c r="D408" s="18" t="s">
        <v>381</v>
      </c>
      <c r="E408" s="18" t="s">
        <v>721</v>
      </c>
      <c r="F408" s="33" t="s">
        <v>84</v>
      </c>
      <c r="G408" s="18" t="s">
        <v>611</v>
      </c>
      <c r="H408" s="18">
        <v>2009</v>
      </c>
      <c r="I408" s="40">
        <v>33372</v>
      </c>
      <c r="J408" s="40">
        <v>27908</v>
      </c>
      <c r="K408" s="18">
        <v>40956</v>
      </c>
      <c r="L408" s="38" t="s">
        <v>637</v>
      </c>
      <c r="M408" s="32" t="s">
        <v>383</v>
      </c>
      <c r="N408" s="30" t="s">
        <v>384</v>
      </c>
    </row>
    <row r="409" spans="1:14" ht="13">
      <c r="A409" s="18" t="s">
        <v>283</v>
      </c>
      <c r="B409" s="18" t="s">
        <v>260</v>
      </c>
      <c r="C409" s="18" t="s">
        <v>386</v>
      </c>
      <c r="D409" s="18" t="s">
        <v>381</v>
      </c>
      <c r="E409" s="18" t="s">
        <v>721</v>
      </c>
      <c r="F409" s="33" t="s">
        <v>84</v>
      </c>
      <c r="G409" s="18" t="s">
        <v>611</v>
      </c>
      <c r="H409" s="18">
        <v>2010</v>
      </c>
      <c r="I409" s="40">
        <v>33812</v>
      </c>
      <c r="J409" s="40">
        <v>27678</v>
      </c>
      <c r="K409" s="18">
        <v>46859</v>
      </c>
      <c r="L409" s="38" t="s">
        <v>637</v>
      </c>
      <c r="M409" s="32" t="s">
        <v>383</v>
      </c>
      <c r="N409" s="30" t="s">
        <v>384</v>
      </c>
    </row>
    <row r="410" spans="1:14" ht="13">
      <c r="A410" s="18" t="s">
        <v>283</v>
      </c>
      <c r="B410" s="18" t="s">
        <v>260</v>
      </c>
      <c r="C410" s="18" t="s">
        <v>386</v>
      </c>
      <c r="D410" s="18" t="s">
        <v>381</v>
      </c>
      <c r="E410" s="18" t="s">
        <v>721</v>
      </c>
      <c r="F410" s="33" t="s">
        <v>84</v>
      </c>
      <c r="G410" s="18" t="s">
        <v>611</v>
      </c>
      <c r="H410" s="18">
        <v>2011</v>
      </c>
      <c r="I410" s="40">
        <v>36146</v>
      </c>
      <c r="J410" s="40">
        <v>27336</v>
      </c>
      <c r="K410" s="18">
        <v>45960</v>
      </c>
      <c r="L410" s="38" t="s">
        <v>637</v>
      </c>
      <c r="M410" s="32" t="s">
        <v>383</v>
      </c>
      <c r="N410" s="30" t="s">
        <v>384</v>
      </c>
    </row>
    <row r="411" spans="1:14" ht="13">
      <c r="A411" s="18" t="s">
        <v>283</v>
      </c>
      <c r="B411" s="18" t="s">
        <v>260</v>
      </c>
      <c r="C411" s="18" t="s">
        <v>386</v>
      </c>
      <c r="D411" s="18" t="s">
        <v>381</v>
      </c>
      <c r="E411" s="18" t="s">
        <v>721</v>
      </c>
      <c r="F411" s="33" t="s">
        <v>84</v>
      </c>
      <c r="G411" s="18" t="s">
        <v>611</v>
      </c>
      <c r="H411" s="18">
        <v>2012</v>
      </c>
      <c r="I411" s="40">
        <v>37253</v>
      </c>
      <c r="J411" s="40">
        <v>28666</v>
      </c>
      <c r="K411" s="18">
        <v>48071</v>
      </c>
      <c r="L411" s="38" t="s">
        <v>637</v>
      </c>
      <c r="M411" s="32" t="s">
        <v>383</v>
      </c>
      <c r="N411" s="30" t="s">
        <v>384</v>
      </c>
    </row>
    <row r="412" spans="1:14" ht="13">
      <c r="A412" s="18" t="s">
        <v>283</v>
      </c>
      <c r="B412" s="18" t="s">
        <v>260</v>
      </c>
      <c r="C412" s="18" t="s">
        <v>386</v>
      </c>
      <c r="D412" s="18" t="s">
        <v>381</v>
      </c>
      <c r="E412" s="18" t="s">
        <v>721</v>
      </c>
      <c r="F412" s="33" t="s">
        <v>84</v>
      </c>
      <c r="G412" s="18" t="s">
        <v>611</v>
      </c>
      <c r="H412" s="18">
        <v>2013</v>
      </c>
      <c r="I412" s="40">
        <v>38584</v>
      </c>
      <c r="J412" s="40">
        <v>28101</v>
      </c>
      <c r="K412" s="18">
        <v>50740</v>
      </c>
      <c r="L412" s="38" t="s">
        <v>637</v>
      </c>
      <c r="M412" s="32" t="s">
        <v>383</v>
      </c>
      <c r="N412" s="30" t="s">
        <v>384</v>
      </c>
    </row>
    <row r="413" spans="1:14" ht="13">
      <c r="A413" s="18" t="s">
        <v>283</v>
      </c>
      <c r="B413" s="18" t="s">
        <v>260</v>
      </c>
      <c r="C413" s="18" t="s">
        <v>386</v>
      </c>
      <c r="D413" s="18" t="s">
        <v>381</v>
      </c>
      <c r="E413" s="18" t="s">
        <v>721</v>
      </c>
      <c r="F413" s="33" t="s">
        <v>84</v>
      </c>
      <c r="G413" s="18" t="s">
        <v>611</v>
      </c>
      <c r="H413" s="18">
        <v>2014</v>
      </c>
      <c r="I413" s="40">
        <v>40027</v>
      </c>
      <c r="J413" s="40">
        <v>30993</v>
      </c>
      <c r="K413" s="18">
        <v>52071</v>
      </c>
      <c r="L413" s="38" t="s">
        <v>637</v>
      </c>
      <c r="M413" s="32" t="s">
        <v>383</v>
      </c>
      <c r="N413" s="30" t="s">
        <v>384</v>
      </c>
    </row>
    <row r="414" spans="1:14" ht="13">
      <c r="A414" s="18" t="s">
        <v>283</v>
      </c>
      <c r="B414" s="18" t="s">
        <v>260</v>
      </c>
      <c r="C414" s="18" t="s">
        <v>386</v>
      </c>
      <c r="D414" s="18" t="s">
        <v>381</v>
      </c>
      <c r="E414" s="18" t="s">
        <v>721</v>
      </c>
      <c r="F414" s="33" t="s">
        <v>84</v>
      </c>
      <c r="G414" s="18" t="s">
        <v>611</v>
      </c>
      <c r="H414" s="18">
        <v>2015</v>
      </c>
      <c r="I414" s="40">
        <v>43700</v>
      </c>
      <c r="J414" s="40">
        <v>36450</v>
      </c>
      <c r="K414" s="18">
        <v>54517</v>
      </c>
      <c r="L414" s="38" t="s">
        <v>637</v>
      </c>
      <c r="M414" s="32" t="s">
        <v>383</v>
      </c>
      <c r="N414" s="30" t="s">
        <v>384</v>
      </c>
    </row>
    <row r="415" spans="1:14" ht="13">
      <c r="A415" s="18" t="s">
        <v>283</v>
      </c>
      <c r="B415" s="18" t="s">
        <v>260</v>
      </c>
      <c r="C415" s="18" t="s">
        <v>386</v>
      </c>
      <c r="D415" s="18" t="s">
        <v>381</v>
      </c>
      <c r="E415" s="18" t="s">
        <v>721</v>
      </c>
      <c r="F415" s="33" t="s">
        <v>84</v>
      </c>
      <c r="G415" s="18" t="s">
        <v>611</v>
      </c>
      <c r="H415" s="18">
        <v>2016</v>
      </c>
      <c r="I415" s="40">
        <v>40235</v>
      </c>
      <c r="J415" s="40">
        <v>32540</v>
      </c>
      <c r="K415" s="18">
        <v>50941</v>
      </c>
      <c r="L415" s="38" t="s">
        <v>637</v>
      </c>
      <c r="M415" s="32" t="s">
        <v>383</v>
      </c>
      <c r="N415" s="30" t="s">
        <v>384</v>
      </c>
    </row>
    <row r="416" spans="1:14" ht="13">
      <c r="A416" s="18" t="s">
        <v>283</v>
      </c>
      <c r="B416" s="18" t="s">
        <v>260</v>
      </c>
      <c r="C416" s="18" t="s">
        <v>386</v>
      </c>
      <c r="D416" s="18" t="s">
        <v>381</v>
      </c>
      <c r="E416" s="18" t="s">
        <v>721</v>
      </c>
      <c r="F416" s="33" t="s">
        <v>84</v>
      </c>
      <c r="G416" s="18" t="s">
        <v>611</v>
      </c>
      <c r="H416" s="18">
        <v>2017</v>
      </c>
      <c r="I416" s="40">
        <v>42569</v>
      </c>
      <c r="J416" s="40">
        <v>35432</v>
      </c>
      <c r="K416" s="18">
        <v>53722</v>
      </c>
      <c r="L416" s="38" t="s">
        <v>637</v>
      </c>
      <c r="M416" s="32" t="s">
        <v>383</v>
      </c>
      <c r="N416" s="30" t="s">
        <v>384</v>
      </c>
    </row>
    <row r="417" spans="1:14" ht="13">
      <c r="A417" s="18" t="s">
        <v>283</v>
      </c>
      <c r="B417" s="18" t="s">
        <v>260</v>
      </c>
      <c r="C417" s="18" t="s">
        <v>386</v>
      </c>
      <c r="D417" s="18" t="s">
        <v>381</v>
      </c>
      <c r="E417" s="18" t="s">
        <v>721</v>
      </c>
      <c r="F417" s="33" t="s">
        <v>84</v>
      </c>
      <c r="G417" s="18" t="s">
        <v>611</v>
      </c>
      <c r="H417" s="18">
        <v>2018</v>
      </c>
      <c r="I417" s="40">
        <v>44458</v>
      </c>
      <c r="J417" s="40">
        <v>33082</v>
      </c>
      <c r="K417" s="18">
        <v>60182</v>
      </c>
      <c r="L417" s="38" t="s">
        <v>637</v>
      </c>
      <c r="M417" s="32" t="s">
        <v>383</v>
      </c>
      <c r="N417" s="30" t="s">
        <v>384</v>
      </c>
    </row>
    <row r="418" spans="1:14" ht="13">
      <c r="A418" s="18" t="s">
        <v>283</v>
      </c>
      <c r="B418" s="18" t="s">
        <v>260</v>
      </c>
      <c r="C418" s="18" t="s">
        <v>387</v>
      </c>
      <c r="D418" s="18" t="s">
        <v>381</v>
      </c>
      <c r="E418" s="18" t="s">
        <v>722</v>
      </c>
      <c r="F418" s="33" t="s">
        <v>84</v>
      </c>
      <c r="G418" s="18" t="s">
        <v>611</v>
      </c>
      <c r="H418" s="18">
        <v>1996</v>
      </c>
      <c r="I418" s="40">
        <v>6375</v>
      </c>
      <c r="J418" s="40">
        <v>4963</v>
      </c>
      <c r="K418" s="18">
        <v>8493</v>
      </c>
      <c r="L418" s="38" t="s">
        <v>637</v>
      </c>
      <c r="M418" s="32" t="s">
        <v>383</v>
      </c>
      <c r="N418" s="30" t="s">
        <v>384</v>
      </c>
    </row>
    <row r="419" spans="1:14" ht="13">
      <c r="A419" s="18" t="s">
        <v>283</v>
      </c>
      <c r="B419" s="18" t="s">
        <v>260</v>
      </c>
      <c r="C419" s="18" t="s">
        <v>387</v>
      </c>
      <c r="D419" s="18" t="s">
        <v>381</v>
      </c>
      <c r="E419" s="18" t="s">
        <v>722</v>
      </c>
      <c r="F419" s="33" t="s">
        <v>84</v>
      </c>
      <c r="G419" s="18" t="s">
        <v>611</v>
      </c>
      <c r="H419" s="18">
        <v>1997</v>
      </c>
      <c r="I419" s="40">
        <v>6844</v>
      </c>
      <c r="J419" s="40">
        <v>5268</v>
      </c>
      <c r="K419" s="18">
        <v>9079</v>
      </c>
      <c r="L419" s="38" t="s">
        <v>637</v>
      </c>
      <c r="M419" s="32" t="s">
        <v>383</v>
      </c>
      <c r="N419" s="30" t="s">
        <v>384</v>
      </c>
    </row>
    <row r="420" spans="1:14" ht="13">
      <c r="A420" s="18" t="s">
        <v>283</v>
      </c>
      <c r="B420" s="18" t="s">
        <v>260</v>
      </c>
      <c r="C420" s="18" t="s">
        <v>387</v>
      </c>
      <c r="D420" s="18" t="s">
        <v>381</v>
      </c>
      <c r="E420" s="18" t="s">
        <v>722</v>
      </c>
      <c r="F420" s="33" t="s">
        <v>84</v>
      </c>
      <c r="G420" s="18" t="s">
        <v>611</v>
      </c>
      <c r="H420" s="18">
        <v>1998</v>
      </c>
      <c r="I420" s="40">
        <v>6890</v>
      </c>
      <c r="J420" s="40">
        <v>5243</v>
      </c>
      <c r="K420" s="18">
        <v>8819</v>
      </c>
      <c r="L420" s="38" t="s">
        <v>637</v>
      </c>
      <c r="M420" s="32" t="s">
        <v>383</v>
      </c>
      <c r="N420" s="30" t="s">
        <v>384</v>
      </c>
    </row>
    <row r="421" spans="1:14" ht="13">
      <c r="A421" s="18" t="s">
        <v>283</v>
      </c>
      <c r="B421" s="18" t="s">
        <v>260</v>
      </c>
      <c r="C421" s="18" t="s">
        <v>387</v>
      </c>
      <c r="D421" s="18" t="s">
        <v>381</v>
      </c>
      <c r="E421" s="18" t="s">
        <v>722</v>
      </c>
      <c r="F421" s="33" t="s">
        <v>84</v>
      </c>
      <c r="G421" s="18" t="s">
        <v>611</v>
      </c>
      <c r="H421" s="18">
        <v>1999</v>
      </c>
      <c r="I421" s="40">
        <v>6606</v>
      </c>
      <c r="J421" s="40">
        <v>4912</v>
      </c>
      <c r="K421" s="18">
        <v>8700</v>
      </c>
      <c r="L421" s="38" t="s">
        <v>637</v>
      </c>
      <c r="M421" s="32" t="s">
        <v>383</v>
      </c>
      <c r="N421" s="30" t="s">
        <v>384</v>
      </c>
    </row>
    <row r="422" spans="1:14" ht="13">
      <c r="A422" s="18" t="s">
        <v>283</v>
      </c>
      <c r="B422" s="18" t="s">
        <v>260</v>
      </c>
      <c r="C422" s="18" t="s">
        <v>387</v>
      </c>
      <c r="D422" s="18" t="s">
        <v>381</v>
      </c>
      <c r="E422" s="18" t="s">
        <v>722</v>
      </c>
      <c r="F422" s="33" t="s">
        <v>84</v>
      </c>
      <c r="G422" s="18" t="s">
        <v>611</v>
      </c>
      <c r="H422" s="18">
        <v>2000</v>
      </c>
      <c r="I422" s="40">
        <v>6322</v>
      </c>
      <c r="J422" s="40">
        <v>4722</v>
      </c>
      <c r="K422" s="18">
        <v>8228</v>
      </c>
      <c r="L422" s="38" t="s">
        <v>637</v>
      </c>
      <c r="M422" s="32" t="s">
        <v>383</v>
      </c>
      <c r="N422" s="30" t="s">
        <v>384</v>
      </c>
    </row>
    <row r="423" spans="1:14" ht="13">
      <c r="A423" s="18" t="s">
        <v>283</v>
      </c>
      <c r="B423" s="18" t="s">
        <v>260</v>
      </c>
      <c r="C423" s="18" t="s">
        <v>387</v>
      </c>
      <c r="D423" s="18" t="s">
        <v>381</v>
      </c>
      <c r="E423" s="18" t="s">
        <v>722</v>
      </c>
      <c r="F423" s="33" t="s">
        <v>84</v>
      </c>
      <c r="G423" s="18" t="s">
        <v>611</v>
      </c>
      <c r="H423" s="18">
        <v>2001</v>
      </c>
      <c r="I423" s="40">
        <v>5779</v>
      </c>
      <c r="J423" s="40">
        <v>4485</v>
      </c>
      <c r="K423" s="18">
        <v>7850</v>
      </c>
      <c r="L423" s="38" t="s">
        <v>637</v>
      </c>
      <c r="M423" s="32" t="s">
        <v>383</v>
      </c>
      <c r="N423" s="30" t="s">
        <v>384</v>
      </c>
    </row>
    <row r="424" spans="1:14" ht="13">
      <c r="A424" s="18" t="s">
        <v>283</v>
      </c>
      <c r="B424" s="18" t="s">
        <v>260</v>
      </c>
      <c r="C424" s="18" t="s">
        <v>387</v>
      </c>
      <c r="D424" s="18" t="s">
        <v>381</v>
      </c>
      <c r="E424" s="18" t="s">
        <v>722</v>
      </c>
      <c r="F424" s="33" t="s">
        <v>84</v>
      </c>
      <c r="G424" s="18" t="s">
        <v>611</v>
      </c>
      <c r="H424" s="18">
        <v>2002</v>
      </c>
      <c r="I424" s="40">
        <v>6483</v>
      </c>
      <c r="J424" s="40">
        <v>4789</v>
      </c>
      <c r="K424" s="18">
        <v>8954</v>
      </c>
      <c r="L424" s="38" t="s">
        <v>637</v>
      </c>
      <c r="M424" s="32" t="s">
        <v>383</v>
      </c>
      <c r="N424" s="30" t="s">
        <v>384</v>
      </c>
    </row>
    <row r="425" spans="1:14" ht="13">
      <c r="A425" s="18" t="s">
        <v>283</v>
      </c>
      <c r="B425" s="18" t="s">
        <v>260</v>
      </c>
      <c r="C425" s="18" t="s">
        <v>387</v>
      </c>
      <c r="D425" s="18" t="s">
        <v>381</v>
      </c>
      <c r="E425" s="18" t="s">
        <v>722</v>
      </c>
      <c r="F425" s="33" t="s">
        <v>84</v>
      </c>
      <c r="G425" s="18" t="s">
        <v>611</v>
      </c>
      <c r="H425" s="18">
        <v>2003</v>
      </c>
      <c r="I425" s="40">
        <v>6764</v>
      </c>
      <c r="J425" s="40">
        <v>4999</v>
      </c>
      <c r="K425" s="18">
        <v>9023</v>
      </c>
      <c r="L425" s="38" t="s">
        <v>637</v>
      </c>
      <c r="M425" s="32" t="s">
        <v>383</v>
      </c>
      <c r="N425" s="30" t="s">
        <v>384</v>
      </c>
    </row>
    <row r="426" spans="1:14" ht="13">
      <c r="A426" s="18" t="s">
        <v>283</v>
      </c>
      <c r="B426" s="18" t="s">
        <v>260</v>
      </c>
      <c r="C426" s="18" t="s">
        <v>387</v>
      </c>
      <c r="D426" s="18" t="s">
        <v>381</v>
      </c>
      <c r="E426" s="18" t="s">
        <v>722</v>
      </c>
      <c r="F426" s="33" t="s">
        <v>84</v>
      </c>
      <c r="G426" s="18" t="s">
        <v>611</v>
      </c>
      <c r="H426" s="18">
        <v>2004</v>
      </c>
      <c r="I426" s="40">
        <v>7139</v>
      </c>
      <c r="J426" s="40">
        <v>5351</v>
      </c>
      <c r="K426" s="18">
        <v>9892</v>
      </c>
      <c r="L426" s="38" t="s">
        <v>637</v>
      </c>
      <c r="M426" s="32" t="s">
        <v>383</v>
      </c>
      <c r="N426" s="30" t="s">
        <v>384</v>
      </c>
    </row>
    <row r="427" spans="1:14" ht="13">
      <c r="A427" s="18" t="s">
        <v>283</v>
      </c>
      <c r="B427" s="18" t="s">
        <v>260</v>
      </c>
      <c r="C427" s="18" t="s">
        <v>387</v>
      </c>
      <c r="D427" s="18" t="s">
        <v>381</v>
      </c>
      <c r="E427" s="18" t="s">
        <v>722</v>
      </c>
      <c r="F427" s="33" t="s">
        <v>84</v>
      </c>
      <c r="G427" s="18" t="s">
        <v>611</v>
      </c>
      <c r="H427" s="18">
        <v>2005</v>
      </c>
      <c r="I427" s="40">
        <v>7349</v>
      </c>
      <c r="J427" s="40">
        <v>5655</v>
      </c>
      <c r="K427" s="18">
        <v>9349</v>
      </c>
      <c r="L427" s="38" t="s">
        <v>637</v>
      </c>
      <c r="M427" s="32" t="s">
        <v>383</v>
      </c>
      <c r="N427" s="30" t="s">
        <v>384</v>
      </c>
    </row>
    <row r="428" spans="1:14" ht="13">
      <c r="A428" s="18" t="s">
        <v>283</v>
      </c>
      <c r="B428" s="18" t="s">
        <v>260</v>
      </c>
      <c r="C428" s="18" t="s">
        <v>387</v>
      </c>
      <c r="D428" s="18" t="s">
        <v>381</v>
      </c>
      <c r="E428" s="18" t="s">
        <v>722</v>
      </c>
      <c r="F428" s="33" t="s">
        <v>84</v>
      </c>
      <c r="G428" s="18" t="s">
        <v>611</v>
      </c>
      <c r="H428" s="18">
        <v>2006</v>
      </c>
      <c r="I428" s="40">
        <v>7442</v>
      </c>
      <c r="J428" s="40">
        <v>6101</v>
      </c>
      <c r="K428" s="18">
        <v>9018</v>
      </c>
      <c r="L428" s="38" t="s">
        <v>637</v>
      </c>
      <c r="M428" s="32" t="s">
        <v>383</v>
      </c>
      <c r="N428" s="30" t="s">
        <v>384</v>
      </c>
    </row>
    <row r="429" spans="1:14" ht="13">
      <c r="A429" s="18" t="s">
        <v>283</v>
      </c>
      <c r="B429" s="18" t="s">
        <v>260</v>
      </c>
      <c r="C429" s="18" t="s">
        <v>387</v>
      </c>
      <c r="D429" s="18" t="s">
        <v>381</v>
      </c>
      <c r="E429" s="18" t="s">
        <v>722</v>
      </c>
      <c r="F429" s="33" t="s">
        <v>84</v>
      </c>
      <c r="G429" s="18" t="s">
        <v>611</v>
      </c>
      <c r="H429" s="18">
        <v>2007</v>
      </c>
      <c r="I429" s="40">
        <v>7652</v>
      </c>
      <c r="J429" s="40">
        <v>5840</v>
      </c>
      <c r="K429" s="18">
        <v>9770</v>
      </c>
      <c r="L429" s="38" t="s">
        <v>637</v>
      </c>
      <c r="M429" s="32" t="s">
        <v>383</v>
      </c>
      <c r="N429" s="30" t="s">
        <v>384</v>
      </c>
    </row>
    <row r="430" spans="1:14" ht="13">
      <c r="A430" s="18" t="s">
        <v>283</v>
      </c>
      <c r="B430" s="18" t="s">
        <v>260</v>
      </c>
      <c r="C430" s="18" t="s">
        <v>387</v>
      </c>
      <c r="D430" s="18" t="s">
        <v>381</v>
      </c>
      <c r="E430" s="18" t="s">
        <v>722</v>
      </c>
      <c r="F430" s="33" t="s">
        <v>84</v>
      </c>
      <c r="G430" s="18" t="s">
        <v>611</v>
      </c>
      <c r="H430" s="18">
        <v>2008</v>
      </c>
      <c r="I430" s="40">
        <v>7627</v>
      </c>
      <c r="J430" s="40">
        <v>6145</v>
      </c>
      <c r="K430" s="18">
        <v>9651</v>
      </c>
      <c r="L430" s="38" t="s">
        <v>637</v>
      </c>
      <c r="M430" s="32" t="s">
        <v>383</v>
      </c>
      <c r="N430" s="30" t="s">
        <v>384</v>
      </c>
    </row>
    <row r="431" spans="1:14" ht="13">
      <c r="A431" s="18" t="s">
        <v>283</v>
      </c>
      <c r="B431" s="18" t="s">
        <v>260</v>
      </c>
      <c r="C431" s="18" t="s">
        <v>387</v>
      </c>
      <c r="D431" s="18" t="s">
        <v>381</v>
      </c>
      <c r="E431" s="18" t="s">
        <v>722</v>
      </c>
      <c r="F431" s="33" t="s">
        <v>84</v>
      </c>
      <c r="G431" s="18" t="s">
        <v>611</v>
      </c>
      <c r="H431" s="18">
        <v>2009</v>
      </c>
      <c r="I431" s="40">
        <v>8331</v>
      </c>
      <c r="J431" s="40">
        <v>6825</v>
      </c>
      <c r="K431" s="18">
        <v>10684</v>
      </c>
      <c r="L431" s="38" t="s">
        <v>637</v>
      </c>
      <c r="M431" s="32" t="s">
        <v>383</v>
      </c>
      <c r="N431" s="30" t="s">
        <v>384</v>
      </c>
    </row>
    <row r="432" spans="1:14" ht="13">
      <c r="A432" s="18" t="s">
        <v>283</v>
      </c>
      <c r="B432" s="18" t="s">
        <v>260</v>
      </c>
      <c r="C432" s="18" t="s">
        <v>387</v>
      </c>
      <c r="D432" s="18" t="s">
        <v>381</v>
      </c>
      <c r="E432" s="18" t="s">
        <v>722</v>
      </c>
      <c r="F432" s="33" t="s">
        <v>84</v>
      </c>
      <c r="G432" s="18" t="s">
        <v>611</v>
      </c>
      <c r="H432" s="18">
        <v>2010</v>
      </c>
      <c r="I432" s="40">
        <v>8212</v>
      </c>
      <c r="J432" s="40">
        <v>6612</v>
      </c>
      <c r="K432" s="18">
        <v>10306</v>
      </c>
      <c r="L432" s="38" t="s">
        <v>637</v>
      </c>
      <c r="M432" s="32" t="s">
        <v>383</v>
      </c>
      <c r="N432" s="30" t="s">
        <v>384</v>
      </c>
    </row>
    <row r="433" spans="1:14" ht="13">
      <c r="A433" s="18" t="s">
        <v>283</v>
      </c>
      <c r="B433" s="18" t="s">
        <v>260</v>
      </c>
      <c r="C433" s="18" t="s">
        <v>387</v>
      </c>
      <c r="D433" s="18" t="s">
        <v>381</v>
      </c>
      <c r="E433" s="18" t="s">
        <v>722</v>
      </c>
      <c r="F433" s="33" t="s">
        <v>84</v>
      </c>
      <c r="G433" s="18" t="s">
        <v>611</v>
      </c>
      <c r="H433" s="18">
        <v>2011</v>
      </c>
      <c r="I433" s="40">
        <v>8305</v>
      </c>
      <c r="J433" s="40">
        <v>6893</v>
      </c>
      <c r="K433" s="18">
        <v>10352</v>
      </c>
      <c r="L433" s="38" t="s">
        <v>637</v>
      </c>
      <c r="M433" s="32" t="s">
        <v>383</v>
      </c>
      <c r="N433" s="30" t="s">
        <v>384</v>
      </c>
    </row>
    <row r="434" spans="1:14" ht="13">
      <c r="A434" s="18" t="s">
        <v>283</v>
      </c>
      <c r="B434" s="18" t="s">
        <v>260</v>
      </c>
      <c r="C434" s="18" t="s">
        <v>387</v>
      </c>
      <c r="D434" s="18" t="s">
        <v>381</v>
      </c>
      <c r="E434" s="18" t="s">
        <v>722</v>
      </c>
      <c r="F434" s="33" t="s">
        <v>84</v>
      </c>
      <c r="G434" s="18" t="s">
        <v>611</v>
      </c>
      <c r="H434" s="18">
        <v>2012</v>
      </c>
      <c r="I434" s="40">
        <v>8138</v>
      </c>
      <c r="J434" s="40">
        <v>6138</v>
      </c>
      <c r="K434" s="18">
        <v>10703</v>
      </c>
      <c r="L434" s="38" t="s">
        <v>637</v>
      </c>
      <c r="M434" s="32" t="s">
        <v>383</v>
      </c>
      <c r="N434" s="30" t="s">
        <v>384</v>
      </c>
    </row>
    <row r="435" spans="1:14" ht="13">
      <c r="A435" s="18" t="s">
        <v>283</v>
      </c>
      <c r="B435" s="18" t="s">
        <v>260</v>
      </c>
      <c r="C435" s="18" t="s">
        <v>387</v>
      </c>
      <c r="D435" s="18" t="s">
        <v>381</v>
      </c>
      <c r="E435" s="18" t="s">
        <v>722</v>
      </c>
      <c r="F435" s="33" t="s">
        <v>84</v>
      </c>
      <c r="G435" s="18" t="s">
        <v>611</v>
      </c>
      <c r="H435" s="18">
        <v>2013</v>
      </c>
      <c r="I435" s="40">
        <v>8160</v>
      </c>
      <c r="J435" s="40">
        <v>5949</v>
      </c>
      <c r="K435" s="18">
        <v>11431</v>
      </c>
      <c r="L435" s="38" t="s">
        <v>637</v>
      </c>
      <c r="M435" s="32" t="s">
        <v>383</v>
      </c>
      <c r="N435" s="30" t="s">
        <v>384</v>
      </c>
    </row>
    <row r="436" spans="1:14" ht="13">
      <c r="A436" s="18" t="s">
        <v>283</v>
      </c>
      <c r="B436" s="18" t="s">
        <v>260</v>
      </c>
      <c r="C436" s="18" t="s">
        <v>387</v>
      </c>
      <c r="D436" s="18" t="s">
        <v>381</v>
      </c>
      <c r="E436" s="18" t="s">
        <v>722</v>
      </c>
      <c r="F436" s="33" t="s">
        <v>84</v>
      </c>
      <c r="G436" s="18" t="s">
        <v>611</v>
      </c>
      <c r="H436" s="18">
        <v>2014</v>
      </c>
      <c r="I436" s="40">
        <v>7971</v>
      </c>
      <c r="J436" s="40">
        <v>5947</v>
      </c>
      <c r="K436" s="18">
        <v>11241</v>
      </c>
      <c r="L436" s="38" t="s">
        <v>637</v>
      </c>
      <c r="M436" s="32" t="s">
        <v>383</v>
      </c>
      <c r="N436" s="30" t="s">
        <v>384</v>
      </c>
    </row>
    <row r="437" spans="1:14" ht="13">
      <c r="A437" s="18" t="s">
        <v>283</v>
      </c>
      <c r="B437" s="18" t="s">
        <v>260</v>
      </c>
      <c r="C437" s="18" t="s">
        <v>387</v>
      </c>
      <c r="D437" s="18" t="s">
        <v>381</v>
      </c>
      <c r="E437" s="18" t="s">
        <v>722</v>
      </c>
      <c r="F437" s="33" t="s">
        <v>84</v>
      </c>
      <c r="G437" s="18" t="s">
        <v>611</v>
      </c>
      <c r="H437" s="18">
        <v>2015</v>
      </c>
      <c r="I437" s="40">
        <v>7969</v>
      </c>
      <c r="J437" s="40">
        <v>6392</v>
      </c>
      <c r="K437" s="18">
        <v>10087</v>
      </c>
      <c r="L437" s="38" t="s">
        <v>637</v>
      </c>
      <c r="M437" s="32" t="s">
        <v>383</v>
      </c>
      <c r="N437" s="30" t="s">
        <v>384</v>
      </c>
    </row>
    <row r="438" spans="1:14" ht="13">
      <c r="A438" s="18" t="s">
        <v>283</v>
      </c>
      <c r="B438" s="18" t="s">
        <v>260</v>
      </c>
      <c r="C438" s="18" t="s">
        <v>387</v>
      </c>
      <c r="D438" s="18" t="s">
        <v>381</v>
      </c>
      <c r="E438" s="18" t="s">
        <v>722</v>
      </c>
      <c r="F438" s="33" t="s">
        <v>84</v>
      </c>
      <c r="G438" s="18" t="s">
        <v>611</v>
      </c>
      <c r="H438" s="18">
        <v>2016</v>
      </c>
      <c r="I438" s="40">
        <v>8391</v>
      </c>
      <c r="J438" s="40">
        <v>6438</v>
      </c>
      <c r="K438" s="18">
        <v>10720</v>
      </c>
      <c r="L438" s="38" t="s">
        <v>637</v>
      </c>
      <c r="M438" s="32" t="s">
        <v>383</v>
      </c>
      <c r="N438" s="30" t="s">
        <v>384</v>
      </c>
    </row>
    <row r="439" spans="1:14" ht="13">
      <c r="A439" s="18" t="s">
        <v>283</v>
      </c>
      <c r="B439" s="18" t="s">
        <v>260</v>
      </c>
      <c r="C439" s="18" t="s">
        <v>387</v>
      </c>
      <c r="D439" s="18" t="s">
        <v>381</v>
      </c>
      <c r="E439" s="18" t="s">
        <v>722</v>
      </c>
      <c r="F439" s="33" t="s">
        <v>84</v>
      </c>
      <c r="G439" s="18" t="s">
        <v>611</v>
      </c>
      <c r="H439" s="18">
        <v>2017</v>
      </c>
      <c r="I439" s="40">
        <v>8436</v>
      </c>
      <c r="J439" s="40">
        <v>6813</v>
      </c>
      <c r="K439" s="18">
        <v>10954</v>
      </c>
      <c r="L439" s="38" t="s">
        <v>637</v>
      </c>
      <c r="M439" s="32" t="s">
        <v>383</v>
      </c>
      <c r="N439" s="30" t="s">
        <v>384</v>
      </c>
    </row>
    <row r="440" spans="1:14" ht="13">
      <c r="A440" s="18" t="s">
        <v>283</v>
      </c>
      <c r="B440" s="18" t="s">
        <v>260</v>
      </c>
      <c r="C440" s="18" t="s">
        <v>387</v>
      </c>
      <c r="D440" s="18" t="s">
        <v>381</v>
      </c>
      <c r="E440" s="18" t="s">
        <v>722</v>
      </c>
      <c r="F440" s="33" t="s">
        <v>84</v>
      </c>
      <c r="G440" s="18" t="s">
        <v>611</v>
      </c>
      <c r="H440" s="18">
        <v>2018</v>
      </c>
      <c r="I440" s="40">
        <v>8623</v>
      </c>
      <c r="J440" s="40">
        <v>6458</v>
      </c>
      <c r="K440" s="18">
        <v>11799</v>
      </c>
      <c r="L440" s="38" t="s">
        <v>637</v>
      </c>
      <c r="M440" s="32" t="s">
        <v>383</v>
      </c>
      <c r="N440" s="30" t="s">
        <v>384</v>
      </c>
    </row>
    <row r="441" spans="1:14" ht="13">
      <c r="A441" s="18" t="s">
        <v>283</v>
      </c>
      <c r="B441" s="18" t="s">
        <v>260</v>
      </c>
      <c r="C441" s="18" t="s">
        <v>388</v>
      </c>
      <c r="D441" s="18" t="s">
        <v>381</v>
      </c>
      <c r="E441" s="18" t="s">
        <v>723</v>
      </c>
      <c r="F441" s="33" t="s">
        <v>84</v>
      </c>
      <c r="G441" s="18" t="s">
        <v>611</v>
      </c>
      <c r="H441" s="18">
        <v>1996</v>
      </c>
      <c r="I441" s="40">
        <v>12981</v>
      </c>
      <c r="J441" s="40">
        <v>10933</v>
      </c>
      <c r="K441" s="18">
        <v>16768</v>
      </c>
      <c r="L441" s="38" t="s">
        <v>637</v>
      </c>
      <c r="M441" s="32" t="s">
        <v>383</v>
      </c>
      <c r="N441" s="30" t="s">
        <v>384</v>
      </c>
    </row>
    <row r="442" spans="1:14" ht="13">
      <c r="A442" s="18" t="s">
        <v>283</v>
      </c>
      <c r="B442" s="18" t="s">
        <v>260</v>
      </c>
      <c r="C442" s="18" t="s">
        <v>388</v>
      </c>
      <c r="D442" s="18" t="s">
        <v>381</v>
      </c>
      <c r="E442" s="18" t="s">
        <v>723</v>
      </c>
      <c r="F442" s="33" t="s">
        <v>84</v>
      </c>
      <c r="G442" s="18" t="s">
        <v>611</v>
      </c>
      <c r="H442" s="18">
        <v>1997</v>
      </c>
      <c r="I442" s="40">
        <v>13097</v>
      </c>
      <c r="J442" s="40">
        <v>10946</v>
      </c>
      <c r="K442" s="18">
        <v>16680</v>
      </c>
      <c r="L442" s="38" t="s">
        <v>637</v>
      </c>
      <c r="M442" s="32" t="s">
        <v>383</v>
      </c>
      <c r="N442" s="30" t="s">
        <v>384</v>
      </c>
    </row>
    <row r="443" spans="1:14" ht="13">
      <c r="A443" s="18" t="s">
        <v>283</v>
      </c>
      <c r="B443" s="18" t="s">
        <v>260</v>
      </c>
      <c r="C443" s="18" t="s">
        <v>388</v>
      </c>
      <c r="D443" s="18" t="s">
        <v>381</v>
      </c>
      <c r="E443" s="18" t="s">
        <v>723</v>
      </c>
      <c r="F443" s="33" t="s">
        <v>84</v>
      </c>
      <c r="G443" s="18" t="s">
        <v>611</v>
      </c>
      <c r="H443" s="18">
        <v>1998</v>
      </c>
      <c r="I443" s="40">
        <v>14032</v>
      </c>
      <c r="J443" s="40">
        <v>11779</v>
      </c>
      <c r="K443" s="18">
        <v>16695</v>
      </c>
      <c r="L443" s="38" t="s">
        <v>637</v>
      </c>
      <c r="M443" s="32" t="s">
        <v>383</v>
      </c>
      <c r="N443" s="30" t="s">
        <v>384</v>
      </c>
    </row>
    <row r="444" spans="1:14" ht="13">
      <c r="A444" s="18" t="s">
        <v>283</v>
      </c>
      <c r="B444" s="18" t="s">
        <v>260</v>
      </c>
      <c r="C444" s="18" t="s">
        <v>388</v>
      </c>
      <c r="D444" s="18" t="s">
        <v>381</v>
      </c>
      <c r="E444" s="18" t="s">
        <v>723</v>
      </c>
      <c r="F444" s="33" t="s">
        <v>84</v>
      </c>
      <c r="G444" s="18" t="s">
        <v>611</v>
      </c>
      <c r="H444" s="18">
        <v>1999</v>
      </c>
      <c r="I444" s="40">
        <v>14046</v>
      </c>
      <c r="J444" s="40">
        <v>11691</v>
      </c>
      <c r="K444" s="18">
        <v>17117</v>
      </c>
      <c r="L444" s="38" t="s">
        <v>637</v>
      </c>
      <c r="M444" s="32" t="s">
        <v>383</v>
      </c>
      <c r="N444" s="30" t="s">
        <v>384</v>
      </c>
    </row>
    <row r="445" spans="1:14" ht="13">
      <c r="A445" s="18" t="s">
        <v>283</v>
      </c>
      <c r="B445" s="18" t="s">
        <v>260</v>
      </c>
      <c r="C445" s="18" t="s">
        <v>388</v>
      </c>
      <c r="D445" s="18" t="s">
        <v>381</v>
      </c>
      <c r="E445" s="18" t="s">
        <v>723</v>
      </c>
      <c r="F445" s="33" t="s">
        <v>84</v>
      </c>
      <c r="G445" s="18" t="s">
        <v>611</v>
      </c>
      <c r="H445" s="18">
        <v>2000</v>
      </c>
      <c r="I445" s="40">
        <v>14366</v>
      </c>
      <c r="J445" s="40">
        <v>11909</v>
      </c>
      <c r="K445" s="18">
        <v>17438</v>
      </c>
      <c r="L445" s="38" t="s">
        <v>637</v>
      </c>
      <c r="M445" s="32" t="s">
        <v>383</v>
      </c>
      <c r="N445" s="30" t="s">
        <v>384</v>
      </c>
    </row>
    <row r="446" spans="1:14" ht="13">
      <c r="A446" s="18" t="s">
        <v>283</v>
      </c>
      <c r="B446" s="18" t="s">
        <v>260</v>
      </c>
      <c r="C446" s="18" t="s">
        <v>388</v>
      </c>
      <c r="D446" s="18" t="s">
        <v>381</v>
      </c>
      <c r="E446" s="18" t="s">
        <v>723</v>
      </c>
      <c r="F446" s="33" t="s">
        <v>84</v>
      </c>
      <c r="G446" s="18" t="s">
        <v>611</v>
      </c>
      <c r="H446" s="18">
        <v>2001</v>
      </c>
      <c r="I446" s="40">
        <v>14687</v>
      </c>
      <c r="J446" s="40">
        <v>12639</v>
      </c>
      <c r="K446" s="18">
        <v>17657</v>
      </c>
      <c r="L446" s="38" t="s">
        <v>637</v>
      </c>
      <c r="M446" s="32" t="s">
        <v>383</v>
      </c>
      <c r="N446" s="30" t="s">
        <v>384</v>
      </c>
    </row>
    <row r="447" spans="1:14" ht="13">
      <c r="A447" s="18" t="s">
        <v>283</v>
      </c>
      <c r="B447" s="18" t="s">
        <v>260</v>
      </c>
      <c r="C447" s="18" t="s">
        <v>388</v>
      </c>
      <c r="D447" s="18" t="s">
        <v>381</v>
      </c>
      <c r="E447" s="18" t="s">
        <v>723</v>
      </c>
      <c r="F447" s="33" t="s">
        <v>84</v>
      </c>
      <c r="G447" s="18" t="s">
        <v>611</v>
      </c>
      <c r="H447" s="18">
        <v>2002</v>
      </c>
      <c r="I447" s="40">
        <v>15520</v>
      </c>
      <c r="J447" s="40">
        <v>13267</v>
      </c>
      <c r="K447" s="18">
        <v>18592</v>
      </c>
      <c r="L447" s="38" t="s">
        <v>637</v>
      </c>
      <c r="M447" s="32" t="s">
        <v>383</v>
      </c>
      <c r="N447" s="30" t="s">
        <v>384</v>
      </c>
    </row>
    <row r="448" spans="1:14" ht="13">
      <c r="A448" s="18" t="s">
        <v>283</v>
      </c>
      <c r="B448" s="18" t="s">
        <v>260</v>
      </c>
      <c r="C448" s="18" t="s">
        <v>388</v>
      </c>
      <c r="D448" s="18" t="s">
        <v>381</v>
      </c>
      <c r="E448" s="18" t="s">
        <v>723</v>
      </c>
      <c r="F448" s="33" t="s">
        <v>84</v>
      </c>
      <c r="G448" s="18" t="s">
        <v>611</v>
      </c>
      <c r="H448" s="18">
        <v>2003</v>
      </c>
      <c r="I448" s="40">
        <v>16660</v>
      </c>
      <c r="J448" s="40">
        <v>13281</v>
      </c>
      <c r="K448" s="18">
        <v>20858</v>
      </c>
      <c r="L448" s="38" t="s">
        <v>637</v>
      </c>
      <c r="M448" s="32" t="s">
        <v>383</v>
      </c>
      <c r="N448" s="30" t="s">
        <v>384</v>
      </c>
    </row>
    <row r="449" spans="1:14" ht="13">
      <c r="A449" s="18" t="s">
        <v>283</v>
      </c>
      <c r="B449" s="18" t="s">
        <v>260</v>
      </c>
      <c r="C449" s="18" t="s">
        <v>388</v>
      </c>
      <c r="D449" s="18" t="s">
        <v>381</v>
      </c>
      <c r="E449" s="18" t="s">
        <v>723</v>
      </c>
      <c r="F449" s="33" t="s">
        <v>84</v>
      </c>
      <c r="G449" s="18" t="s">
        <v>611</v>
      </c>
      <c r="H449" s="18">
        <v>2004</v>
      </c>
      <c r="I449" s="40">
        <v>15855</v>
      </c>
      <c r="J449" s="40">
        <v>13704</v>
      </c>
      <c r="K449" s="18">
        <v>18722</v>
      </c>
      <c r="L449" s="38" t="s">
        <v>637</v>
      </c>
      <c r="M449" s="32" t="s">
        <v>383</v>
      </c>
      <c r="N449" s="30" t="s">
        <v>384</v>
      </c>
    </row>
    <row r="450" spans="1:14" ht="13">
      <c r="A450" s="18" t="s">
        <v>283</v>
      </c>
      <c r="B450" s="18" t="s">
        <v>260</v>
      </c>
      <c r="C450" s="18" t="s">
        <v>388</v>
      </c>
      <c r="D450" s="18" t="s">
        <v>381</v>
      </c>
      <c r="E450" s="18" t="s">
        <v>723</v>
      </c>
      <c r="F450" s="33" t="s">
        <v>84</v>
      </c>
      <c r="G450" s="18" t="s">
        <v>611</v>
      </c>
      <c r="H450" s="18">
        <v>2005</v>
      </c>
      <c r="I450" s="40">
        <v>16893</v>
      </c>
      <c r="J450" s="40">
        <v>13309</v>
      </c>
      <c r="K450" s="18">
        <v>21807</v>
      </c>
      <c r="L450" s="38" t="s">
        <v>637</v>
      </c>
      <c r="M450" s="32" t="s">
        <v>383</v>
      </c>
      <c r="N450" s="30" t="s">
        <v>384</v>
      </c>
    </row>
    <row r="451" spans="1:14" ht="13">
      <c r="A451" s="18" t="s">
        <v>283</v>
      </c>
      <c r="B451" s="18" t="s">
        <v>260</v>
      </c>
      <c r="C451" s="18" t="s">
        <v>388</v>
      </c>
      <c r="D451" s="18" t="s">
        <v>381</v>
      </c>
      <c r="E451" s="18" t="s">
        <v>723</v>
      </c>
      <c r="F451" s="33" t="s">
        <v>84</v>
      </c>
      <c r="G451" s="18" t="s">
        <v>611</v>
      </c>
      <c r="H451" s="18">
        <v>2006</v>
      </c>
      <c r="I451" s="40">
        <v>16905</v>
      </c>
      <c r="J451" s="40">
        <v>14653</v>
      </c>
      <c r="K451" s="18">
        <v>19568</v>
      </c>
      <c r="L451" s="38" t="s">
        <v>637</v>
      </c>
      <c r="M451" s="32" t="s">
        <v>383</v>
      </c>
      <c r="N451" s="30" t="s">
        <v>384</v>
      </c>
    </row>
    <row r="452" spans="1:14" ht="13">
      <c r="A452" s="18" t="s">
        <v>283</v>
      </c>
      <c r="B452" s="18" t="s">
        <v>260</v>
      </c>
      <c r="C452" s="18" t="s">
        <v>388</v>
      </c>
      <c r="D452" s="18" t="s">
        <v>381</v>
      </c>
      <c r="E452" s="18" t="s">
        <v>723</v>
      </c>
      <c r="F452" s="33" t="s">
        <v>84</v>
      </c>
      <c r="G452" s="18" t="s">
        <v>611</v>
      </c>
      <c r="H452" s="18">
        <v>2007</v>
      </c>
      <c r="I452" s="40">
        <v>17738</v>
      </c>
      <c r="J452" s="40">
        <v>14565</v>
      </c>
      <c r="K452" s="18">
        <v>22141</v>
      </c>
      <c r="L452" s="38" t="s">
        <v>637</v>
      </c>
      <c r="M452" s="32" t="s">
        <v>383</v>
      </c>
      <c r="N452" s="30" t="s">
        <v>384</v>
      </c>
    </row>
    <row r="453" spans="1:14" ht="13">
      <c r="A453" s="18" t="s">
        <v>283</v>
      </c>
      <c r="B453" s="18" t="s">
        <v>260</v>
      </c>
      <c r="C453" s="18" t="s">
        <v>388</v>
      </c>
      <c r="D453" s="18" t="s">
        <v>381</v>
      </c>
      <c r="E453" s="18" t="s">
        <v>723</v>
      </c>
      <c r="F453" s="33" t="s">
        <v>84</v>
      </c>
      <c r="G453" s="18" t="s">
        <v>611</v>
      </c>
      <c r="H453" s="18">
        <v>2008</v>
      </c>
      <c r="I453" s="40">
        <v>17855</v>
      </c>
      <c r="J453" s="40">
        <v>14886</v>
      </c>
      <c r="K453" s="18">
        <v>21951</v>
      </c>
      <c r="L453" s="38" t="s">
        <v>637</v>
      </c>
      <c r="M453" s="32" t="s">
        <v>383</v>
      </c>
      <c r="N453" s="30" t="s">
        <v>384</v>
      </c>
    </row>
    <row r="454" spans="1:14" ht="13">
      <c r="A454" s="18" t="s">
        <v>283</v>
      </c>
      <c r="B454" s="18" t="s">
        <v>260</v>
      </c>
      <c r="C454" s="18" t="s">
        <v>388</v>
      </c>
      <c r="D454" s="18" t="s">
        <v>381</v>
      </c>
      <c r="E454" s="18" t="s">
        <v>723</v>
      </c>
      <c r="F454" s="33" t="s">
        <v>84</v>
      </c>
      <c r="G454" s="18" t="s">
        <v>611</v>
      </c>
      <c r="H454" s="18">
        <v>2009</v>
      </c>
      <c r="I454" s="40">
        <v>19403</v>
      </c>
      <c r="J454" s="40">
        <v>16537</v>
      </c>
      <c r="K454" s="18">
        <v>23500</v>
      </c>
      <c r="L454" s="38" t="s">
        <v>637</v>
      </c>
      <c r="M454" s="32" t="s">
        <v>383</v>
      </c>
      <c r="N454" s="30" t="s">
        <v>384</v>
      </c>
    </row>
    <row r="455" spans="1:14" ht="13">
      <c r="A455" s="18" t="s">
        <v>283</v>
      </c>
      <c r="B455" s="18" t="s">
        <v>260</v>
      </c>
      <c r="C455" s="18" t="s">
        <v>388</v>
      </c>
      <c r="D455" s="18" t="s">
        <v>381</v>
      </c>
      <c r="E455" s="18" t="s">
        <v>723</v>
      </c>
      <c r="F455" s="33" t="s">
        <v>84</v>
      </c>
      <c r="G455" s="18" t="s">
        <v>611</v>
      </c>
      <c r="H455" s="18">
        <v>2010</v>
      </c>
      <c r="I455" s="40">
        <v>19725</v>
      </c>
      <c r="J455" s="40">
        <v>15834</v>
      </c>
      <c r="K455" s="18">
        <v>24640</v>
      </c>
      <c r="L455" s="38" t="s">
        <v>637</v>
      </c>
      <c r="M455" s="32" t="s">
        <v>383</v>
      </c>
      <c r="N455" s="30" t="s">
        <v>384</v>
      </c>
    </row>
    <row r="456" spans="1:14" ht="13">
      <c r="A456" s="18" t="s">
        <v>283</v>
      </c>
      <c r="B456" s="18" t="s">
        <v>260</v>
      </c>
      <c r="C456" s="18" t="s">
        <v>388</v>
      </c>
      <c r="D456" s="18" t="s">
        <v>381</v>
      </c>
      <c r="E456" s="18" t="s">
        <v>723</v>
      </c>
      <c r="F456" s="33" t="s">
        <v>84</v>
      </c>
      <c r="G456" s="18" t="s">
        <v>611</v>
      </c>
      <c r="H456" s="18">
        <v>2011</v>
      </c>
      <c r="I456" s="40">
        <v>19227</v>
      </c>
      <c r="J456" s="40">
        <v>14005</v>
      </c>
      <c r="K456" s="18">
        <v>26599</v>
      </c>
      <c r="L456" s="38" t="s">
        <v>637</v>
      </c>
      <c r="M456" s="32" t="s">
        <v>383</v>
      </c>
      <c r="N456" s="30" t="s">
        <v>384</v>
      </c>
    </row>
    <row r="457" spans="1:14" ht="13">
      <c r="A457" s="18" t="s">
        <v>283</v>
      </c>
      <c r="B457" s="18" t="s">
        <v>260</v>
      </c>
      <c r="C457" s="18" t="s">
        <v>388</v>
      </c>
      <c r="D457" s="18" t="s">
        <v>381</v>
      </c>
      <c r="E457" s="18" t="s">
        <v>723</v>
      </c>
      <c r="F457" s="33" t="s">
        <v>84</v>
      </c>
      <c r="G457" s="18" t="s">
        <v>611</v>
      </c>
      <c r="H457" s="18">
        <v>2012</v>
      </c>
      <c r="I457" s="40">
        <v>19445</v>
      </c>
      <c r="J457" s="40">
        <v>14428</v>
      </c>
      <c r="K457" s="18">
        <v>25589</v>
      </c>
      <c r="L457" s="38" t="s">
        <v>637</v>
      </c>
      <c r="M457" s="32" t="s">
        <v>383</v>
      </c>
      <c r="N457" s="30" t="s">
        <v>384</v>
      </c>
    </row>
    <row r="458" spans="1:14" ht="13">
      <c r="A458" s="18" t="s">
        <v>283</v>
      </c>
      <c r="B458" s="18" t="s">
        <v>260</v>
      </c>
      <c r="C458" s="18" t="s">
        <v>388</v>
      </c>
      <c r="D458" s="18" t="s">
        <v>381</v>
      </c>
      <c r="E458" s="18" t="s">
        <v>723</v>
      </c>
      <c r="F458" s="33" t="s">
        <v>84</v>
      </c>
      <c r="G458" s="18" t="s">
        <v>611</v>
      </c>
      <c r="H458" s="18">
        <v>2013</v>
      </c>
      <c r="I458" s="40">
        <v>19460</v>
      </c>
      <c r="J458" s="40">
        <v>15261</v>
      </c>
      <c r="K458" s="18">
        <v>25296</v>
      </c>
      <c r="L458" s="38" t="s">
        <v>637</v>
      </c>
      <c r="M458" s="32" t="s">
        <v>383</v>
      </c>
      <c r="N458" s="30" t="s">
        <v>384</v>
      </c>
    </row>
    <row r="459" spans="1:14" ht="13">
      <c r="A459" s="18" t="s">
        <v>283</v>
      </c>
      <c r="B459" s="18" t="s">
        <v>260</v>
      </c>
      <c r="C459" s="18" t="s">
        <v>388</v>
      </c>
      <c r="D459" s="18" t="s">
        <v>381</v>
      </c>
      <c r="E459" s="18" t="s">
        <v>723</v>
      </c>
      <c r="F459" s="33" t="s">
        <v>84</v>
      </c>
      <c r="G459" s="18" t="s">
        <v>611</v>
      </c>
      <c r="H459" s="18">
        <v>2014</v>
      </c>
      <c r="I459" s="40">
        <v>19371</v>
      </c>
      <c r="J459" s="40">
        <v>14763</v>
      </c>
      <c r="K459" s="18">
        <v>25105</v>
      </c>
      <c r="L459" s="38" t="s">
        <v>637</v>
      </c>
      <c r="M459" s="32" t="s">
        <v>383</v>
      </c>
      <c r="N459" s="30" t="s">
        <v>384</v>
      </c>
    </row>
    <row r="460" spans="1:14" ht="13">
      <c r="A460" s="18" t="s">
        <v>283</v>
      </c>
      <c r="B460" s="18" t="s">
        <v>260</v>
      </c>
      <c r="C460" s="18" t="s">
        <v>388</v>
      </c>
      <c r="D460" s="18" t="s">
        <v>381</v>
      </c>
      <c r="E460" s="18" t="s">
        <v>723</v>
      </c>
      <c r="F460" s="33" t="s">
        <v>84</v>
      </c>
      <c r="G460" s="18" t="s">
        <v>611</v>
      </c>
      <c r="H460" s="18">
        <v>2015</v>
      </c>
      <c r="I460" s="40">
        <v>20921</v>
      </c>
      <c r="J460" s="40">
        <v>16620</v>
      </c>
      <c r="K460" s="18">
        <v>28395</v>
      </c>
      <c r="L460" s="38" t="s">
        <v>637</v>
      </c>
      <c r="M460" s="32" t="s">
        <v>383</v>
      </c>
      <c r="N460" s="30" t="s">
        <v>384</v>
      </c>
    </row>
    <row r="461" spans="1:14" ht="13">
      <c r="A461" s="18" t="s">
        <v>283</v>
      </c>
      <c r="B461" s="18" t="s">
        <v>260</v>
      </c>
      <c r="C461" s="18" t="s">
        <v>388</v>
      </c>
      <c r="D461" s="18" t="s">
        <v>381</v>
      </c>
      <c r="E461" s="18" t="s">
        <v>723</v>
      </c>
      <c r="F461" s="33" t="s">
        <v>84</v>
      </c>
      <c r="G461" s="18" t="s">
        <v>611</v>
      </c>
      <c r="H461" s="18">
        <v>2016</v>
      </c>
      <c r="I461" s="40">
        <v>23186</v>
      </c>
      <c r="J461" s="40">
        <v>17862</v>
      </c>
      <c r="K461" s="18">
        <v>35473</v>
      </c>
      <c r="L461" s="38" t="s">
        <v>637</v>
      </c>
      <c r="M461" s="32" t="s">
        <v>383</v>
      </c>
      <c r="N461" s="30" t="s">
        <v>384</v>
      </c>
    </row>
    <row r="462" spans="1:14" ht="13">
      <c r="A462" s="18" t="s">
        <v>283</v>
      </c>
      <c r="B462" s="18" t="s">
        <v>260</v>
      </c>
      <c r="C462" s="18" t="s">
        <v>388</v>
      </c>
      <c r="D462" s="18" t="s">
        <v>381</v>
      </c>
      <c r="E462" s="18" t="s">
        <v>723</v>
      </c>
      <c r="F462" s="33" t="s">
        <v>84</v>
      </c>
      <c r="G462" s="18" t="s">
        <v>611</v>
      </c>
      <c r="H462" s="18">
        <v>2017</v>
      </c>
      <c r="I462" s="40">
        <v>26988</v>
      </c>
      <c r="J462" s="40">
        <v>20743</v>
      </c>
      <c r="K462" s="18">
        <v>41630</v>
      </c>
      <c r="L462" s="38" t="s">
        <v>637</v>
      </c>
      <c r="M462" s="32" t="s">
        <v>383</v>
      </c>
      <c r="N462" s="30" t="s">
        <v>384</v>
      </c>
    </row>
    <row r="463" spans="1:14" ht="13">
      <c r="A463" s="18" t="s">
        <v>283</v>
      </c>
      <c r="B463" s="18" t="s">
        <v>260</v>
      </c>
      <c r="C463" s="18" t="s">
        <v>388</v>
      </c>
      <c r="D463" s="18" t="s">
        <v>381</v>
      </c>
      <c r="E463" s="18" t="s">
        <v>723</v>
      </c>
      <c r="F463" s="33" t="s">
        <v>84</v>
      </c>
      <c r="G463" s="18" t="s">
        <v>611</v>
      </c>
      <c r="H463" s="18">
        <v>2018</v>
      </c>
      <c r="I463" s="40">
        <v>26797</v>
      </c>
      <c r="J463" s="40">
        <v>20552</v>
      </c>
      <c r="K463" s="18">
        <v>41542</v>
      </c>
      <c r="L463" s="38" t="s">
        <v>637</v>
      </c>
      <c r="M463" s="32" t="s">
        <v>383</v>
      </c>
      <c r="N463" s="30" t="s">
        <v>384</v>
      </c>
    </row>
    <row r="464" spans="1:14" ht="13">
      <c r="A464" s="18" t="s">
        <v>283</v>
      </c>
      <c r="B464" s="18" t="s">
        <v>260</v>
      </c>
      <c r="C464" s="18" t="s">
        <v>389</v>
      </c>
      <c r="D464" s="18" t="s">
        <v>381</v>
      </c>
      <c r="E464" s="18" t="s">
        <v>724</v>
      </c>
      <c r="F464" s="33" t="s">
        <v>84</v>
      </c>
      <c r="G464" s="18" t="s">
        <v>611</v>
      </c>
      <c r="H464" s="18">
        <v>1996</v>
      </c>
      <c r="I464" s="40">
        <v>37751</v>
      </c>
      <c r="J464" s="40">
        <v>34031</v>
      </c>
      <c r="K464" s="18">
        <v>43077</v>
      </c>
      <c r="L464" s="38" t="s">
        <v>637</v>
      </c>
      <c r="M464" s="32" t="s">
        <v>383</v>
      </c>
      <c r="N464" s="30" t="s">
        <v>384</v>
      </c>
    </row>
    <row r="465" spans="1:14" ht="13">
      <c r="A465" s="18" t="s">
        <v>283</v>
      </c>
      <c r="B465" s="18" t="s">
        <v>260</v>
      </c>
      <c r="C465" s="18" t="s">
        <v>389</v>
      </c>
      <c r="D465" s="18" t="s">
        <v>381</v>
      </c>
      <c r="E465" s="18" t="s">
        <v>724</v>
      </c>
      <c r="F465" s="33" t="s">
        <v>84</v>
      </c>
      <c r="G465" s="18" t="s">
        <v>611</v>
      </c>
      <c r="H465" s="18">
        <v>1997</v>
      </c>
      <c r="I465" s="40">
        <v>38065</v>
      </c>
      <c r="J465" s="40">
        <v>34146</v>
      </c>
      <c r="K465" s="18">
        <v>43694</v>
      </c>
      <c r="L465" s="38" t="s">
        <v>637</v>
      </c>
      <c r="M465" s="32" t="s">
        <v>383</v>
      </c>
      <c r="N465" s="30" t="s">
        <v>384</v>
      </c>
    </row>
    <row r="466" spans="1:14" ht="13">
      <c r="A466" s="18" t="s">
        <v>283</v>
      </c>
      <c r="B466" s="18" t="s">
        <v>260</v>
      </c>
      <c r="C466" s="18" t="s">
        <v>389</v>
      </c>
      <c r="D466" s="18" t="s">
        <v>381</v>
      </c>
      <c r="E466" s="18" t="s">
        <v>724</v>
      </c>
      <c r="F466" s="33" t="s">
        <v>84</v>
      </c>
      <c r="G466" s="18" t="s">
        <v>611</v>
      </c>
      <c r="H466" s="18">
        <v>1998</v>
      </c>
      <c r="I466" s="40">
        <v>38280</v>
      </c>
      <c r="J466" s="40">
        <v>32853</v>
      </c>
      <c r="K466" s="18">
        <v>44310</v>
      </c>
      <c r="L466" s="38" t="s">
        <v>637</v>
      </c>
      <c r="M466" s="32" t="s">
        <v>383</v>
      </c>
      <c r="N466" s="30" t="s">
        <v>384</v>
      </c>
    </row>
    <row r="467" spans="1:14" ht="13">
      <c r="A467" s="18" t="s">
        <v>283</v>
      </c>
      <c r="B467" s="18" t="s">
        <v>260</v>
      </c>
      <c r="C467" s="18" t="s">
        <v>389</v>
      </c>
      <c r="D467" s="18" t="s">
        <v>381</v>
      </c>
      <c r="E467" s="18" t="s">
        <v>724</v>
      </c>
      <c r="F467" s="33" t="s">
        <v>84</v>
      </c>
      <c r="G467" s="18" t="s">
        <v>611</v>
      </c>
      <c r="H467" s="18">
        <v>1999</v>
      </c>
      <c r="I467" s="40">
        <v>37389</v>
      </c>
      <c r="J467" s="40">
        <v>31259</v>
      </c>
      <c r="K467" s="18">
        <v>46132</v>
      </c>
      <c r="L467" s="38" t="s">
        <v>637</v>
      </c>
      <c r="M467" s="32" t="s">
        <v>383</v>
      </c>
      <c r="N467" s="30" t="s">
        <v>384</v>
      </c>
    </row>
    <row r="468" spans="1:14" ht="13">
      <c r="A468" s="18" t="s">
        <v>283</v>
      </c>
      <c r="B468" s="18" t="s">
        <v>260</v>
      </c>
      <c r="C468" s="18" t="s">
        <v>389</v>
      </c>
      <c r="D468" s="18" t="s">
        <v>381</v>
      </c>
      <c r="E468" s="18" t="s">
        <v>724</v>
      </c>
      <c r="F468" s="33" t="s">
        <v>84</v>
      </c>
      <c r="G468" s="18" t="s">
        <v>611</v>
      </c>
      <c r="H468" s="18">
        <v>2000</v>
      </c>
      <c r="I468" s="40">
        <v>36195</v>
      </c>
      <c r="J468" s="40">
        <v>31573</v>
      </c>
      <c r="K468" s="18">
        <v>42628</v>
      </c>
      <c r="L468" s="38" t="s">
        <v>637</v>
      </c>
      <c r="M468" s="32" t="s">
        <v>383</v>
      </c>
      <c r="N468" s="30" t="s">
        <v>384</v>
      </c>
    </row>
    <row r="469" spans="1:14" ht="13">
      <c r="A469" s="18" t="s">
        <v>283</v>
      </c>
      <c r="B469" s="18" t="s">
        <v>260</v>
      </c>
      <c r="C469" s="18" t="s">
        <v>389</v>
      </c>
      <c r="D469" s="18" t="s">
        <v>381</v>
      </c>
      <c r="E469" s="18" t="s">
        <v>724</v>
      </c>
      <c r="F469" s="33" t="s">
        <v>84</v>
      </c>
      <c r="G469" s="18" t="s">
        <v>611</v>
      </c>
      <c r="H469" s="18">
        <v>2001</v>
      </c>
      <c r="I469" s="40">
        <v>31085</v>
      </c>
      <c r="J469" s="40">
        <v>28270</v>
      </c>
      <c r="K469" s="18">
        <v>34602</v>
      </c>
      <c r="L469" s="38" t="s">
        <v>637</v>
      </c>
      <c r="M469" s="32" t="s">
        <v>383</v>
      </c>
      <c r="N469" s="30" t="s">
        <v>384</v>
      </c>
    </row>
    <row r="470" spans="1:14" ht="13">
      <c r="A470" s="18" t="s">
        <v>283</v>
      </c>
      <c r="B470" s="18" t="s">
        <v>260</v>
      </c>
      <c r="C470" s="18" t="s">
        <v>389</v>
      </c>
      <c r="D470" s="18" t="s">
        <v>381</v>
      </c>
      <c r="E470" s="18" t="s">
        <v>724</v>
      </c>
      <c r="F470" s="33" t="s">
        <v>84</v>
      </c>
      <c r="G470" s="18" t="s">
        <v>611</v>
      </c>
      <c r="H470" s="18">
        <v>2002</v>
      </c>
      <c r="I470" s="40">
        <v>35419</v>
      </c>
      <c r="J470" s="40">
        <v>31601</v>
      </c>
      <c r="K470" s="18">
        <v>39439</v>
      </c>
      <c r="L470" s="38" t="s">
        <v>637</v>
      </c>
      <c r="M470" s="32" t="s">
        <v>383</v>
      </c>
      <c r="N470" s="30" t="s">
        <v>384</v>
      </c>
    </row>
    <row r="471" spans="1:14" ht="13">
      <c r="A471" s="18" t="s">
        <v>283</v>
      </c>
      <c r="B471" s="18" t="s">
        <v>260</v>
      </c>
      <c r="C471" s="18" t="s">
        <v>389</v>
      </c>
      <c r="D471" s="18" t="s">
        <v>381</v>
      </c>
      <c r="E471" s="18" t="s">
        <v>724</v>
      </c>
      <c r="F471" s="33" t="s">
        <v>84</v>
      </c>
      <c r="G471" s="18" t="s">
        <v>611</v>
      </c>
      <c r="H471" s="18">
        <v>2003</v>
      </c>
      <c r="I471" s="40">
        <v>34527</v>
      </c>
      <c r="J471" s="40">
        <v>29604</v>
      </c>
      <c r="K471" s="18">
        <v>40659</v>
      </c>
      <c r="L471" s="38" t="s">
        <v>637</v>
      </c>
      <c r="M471" s="32" t="s">
        <v>383</v>
      </c>
      <c r="N471" s="30" t="s">
        <v>384</v>
      </c>
    </row>
    <row r="472" spans="1:14" ht="13">
      <c r="A472" s="18" t="s">
        <v>283</v>
      </c>
      <c r="B472" s="18" t="s">
        <v>260</v>
      </c>
      <c r="C472" s="18" t="s">
        <v>389</v>
      </c>
      <c r="D472" s="18" t="s">
        <v>381</v>
      </c>
      <c r="E472" s="18" t="s">
        <v>724</v>
      </c>
      <c r="F472" s="33" t="s">
        <v>84</v>
      </c>
      <c r="G472" s="18" t="s">
        <v>611</v>
      </c>
      <c r="H472" s="18">
        <v>2004</v>
      </c>
      <c r="I472" s="40">
        <v>32331</v>
      </c>
      <c r="J472" s="40">
        <v>27306</v>
      </c>
      <c r="K472" s="18">
        <v>38561</v>
      </c>
      <c r="L472" s="38" t="s">
        <v>637</v>
      </c>
      <c r="M472" s="32" t="s">
        <v>383</v>
      </c>
      <c r="N472" s="30" t="s">
        <v>384</v>
      </c>
    </row>
    <row r="473" spans="1:14" ht="13">
      <c r="A473" s="18" t="s">
        <v>283</v>
      </c>
      <c r="B473" s="18" t="s">
        <v>260</v>
      </c>
      <c r="C473" s="18" t="s">
        <v>389</v>
      </c>
      <c r="D473" s="18" t="s">
        <v>381</v>
      </c>
      <c r="E473" s="18" t="s">
        <v>724</v>
      </c>
      <c r="F473" s="33" t="s">
        <v>84</v>
      </c>
      <c r="G473" s="18" t="s">
        <v>611</v>
      </c>
      <c r="H473" s="18">
        <v>2005</v>
      </c>
      <c r="I473" s="40">
        <v>35258</v>
      </c>
      <c r="J473" s="40">
        <v>31842</v>
      </c>
      <c r="K473" s="18">
        <v>39881</v>
      </c>
      <c r="L473" s="38" t="s">
        <v>637</v>
      </c>
      <c r="M473" s="32" t="s">
        <v>383</v>
      </c>
      <c r="N473" s="30" t="s">
        <v>384</v>
      </c>
    </row>
    <row r="474" spans="1:14" ht="13">
      <c r="A474" s="18" t="s">
        <v>283</v>
      </c>
      <c r="B474" s="18" t="s">
        <v>260</v>
      </c>
      <c r="C474" s="18" t="s">
        <v>389</v>
      </c>
      <c r="D474" s="18" t="s">
        <v>381</v>
      </c>
      <c r="E474" s="18" t="s">
        <v>724</v>
      </c>
      <c r="F474" s="33" t="s">
        <v>84</v>
      </c>
      <c r="G474" s="18" t="s">
        <v>611</v>
      </c>
      <c r="H474" s="18">
        <v>2006</v>
      </c>
      <c r="I474" s="40">
        <v>36779</v>
      </c>
      <c r="J474" s="40">
        <v>33463</v>
      </c>
      <c r="K474" s="18">
        <v>40398</v>
      </c>
      <c r="L474" s="38" t="s">
        <v>637</v>
      </c>
      <c r="M474" s="32" t="s">
        <v>383</v>
      </c>
      <c r="N474" s="30" t="s">
        <v>384</v>
      </c>
    </row>
    <row r="475" spans="1:14" ht="13">
      <c r="A475" s="18" t="s">
        <v>283</v>
      </c>
      <c r="B475" s="18" t="s">
        <v>260</v>
      </c>
      <c r="C475" s="18" t="s">
        <v>389</v>
      </c>
      <c r="D475" s="18" t="s">
        <v>381</v>
      </c>
      <c r="E475" s="18" t="s">
        <v>724</v>
      </c>
      <c r="F475" s="33" t="s">
        <v>84</v>
      </c>
      <c r="G475" s="18" t="s">
        <v>611</v>
      </c>
      <c r="H475" s="18">
        <v>2007</v>
      </c>
      <c r="I475" s="40">
        <v>37697</v>
      </c>
      <c r="J475" s="40">
        <v>34280</v>
      </c>
      <c r="K475" s="18">
        <v>41818</v>
      </c>
      <c r="L475" s="38" t="s">
        <v>637</v>
      </c>
      <c r="M475" s="32" t="s">
        <v>383</v>
      </c>
      <c r="N475" s="30" t="s">
        <v>384</v>
      </c>
    </row>
    <row r="476" spans="1:14" ht="13">
      <c r="A476" s="18" t="s">
        <v>283</v>
      </c>
      <c r="B476" s="18" t="s">
        <v>260</v>
      </c>
      <c r="C476" s="18" t="s">
        <v>389</v>
      </c>
      <c r="D476" s="18" t="s">
        <v>381</v>
      </c>
      <c r="E476" s="18" t="s">
        <v>724</v>
      </c>
      <c r="F476" s="33" t="s">
        <v>84</v>
      </c>
      <c r="G476" s="18" t="s">
        <v>611</v>
      </c>
      <c r="H476" s="18">
        <v>2008</v>
      </c>
      <c r="I476" s="40">
        <v>42434</v>
      </c>
      <c r="J476" s="40">
        <v>39419</v>
      </c>
      <c r="K476" s="18">
        <v>47661</v>
      </c>
      <c r="L476" s="38" t="s">
        <v>637</v>
      </c>
      <c r="M476" s="32" t="s">
        <v>383</v>
      </c>
      <c r="N476" s="30" t="s">
        <v>384</v>
      </c>
    </row>
    <row r="477" spans="1:14" ht="13">
      <c r="A477" s="18" t="s">
        <v>283</v>
      </c>
      <c r="B477" s="18" t="s">
        <v>260</v>
      </c>
      <c r="C477" s="18" t="s">
        <v>389</v>
      </c>
      <c r="D477" s="18" t="s">
        <v>381</v>
      </c>
      <c r="E477" s="18" t="s">
        <v>724</v>
      </c>
      <c r="F477" s="33" t="s">
        <v>84</v>
      </c>
      <c r="G477" s="18" t="s">
        <v>611</v>
      </c>
      <c r="H477" s="18">
        <v>2009</v>
      </c>
      <c r="I477" s="40">
        <v>41744</v>
      </c>
      <c r="J477" s="40">
        <v>38729</v>
      </c>
      <c r="K477" s="18">
        <v>45262</v>
      </c>
      <c r="L477" s="38" t="s">
        <v>637</v>
      </c>
      <c r="M477" s="32" t="s">
        <v>383</v>
      </c>
      <c r="N477" s="30" t="s">
        <v>384</v>
      </c>
    </row>
    <row r="478" spans="1:14" ht="13">
      <c r="A478" s="18" t="s">
        <v>283</v>
      </c>
      <c r="B478" s="18" t="s">
        <v>260</v>
      </c>
      <c r="C478" s="18" t="s">
        <v>389</v>
      </c>
      <c r="D478" s="18" t="s">
        <v>381</v>
      </c>
      <c r="E478" s="18" t="s">
        <v>724</v>
      </c>
      <c r="F478" s="33" t="s">
        <v>84</v>
      </c>
      <c r="G478" s="18" t="s">
        <v>611</v>
      </c>
      <c r="H478" s="18">
        <v>2010</v>
      </c>
      <c r="I478" s="40">
        <v>39924</v>
      </c>
      <c r="J478" s="40">
        <v>37134</v>
      </c>
      <c r="K478" s="18">
        <v>42964</v>
      </c>
      <c r="L478" s="38" t="s">
        <v>637</v>
      </c>
      <c r="M478" s="32" t="s">
        <v>383</v>
      </c>
      <c r="N478" s="30" t="s">
        <v>384</v>
      </c>
    </row>
    <row r="479" spans="1:14" ht="13">
      <c r="A479" s="18" t="s">
        <v>283</v>
      </c>
      <c r="B479" s="18" t="s">
        <v>260</v>
      </c>
      <c r="C479" s="18" t="s">
        <v>389</v>
      </c>
      <c r="D479" s="18" t="s">
        <v>381</v>
      </c>
      <c r="E479" s="18" t="s">
        <v>724</v>
      </c>
      <c r="F479" s="33" t="s">
        <v>84</v>
      </c>
      <c r="G479" s="18" t="s">
        <v>611</v>
      </c>
      <c r="H479" s="18">
        <v>2011</v>
      </c>
      <c r="I479" s="40">
        <v>46595</v>
      </c>
      <c r="J479" s="40">
        <v>43179</v>
      </c>
      <c r="K479" s="18">
        <v>50716</v>
      </c>
      <c r="L479" s="38" t="s">
        <v>637</v>
      </c>
      <c r="M479" s="32" t="s">
        <v>383</v>
      </c>
      <c r="N479" s="30" t="s">
        <v>384</v>
      </c>
    </row>
    <row r="480" spans="1:14" ht="13">
      <c r="A480" s="18" t="s">
        <v>283</v>
      </c>
      <c r="B480" s="18" t="s">
        <v>260</v>
      </c>
      <c r="C480" s="18" t="s">
        <v>389</v>
      </c>
      <c r="D480" s="18" t="s">
        <v>381</v>
      </c>
      <c r="E480" s="18" t="s">
        <v>724</v>
      </c>
      <c r="F480" s="33" t="s">
        <v>84</v>
      </c>
      <c r="G480" s="18" t="s">
        <v>611</v>
      </c>
      <c r="H480" s="18">
        <v>2012</v>
      </c>
      <c r="I480" s="40">
        <v>45603</v>
      </c>
      <c r="J480" s="40">
        <v>40177</v>
      </c>
      <c r="K480" s="18">
        <v>50126</v>
      </c>
      <c r="L480" s="38" t="s">
        <v>637</v>
      </c>
      <c r="M480" s="32" t="s">
        <v>383</v>
      </c>
      <c r="N480" s="30" t="s">
        <v>384</v>
      </c>
    </row>
    <row r="481" spans="1:14" ht="13">
      <c r="A481" s="18" t="s">
        <v>283</v>
      </c>
      <c r="B481" s="18" t="s">
        <v>260</v>
      </c>
      <c r="C481" s="18" t="s">
        <v>389</v>
      </c>
      <c r="D481" s="18" t="s">
        <v>381</v>
      </c>
      <c r="E481" s="18" t="s">
        <v>724</v>
      </c>
      <c r="F481" s="33" t="s">
        <v>84</v>
      </c>
      <c r="G481" s="18" t="s">
        <v>611</v>
      </c>
      <c r="H481" s="18">
        <v>2013</v>
      </c>
      <c r="I481" s="40">
        <v>49436</v>
      </c>
      <c r="J481" s="40">
        <v>45115</v>
      </c>
      <c r="K481" s="18">
        <v>54461</v>
      </c>
      <c r="L481" s="38" t="s">
        <v>637</v>
      </c>
      <c r="M481" s="32" t="s">
        <v>383</v>
      </c>
      <c r="N481" s="30" t="s">
        <v>384</v>
      </c>
    </row>
    <row r="482" spans="1:14" ht="13">
      <c r="A482" s="18" t="s">
        <v>283</v>
      </c>
      <c r="B482" s="18" t="s">
        <v>260</v>
      </c>
      <c r="C482" s="18" t="s">
        <v>389</v>
      </c>
      <c r="D482" s="18" t="s">
        <v>381</v>
      </c>
      <c r="E482" s="18" t="s">
        <v>724</v>
      </c>
      <c r="F482" s="33" t="s">
        <v>84</v>
      </c>
      <c r="G482" s="18" t="s">
        <v>611</v>
      </c>
      <c r="H482" s="18">
        <v>2014</v>
      </c>
      <c r="I482" s="40">
        <v>46435</v>
      </c>
      <c r="J482" s="40">
        <v>41409</v>
      </c>
      <c r="K482" s="18">
        <v>53469</v>
      </c>
      <c r="L482" s="38" t="s">
        <v>637</v>
      </c>
      <c r="M482" s="32" t="s">
        <v>383</v>
      </c>
      <c r="N482" s="30" t="s">
        <v>384</v>
      </c>
    </row>
    <row r="483" spans="1:14" ht="13">
      <c r="A483" s="18" t="s">
        <v>283</v>
      </c>
      <c r="B483" s="18" t="s">
        <v>260</v>
      </c>
      <c r="C483" s="18" t="s">
        <v>389</v>
      </c>
      <c r="D483" s="18" t="s">
        <v>381</v>
      </c>
      <c r="E483" s="18" t="s">
        <v>724</v>
      </c>
      <c r="F483" s="33" t="s">
        <v>84</v>
      </c>
      <c r="G483" s="18" t="s">
        <v>611</v>
      </c>
      <c r="H483" s="18">
        <v>2015</v>
      </c>
      <c r="I483" s="40">
        <v>52578</v>
      </c>
      <c r="J483" s="40">
        <v>48358</v>
      </c>
      <c r="K483" s="18">
        <v>57302</v>
      </c>
      <c r="L483" s="38" t="s">
        <v>637</v>
      </c>
      <c r="M483" s="32" t="s">
        <v>383</v>
      </c>
      <c r="N483" s="30" t="s">
        <v>384</v>
      </c>
    </row>
    <row r="484" spans="1:14" ht="13">
      <c r="A484" s="18" t="s">
        <v>283</v>
      </c>
      <c r="B484" s="18" t="s">
        <v>260</v>
      </c>
      <c r="C484" s="18" t="s">
        <v>389</v>
      </c>
      <c r="D484" s="18" t="s">
        <v>381</v>
      </c>
      <c r="E484" s="18" t="s">
        <v>724</v>
      </c>
      <c r="F484" s="33" t="s">
        <v>84</v>
      </c>
      <c r="G484" s="18" t="s">
        <v>611</v>
      </c>
      <c r="H484" s="18">
        <v>2016</v>
      </c>
      <c r="I484" s="40">
        <v>47468</v>
      </c>
      <c r="J484" s="40">
        <v>41638</v>
      </c>
      <c r="K484" s="18">
        <v>55607</v>
      </c>
      <c r="L484" s="38" t="s">
        <v>637</v>
      </c>
      <c r="M484" s="32" t="s">
        <v>383</v>
      </c>
      <c r="N484" s="30" t="s">
        <v>384</v>
      </c>
    </row>
    <row r="485" spans="1:14" ht="13">
      <c r="A485" s="18" t="s">
        <v>283</v>
      </c>
      <c r="B485" s="18" t="s">
        <v>260</v>
      </c>
      <c r="C485" s="18" t="s">
        <v>389</v>
      </c>
      <c r="D485" s="18" t="s">
        <v>381</v>
      </c>
      <c r="E485" s="18" t="s">
        <v>724</v>
      </c>
      <c r="F485" s="33" t="s">
        <v>84</v>
      </c>
      <c r="G485" s="18" t="s">
        <v>611</v>
      </c>
      <c r="H485" s="18">
        <v>2017</v>
      </c>
      <c r="I485" s="40">
        <v>44665</v>
      </c>
      <c r="J485" s="40">
        <v>39741</v>
      </c>
      <c r="K485" s="18">
        <v>49992</v>
      </c>
      <c r="L485" s="38" t="s">
        <v>637</v>
      </c>
      <c r="M485" s="32" t="s">
        <v>383</v>
      </c>
      <c r="N485" s="30" t="s">
        <v>384</v>
      </c>
    </row>
    <row r="486" spans="1:14" ht="13">
      <c r="A486" s="18" t="s">
        <v>283</v>
      </c>
      <c r="B486" s="18" t="s">
        <v>260</v>
      </c>
      <c r="C486" s="18" t="s">
        <v>389</v>
      </c>
      <c r="D486" s="18" t="s">
        <v>381</v>
      </c>
      <c r="E486" s="18" t="s">
        <v>724</v>
      </c>
      <c r="F486" s="33" t="s">
        <v>84</v>
      </c>
      <c r="G486" s="18" t="s">
        <v>611</v>
      </c>
      <c r="H486" s="18">
        <v>2018</v>
      </c>
      <c r="I486" s="40">
        <v>45081</v>
      </c>
      <c r="J486" s="40">
        <v>39353</v>
      </c>
      <c r="K486" s="18">
        <v>52317</v>
      </c>
      <c r="L486" s="38" t="s">
        <v>637</v>
      </c>
      <c r="M486" s="32" t="s">
        <v>383</v>
      </c>
      <c r="N486" s="30" t="s">
        <v>384</v>
      </c>
    </row>
    <row r="487" spans="1:14" ht="13">
      <c r="A487" s="18" t="s">
        <v>283</v>
      </c>
      <c r="B487" s="18" t="s">
        <v>260</v>
      </c>
      <c r="C487" s="18" t="s">
        <v>390</v>
      </c>
      <c r="D487" s="18" t="s">
        <v>381</v>
      </c>
      <c r="E487" s="18" t="s">
        <v>725</v>
      </c>
      <c r="F487" s="33" t="s">
        <v>84</v>
      </c>
      <c r="G487" s="18" t="s">
        <v>611</v>
      </c>
      <c r="H487" s="18">
        <v>1996</v>
      </c>
      <c r="I487" s="40">
        <v>25190</v>
      </c>
      <c r="J487" s="40">
        <v>21391</v>
      </c>
      <c r="K487" s="18">
        <v>31247</v>
      </c>
      <c r="L487" s="38" t="s">
        <v>637</v>
      </c>
      <c r="M487" s="32" t="s">
        <v>383</v>
      </c>
      <c r="N487" s="30" t="s">
        <v>384</v>
      </c>
    </row>
    <row r="488" spans="1:14" ht="13">
      <c r="A488" s="18" t="s">
        <v>283</v>
      </c>
      <c r="B488" s="18" t="s">
        <v>260</v>
      </c>
      <c r="C488" s="18" t="s">
        <v>390</v>
      </c>
      <c r="D488" s="18" t="s">
        <v>381</v>
      </c>
      <c r="E488" s="18" t="s">
        <v>725</v>
      </c>
      <c r="F488" s="33" t="s">
        <v>84</v>
      </c>
      <c r="G488" s="18" t="s">
        <v>611</v>
      </c>
      <c r="H488" s="18">
        <v>1997</v>
      </c>
      <c r="I488" s="40">
        <v>26388</v>
      </c>
      <c r="J488" s="40">
        <v>22783</v>
      </c>
      <c r="K488" s="18">
        <v>31629</v>
      </c>
      <c r="L488" s="38" t="s">
        <v>637</v>
      </c>
      <c r="M488" s="32" t="s">
        <v>383</v>
      </c>
      <c r="N488" s="30" t="s">
        <v>384</v>
      </c>
    </row>
    <row r="489" spans="1:14" ht="13">
      <c r="A489" s="18" t="s">
        <v>283</v>
      </c>
      <c r="B489" s="18" t="s">
        <v>260</v>
      </c>
      <c r="C489" s="18" t="s">
        <v>390</v>
      </c>
      <c r="D489" s="18" t="s">
        <v>381</v>
      </c>
      <c r="E489" s="18" t="s">
        <v>725</v>
      </c>
      <c r="F489" s="33" t="s">
        <v>84</v>
      </c>
      <c r="G489" s="18" t="s">
        <v>611</v>
      </c>
      <c r="H489" s="18">
        <v>1998</v>
      </c>
      <c r="I489" s="40">
        <v>26481</v>
      </c>
      <c r="J489" s="40">
        <v>23164</v>
      </c>
      <c r="K489" s="18">
        <v>30183</v>
      </c>
      <c r="L489" s="38" t="s">
        <v>637</v>
      </c>
      <c r="M489" s="32" t="s">
        <v>383</v>
      </c>
      <c r="N489" s="30" t="s">
        <v>384</v>
      </c>
    </row>
    <row r="490" spans="1:14" ht="13">
      <c r="A490" s="18" t="s">
        <v>283</v>
      </c>
      <c r="B490" s="18" t="s">
        <v>260</v>
      </c>
      <c r="C490" s="18" t="s">
        <v>390</v>
      </c>
      <c r="D490" s="18" t="s">
        <v>381</v>
      </c>
      <c r="E490" s="18" t="s">
        <v>725</v>
      </c>
      <c r="F490" s="33" t="s">
        <v>84</v>
      </c>
      <c r="G490" s="18" t="s">
        <v>611</v>
      </c>
      <c r="H490" s="18">
        <v>1999</v>
      </c>
      <c r="I490" s="40">
        <v>25901</v>
      </c>
      <c r="J490" s="40">
        <v>22632</v>
      </c>
      <c r="K490" s="18">
        <v>29603</v>
      </c>
      <c r="L490" s="38" t="s">
        <v>637</v>
      </c>
      <c r="M490" s="32" t="s">
        <v>383</v>
      </c>
      <c r="N490" s="30" t="s">
        <v>384</v>
      </c>
    </row>
    <row r="491" spans="1:14" ht="13">
      <c r="A491" s="18" t="s">
        <v>283</v>
      </c>
      <c r="B491" s="18" t="s">
        <v>260</v>
      </c>
      <c r="C491" s="18" t="s">
        <v>390</v>
      </c>
      <c r="D491" s="18" t="s">
        <v>381</v>
      </c>
      <c r="E491" s="18" t="s">
        <v>725</v>
      </c>
      <c r="F491" s="33" t="s">
        <v>84</v>
      </c>
      <c r="G491" s="18" t="s">
        <v>611</v>
      </c>
      <c r="H491" s="18">
        <v>2000</v>
      </c>
      <c r="I491" s="40">
        <v>24840</v>
      </c>
      <c r="J491" s="40">
        <v>21715</v>
      </c>
      <c r="K491" s="18">
        <v>28494</v>
      </c>
      <c r="L491" s="38" t="s">
        <v>637</v>
      </c>
      <c r="M491" s="32" t="s">
        <v>383</v>
      </c>
      <c r="N491" s="30" t="s">
        <v>384</v>
      </c>
    </row>
    <row r="492" spans="1:14" ht="13">
      <c r="A492" s="18" t="s">
        <v>283</v>
      </c>
      <c r="B492" s="18" t="s">
        <v>260</v>
      </c>
      <c r="C492" s="18" t="s">
        <v>390</v>
      </c>
      <c r="D492" s="18" t="s">
        <v>381</v>
      </c>
      <c r="E492" s="18" t="s">
        <v>725</v>
      </c>
      <c r="F492" s="33" t="s">
        <v>84</v>
      </c>
      <c r="G492" s="18" t="s">
        <v>611</v>
      </c>
      <c r="H492" s="18">
        <v>2001</v>
      </c>
      <c r="I492" s="40">
        <v>23635</v>
      </c>
      <c r="J492" s="40">
        <v>21279</v>
      </c>
      <c r="K492" s="18">
        <v>25991</v>
      </c>
      <c r="L492" s="38" t="s">
        <v>637</v>
      </c>
      <c r="M492" s="32" t="s">
        <v>383</v>
      </c>
      <c r="N492" s="30" t="s">
        <v>384</v>
      </c>
    </row>
    <row r="493" spans="1:14" ht="13">
      <c r="A493" s="18" t="s">
        <v>283</v>
      </c>
      <c r="B493" s="18" t="s">
        <v>260</v>
      </c>
      <c r="C493" s="18" t="s">
        <v>390</v>
      </c>
      <c r="D493" s="18" t="s">
        <v>381</v>
      </c>
      <c r="E493" s="18" t="s">
        <v>725</v>
      </c>
      <c r="F493" s="33" t="s">
        <v>84</v>
      </c>
      <c r="G493" s="18" t="s">
        <v>611</v>
      </c>
      <c r="H493" s="18">
        <v>2002</v>
      </c>
      <c r="I493" s="40">
        <v>26468</v>
      </c>
      <c r="J493" s="40">
        <v>22862</v>
      </c>
      <c r="K493" s="18">
        <v>29738</v>
      </c>
      <c r="L493" s="38" t="s">
        <v>637</v>
      </c>
      <c r="M493" s="32" t="s">
        <v>383</v>
      </c>
      <c r="N493" s="30" t="s">
        <v>384</v>
      </c>
    </row>
    <row r="494" spans="1:14" ht="13">
      <c r="A494" s="18" t="s">
        <v>283</v>
      </c>
      <c r="B494" s="18" t="s">
        <v>260</v>
      </c>
      <c r="C494" s="18" t="s">
        <v>390</v>
      </c>
      <c r="D494" s="18" t="s">
        <v>381</v>
      </c>
      <c r="E494" s="18" t="s">
        <v>725</v>
      </c>
      <c r="F494" s="33" t="s">
        <v>84</v>
      </c>
      <c r="G494" s="18" t="s">
        <v>611</v>
      </c>
      <c r="H494" s="18">
        <v>2003</v>
      </c>
      <c r="I494" s="40">
        <v>28244</v>
      </c>
      <c r="J494" s="40">
        <v>25263</v>
      </c>
      <c r="K494" s="18">
        <v>31369</v>
      </c>
      <c r="L494" s="38" t="s">
        <v>637</v>
      </c>
      <c r="M494" s="32" t="s">
        <v>383</v>
      </c>
      <c r="N494" s="30" t="s">
        <v>384</v>
      </c>
    </row>
    <row r="495" spans="1:14" ht="13">
      <c r="A495" s="18" t="s">
        <v>283</v>
      </c>
      <c r="B495" s="18" t="s">
        <v>260</v>
      </c>
      <c r="C495" s="18" t="s">
        <v>390</v>
      </c>
      <c r="D495" s="18" t="s">
        <v>381</v>
      </c>
      <c r="E495" s="18" t="s">
        <v>725</v>
      </c>
      <c r="F495" s="33" t="s">
        <v>84</v>
      </c>
      <c r="G495" s="18" t="s">
        <v>611</v>
      </c>
      <c r="H495" s="18">
        <v>2004</v>
      </c>
      <c r="I495" s="40">
        <v>29491</v>
      </c>
      <c r="J495" s="40">
        <v>26991</v>
      </c>
      <c r="K495" s="18">
        <v>32808</v>
      </c>
      <c r="L495" s="38" t="s">
        <v>637</v>
      </c>
      <c r="M495" s="32" t="s">
        <v>383</v>
      </c>
      <c r="N495" s="30" t="s">
        <v>384</v>
      </c>
    </row>
    <row r="496" spans="1:14" ht="13">
      <c r="A496" s="18" t="s">
        <v>283</v>
      </c>
      <c r="B496" s="18" t="s">
        <v>260</v>
      </c>
      <c r="C496" s="18" t="s">
        <v>390</v>
      </c>
      <c r="D496" s="18" t="s">
        <v>381</v>
      </c>
      <c r="E496" s="18" t="s">
        <v>725</v>
      </c>
      <c r="F496" s="33" t="s">
        <v>84</v>
      </c>
      <c r="G496" s="18" t="s">
        <v>611</v>
      </c>
      <c r="H496" s="18">
        <v>2005</v>
      </c>
      <c r="I496" s="40">
        <v>30401</v>
      </c>
      <c r="J496" s="40">
        <v>27516</v>
      </c>
      <c r="K496" s="18">
        <v>33766</v>
      </c>
      <c r="L496" s="38" t="s">
        <v>637</v>
      </c>
      <c r="M496" s="32" t="s">
        <v>383</v>
      </c>
      <c r="N496" s="30" t="s">
        <v>384</v>
      </c>
    </row>
    <row r="497" spans="1:14" ht="13">
      <c r="A497" s="18" t="s">
        <v>283</v>
      </c>
      <c r="B497" s="18" t="s">
        <v>260</v>
      </c>
      <c r="C497" s="18" t="s">
        <v>390</v>
      </c>
      <c r="D497" s="18" t="s">
        <v>381</v>
      </c>
      <c r="E497" s="18" t="s">
        <v>725</v>
      </c>
      <c r="F497" s="33" t="s">
        <v>84</v>
      </c>
      <c r="G497" s="18" t="s">
        <v>611</v>
      </c>
      <c r="H497" s="18">
        <v>2006</v>
      </c>
      <c r="I497" s="40">
        <v>31311</v>
      </c>
      <c r="J497" s="40">
        <v>28955</v>
      </c>
      <c r="K497" s="18">
        <v>34292</v>
      </c>
      <c r="L497" s="38" t="s">
        <v>637</v>
      </c>
      <c r="M497" s="32" t="s">
        <v>383</v>
      </c>
      <c r="N497" s="30" t="s">
        <v>384</v>
      </c>
    </row>
    <row r="498" spans="1:14" ht="13">
      <c r="A498" s="18" t="s">
        <v>283</v>
      </c>
      <c r="B498" s="18" t="s">
        <v>260</v>
      </c>
      <c r="C498" s="18" t="s">
        <v>390</v>
      </c>
      <c r="D498" s="18" t="s">
        <v>381</v>
      </c>
      <c r="E498" s="18" t="s">
        <v>725</v>
      </c>
      <c r="F498" s="33" t="s">
        <v>84</v>
      </c>
      <c r="G498" s="18" t="s">
        <v>611</v>
      </c>
      <c r="H498" s="18">
        <v>2007</v>
      </c>
      <c r="I498" s="40">
        <v>30779</v>
      </c>
      <c r="J498" s="40">
        <v>27702</v>
      </c>
      <c r="K498" s="18">
        <v>34385</v>
      </c>
      <c r="L498" s="38" t="s">
        <v>637</v>
      </c>
      <c r="M498" s="32" t="s">
        <v>383</v>
      </c>
      <c r="N498" s="30" t="s">
        <v>384</v>
      </c>
    </row>
    <row r="499" spans="1:14" ht="13">
      <c r="A499" s="18" t="s">
        <v>283</v>
      </c>
      <c r="B499" s="18" t="s">
        <v>260</v>
      </c>
      <c r="C499" s="18" t="s">
        <v>390</v>
      </c>
      <c r="D499" s="18" t="s">
        <v>381</v>
      </c>
      <c r="E499" s="18" t="s">
        <v>725</v>
      </c>
      <c r="F499" s="33" t="s">
        <v>84</v>
      </c>
      <c r="G499" s="18" t="s">
        <v>611</v>
      </c>
      <c r="H499" s="18">
        <v>2008</v>
      </c>
      <c r="I499" s="40">
        <v>30776</v>
      </c>
      <c r="J499" s="40">
        <v>28180</v>
      </c>
      <c r="K499" s="18">
        <v>33565</v>
      </c>
      <c r="L499" s="38" t="s">
        <v>637</v>
      </c>
      <c r="M499" s="32" t="s">
        <v>383</v>
      </c>
      <c r="N499" s="30" t="s">
        <v>384</v>
      </c>
    </row>
    <row r="500" spans="1:14" ht="13">
      <c r="A500" s="18" t="s">
        <v>283</v>
      </c>
      <c r="B500" s="18" t="s">
        <v>260</v>
      </c>
      <c r="C500" s="18" t="s">
        <v>390</v>
      </c>
      <c r="D500" s="18" t="s">
        <v>381</v>
      </c>
      <c r="E500" s="18" t="s">
        <v>725</v>
      </c>
      <c r="F500" s="33" t="s">
        <v>84</v>
      </c>
      <c r="G500" s="18" t="s">
        <v>611</v>
      </c>
      <c r="H500" s="18">
        <v>2009</v>
      </c>
      <c r="I500" s="40">
        <v>30388</v>
      </c>
      <c r="J500" s="40">
        <v>27071</v>
      </c>
      <c r="K500" s="18">
        <v>33465</v>
      </c>
      <c r="L500" s="38" t="s">
        <v>637</v>
      </c>
      <c r="M500" s="32" t="s">
        <v>383</v>
      </c>
      <c r="N500" s="30" t="s">
        <v>384</v>
      </c>
    </row>
    <row r="501" spans="1:14" ht="13">
      <c r="A501" s="18" t="s">
        <v>283</v>
      </c>
      <c r="B501" s="18" t="s">
        <v>260</v>
      </c>
      <c r="C501" s="18" t="s">
        <v>390</v>
      </c>
      <c r="D501" s="18" t="s">
        <v>381</v>
      </c>
      <c r="E501" s="18" t="s">
        <v>725</v>
      </c>
      <c r="F501" s="33" t="s">
        <v>84</v>
      </c>
      <c r="G501" s="18" t="s">
        <v>611</v>
      </c>
      <c r="H501" s="18">
        <v>2010</v>
      </c>
      <c r="I501" s="40">
        <v>30385</v>
      </c>
      <c r="J501" s="40">
        <v>27596</v>
      </c>
      <c r="K501" s="18">
        <v>33125</v>
      </c>
      <c r="L501" s="38" t="s">
        <v>637</v>
      </c>
      <c r="M501" s="32" t="s">
        <v>383</v>
      </c>
      <c r="N501" s="30" t="s">
        <v>384</v>
      </c>
    </row>
    <row r="502" spans="1:14" ht="13">
      <c r="A502" s="18" t="s">
        <v>283</v>
      </c>
      <c r="B502" s="18" t="s">
        <v>260</v>
      </c>
      <c r="C502" s="18" t="s">
        <v>390</v>
      </c>
      <c r="D502" s="18" t="s">
        <v>381</v>
      </c>
      <c r="E502" s="18" t="s">
        <v>725</v>
      </c>
      <c r="F502" s="33" t="s">
        <v>84</v>
      </c>
      <c r="G502" s="18" t="s">
        <v>611</v>
      </c>
      <c r="H502" s="18">
        <v>2011</v>
      </c>
      <c r="I502" s="40">
        <v>29709</v>
      </c>
      <c r="J502" s="40">
        <v>26872</v>
      </c>
      <c r="K502" s="18">
        <v>32978</v>
      </c>
      <c r="L502" s="38" t="s">
        <v>637</v>
      </c>
      <c r="M502" s="32" t="s">
        <v>383</v>
      </c>
      <c r="N502" s="30" t="s">
        <v>384</v>
      </c>
    </row>
    <row r="503" spans="1:14" ht="13">
      <c r="A503" s="18" t="s">
        <v>283</v>
      </c>
      <c r="B503" s="18" t="s">
        <v>260</v>
      </c>
      <c r="C503" s="18" t="s">
        <v>390</v>
      </c>
      <c r="D503" s="18" t="s">
        <v>381</v>
      </c>
      <c r="E503" s="18" t="s">
        <v>725</v>
      </c>
      <c r="F503" s="33" t="s">
        <v>84</v>
      </c>
      <c r="G503" s="18" t="s">
        <v>611</v>
      </c>
      <c r="H503" s="18">
        <v>2012</v>
      </c>
      <c r="I503" s="40">
        <v>29417</v>
      </c>
      <c r="J503" s="40">
        <v>25379</v>
      </c>
      <c r="K503" s="18">
        <v>34994</v>
      </c>
      <c r="L503" s="38" t="s">
        <v>637</v>
      </c>
      <c r="M503" s="32" t="s">
        <v>383</v>
      </c>
      <c r="N503" s="30" t="s">
        <v>384</v>
      </c>
    </row>
    <row r="504" spans="1:14" ht="13">
      <c r="A504" s="18" t="s">
        <v>283</v>
      </c>
      <c r="B504" s="18" t="s">
        <v>260</v>
      </c>
      <c r="C504" s="18" t="s">
        <v>390</v>
      </c>
      <c r="D504" s="18" t="s">
        <v>381</v>
      </c>
      <c r="E504" s="18" t="s">
        <v>725</v>
      </c>
      <c r="F504" s="33" t="s">
        <v>84</v>
      </c>
      <c r="G504" s="18" t="s">
        <v>611</v>
      </c>
      <c r="H504" s="18">
        <v>2013</v>
      </c>
      <c r="I504" s="40">
        <v>30135</v>
      </c>
      <c r="J504" s="40">
        <v>25423</v>
      </c>
      <c r="K504" s="18">
        <v>35039</v>
      </c>
      <c r="L504" s="38" t="s">
        <v>637</v>
      </c>
      <c r="M504" s="32" t="s">
        <v>383</v>
      </c>
      <c r="N504" s="30" t="s">
        <v>384</v>
      </c>
    </row>
    <row r="505" spans="1:14" ht="13">
      <c r="A505" s="18" t="s">
        <v>283</v>
      </c>
      <c r="B505" s="18" t="s">
        <v>260</v>
      </c>
      <c r="C505" s="18" t="s">
        <v>390</v>
      </c>
      <c r="D505" s="18" t="s">
        <v>381</v>
      </c>
      <c r="E505" s="18" t="s">
        <v>725</v>
      </c>
      <c r="F505" s="33" t="s">
        <v>84</v>
      </c>
      <c r="G505" s="18" t="s">
        <v>611</v>
      </c>
      <c r="H505" s="18">
        <v>2014</v>
      </c>
      <c r="I505" s="40">
        <v>30805</v>
      </c>
      <c r="J505" s="40">
        <v>26382</v>
      </c>
      <c r="K505" s="18">
        <v>36478</v>
      </c>
      <c r="L505" s="38" t="s">
        <v>637</v>
      </c>
      <c r="M505" s="32" t="s">
        <v>383</v>
      </c>
      <c r="N505" s="30" t="s">
        <v>384</v>
      </c>
    </row>
    <row r="506" spans="1:14" ht="13">
      <c r="A506" s="18" t="s">
        <v>283</v>
      </c>
      <c r="B506" s="18" t="s">
        <v>260</v>
      </c>
      <c r="C506" s="18" t="s">
        <v>390</v>
      </c>
      <c r="D506" s="18" t="s">
        <v>381</v>
      </c>
      <c r="E506" s="18" t="s">
        <v>725</v>
      </c>
      <c r="F506" s="33" t="s">
        <v>84</v>
      </c>
      <c r="G506" s="18" t="s">
        <v>611</v>
      </c>
      <c r="H506" s="18">
        <v>2015</v>
      </c>
      <c r="I506" s="40">
        <v>31090</v>
      </c>
      <c r="J506" s="40">
        <v>28302</v>
      </c>
      <c r="K506" s="18">
        <v>34696</v>
      </c>
      <c r="L506" s="38" t="s">
        <v>637</v>
      </c>
      <c r="M506" s="32" t="s">
        <v>383</v>
      </c>
      <c r="N506" s="30" t="s">
        <v>384</v>
      </c>
    </row>
    <row r="507" spans="1:14" ht="13">
      <c r="A507" s="18" t="s">
        <v>283</v>
      </c>
      <c r="B507" s="18" t="s">
        <v>260</v>
      </c>
      <c r="C507" s="18" t="s">
        <v>390</v>
      </c>
      <c r="D507" s="18" t="s">
        <v>381</v>
      </c>
      <c r="E507" s="18" t="s">
        <v>725</v>
      </c>
      <c r="F507" s="33" t="s">
        <v>84</v>
      </c>
      <c r="G507" s="18" t="s">
        <v>611</v>
      </c>
      <c r="H507" s="18">
        <v>2016</v>
      </c>
      <c r="I507" s="40">
        <v>29957</v>
      </c>
      <c r="J507" s="40">
        <v>26856</v>
      </c>
      <c r="K507" s="18">
        <v>33298</v>
      </c>
      <c r="L507" s="38" t="s">
        <v>637</v>
      </c>
      <c r="M507" s="32" t="s">
        <v>383</v>
      </c>
      <c r="N507" s="30" t="s">
        <v>384</v>
      </c>
    </row>
    <row r="508" spans="1:14" ht="13">
      <c r="A508" s="18" t="s">
        <v>283</v>
      </c>
      <c r="B508" s="18" t="s">
        <v>260</v>
      </c>
      <c r="C508" s="18" t="s">
        <v>390</v>
      </c>
      <c r="D508" s="18" t="s">
        <v>381</v>
      </c>
      <c r="E508" s="18" t="s">
        <v>725</v>
      </c>
      <c r="F508" s="33" t="s">
        <v>84</v>
      </c>
      <c r="G508" s="18" t="s">
        <v>611</v>
      </c>
      <c r="H508" s="18">
        <v>2017</v>
      </c>
      <c r="I508" s="40">
        <v>29545</v>
      </c>
      <c r="J508" s="40">
        <v>26805</v>
      </c>
      <c r="K508" s="18">
        <v>33536</v>
      </c>
      <c r="L508" s="38" t="s">
        <v>637</v>
      </c>
      <c r="M508" s="32" t="s">
        <v>383</v>
      </c>
      <c r="N508" s="30" t="s">
        <v>384</v>
      </c>
    </row>
    <row r="509" spans="1:14" ht="13">
      <c r="A509" s="18" t="s">
        <v>283</v>
      </c>
      <c r="B509" s="18" t="s">
        <v>260</v>
      </c>
      <c r="C509" s="18" t="s">
        <v>390</v>
      </c>
      <c r="D509" s="18" t="s">
        <v>381</v>
      </c>
      <c r="E509" s="18" t="s">
        <v>725</v>
      </c>
      <c r="F509" s="33" t="s">
        <v>84</v>
      </c>
      <c r="G509" s="18" t="s">
        <v>611</v>
      </c>
      <c r="H509" s="18">
        <v>2018</v>
      </c>
      <c r="I509" s="40">
        <v>28340</v>
      </c>
      <c r="J509" s="40">
        <v>24975</v>
      </c>
      <c r="K509" s="18">
        <v>32234</v>
      </c>
      <c r="L509" s="38" t="s">
        <v>637</v>
      </c>
      <c r="M509" s="32" t="s">
        <v>383</v>
      </c>
      <c r="N509" s="30" t="s">
        <v>384</v>
      </c>
    </row>
    <row r="510" spans="1:14" ht="13">
      <c r="A510" s="18" t="s">
        <v>283</v>
      </c>
      <c r="B510" s="18" t="s">
        <v>260</v>
      </c>
      <c r="C510" s="18" t="s">
        <v>391</v>
      </c>
      <c r="D510" s="18" t="s">
        <v>381</v>
      </c>
      <c r="E510" s="33" t="s">
        <v>726</v>
      </c>
      <c r="F510" s="33" t="s">
        <v>84</v>
      </c>
      <c r="G510" s="18" t="s">
        <v>611</v>
      </c>
      <c r="H510" s="18">
        <v>1996</v>
      </c>
      <c r="I510" s="40">
        <v>10777</v>
      </c>
      <c r="J510" s="40">
        <v>9483</v>
      </c>
      <c r="K510" s="18">
        <v>12378</v>
      </c>
      <c r="L510" s="38" t="s">
        <v>637</v>
      </c>
      <c r="M510" s="32" t="s">
        <v>383</v>
      </c>
      <c r="N510" s="30" t="s">
        <v>384</v>
      </c>
    </row>
    <row r="511" spans="1:14" ht="13">
      <c r="A511" s="18" t="s">
        <v>283</v>
      </c>
      <c r="B511" s="18" t="s">
        <v>260</v>
      </c>
      <c r="C511" s="18" t="s">
        <v>391</v>
      </c>
      <c r="D511" s="18" t="s">
        <v>381</v>
      </c>
      <c r="E511" s="33" t="s">
        <v>726</v>
      </c>
      <c r="F511" s="33" t="s">
        <v>84</v>
      </c>
      <c r="G511" s="18" t="s">
        <v>611</v>
      </c>
      <c r="H511" s="18">
        <v>1997</v>
      </c>
      <c r="I511" s="40">
        <v>9851</v>
      </c>
      <c r="J511" s="40">
        <v>8623</v>
      </c>
      <c r="K511" s="18">
        <v>11584</v>
      </c>
      <c r="L511" s="38" t="s">
        <v>637</v>
      </c>
      <c r="M511" s="32" t="s">
        <v>383</v>
      </c>
      <c r="N511" s="30" t="s">
        <v>384</v>
      </c>
    </row>
    <row r="512" spans="1:14" ht="13">
      <c r="A512" s="18" t="s">
        <v>283</v>
      </c>
      <c r="B512" s="18" t="s">
        <v>260</v>
      </c>
      <c r="C512" s="18" t="s">
        <v>391</v>
      </c>
      <c r="D512" s="18" t="s">
        <v>381</v>
      </c>
      <c r="E512" s="33" t="s">
        <v>726</v>
      </c>
      <c r="F512" s="33" t="s">
        <v>84</v>
      </c>
      <c r="G512" s="18" t="s">
        <v>611</v>
      </c>
      <c r="H512" s="18">
        <v>1998</v>
      </c>
      <c r="I512" s="40">
        <v>9167</v>
      </c>
      <c r="J512" s="40">
        <v>8114</v>
      </c>
      <c r="K512" s="18">
        <v>10527</v>
      </c>
      <c r="L512" s="38" t="s">
        <v>637</v>
      </c>
      <c r="M512" s="32" t="s">
        <v>383</v>
      </c>
      <c r="N512" s="30" t="s">
        <v>384</v>
      </c>
    </row>
    <row r="513" spans="1:14" ht="13">
      <c r="A513" s="18" t="s">
        <v>283</v>
      </c>
      <c r="B513" s="18" t="s">
        <v>260</v>
      </c>
      <c r="C513" s="18" t="s">
        <v>391</v>
      </c>
      <c r="D513" s="18" t="s">
        <v>381</v>
      </c>
      <c r="E513" s="33" t="s">
        <v>726</v>
      </c>
      <c r="F513" s="33" t="s">
        <v>84</v>
      </c>
      <c r="G513" s="18" t="s">
        <v>611</v>
      </c>
      <c r="H513" s="18">
        <v>1999</v>
      </c>
      <c r="I513" s="40">
        <v>9492</v>
      </c>
      <c r="J513" s="40">
        <v>8307</v>
      </c>
      <c r="K513" s="18">
        <v>11114</v>
      </c>
      <c r="L513" s="38" t="s">
        <v>637</v>
      </c>
      <c r="M513" s="32" t="s">
        <v>383</v>
      </c>
      <c r="N513" s="30" t="s">
        <v>384</v>
      </c>
    </row>
    <row r="514" spans="1:14" ht="13">
      <c r="A514" s="18" t="s">
        <v>283</v>
      </c>
      <c r="B514" s="18" t="s">
        <v>260</v>
      </c>
      <c r="C514" s="18" t="s">
        <v>391</v>
      </c>
      <c r="D514" s="18" t="s">
        <v>381</v>
      </c>
      <c r="E514" s="33" t="s">
        <v>726</v>
      </c>
      <c r="F514" s="33" t="s">
        <v>84</v>
      </c>
      <c r="G514" s="18" t="s">
        <v>611</v>
      </c>
      <c r="H514" s="18">
        <v>2000</v>
      </c>
      <c r="I514" s="40">
        <v>8961</v>
      </c>
      <c r="J514" s="40">
        <v>7426</v>
      </c>
      <c r="K514" s="18">
        <v>10847</v>
      </c>
      <c r="L514" s="38" t="s">
        <v>637</v>
      </c>
      <c r="M514" s="32" t="s">
        <v>383</v>
      </c>
      <c r="N514" s="30" t="s">
        <v>384</v>
      </c>
    </row>
    <row r="515" spans="1:14" ht="13">
      <c r="A515" s="18" t="s">
        <v>283</v>
      </c>
      <c r="B515" s="18" t="s">
        <v>260</v>
      </c>
      <c r="C515" s="18" t="s">
        <v>391</v>
      </c>
      <c r="D515" s="18" t="s">
        <v>381</v>
      </c>
      <c r="E515" s="33" t="s">
        <v>726</v>
      </c>
      <c r="F515" s="33" t="s">
        <v>84</v>
      </c>
      <c r="G515" s="18" t="s">
        <v>611</v>
      </c>
      <c r="H515" s="18">
        <v>2001</v>
      </c>
      <c r="I515" s="40">
        <v>8606</v>
      </c>
      <c r="J515" s="40">
        <v>7619</v>
      </c>
      <c r="K515" s="18">
        <v>9812</v>
      </c>
      <c r="L515" s="38" t="s">
        <v>637</v>
      </c>
      <c r="M515" s="32" t="s">
        <v>383</v>
      </c>
      <c r="N515" s="30" t="s">
        <v>384</v>
      </c>
    </row>
    <row r="516" spans="1:14" ht="13">
      <c r="A516" s="18" t="s">
        <v>283</v>
      </c>
      <c r="B516" s="18" t="s">
        <v>260</v>
      </c>
      <c r="C516" s="18" t="s">
        <v>391</v>
      </c>
      <c r="D516" s="18" t="s">
        <v>381</v>
      </c>
      <c r="E516" s="33" t="s">
        <v>726</v>
      </c>
      <c r="F516" s="33" t="s">
        <v>84</v>
      </c>
      <c r="G516" s="18" t="s">
        <v>611</v>
      </c>
      <c r="H516" s="18">
        <v>2002</v>
      </c>
      <c r="I516" s="40">
        <v>7746</v>
      </c>
      <c r="J516" s="40">
        <v>6474</v>
      </c>
      <c r="K516" s="18">
        <v>9325</v>
      </c>
      <c r="L516" s="38" t="s">
        <v>637</v>
      </c>
      <c r="M516" s="32" t="s">
        <v>383</v>
      </c>
      <c r="N516" s="30" t="s">
        <v>384</v>
      </c>
    </row>
    <row r="517" spans="1:14" ht="13">
      <c r="A517" s="18" t="s">
        <v>283</v>
      </c>
      <c r="B517" s="18" t="s">
        <v>260</v>
      </c>
      <c r="C517" s="18" t="s">
        <v>391</v>
      </c>
      <c r="D517" s="18" t="s">
        <v>381</v>
      </c>
      <c r="E517" s="33" t="s">
        <v>726</v>
      </c>
      <c r="F517" s="33" t="s">
        <v>84</v>
      </c>
      <c r="G517" s="18" t="s">
        <v>611</v>
      </c>
      <c r="H517" s="18">
        <v>2003</v>
      </c>
      <c r="I517" s="40">
        <v>7698</v>
      </c>
      <c r="J517" s="40">
        <v>5878</v>
      </c>
      <c r="K517" s="18">
        <v>9299</v>
      </c>
      <c r="L517" s="38" t="s">
        <v>637</v>
      </c>
      <c r="M517" s="32" t="s">
        <v>383</v>
      </c>
      <c r="N517" s="30" t="s">
        <v>384</v>
      </c>
    </row>
    <row r="518" spans="1:14" ht="13">
      <c r="A518" s="18" t="s">
        <v>283</v>
      </c>
      <c r="B518" s="18" t="s">
        <v>260</v>
      </c>
      <c r="C518" s="18" t="s">
        <v>391</v>
      </c>
      <c r="D518" s="18" t="s">
        <v>381</v>
      </c>
      <c r="E518" s="33" t="s">
        <v>726</v>
      </c>
      <c r="F518" s="33" t="s">
        <v>84</v>
      </c>
      <c r="G518" s="18" t="s">
        <v>611</v>
      </c>
      <c r="H518" s="18">
        <v>2004</v>
      </c>
      <c r="I518" s="40">
        <v>7211</v>
      </c>
      <c r="J518" s="40">
        <v>5873</v>
      </c>
      <c r="K518" s="18">
        <v>8592</v>
      </c>
      <c r="L518" s="38" t="s">
        <v>637</v>
      </c>
      <c r="M518" s="32" t="s">
        <v>383</v>
      </c>
      <c r="N518" s="30" t="s">
        <v>384</v>
      </c>
    </row>
    <row r="519" spans="1:14" ht="13">
      <c r="A519" s="18" t="s">
        <v>283</v>
      </c>
      <c r="B519" s="18" t="s">
        <v>260</v>
      </c>
      <c r="C519" s="18" t="s">
        <v>391</v>
      </c>
      <c r="D519" s="18" t="s">
        <v>381</v>
      </c>
      <c r="E519" s="33" t="s">
        <v>726</v>
      </c>
      <c r="F519" s="33" t="s">
        <v>84</v>
      </c>
      <c r="G519" s="18" t="s">
        <v>611</v>
      </c>
      <c r="H519" s="18">
        <v>2005</v>
      </c>
      <c r="I519" s="40">
        <v>7140</v>
      </c>
      <c r="J519" s="40">
        <v>6154</v>
      </c>
      <c r="K519" s="18">
        <v>8456</v>
      </c>
      <c r="L519" s="38" t="s">
        <v>637</v>
      </c>
      <c r="M519" s="32" t="s">
        <v>383</v>
      </c>
      <c r="N519" s="30" t="s">
        <v>384</v>
      </c>
    </row>
    <row r="520" spans="1:14" ht="13">
      <c r="A520" s="18" t="s">
        <v>283</v>
      </c>
      <c r="B520" s="18" t="s">
        <v>260</v>
      </c>
      <c r="C520" s="18" t="s">
        <v>391</v>
      </c>
      <c r="D520" s="18" t="s">
        <v>381</v>
      </c>
      <c r="E520" s="33" t="s">
        <v>726</v>
      </c>
      <c r="F520" s="33" t="s">
        <v>84</v>
      </c>
      <c r="G520" s="18" t="s">
        <v>611</v>
      </c>
      <c r="H520" s="18">
        <v>2006</v>
      </c>
      <c r="I520" s="40">
        <v>6808</v>
      </c>
      <c r="J520" s="40">
        <v>5667</v>
      </c>
      <c r="K520" s="18">
        <v>8365</v>
      </c>
      <c r="L520" s="38" t="s">
        <v>637</v>
      </c>
      <c r="M520" s="32" t="s">
        <v>383</v>
      </c>
      <c r="N520" s="30" t="s">
        <v>384</v>
      </c>
    </row>
    <row r="521" spans="1:14" ht="13">
      <c r="A521" s="18" t="s">
        <v>283</v>
      </c>
      <c r="B521" s="18" t="s">
        <v>260</v>
      </c>
      <c r="C521" s="18" t="s">
        <v>391</v>
      </c>
      <c r="D521" s="18" t="s">
        <v>381</v>
      </c>
      <c r="E521" s="33" t="s">
        <v>726</v>
      </c>
      <c r="F521" s="33" t="s">
        <v>84</v>
      </c>
      <c r="G521" s="18" t="s">
        <v>611</v>
      </c>
      <c r="H521" s="18">
        <v>2007</v>
      </c>
      <c r="I521" s="40">
        <v>6540</v>
      </c>
      <c r="J521" s="40">
        <v>5838</v>
      </c>
      <c r="K521" s="18">
        <v>7373</v>
      </c>
      <c r="L521" s="38" t="s">
        <v>637</v>
      </c>
      <c r="M521" s="32" t="s">
        <v>383</v>
      </c>
      <c r="N521" s="30" t="s">
        <v>384</v>
      </c>
    </row>
    <row r="522" spans="1:14" ht="13">
      <c r="A522" s="18" t="s">
        <v>283</v>
      </c>
      <c r="B522" s="18" t="s">
        <v>260</v>
      </c>
      <c r="C522" s="18" t="s">
        <v>391</v>
      </c>
      <c r="D522" s="18" t="s">
        <v>381</v>
      </c>
      <c r="E522" s="33" t="s">
        <v>726</v>
      </c>
      <c r="F522" s="33" t="s">
        <v>84</v>
      </c>
      <c r="G522" s="18" t="s">
        <v>611</v>
      </c>
      <c r="H522" s="18">
        <v>2008</v>
      </c>
      <c r="I522" s="40">
        <v>7456</v>
      </c>
      <c r="J522" s="40">
        <v>6667</v>
      </c>
      <c r="K522" s="18">
        <v>8421</v>
      </c>
      <c r="L522" s="38" t="s">
        <v>637</v>
      </c>
      <c r="M522" s="32" t="s">
        <v>383</v>
      </c>
      <c r="N522" s="30" t="s">
        <v>384</v>
      </c>
    </row>
    <row r="523" spans="1:14" ht="13">
      <c r="A523" s="18" t="s">
        <v>283</v>
      </c>
      <c r="B523" s="18" t="s">
        <v>260</v>
      </c>
      <c r="C523" s="18" t="s">
        <v>391</v>
      </c>
      <c r="D523" s="18" t="s">
        <v>381</v>
      </c>
      <c r="E523" s="33" t="s">
        <v>726</v>
      </c>
      <c r="F523" s="33" t="s">
        <v>84</v>
      </c>
      <c r="G523" s="18" t="s">
        <v>611</v>
      </c>
      <c r="H523" s="18">
        <v>2009</v>
      </c>
      <c r="I523" s="40">
        <v>6794</v>
      </c>
      <c r="J523" s="40">
        <v>5961</v>
      </c>
      <c r="K523" s="18">
        <v>7913</v>
      </c>
      <c r="L523" s="38" t="s">
        <v>637</v>
      </c>
      <c r="M523" s="32" t="s">
        <v>383</v>
      </c>
      <c r="N523" s="30" t="s">
        <v>384</v>
      </c>
    </row>
    <row r="524" spans="1:14" ht="13">
      <c r="A524" s="18" t="s">
        <v>283</v>
      </c>
      <c r="B524" s="18" t="s">
        <v>260</v>
      </c>
      <c r="C524" s="18" t="s">
        <v>391</v>
      </c>
      <c r="D524" s="18" t="s">
        <v>381</v>
      </c>
      <c r="E524" s="33" t="s">
        <v>726</v>
      </c>
      <c r="F524" s="33" t="s">
        <v>84</v>
      </c>
      <c r="G524" s="18" t="s">
        <v>611</v>
      </c>
      <c r="H524" s="18">
        <v>2010</v>
      </c>
      <c r="I524" s="40">
        <v>7338</v>
      </c>
      <c r="J524" s="40">
        <v>6417</v>
      </c>
      <c r="K524" s="18">
        <v>8478</v>
      </c>
      <c r="L524" s="38" t="s">
        <v>637</v>
      </c>
      <c r="M524" s="32" t="s">
        <v>383</v>
      </c>
      <c r="N524" s="30" t="s">
        <v>384</v>
      </c>
    </row>
    <row r="525" spans="1:14" ht="13">
      <c r="A525" s="18" t="s">
        <v>283</v>
      </c>
      <c r="B525" s="18" t="s">
        <v>260</v>
      </c>
      <c r="C525" s="18" t="s">
        <v>391</v>
      </c>
      <c r="D525" s="18" t="s">
        <v>381</v>
      </c>
      <c r="E525" s="33" t="s">
        <v>726</v>
      </c>
      <c r="F525" s="33" t="s">
        <v>84</v>
      </c>
      <c r="G525" s="18" t="s">
        <v>611</v>
      </c>
      <c r="H525" s="18">
        <v>2011</v>
      </c>
      <c r="I525" s="40">
        <v>7597</v>
      </c>
      <c r="J525" s="40">
        <v>6654</v>
      </c>
      <c r="K525" s="18">
        <v>8869</v>
      </c>
      <c r="L525" s="38" t="s">
        <v>637</v>
      </c>
      <c r="M525" s="32" t="s">
        <v>383</v>
      </c>
      <c r="N525" s="30" t="s">
        <v>384</v>
      </c>
    </row>
    <row r="526" spans="1:14" ht="13">
      <c r="A526" s="18" t="s">
        <v>283</v>
      </c>
      <c r="B526" s="18" t="s">
        <v>260</v>
      </c>
      <c r="C526" s="18" t="s">
        <v>391</v>
      </c>
      <c r="D526" s="18" t="s">
        <v>381</v>
      </c>
      <c r="E526" s="33" t="s">
        <v>726</v>
      </c>
      <c r="F526" s="33" t="s">
        <v>84</v>
      </c>
      <c r="G526" s="18" t="s">
        <v>611</v>
      </c>
      <c r="H526" s="18">
        <v>2012</v>
      </c>
      <c r="I526" s="40">
        <v>8925</v>
      </c>
      <c r="J526" s="40">
        <v>7702</v>
      </c>
      <c r="K526" s="18">
        <v>10355</v>
      </c>
      <c r="L526" s="38" t="s">
        <v>637</v>
      </c>
      <c r="M526" s="32" t="s">
        <v>383</v>
      </c>
      <c r="N526" s="30" t="s">
        <v>384</v>
      </c>
    </row>
    <row r="527" spans="1:14" ht="13">
      <c r="A527" s="18" t="s">
        <v>283</v>
      </c>
      <c r="B527" s="18" t="s">
        <v>260</v>
      </c>
      <c r="C527" s="18" t="s">
        <v>391</v>
      </c>
      <c r="D527" s="18" t="s">
        <v>381</v>
      </c>
      <c r="E527" s="33" t="s">
        <v>726</v>
      </c>
      <c r="F527" s="33" t="s">
        <v>84</v>
      </c>
      <c r="G527" s="18" t="s">
        <v>611</v>
      </c>
      <c r="H527" s="18">
        <v>2013</v>
      </c>
      <c r="I527" s="40">
        <v>8553</v>
      </c>
      <c r="J527" s="40">
        <v>7215</v>
      </c>
      <c r="K527" s="18">
        <v>10286</v>
      </c>
      <c r="L527" s="38" t="s">
        <v>637</v>
      </c>
      <c r="M527" s="32" t="s">
        <v>383</v>
      </c>
      <c r="N527" s="30" t="s">
        <v>384</v>
      </c>
    </row>
    <row r="528" spans="1:14" ht="13">
      <c r="A528" s="18" t="s">
        <v>283</v>
      </c>
      <c r="B528" s="18" t="s">
        <v>260</v>
      </c>
      <c r="C528" s="18" t="s">
        <v>391</v>
      </c>
      <c r="D528" s="18" t="s">
        <v>381</v>
      </c>
      <c r="E528" s="33" t="s">
        <v>726</v>
      </c>
      <c r="F528" s="33" t="s">
        <v>84</v>
      </c>
      <c r="G528" s="18" t="s">
        <v>611</v>
      </c>
      <c r="H528" s="18">
        <v>2014</v>
      </c>
      <c r="I528" s="40">
        <v>8659</v>
      </c>
      <c r="J528" s="40">
        <v>7452</v>
      </c>
      <c r="K528" s="18">
        <v>10763</v>
      </c>
      <c r="L528" s="38" t="s">
        <v>637</v>
      </c>
      <c r="M528" s="32" t="s">
        <v>383</v>
      </c>
      <c r="N528" s="30" t="s">
        <v>384</v>
      </c>
    </row>
    <row r="529" spans="1:14" ht="13">
      <c r="A529" s="18" t="s">
        <v>283</v>
      </c>
      <c r="B529" s="18" t="s">
        <v>260</v>
      </c>
      <c r="C529" s="18" t="s">
        <v>391</v>
      </c>
      <c r="D529" s="18" t="s">
        <v>381</v>
      </c>
      <c r="E529" s="33" t="s">
        <v>726</v>
      </c>
      <c r="F529" s="33" t="s">
        <v>84</v>
      </c>
      <c r="G529" s="18" t="s">
        <v>611</v>
      </c>
      <c r="H529" s="18">
        <v>2015</v>
      </c>
      <c r="I529" s="40">
        <v>7645</v>
      </c>
      <c r="J529" s="40">
        <v>6461</v>
      </c>
      <c r="K529" s="18">
        <v>10803</v>
      </c>
      <c r="L529" s="38" t="s">
        <v>637</v>
      </c>
      <c r="M529" s="32" t="s">
        <v>383</v>
      </c>
      <c r="N529" s="30" t="s">
        <v>384</v>
      </c>
    </row>
    <row r="530" spans="1:14" ht="13">
      <c r="A530" s="18" t="s">
        <v>283</v>
      </c>
      <c r="B530" s="18" t="s">
        <v>260</v>
      </c>
      <c r="C530" s="18" t="s">
        <v>391</v>
      </c>
      <c r="D530" s="18" t="s">
        <v>381</v>
      </c>
      <c r="E530" s="33" t="s">
        <v>726</v>
      </c>
      <c r="F530" s="33" t="s">
        <v>84</v>
      </c>
      <c r="G530" s="18" t="s">
        <v>611</v>
      </c>
      <c r="H530" s="18">
        <v>2016</v>
      </c>
      <c r="I530" s="40">
        <v>7180</v>
      </c>
      <c r="J530" s="40">
        <v>6084</v>
      </c>
      <c r="K530" s="18">
        <v>8627</v>
      </c>
      <c r="L530" s="38" t="s">
        <v>637</v>
      </c>
      <c r="M530" s="32" t="s">
        <v>383</v>
      </c>
      <c r="N530" s="30" t="s">
        <v>384</v>
      </c>
    </row>
    <row r="531" spans="1:14" ht="13">
      <c r="A531" s="18" t="s">
        <v>283</v>
      </c>
      <c r="B531" s="18" t="s">
        <v>260</v>
      </c>
      <c r="C531" s="18" t="s">
        <v>391</v>
      </c>
      <c r="D531" s="18" t="s">
        <v>381</v>
      </c>
      <c r="E531" s="33" t="s">
        <v>726</v>
      </c>
      <c r="F531" s="33" t="s">
        <v>84</v>
      </c>
      <c r="G531" s="18" t="s">
        <v>611</v>
      </c>
      <c r="H531" s="18">
        <v>2017</v>
      </c>
      <c r="I531" s="40">
        <v>6605</v>
      </c>
      <c r="J531" s="40">
        <v>5443</v>
      </c>
      <c r="K531" s="18">
        <v>8272</v>
      </c>
      <c r="L531" s="38" t="s">
        <v>637</v>
      </c>
      <c r="M531" s="32" t="s">
        <v>383</v>
      </c>
      <c r="N531" s="30" t="s">
        <v>384</v>
      </c>
    </row>
    <row r="532" spans="1:14" ht="13">
      <c r="A532" s="18" t="s">
        <v>283</v>
      </c>
      <c r="B532" s="18" t="s">
        <v>260</v>
      </c>
      <c r="C532" s="18" t="s">
        <v>391</v>
      </c>
      <c r="D532" s="18" t="s">
        <v>381</v>
      </c>
      <c r="E532" s="33" t="s">
        <v>726</v>
      </c>
      <c r="F532" s="33" t="s">
        <v>84</v>
      </c>
      <c r="G532" s="18" t="s">
        <v>611</v>
      </c>
      <c r="H532" s="18">
        <v>2018</v>
      </c>
      <c r="I532" s="40">
        <v>7369</v>
      </c>
      <c r="J532" s="40">
        <v>5833</v>
      </c>
      <c r="K532" s="18">
        <v>9167</v>
      </c>
      <c r="L532" s="38" t="s">
        <v>637</v>
      </c>
      <c r="M532" s="32" t="s">
        <v>383</v>
      </c>
      <c r="N532" s="30" t="s">
        <v>384</v>
      </c>
    </row>
    <row r="533" spans="1:14" ht="13">
      <c r="A533" s="18" t="s">
        <v>283</v>
      </c>
      <c r="B533" s="18" t="s">
        <v>260</v>
      </c>
      <c r="C533" s="18" t="s">
        <v>392</v>
      </c>
      <c r="D533" s="18" t="s">
        <v>381</v>
      </c>
      <c r="E533" s="33" t="s">
        <v>727</v>
      </c>
      <c r="F533" s="33" t="s">
        <v>84</v>
      </c>
      <c r="G533" s="18" t="s">
        <v>611</v>
      </c>
      <c r="H533" s="18">
        <v>1996</v>
      </c>
      <c r="I533" s="40">
        <v>14220</v>
      </c>
      <c r="J533" s="40">
        <v>11776</v>
      </c>
      <c r="K533" s="18">
        <v>17595</v>
      </c>
      <c r="L533" s="38" t="s">
        <v>637</v>
      </c>
      <c r="M533" s="32" t="s">
        <v>383</v>
      </c>
      <c r="N533" s="30" t="s">
        <v>384</v>
      </c>
    </row>
    <row r="534" spans="1:14" ht="13">
      <c r="A534" s="18" t="s">
        <v>283</v>
      </c>
      <c r="B534" s="18" t="s">
        <v>260</v>
      </c>
      <c r="C534" s="18" t="s">
        <v>392</v>
      </c>
      <c r="D534" s="18" t="s">
        <v>381</v>
      </c>
      <c r="E534" s="33" t="s">
        <v>727</v>
      </c>
      <c r="F534" s="33" t="s">
        <v>84</v>
      </c>
      <c r="G534" s="18" t="s">
        <v>611</v>
      </c>
      <c r="H534" s="18">
        <v>1997</v>
      </c>
      <c r="I534" s="40">
        <v>13698</v>
      </c>
      <c r="J534" s="40">
        <v>12302</v>
      </c>
      <c r="K534" s="18">
        <v>15240</v>
      </c>
      <c r="L534" s="38" t="s">
        <v>637</v>
      </c>
      <c r="M534" s="32" t="s">
        <v>383</v>
      </c>
      <c r="N534" s="30" t="s">
        <v>384</v>
      </c>
    </row>
    <row r="535" spans="1:14" ht="13">
      <c r="A535" s="18" t="s">
        <v>283</v>
      </c>
      <c r="B535" s="18" t="s">
        <v>260</v>
      </c>
      <c r="C535" s="18" t="s">
        <v>392</v>
      </c>
      <c r="D535" s="18" t="s">
        <v>381</v>
      </c>
      <c r="E535" s="33" t="s">
        <v>727</v>
      </c>
      <c r="F535" s="33" t="s">
        <v>84</v>
      </c>
      <c r="G535" s="18" t="s">
        <v>611</v>
      </c>
      <c r="H535" s="18">
        <v>1998</v>
      </c>
      <c r="I535" s="40">
        <v>13904</v>
      </c>
      <c r="J535" s="40">
        <v>11547</v>
      </c>
      <c r="K535" s="18">
        <v>19169</v>
      </c>
      <c r="L535" s="38" t="s">
        <v>637</v>
      </c>
      <c r="M535" s="32" t="s">
        <v>383</v>
      </c>
      <c r="N535" s="30" t="s">
        <v>384</v>
      </c>
    </row>
    <row r="536" spans="1:14" ht="13">
      <c r="A536" s="18" t="s">
        <v>283</v>
      </c>
      <c r="B536" s="18" t="s">
        <v>260</v>
      </c>
      <c r="C536" s="18" t="s">
        <v>392</v>
      </c>
      <c r="D536" s="18" t="s">
        <v>381</v>
      </c>
      <c r="E536" s="33" t="s">
        <v>727</v>
      </c>
      <c r="F536" s="33" t="s">
        <v>84</v>
      </c>
      <c r="G536" s="18" t="s">
        <v>611</v>
      </c>
      <c r="H536" s="18">
        <v>1999</v>
      </c>
      <c r="I536" s="40">
        <v>13702</v>
      </c>
      <c r="J536" s="40">
        <v>11055</v>
      </c>
      <c r="K536" s="18">
        <v>16757</v>
      </c>
      <c r="L536" s="38" t="s">
        <v>637</v>
      </c>
      <c r="M536" s="32" t="s">
        <v>383</v>
      </c>
      <c r="N536" s="30" t="s">
        <v>384</v>
      </c>
    </row>
    <row r="537" spans="1:14" ht="13">
      <c r="A537" s="18" t="s">
        <v>283</v>
      </c>
      <c r="B537" s="18" t="s">
        <v>260</v>
      </c>
      <c r="C537" s="18" t="s">
        <v>392</v>
      </c>
      <c r="D537" s="18" t="s">
        <v>381</v>
      </c>
      <c r="E537" s="33" t="s">
        <v>727</v>
      </c>
      <c r="F537" s="33" t="s">
        <v>84</v>
      </c>
      <c r="G537" s="18" t="s">
        <v>611</v>
      </c>
      <c r="H537" s="18">
        <v>2000</v>
      </c>
      <c r="I537" s="40">
        <v>13529</v>
      </c>
      <c r="J537" s="40">
        <v>11028</v>
      </c>
      <c r="K537" s="18">
        <v>16264</v>
      </c>
      <c r="L537" s="38" t="s">
        <v>637</v>
      </c>
      <c r="M537" s="32" t="s">
        <v>383</v>
      </c>
      <c r="N537" s="30" t="s">
        <v>384</v>
      </c>
    </row>
    <row r="538" spans="1:14" ht="13">
      <c r="A538" s="18" t="s">
        <v>283</v>
      </c>
      <c r="B538" s="18" t="s">
        <v>260</v>
      </c>
      <c r="C538" s="18" t="s">
        <v>392</v>
      </c>
      <c r="D538" s="18" t="s">
        <v>381</v>
      </c>
      <c r="E538" s="33" t="s">
        <v>727</v>
      </c>
      <c r="F538" s="33" t="s">
        <v>84</v>
      </c>
      <c r="G538" s="18" t="s">
        <v>611</v>
      </c>
      <c r="H538" s="18">
        <v>2001</v>
      </c>
      <c r="I538" s="40">
        <v>13531</v>
      </c>
      <c r="J538" s="40">
        <v>11117</v>
      </c>
      <c r="K538" s="18">
        <v>16790</v>
      </c>
      <c r="L538" s="38" t="s">
        <v>637</v>
      </c>
      <c r="M538" s="32" t="s">
        <v>383</v>
      </c>
      <c r="N538" s="30" t="s">
        <v>384</v>
      </c>
    </row>
    <row r="539" spans="1:14" ht="13">
      <c r="A539" s="18" t="s">
        <v>283</v>
      </c>
      <c r="B539" s="18" t="s">
        <v>260</v>
      </c>
      <c r="C539" s="18" t="s">
        <v>392</v>
      </c>
      <c r="D539" s="18" t="s">
        <v>381</v>
      </c>
      <c r="E539" s="33" t="s">
        <v>727</v>
      </c>
      <c r="F539" s="33" t="s">
        <v>84</v>
      </c>
      <c r="G539" s="18" t="s">
        <v>611</v>
      </c>
      <c r="H539" s="18">
        <v>2002</v>
      </c>
      <c r="I539" s="40">
        <v>13068</v>
      </c>
      <c r="J539" s="40">
        <v>11439</v>
      </c>
      <c r="K539" s="18">
        <v>15017</v>
      </c>
      <c r="L539" s="38" t="s">
        <v>637</v>
      </c>
      <c r="M539" s="32" t="s">
        <v>383</v>
      </c>
      <c r="N539" s="30" t="s">
        <v>384</v>
      </c>
    </row>
    <row r="540" spans="1:14" ht="13">
      <c r="A540" s="18" t="s">
        <v>283</v>
      </c>
      <c r="B540" s="18" t="s">
        <v>260</v>
      </c>
      <c r="C540" s="18" t="s">
        <v>392</v>
      </c>
      <c r="D540" s="18" t="s">
        <v>381</v>
      </c>
      <c r="E540" s="33" t="s">
        <v>727</v>
      </c>
      <c r="F540" s="33" t="s">
        <v>84</v>
      </c>
      <c r="G540" s="18" t="s">
        <v>611</v>
      </c>
      <c r="H540" s="18">
        <v>2003</v>
      </c>
      <c r="I540" s="40">
        <v>13244</v>
      </c>
      <c r="J540" s="40">
        <v>11063</v>
      </c>
      <c r="K540" s="18">
        <v>15834</v>
      </c>
      <c r="L540" s="38" t="s">
        <v>637</v>
      </c>
      <c r="M540" s="32" t="s">
        <v>383</v>
      </c>
      <c r="N540" s="30" t="s">
        <v>384</v>
      </c>
    </row>
    <row r="541" spans="1:14" ht="13">
      <c r="A541" s="18" t="s">
        <v>283</v>
      </c>
      <c r="B541" s="18" t="s">
        <v>260</v>
      </c>
      <c r="C541" s="18" t="s">
        <v>392</v>
      </c>
      <c r="D541" s="18" t="s">
        <v>381</v>
      </c>
      <c r="E541" s="33" t="s">
        <v>727</v>
      </c>
      <c r="F541" s="33" t="s">
        <v>84</v>
      </c>
      <c r="G541" s="18" t="s">
        <v>611</v>
      </c>
      <c r="H541" s="18">
        <v>2004</v>
      </c>
      <c r="I541" s="40">
        <v>13566</v>
      </c>
      <c r="J541" s="40">
        <v>10745</v>
      </c>
      <c r="K541" s="18">
        <v>16941</v>
      </c>
      <c r="L541" s="38" t="s">
        <v>637</v>
      </c>
      <c r="M541" s="32" t="s">
        <v>383</v>
      </c>
      <c r="N541" s="30" t="s">
        <v>384</v>
      </c>
    </row>
    <row r="542" spans="1:14" ht="13">
      <c r="A542" s="18" t="s">
        <v>283</v>
      </c>
      <c r="B542" s="18" t="s">
        <v>260</v>
      </c>
      <c r="C542" s="18" t="s">
        <v>392</v>
      </c>
      <c r="D542" s="18" t="s">
        <v>381</v>
      </c>
      <c r="E542" s="33" t="s">
        <v>727</v>
      </c>
      <c r="F542" s="33" t="s">
        <v>84</v>
      </c>
      <c r="G542" s="18" t="s">
        <v>611</v>
      </c>
      <c r="H542" s="18">
        <v>2005</v>
      </c>
      <c r="I542" s="40">
        <v>13365</v>
      </c>
      <c r="J542" s="40">
        <v>10863</v>
      </c>
      <c r="K542" s="18">
        <v>16303</v>
      </c>
      <c r="L542" s="38" t="s">
        <v>637</v>
      </c>
      <c r="M542" s="32" t="s">
        <v>383</v>
      </c>
      <c r="N542" s="30" t="s">
        <v>384</v>
      </c>
    </row>
    <row r="543" spans="1:14" ht="13">
      <c r="A543" s="18" t="s">
        <v>283</v>
      </c>
      <c r="B543" s="18" t="s">
        <v>260</v>
      </c>
      <c r="C543" s="18" t="s">
        <v>392</v>
      </c>
      <c r="D543" s="18" t="s">
        <v>381</v>
      </c>
      <c r="E543" s="33" t="s">
        <v>727</v>
      </c>
      <c r="F543" s="33" t="s">
        <v>84</v>
      </c>
      <c r="G543" s="18" t="s">
        <v>611</v>
      </c>
      <c r="H543" s="18">
        <v>2006</v>
      </c>
      <c r="I543" s="40">
        <v>12930</v>
      </c>
      <c r="J543" s="40">
        <v>10719</v>
      </c>
      <c r="K543" s="18">
        <v>15578</v>
      </c>
      <c r="L543" s="38" t="s">
        <v>637</v>
      </c>
      <c r="M543" s="32" t="s">
        <v>383</v>
      </c>
      <c r="N543" s="30" t="s">
        <v>384</v>
      </c>
    </row>
    <row r="544" spans="1:14" ht="13">
      <c r="A544" s="18" t="s">
        <v>283</v>
      </c>
      <c r="B544" s="18" t="s">
        <v>260</v>
      </c>
      <c r="C544" s="18" t="s">
        <v>392</v>
      </c>
      <c r="D544" s="18" t="s">
        <v>381</v>
      </c>
      <c r="E544" s="33" t="s">
        <v>727</v>
      </c>
      <c r="F544" s="33" t="s">
        <v>84</v>
      </c>
      <c r="G544" s="18" t="s">
        <v>611</v>
      </c>
      <c r="H544" s="18">
        <v>2007</v>
      </c>
      <c r="I544" s="40">
        <v>12321</v>
      </c>
      <c r="J544" s="40">
        <v>11245</v>
      </c>
      <c r="K544" s="18">
        <v>13776</v>
      </c>
      <c r="L544" s="38" t="s">
        <v>637</v>
      </c>
      <c r="M544" s="32" t="s">
        <v>383</v>
      </c>
      <c r="N544" s="30" t="s">
        <v>384</v>
      </c>
    </row>
    <row r="545" spans="1:14" ht="13">
      <c r="A545" s="18" t="s">
        <v>283</v>
      </c>
      <c r="B545" s="18" t="s">
        <v>260</v>
      </c>
      <c r="C545" s="18" t="s">
        <v>392</v>
      </c>
      <c r="D545" s="18" t="s">
        <v>381</v>
      </c>
      <c r="E545" s="33" t="s">
        <v>727</v>
      </c>
      <c r="F545" s="33" t="s">
        <v>84</v>
      </c>
      <c r="G545" s="18" t="s">
        <v>611</v>
      </c>
      <c r="H545" s="18">
        <v>2008</v>
      </c>
      <c r="I545" s="40">
        <v>11538</v>
      </c>
      <c r="J545" s="40">
        <v>10229</v>
      </c>
      <c r="K545" s="18">
        <v>13080</v>
      </c>
      <c r="L545" s="38" t="s">
        <v>637</v>
      </c>
      <c r="M545" s="32" t="s">
        <v>383</v>
      </c>
      <c r="N545" s="30" t="s">
        <v>384</v>
      </c>
    </row>
    <row r="546" spans="1:14" ht="13">
      <c r="A546" s="18" t="s">
        <v>283</v>
      </c>
      <c r="B546" s="18" t="s">
        <v>260</v>
      </c>
      <c r="C546" s="18" t="s">
        <v>392</v>
      </c>
      <c r="D546" s="18" t="s">
        <v>381</v>
      </c>
      <c r="E546" s="33" t="s">
        <v>727</v>
      </c>
      <c r="F546" s="33" t="s">
        <v>84</v>
      </c>
      <c r="G546" s="18" t="s">
        <v>611</v>
      </c>
      <c r="H546" s="18">
        <v>2009</v>
      </c>
      <c r="I546" s="40">
        <v>11685</v>
      </c>
      <c r="J546" s="40">
        <v>10260</v>
      </c>
      <c r="K546" s="18">
        <v>13431</v>
      </c>
      <c r="L546" s="38" t="s">
        <v>637</v>
      </c>
      <c r="M546" s="32" t="s">
        <v>383</v>
      </c>
      <c r="N546" s="30" t="s">
        <v>384</v>
      </c>
    </row>
    <row r="547" spans="1:14" ht="13">
      <c r="A547" s="18" t="s">
        <v>283</v>
      </c>
      <c r="B547" s="18" t="s">
        <v>260</v>
      </c>
      <c r="C547" s="18" t="s">
        <v>392</v>
      </c>
      <c r="D547" s="18" t="s">
        <v>381</v>
      </c>
      <c r="E547" s="33" t="s">
        <v>727</v>
      </c>
      <c r="F547" s="33" t="s">
        <v>84</v>
      </c>
      <c r="G547" s="18" t="s">
        <v>611</v>
      </c>
      <c r="H547" s="18">
        <v>2010</v>
      </c>
      <c r="I547" s="40">
        <v>13607</v>
      </c>
      <c r="J547" s="40">
        <v>12036</v>
      </c>
      <c r="K547" s="18">
        <v>15818</v>
      </c>
      <c r="L547" s="38" t="s">
        <v>637</v>
      </c>
      <c r="M547" s="32" t="s">
        <v>383</v>
      </c>
      <c r="N547" s="30" t="s">
        <v>384</v>
      </c>
    </row>
    <row r="548" spans="1:14" ht="13">
      <c r="A548" s="18" t="s">
        <v>283</v>
      </c>
      <c r="B548" s="18" t="s">
        <v>260</v>
      </c>
      <c r="C548" s="18" t="s">
        <v>392</v>
      </c>
      <c r="D548" s="18" t="s">
        <v>381</v>
      </c>
      <c r="E548" s="33" t="s">
        <v>727</v>
      </c>
      <c r="F548" s="33" t="s">
        <v>84</v>
      </c>
      <c r="G548" s="18" t="s">
        <v>611</v>
      </c>
      <c r="H548" s="18">
        <v>2011</v>
      </c>
      <c r="I548" s="40">
        <v>13929</v>
      </c>
      <c r="J548" s="40">
        <v>12096</v>
      </c>
      <c r="K548" s="18">
        <v>15704</v>
      </c>
      <c r="L548" s="38" t="s">
        <v>637</v>
      </c>
      <c r="M548" s="32" t="s">
        <v>383</v>
      </c>
      <c r="N548" s="30" t="s">
        <v>384</v>
      </c>
    </row>
    <row r="549" spans="1:14" ht="13">
      <c r="A549" s="18" t="s">
        <v>283</v>
      </c>
      <c r="B549" s="18" t="s">
        <v>260</v>
      </c>
      <c r="C549" s="18" t="s">
        <v>392</v>
      </c>
      <c r="D549" s="18" t="s">
        <v>381</v>
      </c>
      <c r="E549" s="33" t="s">
        <v>727</v>
      </c>
      <c r="F549" s="33" t="s">
        <v>84</v>
      </c>
      <c r="G549" s="18" t="s">
        <v>611</v>
      </c>
      <c r="H549" s="18">
        <v>2012</v>
      </c>
      <c r="I549" s="40">
        <v>13815</v>
      </c>
      <c r="J549" s="40">
        <v>11633</v>
      </c>
      <c r="K549" s="18">
        <v>16433</v>
      </c>
      <c r="L549" s="38" t="s">
        <v>637</v>
      </c>
      <c r="M549" s="32" t="s">
        <v>383</v>
      </c>
      <c r="N549" s="30" t="s">
        <v>384</v>
      </c>
    </row>
    <row r="550" spans="1:14" ht="13">
      <c r="A550" s="18" t="s">
        <v>283</v>
      </c>
      <c r="B550" s="18" t="s">
        <v>260</v>
      </c>
      <c r="C550" s="18" t="s">
        <v>392</v>
      </c>
      <c r="D550" s="18" t="s">
        <v>381</v>
      </c>
      <c r="E550" s="33" t="s">
        <v>727</v>
      </c>
      <c r="F550" s="33" t="s">
        <v>84</v>
      </c>
      <c r="G550" s="18" t="s">
        <v>611</v>
      </c>
      <c r="H550" s="18">
        <v>2013</v>
      </c>
      <c r="I550" s="40">
        <v>13497</v>
      </c>
      <c r="J550" s="40">
        <v>11198</v>
      </c>
      <c r="K550" s="18">
        <v>15708</v>
      </c>
      <c r="L550" s="38" t="s">
        <v>637</v>
      </c>
      <c r="M550" s="32" t="s">
        <v>383</v>
      </c>
      <c r="N550" s="30" t="s">
        <v>384</v>
      </c>
    </row>
    <row r="551" spans="1:14" ht="13">
      <c r="A551" s="18" t="s">
        <v>283</v>
      </c>
      <c r="B551" s="18" t="s">
        <v>260</v>
      </c>
      <c r="C551" s="18" t="s">
        <v>392</v>
      </c>
      <c r="D551" s="18" t="s">
        <v>381</v>
      </c>
      <c r="E551" s="33" t="s">
        <v>727</v>
      </c>
      <c r="F551" s="33" t="s">
        <v>84</v>
      </c>
      <c r="G551" s="18" t="s">
        <v>611</v>
      </c>
      <c r="H551" s="18">
        <v>2014</v>
      </c>
      <c r="I551" s="40">
        <v>13266</v>
      </c>
      <c r="J551" s="40">
        <v>10997</v>
      </c>
      <c r="K551" s="18">
        <v>15593</v>
      </c>
      <c r="L551" s="38" t="s">
        <v>637</v>
      </c>
      <c r="M551" s="32" t="s">
        <v>383</v>
      </c>
      <c r="N551" s="30" t="s">
        <v>384</v>
      </c>
    </row>
    <row r="552" spans="1:14" ht="13">
      <c r="A552" s="18" t="s">
        <v>283</v>
      </c>
      <c r="B552" s="18" t="s">
        <v>260</v>
      </c>
      <c r="C552" s="18" t="s">
        <v>392</v>
      </c>
      <c r="D552" s="18" t="s">
        <v>381</v>
      </c>
      <c r="E552" s="33" t="s">
        <v>727</v>
      </c>
      <c r="F552" s="33" t="s">
        <v>84</v>
      </c>
      <c r="G552" s="18" t="s">
        <v>611</v>
      </c>
      <c r="H552" s="18">
        <v>2015</v>
      </c>
      <c r="I552" s="40">
        <v>13180</v>
      </c>
      <c r="J552" s="40">
        <v>11202</v>
      </c>
      <c r="K552" s="18">
        <v>15566</v>
      </c>
      <c r="L552" s="38" t="s">
        <v>637</v>
      </c>
      <c r="M552" s="32" t="s">
        <v>383</v>
      </c>
      <c r="N552" s="30" t="s">
        <v>384</v>
      </c>
    </row>
    <row r="553" spans="1:14" ht="13">
      <c r="A553" s="18" t="s">
        <v>283</v>
      </c>
      <c r="B553" s="18" t="s">
        <v>260</v>
      </c>
      <c r="C553" s="18" t="s">
        <v>392</v>
      </c>
      <c r="D553" s="18" t="s">
        <v>381</v>
      </c>
      <c r="E553" s="33" t="s">
        <v>727</v>
      </c>
      <c r="F553" s="33" t="s">
        <v>84</v>
      </c>
      <c r="G553" s="18" t="s">
        <v>611</v>
      </c>
      <c r="H553" s="18">
        <v>2016</v>
      </c>
      <c r="I553" s="40">
        <v>12891</v>
      </c>
      <c r="J553" s="40">
        <v>10622</v>
      </c>
      <c r="K553" s="18">
        <v>15539</v>
      </c>
      <c r="L553" s="38" t="s">
        <v>637</v>
      </c>
      <c r="M553" s="32" t="s">
        <v>383</v>
      </c>
      <c r="N553" s="30" t="s">
        <v>384</v>
      </c>
    </row>
    <row r="554" spans="1:14" ht="13">
      <c r="A554" s="18" t="s">
        <v>283</v>
      </c>
      <c r="B554" s="18" t="s">
        <v>260</v>
      </c>
      <c r="C554" s="18" t="s">
        <v>392</v>
      </c>
      <c r="D554" s="18" t="s">
        <v>381</v>
      </c>
      <c r="E554" s="33" t="s">
        <v>727</v>
      </c>
      <c r="F554" s="33" t="s">
        <v>84</v>
      </c>
      <c r="G554" s="18" t="s">
        <v>611</v>
      </c>
      <c r="H554" s="18">
        <v>2017</v>
      </c>
      <c r="I554" s="40">
        <v>12981</v>
      </c>
      <c r="J554" s="40">
        <v>10421</v>
      </c>
      <c r="K554" s="18">
        <v>17112</v>
      </c>
      <c r="L554" s="38" t="s">
        <v>637</v>
      </c>
      <c r="M554" s="32" t="s">
        <v>383</v>
      </c>
      <c r="N554" s="30" t="s">
        <v>384</v>
      </c>
    </row>
    <row r="555" spans="1:14" ht="13">
      <c r="A555" s="18" t="s">
        <v>283</v>
      </c>
      <c r="B555" s="18" t="s">
        <v>260</v>
      </c>
      <c r="C555" s="18" t="s">
        <v>392</v>
      </c>
      <c r="D555" s="18" t="s">
        <v>381</v>
      </c>
      <c r="E555" s="33" t="s">
        <v>727</v>
      </c>
      <c r="F555" s="33" t="s">
        <v>84</v>
      </c>
      <c r="G555" s="18" t="s">
        <v>611</v>
      </c>
      <c r="H555" s="18">
        <v>2018</v>
      </c>
      <c r="I555" s="40">
        <v>13448</v>
      </c>
      <c r="J555" s="40">
        <v>10714</v>
      </c>
      <c r="K555" s="18">
        <v>18568</v>
      </c>
      <c r="L555" s="38" t="s">
        <v>637</v>
      </c>
      <c r="M555" s="32" t="s">
        <v>383</v>
      </c>
      <c r="N555" s="30" t="s">
        <v>384</v>
      </c>
    </row>
    <row r="556" spans="1:14" ht="13">
      <c r="A556" s="18" t="s">
        <v>283</v>
      </c>
      <c r="B556" s="18" t="s">
        <v>260</v>
      </c>
      <c r="C556" s="18" t="s">
        <v>393</v>
      </c>
      <c r="D556" s="18" t="s">
        <v>381</v>
      </c>
      <c r="E556" s="33" t="s">
        <v>728</v>
      </c>
      <c r="F556" s="33" t="s">
        <v>84</v>
      </c>
      <c r="G556" s="18" t="s">
        <v>611</v>
      </c>
      <c r="H556" s="18">
        <v>1996</v>
      </c>
      <c r="I556" s="40">
        <v>11962</v>
      </c>
      <c r="J556" s="40">
        <v>10050</v>
      </c>
      <c r="K556" s="18">
        <v>14277</v>
      </c>
      <c r="L556" s="38" t="s">
        <v>637</v>
      </c>
      <c r="M556" s="32" t="s">
        <v>383</v>
      </c>
      <c r="N556" s="30" t="s">
        <v>384</v>
      </c>
    </row>
    <row r="557" spans="1:14" ht="13">
      <c r="A557" s="18" t="s">
        <v>283</v>
      </c>
      <c r="B557" s="18" t="s">
        <v>260</v>
      </c>
      <c r="C557" s="18" t="s">
        <v>393</v>
      </c>
      <c r="D557" s="18" t="s">
        <v>381</v>
      </c>
      <c r="E557" s="33" t="s">
        <v>728</v>
      </c>
      <c r="F557" s="33" t="s">
        <v>84</v>
      </c>
      <c r="G557" s="18" t="s">
        <v>611</v>
      </c>
      <c r="H557" s="18">
        <v>1997</v>
      </c>
      <c r="I557" s="40">
        <v>11962</v>
      </c>
      <c r="J557" s="40">
        <v>10252</v>
      </c>
      <c r="K557" s="18">
        <v>14101</v>
      </c>
      <c r="L557" s="38" t="s">
        <v>637</v>
      </c>
      <c r="M557" s="32" t="s">
        <v>383</v>
      </c>
      <c r="N557" s="30" t="s">
        <v>384</v>
      </c>
    </row>
    <row r="558" spans="1:14" ht="13">
      <c r="A558" s="18" t="s">
        <v>283</v>
      </c>
      <c r="B558" s="18" t="s">
        <v>260</v>
      </c>
      <c r="C558" s="18" t="s">
        <v>393</v>
      </c>
      <c r="D558" s="18" t="s">
        <v>381</v>
      </c>
      <c r="E558" s="33" t="s">
        <v>728</v>
      </c>
      <c r="F558" s="33" t="s">
        <v>84</v>
      </c>
      <c r="G558" s="18" t="s">
        <v>611</v>
      </c>
      <c r="H558" s="18">
        <v>1998</v>
      </c>
      <c r="I558" s="40">
        <v>11509</v>
      </c>
      <c r="J558" s="40">
        <v>10000</v>
      </c>
      <c r="K558" s="18">
        <v>13547</v>
      </c>
      <c r="L558" s="38" t="s">
        <v>637</v>
      </c>
      <c r="M558" s="32" t="s">
        <v>383</v>
      </c>
      <c r="N558" s="30" t="s">
        <v>384</v>
      </c>
    </row>
    <row r="559" spans="1:14" ht="13">
      <c r="A559" s="18" t="s">
        <v>283</v>
      </c>
      <c r="B559" s="18" t="s">
        <v>260</v>
      </c>
      <c r="C559" s="18" t="s">
        <v>393</v>
      </c>
      <c r="D559" s="18" t="s">
        <v>381</v>
      </c>
      <c r="E559" s="33" t="s">
        <v>728</v>
      </c>
      <c r="F559" s="33" t="s">
        <v>84</v>
      </c>
      <c r="G559" s="18" t="s">
        <v>611</v>
      </c>
      <c r="H559" s="18">
        <v>1999</v>
      </c>
      <c r="I559" s="40">
        <v>12365</v>
      </c>
      <c r="J559" s="40">
        <v>10478</v>
      </c>
      <c r="K559" s="18">
        <v>14730</v>
      </c>
      <c r="L559" s="38" t="s">
        <v>637</v>
      </c>
      <c r="M559" s="32" t="s">
        <v>383</v>
      </c>
      <c r="N559" s="30" t="s">
        <v>384</v>
      </c>
    </row>
    <row r="560" spans="1:14" ht="13">
      <c r="A560" s="18" t="s">
        <v>283</v>
      </c>
      <c r="B560" s="18" t="s">
        <v>260</v>
      </c>
      <c r="C560" s="18" t="s">
        <v>393</v>
      </c>
      <c r="D560" s="18" t="s">
        <v>381</v>
      </c>
      <c r="E560" s="33" t="s">
        <v>728</v>
      </c>
      <c r="F560" s="33" t="s">
        <v>84</v>
      </c>
      <c r="G560" s="18" t="s">
        <v>611</v>
      </c>
      <c r="H560" s="18">
        <v>2000</v>
      </c>
      <c r="I560" s="40">
        <v>12113</v>
      </c>
      <c r="J560" s="40">
        <v>10377</v>
      </c>
      <c r="K560" s="18">
        <v>14201</v>
      </c>
      <c r="L560" s="38" t="s">
        <v>637</v>
      </c>
      <c r="M560" s="32" t="s">
        <v>383</v>
      </c>
      <c r="N560" s="30" t="s">
        <v>384</v>
      </c>
    </row>
    <row r="561" spans="1:14" ht="13">
      <c r="A561" s="18" t="s">
        <v>283</v>
      </c>
      <c r="B561" s="18" t="s">
        <v>260</v>
      </c>
      <c r="C561" s="18" t="s">
        <v>393</v>
      </c>
      <c r="D561" s="18" t="s">
        <v>381</v>
      </c>
      <c r="E561" s="33" t="s">
        <v>728</v>
      </c>
      <c r="F561" s="33" t="s">
        <v>84</v>
      </c>
      <c r="G561" s="18" t="s">
        <v>611</v>
      </c>
      <c r="H561" s="18">
        <v>2001</v>
      </c>
      <c r="I561" s="40">
        <v>12440</v>
      </c>
      <c r="J561" s="40">
        <v>10855</v>
      </c>
      <c r="K561" s="18">
        <v>14252</v>
      </c>
      <c r="L561" s="38" t="s">
        <v>637</v>
      </c>
      <c r="M561" s="32" t="s">
        <v>383</v>
      </c>
      <c r="N561" s="30" t="s">
        <v>384</v>
      </c>
    </row>
    <row r="562" spans="1:14" ht="13">
      <c r="A562" s="18" t="s">
        <v>283</v>
      </c>
      <c r="B562" s="18" t="s">
        <v>260</v>
      </c>
      <c r="C562" s="18" t="s">
        <v>393</v>
      </c>
      <c r="D562" s="18" t="s">
        <v>381</v>
      </c>
      <c r="E562" s="33" t="s">
        <v>728</v>
      </c>
      <c r="F562" s="33" t="s">
        <v>84</v>
      </c>
      <c r="G562" s="18" t="s">
        <v>611</v>
      </c>
      <c r="H562" s="18">
        <v>2002</v>
      </c>
      <c r="I562" s="40">
        <v>12365</v>
      </c>
      <c r="J562" s="40">
        <v>10981</v>
      </c>
      <c r="K562" s="18">
        <v>14050</v>
      </c>
      <c r="L562" s="38" t="s">
        <v>637</v>
      </c>
      <c r="M562" s="32" t="s">
        <v>383</v>
      </c>
      <c r="N562" s="30" t="s">
        <v>384</v>
      </c>
    </row>
    <row r="563" spans="1:14" ht="13">
      <c r="A563" s="18" t="s">
        <v>283</v>
      </c>
      <c r="B563" s="18" t="s">
        <v>260</v>
      </c>
      <c r="C563" s="18" t="s">
        <v>393</v>
      </c>
      <c r="D563" s="18" t="s">
        <v>381</v>
      </c>
      <c r="E563" s="33" t="s">
        <v>728</v>
      </c>
      <c r="F563" s="33" t="s">
        <v>84</v>
      </c>
      <c r="G563" s="18" t="s">
        <v>611</v>
      </c>
      <c r="H563" s="18">
        <v>2003</v>
      </c>
      <c r="I563" s="40">
        <v>12440</v>
      </c>
      <c r="J563" s="40">
        <v>10981</v>
      </c>
      <c r="K563" s="18">
        <v>14075</v>
      </c>
      <c r="L563" s="38" t="s">
        <v>637</v>
      </c>
      <c r="M563" s="32" t="s">
        <v>383</v>
      </c>
      <c r="N563" s="30" t="s">
        <v>384</v>
      </c>
    </row>
    <row r="564" spans="1:14" ht="13">
      <c r="A564" s="18" t="s">
        <v>283</v>
      </c>
      <c r="B564" s="18" t="s">
        <v>260</v>
      </c>
      <c r="C564" s="18" t="s">
        <v>393</v>
      </c>
      <c r="D564" s="18" t="s">
        <v>381</v>
      </c>
      <c r="E564" s="33" t="s">
        <v>728</v>
      </c>
      <c r="F564" s="33" t="s">
        <v>84</v>
      </c>
      <c r="G564" s="18" t="s">
        <v>611</v>
      </c>
      <c r="H564" s="18">
        <v>2004</v>
      </c>
      <c r="I564" s="40">
        <v>12642</v>
      </c>
      <c r="J564" s="40">
        <v>10252</v>
      </c>
      <c r="K564" s="18">
        <v>15082</v>
      </c>
      <c r="L564" s="38" t="s">
        <v>637</v>
      </c>
      <c r="M564" s="32" t="s">
        <v>383</v>
      </c>
      <c r="N564" s="30" t="s">
        <v>384</v>
      </c>
    </row>
    <row r="565" spans="1:14" ht="13">
      <c r="A565" s="18" t="s">
        <v>283</v>
      </c>
      <c r="B565" s="18" t="s">
        <v>260</v>
      </c>
      <c r="C565" s="18" t="s">
        <v>393</v>
      </c>
      <c r="D565" s="18" t="s">
        <v>381</v>
      </c>
      <c r="E565" s="33" t="s">
        <v>728</v>
      </c>
      <c r="F565" s="33" t="s">
        <v>84</v>
      </c>
      <c r="G565" s="18" t="s">
        <v>611</v>
      </c>
      <c r="H565" s="18">
        <v>2005</v>
      </c>
      <c r="I565" s="40">
        <v>12465</v>
      </c>
      <c r="J565" s="40">
        <v>10151</v>
      </c>
      <c r="K565" s="18">
        <v>15887</v>
      </c>
      <c r="L565" s="38" t="s">
        <v>637</v>
      </c>
      <c r="M565" s="32" t="s">
        <v>383</v>
      </c>
      <c r="N565" s="30" t="s">
        <v>384</v>
      </c>
    </row>
    <row r="566" spans="1:14" ht="13">
      <c r="A566" s="18" t="s">
        <v>283</v>
      </c>
      <c r="B566" s="18" t="s">
        <v>260</v>
      </c>
      <c r="C566" s="18" t="s">
        <v>393</v>
      </c>
      <c r="D566" s="18" t="s">
        <v>381</v>
      </c>
      <c r="E566" s="33" t="s">
        <v>728</v>
      </c>
      <c r="F566" s="33" t="s">
        <v>84</v>
      </c>
      <c r="G566" s="18" t="s">
        <v>611</v>
      </c>
      <c r="H566" s="18">
        <v>2006</v>
      </c>
      <c r="I566" s="40">
        <v>11836</v>
      </c>
      <c r="J566" s="40">
        <v>9774</v>
      </c>
      <c r="K566" s="18">
        <v>14126</v>
      </c>
      <c r="L566" s="38" t="s">
        <v>637</v>
      </c>
      <c r="M566" s="32" t="s">
        <v>383</v>
      </c>
      <c r="N566" s="30" t="s">
        <v>384</v>
      </c>
    </row>
    <row r="567" spans="1:14" ht="13">
      <c r="A567" s="18" t="s">
        <v>283</v>
      </c>
      <c r="B567" s="18" t="s">
        <v>260</v>
      </c>
      <c r="C567" s="18" t="s">
        <v>393</v>
      </c>
      <c r="D567" s="18" t="s">
        <v>381</v>
      </c>
      <c r="E567" s="33" t="s">
        <v>728</v>
      </c>
      <c r="F567" s="33" t="s">
        <v>84</v>
      </c>
      <c r="G567" s="18" t="s">
        <v>611</v>
      </c>
      <c r="H567" s="18">
        <v>2007</v>
      </c>
      <c r="I567" s="40">
        <v>11107</v>
      </c>
      <c r="J567" s="40">
        <v>9723</v>
      </c>
      <c r="K567" s="18">
        <v>12943</v>
      </c>
      <c r="L567" s="38" t="s">
        <v>637</v>
      </c>
      <c r="M567" s="32" t="s">
        <v>383</v>
      </c>
      <c r="N567" s="30" t="s">
        <v>384</v>
      </c>
    </row>
    <row r="568" spans="1:14" ht="13">
      <c r="A568" s="18" t="s">
        <v>283</v>
      </c>
      <c r="B568" s="18" t="s">
        <v>260</v>
      </c>
      <c r="C568" s="18" t="s">
        <v>393</v>
      </c>
      <c r="D568" s="18" t="s">
        <v>381</v>
      </c>
      <c r="E568" s="33" t="s">
        <v>728</v>
      </c>
      <c r="F568" s="33" t="s">
        <v>84</v>
      </c>
      <c r="G568" s="18" t="s">
        <v>611</v>
      </c>
      <c r="H568" s="18">
        <v>2008</v>
      </c>
      <c r="I568" s="40">
        <v>10830</v>
      </c>
      <c r="J568" s="40">
        <v>9723</v>
      </c>
      <c r="K568" s="18">
        <v>12340</v>
      </c>
      <c r="L568" s="38" t="s">
        <v>637</v>
      </c>
      <c r="M568" s="32" t="s">
        <v>383</v>
      </c>
      <c r="N568" s="30" t="s">
        <v>384</v>
      </c>
    </row>
    <row r="569" spans="1:14" ht="13">
      <c r="A569" s="18" t="s">
        <v>283</v>
      </c>
      <c r="B569" s="18" t="s">
        <v>260</v>
      </c>
      <c r="C569" s="18" t="s">
        <v>393</v>
      </c>
      <c r="D569" s="18" t="s">
        <v>381</v>
      </c>
      <c r="E569" s="33" t="s">
        <v>728</v>
      </c>
      <c r="F569" s="33" t="s">
        <v>84</v>
      </c>
      <c r="G569" s="18" t="s">
        <v>611</v>
      </c>
      <c r="H569" s="18">
        <v>2009</v>
      </c>
      <c r="I569" s="40">
        <v>11208</v>
      </c>
      <c r="J569" s="40">
        <v>9975</v>
      </c>
      <c r="K569" s="18">
        <v>12717</v>
      </c>
      <c r="L569" s="38" t="s">
        <v>637</v>
      </c>
      <c r="M569" s="32" t="s">
        <v>383</v>
      </c>
      <c r="N569" s="30" t="s">
        <v>384</v>
      </c>
    </row>
    <row r="570" spans="1:14" ht="13">
      <c r="A570" s="18" t="s">
        <v>283</v>
      </c>
      <c r="B570" s="18" t="s">
        <v>260</v>
      </c>
      <c r="C570" s="18" t="s">
        <v>393</v>
      </c>
      <c r="D570" s="18" t="s">
        <v>381</v>
      </c>
      <c r="E570" s="33" t="s">
        <v>728</v>
      </c>
      <c r="F570" s="33" t="s">
        <v>84</v>
      </c>
      <c r="G570" s="18" t="s">
        <v>611</v>
      </c>
      <c r="H570" s="18">
        <v>2010</v>
      </c>
      <c r="I570" s="40">
        <v>12340</v>
      </c>
      <c r="J570" s="40">
        <v>10830</v>
      </c>
      <c r="K570" s="18">
        <v>14201</v>
      </c>
      <c r="L570" s="38" t="s">
        <v>637</v>
      </c>
      <c r="M570" s="32" t="s">
        <v>383</v>
      </c>
      <c r="N570" s="30" t="s">
        <v>384</v>
      </c>
    </row>
    <row r="571" spans="1:14" ht="13">
      <c r="A571" s="18" t="s">
        <v>283</v>
      </c>
      <c r="B571" s="18" t="s">
        <v>260</v>
      </c>
      <c r="C571" s="18" t="s">
        <v>393</v>
      </c>
      <c r="D571" s="18" t="s">
        <v>381</v>
      </c>
      <c r="E571" s="33" t="s">
        <v>728</v>
      </c>
      <c r="F571" s="33" t="s">
        <v>84</v>
      </c>
      <c r="G571" s="18" t="s">
        <v>611</v>
      </c>
      <c r="H571" s="18">
        <v>2011</v>
      </c>
      <c r="I571" s="40">
        <v>12818</v>
      </c>
      <c r="J571" s="40">
        <v>11258</v>
      </c>
      <c r="K571" s="18">
        <v>14730</v>
      </c>
      <c r="L571" s="38" t="s">
        <v>637</v>
      </c>
      <c r="M571" s="32" t="s">
        <v>383</v>
      </c>
      <c r="N571" s="30" t="s">
        <v>384</v>
      </c>
    </row>
    <row r="572" spans="1:14" ht="13">
      <c r="A572" s="18" t="s">
        <v>283</v>
      </c>
      <c r="B572" s="18" t="s">
        <v>260</v>
      </c>
      <c r="C572" s="18" t="s">
        <v>393</v>
      </c>
      <c r="D572" s="18" t="s">
        <v>381</v>
      </c>
      <c r="E572" s="33" t="s">
        <v>728</v>
      </c>
      <c r="F572" s="33" t="s">
        <v>84</v>
      </c>
      <c r="G572" s="18" t="s">
        <v>611</v>
      </c>
      <c r="H572" s="18">
        <v>2012</v>
      </c>
      <c r="I572" s="40">
        <v>12610</v>
      </c>
      <c r="J572" s="40">
        <v>10704</v>
      </c>
      <c r="K572" s="18">
        <v>14931</v>
      </c>
      <c r="L572" s="38" t="s">
        <v>637</v>
      </c>
      <c r="M572" s="32" t="s">
        <v>383</v>
      </c>
      <c r="N572" s="30" t="s">
        <v>384</v>
      </c>
    </row>
    <row r="573" spans="1:14" ht="13">
      <c r="A573" s="18" t="s">
        <v>283</v>
      </c>
      <c r="B573" s="18" t="s">
        <v>260</v>
      </c>
      <c r="C573" s="18" t="s">
        <v>393</v>
      </c>
      <c r="D573" s="18" t="s">
        <v>381</v>
      </c>
      <c r="E573" s="33" t="s">
        <v>728</v>
      </c>
      <c r="F573" s="33" t="s">
        <v>84</v>
      </c>
      <c r="G573" s="18" t="s">
        <v>611</v>
      </c>
      <c r="H573" s="18">
        <v>2013</v>
      </c>
      <c r="I573" s="40">
        <v>12541</v>
      </c>
      <c r="J573" s="40">
        <v>10327</v>
      </c>
      <c r="K573" s="18">
        <v>15107</v>
      </c>
      <c r="L573" s="38" t="s">
        <v>637</v>
      </c>
      <c r="M573" s="32" t="s">
        <v>383</v>
      </c>
      <c r="N573" s="30" t="s">
        <v>384</v>
      </c>
    </row>
    <row r="574" spans="1:14" ht="13">
      <c r="A574" s="18" t="s">
        <v>283</v>
      </c>
      <c r="B574" s="18" t="s">
        <v>260</v>
      </c>
      <c r="C574" s="18" t="s">
        <v>393</v>
      </c>
      <c r="D574" s="18" t="s">
        <v>381</v>
      </c>
      <c r="E574" s="33" t="s">
        <v>728</v>
      </c>
      <c r="F574" s="33" t="s">
        <v>84</v>
      </c>
      <c r="G574" s="18" t="s">
        <v>611</v>
      </c>
      <c r="H574" s="18">
        <v>2014</v>
      </c>
      <c r="I574" s="40">
        <v>12340</v>
      </c>
      <c r="J574" s="40">
        <v>10302</v>
      </c>
      <c r="K574" s="18">
        <v>14101</v>
      </c>
      <c r="L574" s="38" t="s">
        <v>637</v>
      </c>
      <c r="M574" s="32" t="s">
        <v>383</v>
      </c>
      <c r="N574" s="30" t="s">
        <v>384</v>
      </c>
    </row>
    <row r="575" spans="1:14" ht="13">
      <c r="A575" s="18" t="s">
        <v>283</v>
      </c>
      <c r="B575" s="18" t="s">
        <v>260</v>
      </c>
      <c r="C575" s="18" t="s">
        <v>393</v>
      </c>
      <c r="D575" s="18" t="s">
        <v>381</v>
      </c>
      <c r="E575" s="33" t="s">
        <v>728</v>
      </c>
      <c r="F575" s="33" t="s">
        <v>84</v>
      </c>
      <c r="G575" s="18" t="s">
        <v>611</v>
      </c>
      <c r="H575" s="18">
        <v>2015</v>
      </c>
      <c r="I575" s="40">
        <v>12390</v>
      </c>
      <c r="J575" s="40">
        <v>10654</v>
      </c>
      <c r="K575" s="18">
        <v>14302</v>
      </c>
      <c r="L575" s="38" t="s">
        <v>637</v>
      </c>
      <c r="M575" s="32" t="s">
        <v>383</v>
      </c>
      <c r="N575" s="30" t="s">
        <v>384</v>
      </c>
    </row>
    <row r="576" spans="1:14" ht="13">
      <c r="A576" s="18" t="s">
        <v>283</v>
      </c>
      <c r="B576" s="18" t="s">
        <v>260</v>
      </c>
      <c r="C576" s="18" t="s">
        <v>393</v>
      </c>
      <c r="D576" s="18" t="s">
        <v>381</v>
      </c>
      <c r="E576" s="33" t="s">
        <v>728</v>
      </c>
      <c r="F576" s="33" t="s">
        <v>84</v>
      </c>
      <c r="G576" s="18" t="s">
        <v>611</v>
      </c>
      <c r="H576" s="18">
        <v>2016</v>
      </c>
      <c r="I576" s="40">
        <v>12767</v>
      </c>
      <c r="J576" s="40">
        <v>10428</v>
      </c>
      <c r="K576" s="18">
        <v>15585</v>
      </c>
      <c r="L576" s="38" t="s">
        <v>637</v>
      </c>
      <c r="M576" s="32" t="s">
        <v>383</v>
      </c>
      <c r="N576" s="30" t="s">
        <v>384</v>
      </c>
    </row>
    <row r="577" spans="1:14" ht="13">
      <c r="A577" s="18" t="s">
        <v>283</v>
      </c>
      <c r="B577" s="18" t="s">
        <v>260</v>
      </c>
      <c r="C577" s="18" t="s">
        <v>393</v>
      </c>
      <c r="D577" s="18" t="s">
        <v>381</v>
      </c>
      <c r="E577" s="33" t="s">
        <v>728</v>
      </c>
      <c r="F577" s="33" t="s">
        <v>84</v>
      </c>
      <c r="G577" s="18" t="s">
        <v>611</v>
      </c>
      <c r="H577" s="18">
        <v>2017</v>
      </c>
      <c r="I577" s="40">
        <v>12969</v>
      </c>
      <c r="J577" s="40">
        <v>10377</v>
      </c>
      <c r="K577" s="18">
        <v>16465</v>
      </c>
      <c r="L577" s="38" t="s">
        <v>637</v>
      </c>
      <c r="M577" s="32" t="s">
        <v>383</v>
      </c>
      <c r="N577" s="30" t="s">
        <v>384</v>
      </c>
    </row>
    <row r="578" spans="1:14" ht="13">
      <c r="A578" s="18" t="s">
        <v>283</v>
      </c>
      <c r="B578" s="18" t="s">
        <v>260</v>
      </c>
      <c r="C578" s="18" t="s">
        <v>393</v>
      </c>
      <c r="D578" s="18" t="s">
        <v>381</v>
      </c>
      <c r="E578" s="33" t="s">
        <v>728</v>
      </c>
      <c r="F578" s="33" t="s">
        <v>84</v>
      </c>
      <c r="G578" s="18" t="s">
        <v>611</v>
      </c>
      <c r="H578" s="18">
        <v>2018</v>
      </c>
      <c r="I578" s="40">
        <v>13270</v>
      </c>
      <c r="J578" s="40">
        <v>10403</v>
      </c>
      <c r="K578" s="18">
        <v>17648</v>
      </c>
      <c r="L578" s="38" t="s">
        <v>637</v>
      </c>
      <c r="M578" s="32" t="s">
        <v>383</v>
      </c>
      <c r="N578" s="30" t="s">
        <v>384</v>
      </c>
    </row>
    <row r="579" spans="1:14" ht="13">
      <c r="A579" s="18" t="s">
        <v>283</v>
      </c>
      <c r="B579" s="18" t="s">
        <v>260</v>
      </c>
      <c r="C579" s="18" t="s">
        <v>394</v>
      </c>
      <c r="D579" s="18" t="s">
        <v>381</v>
      </c>
      <c r="E579" s="33" t="s">
        <v>729</v>
      </c>
      <c r="F579" s="33" t="s">
        <v>84</v>
      </c>
      <c r="G579" s="18" t="s">
        <v>611</v>
      </c>
      <c r="H579" s="18">
        <v>1996</v>
      </c>
      <c r="I579" s="40">
        <v>19375</v>
      </c>
      <c r="J579" s="40">
        <v>16205</v>
      </c>
      <c r="K579" s="18">
        <v>23746</v>
      </c>
      <c r="L579" s="38" t="s">
        <v>637</v>
      </c>
      <c r="M579" s="32" t="s">
        <v>383</v>
      </c>
      <c r="N579" s="30" t="s">
        <v>384</v>
      </c>
    </row>
    <row r="580" spans="1:14" ht="13">
      <c r="A580" s="18" t="s">
        <v>283</v>
      </c>
      <c r="B580" s="18" t="s">
        <v>260</v>
      </c>
      <c r="C580" s="18" t="s">
        <v>394</v>
      </c>
      <c r="D580" s="18" t="s">
        <v>381</v>
      </c>
      <c r="E580" s="33" t="s">
        <v>729</v>
      </c>
      <c r="F580" s="33" t="s">
        <v>84</v>
      </c>
      <c r="G580" s="18" t="s">
        <v>611</v>
      </c>
      <c r="H580" s="18">
        <v>1997</v>
      </c>
      <c r="I580" s="40">
        <v>18450</v>
      </c>
      <c r="J580" s="40">
        <v>15608</v>
      </c>
      <c r="K580" s="18">
        <v>21837</v>
      </c>
      <c r="L580" s="38" t="s">
        <v>637</v>
      </c>
      <c r="M580" s="32" t="s">
        <v>383</v>
      </c>
      <c r="N580" s="30" t="s">
        <v>384</v>
      </c>
    </row>
    <row r="581" spans="1:14" ht="13">
      <c r="A581" s="18" t="s">
        <v>283</v>
      </c>
      <c r="B581" s="18" t="s">
        <v>260</v>
      </c>
      <c r="C581" s="18" t="s">
        <v>394</v>
      </c>
      <c r="D581" s="18" t="s">
        <v>381</v>
      </c>
      <c r="E581" s="33" t="s">
        <v>729</v>
      </c>
      <c r="F581" s="33" t="s">
        <v>84</v>
      </c>
      <c r="G581" s="18" t="s">
        <v>611</v>
      </c>
      <c r="H581" s="18">
        <v>1998</v>
      </c>
      <c r="I581" s="40">
        <v>16541</v>
      </c>
      <c r="J581" s="40">
        <v>14519</v>
      </c>
      <c r="K581" s="18">
        <v>19601</v>
      </c>
      <c r="L581" s="38" t="s">
        <v>637</v>
      </c>
      <c r="M581" s="32" t="s">
        <v>383</v>
      </c>
      <c r="N581" s="30" t="s">
        <v>384</v>
      </c>
    </row>
    <row r="582" spans="1:14" ht="13">
      <c r="A582" s="18" t="s">
        <v>283</v>
      </c>
      <c r="B582" s="18" t="s">
        <v>260</v>
      </c>
      <c r="C582" s="18" t="s">
        <v>394</v>
      </c>
      <c r="D582" s="18" t="s">
        <v>381</v>
      </c>
      <c r="E582" s="33" t="s">
        <v>729</v>
      </c>
      <c r="F582" s="33" t="s">
        <v>84</v>
      </c>
      <c r="G582" s="18" t="s">
        <v>611</v>
      </c>
      <c r="H582" s="18">
        <v>1999</v>
      </c>
      <c r="I582" s="40">
        <v>18183</v>
      </c>
      <c r="J582" s="40">
        <v>15397</v>
      </c>
      <c r="K582" s="18">
        <v>21462</v>
      </c>
      <c r="L582" s="38" t="s">
        <v>637</v>
      </c>
      <c r="M582" s="32" t="s">
        <v>383</v>
      </c>
      <c r="N582" s="30" t="s">
        <v>384</v>
      </c>
    </row>
    <row r="583" spans="1:14" ht="13">
      <c r="A583" s="18" t="s">
        <v>283</v>
      </c>
      <c r="B583" s="18" t="s">
        <v>260</v>
      </c>
      <c r="C583" s="18" t="s">
        <v>394</v>
      </c>
      <c r="D583" s="18" t="s">
        <v>381</v>
      </c>
      <c r="E583" s="33" t="s">
        <v>729</v>
      </c>
      <c r="F583" s="33" t="s">
        <v>84</v>
      </c>
      <c r="G583" s="18" t="s">
        <v>611</v>
      </c>
      <c r="H583" s="18">
        <v>2000</v>
      </c>
      <c r="I583" s="40">
        <v>18679</v>
      </c>
      <c r="J583" s="40">
        <v>15400</v>
      </c>
      <c r="K583" s="18">
        <v>22504</v>
      </c>
      <c r="L583" s="38" t="s">
        <v>637</v>
      </c>
      <c r="M583" s="32" t="s">
        <v>383</v>
      </c>
      <c r="N583" s="30" t="s">
        <v>384</v>
      </c>
    </row>
    <row r="584" spans="1:14" ht="13">
      <c r="A584" s="18" t="s">
        <v>283</v>
      </c>
      <c r="B584" s="18" t="s">
        <v>260</v>
      </c>
      <c r="C584" s="18" t="s">
        <v>394</v>
      </c>
      <c r="D584" s="18" t="s">
        <v>381</v>
      </c>
      <c r="E584" s="33" t="s">
        <v>729</v>
      </c>
      <c r="F584" s="33" t="s">
        <v>84</v>
      </c>
      <c r="G584" s="18" t="s">
        <v>611</v>
      </c>
      <c r="H584" s="18">
        <v>2001</v>
      </c>
      <c r="I584" s="40">
        <v>18683</v>
      </c>
      <c r="J584" s="40">
        <v>15950</v>
      </c>
      <c r="K584" s="18">
        <v>22016</v>
      </c>
      <c r="L584" s="38" t="s">
        <v>637</v>
      </c>
      <c r="M584" s="32" t="s">
        <v>383</v>
      </c>
      <c r="N584" s="30" t="s">
        <v>384</v>
      </c>
    </row>
    <row r="585" spans="1:14" ht="13">
      <c r="A585" s="18" t="s">
        <v>283</v>
      </c>
      <c r="B585" s="18" t="s">
        <v>260</v>
      </c>
      <c r="C585" s="18" t="s">
        <v>394</v>
      </c>
      <c r="D585" s="18" t="s">
        <v>381</v>
      </c>
      <c r="E585" s="33" t="s">
        <v>729</v>
      </c>
      <c r="F585" s="33" t="s">
        <v>84</v>
      </c>
      <c r="G585" s="18" t="s">
        <v>611</v>
      </c>
      <c r="H585" s="18">
        <v>2002</v>
      </c>
      <c r="I585" s="40">
        <v>18577</v>
      </c>
      <c r="J585" s="40">
        <v>15900</v>
      </c>
      <c r="K585" s="18">
        <v>22293</v>
      </c>
      <c r="L585" s="38" t="s">
        <v>637</v>
      </c>
      <c r="M585" s="32" t="s">
        <v>383</v>
      </c>
      <c r="N585" s="30" t="s">
        <v>384</v>
      </c>
    </row>
    <row r="586" spans="1:14" ht="13">
      <c r="A586" s="18" t="s">
        <v>283</v>
      </c>
      <c r="B586" s="18" t="s">
        <v>260</v>
      </c>
      <c r="C586" s="18" t="s">
        <v>394</v>
      </c>
      <c r="D586" s="18" t="s">
        <v>381</v>
      </c>
      <c r="E586" s="33" t="s">
        <v>729</v>
      </c>
      <c r="F586" s="33" t="s">
        <v>84</v>
      </c>
      <c r="G586" s="18" t="s">
        <v>611</v>
      </c>
      <c r="H586" s="18">
        <v>2003</v>
      </c>
      <c r="I586" s="40">
        <v>17433</v>
      </c>
      <c r="J586" s="40">
        <v>15630</v>
      </c>
      <c r="K586" s="18">
        <v>19783</v>
      </c>
      <c r="L586" s="38" t="s">
        <v>637</v>
      </c>
      <c r="M586" s="32" t="s">
        <v>383</v>
      </c>
      <c r="N586" s="30" t="s">
        <v>384</v>
      </c>
    </row>
    <row r="587" spans="1:14" ht="13">
      <c r="A587" s="18" t="s">
        <v>283</v>
      </c>
      <c r="B587" s="18" t="s">
        <v>260</v>
      </c>
      <c r="C587" s="18" t="s">
        <v>394</v>
      </c>
      <c r="D587" s="18" t="s">
        <v>381</v>
      </c>
      <c r="E587" s="33" t="s">
        <v>729</v>
      </c>
      <c r="F587" s="33" t="s">
        <v>84</v>
      </c>
      <c r="G587" s="18" t="s">
        <v>611</v>
      </c>
      <c r="H587" s="18">
        <v>2004</v>
      </c>
      <c r="I587" s="40">
        <v>19021</v>
      </c>
      <c r="J587" s="40">
        <v>16180</v>
      </c>
      <c r="K587" s="18">
        <v>22737</v>
      </c>
      <c r="L587" s="38" t="s">
        <v>637</v>
      </c>
      <c r="M587" s="32" t="s">
        <v>383</v>
      </c>
      <c r="N587" s="30" t="s">
        <v>384</v>
      </c>
    </row>
    <row r="588" spans="1:14" ht="13">
      <c r="A588" s="18" t="s">
        <v>283</v>
      </c>
      <c r="B588" s="18" t="s">
        <v>260</v>
      </c>
      <c r="C588" s="18" t="s">
        <v>394</v>
      </c>
      <c r="D588" s="18" t="s">
        <v>381</v>
      </c>
      <c r="E588" s="33" t="s">
        <v>729</v>
      </c>
      <c r="F588" s="33" t="s">
        <v>84</v>
      </c>
      <c r="G588" s="18" t="s">
        <v>611</v>
      </c>
      <c r="H588" s="18">
        <v>2005</v>
      </c>
      <c r="I588" s="40">
        <v>19954</v>
      </c>
      <c r="J588" s="40">
        <v>16785</v>
      </c>
      <c r="K588" s="18">
        <v>23779</v>
      </c>
      <c r="L588" s="38" t="s">
        <v>637</v>
      </c>
      <c r="M588" s="32" t="s">
        <v>383</v>
      </c>
      <c r="N588" s="30" t="s">
        <v>384</v>
      </c>
    </row>
    <row r="589" spans="1:14" ht="13">
      <c r="A589" s="18" t="s">
        <v>283</v>
      </c>
      <c r="B589" s="18" t="s">
        <v>260</v>
      </c>
      <c r="C589" s="18" t="s">
        <v>394</v>
      </c>
      <c r="D589" s="18" t="s">
        <v>381</v>
      </c>
      <c r="E589" s="33" t="s">
        <v>729</v>
      </c>
      <c r="F589" s="33" t="s">
        <v>84</v>
      </c>
      <c r="G589" s="18" t="s">
        <v>611</v>
      </c>
      <c r="H589" s="18">
        <v>2006</v>
      </c>
      <c r="I589" s="40">
        <v>20012</v>
      </c>
      <c r="J589" s="40">
        <v>16898</v>
      </c>
      <c r="K589" s="18">
        <v>24548</v>
      </c>
      <c r="L589" s="38" t="s">
        <v>637</v>
      </c>
      <c r="M589" s="32" t="s">
        <v>383</v>
      </c>
      <c r="N589" s="30" t="s">
        <v>384</v>
      </c>
    </row>
    <row r="590" spans="1:14" ht="13">
      <c r="A590" s="18" t="s">
        <v>283</v>
      </c>
      <c r="B590" s="18" t="s">
        <v>260</v>
      </c>
      <c r="C590" s="18" t="s">
        <v>394</v>
      </c>
      <c r="D590" s="18" t="s">
        <v>381</v>
      </c>
      <c r="E590" s="33" t="s">
        <v>729</v>
      </c>
      <c r="F590" s="33" t="s">
        <v>84</v>
      </c>
      <c r="G590" s="18" t="s">
        <v>611</v>
      </c>
      <c r="H590" s="18">
        <v>2007</v>
      </c>
      <c r="I590" s="40">
        <v>20289</v>
      </c>
      <c r="J590" s="40">
        <v>17448</v>
      </c>
      <c r="K590" s="18">
        <v>24989</v>
      </c>
      <c r="L590" s="38" t="s">
        <v>637</v>
      </c>
      <c r="M590" s="32" t="s">
        <v>383</v>
      </c>
      <c r="N590" s="30" t="s">
        <v>384</v>
      </c>
    </row>
    <row r="591" spans="1:14" ht="13">
      <c r="A591" s="18" t="s">
        <v>283</v>
      </c>
      <c r="B591" s="18" t="s">
        <v>260</v>
      </c>
      <c r="C591" s="18" t="s">
        <v>394</v>
      </c>
      <c r="D591" s="18" t="s">
        <v>381</v>
      </c>
      <c r="E591" s="33" t="s">
        <v>729</v>
      </c>
      <c r="F591" s="33" t="s">
        <v>84</v>
      </c>
      <c r="G591" s="18" t="s">
        <v>611</v>
      </c>
      <c r="H591" s="18">
        <v>2008</v>
      </c>
      <c r="I591" s="40">
        <v>20129</v>
      </c>
      <c r="J591" s="40">
        <v>17834</v>
      </c>
      <c r="K591" s="18">
        <v>23298</v>
      </c>
      <c r="L591" s="38" t="s">
        <v>637</v>
      </c>
      <c r="M591" s="32" t="s">
        <v>383</v>
      </c>
      <c r="N591" s="30" t="s">
        <v>384</v>
      </c>
    </row>
    <row r="592" spans="1:14" ht="13">
      <c r="A592" s="18" t="s">
        <v>283</v>
      </c>
      <c r="B592" s="18" t="s">
        <v>260</v>
      </c>
      <c r="C592" s="18" t="s">
        <v>394</v>
      </c>
      <c r="D592" s="18" t="s">
        <v>381</v>
      </c>
      <c r="E592" s="33" t="s">
        <v>729</v>
      </c>
      <c r="F592" s="33" t="s">
        <v>84</v>
      </c>
      <c r="G592" s="18" t="s">
        <v>611</v>
      </c>
      <c r="H592" s="18">
        <v>2009</v>
      </c>
      <c r="I592" s="40">
        <v>21717</v>
      </c>
      <c r="J592" s="40">
        <v>19477</v>
      </c>
      <c r="K592" s="18">
        <v>24613</v>
      </c>
      <c r="L592" s="38" t="s">
        <v>637</v>
      </c>
      <c r="M592" s="32" t="s">
        <v>383</v>
      </c>
      <c r="N592" s="30" t="s">
        <v>384</v>
      </c>
    </row>
    <row r="593" spans="1:14" ht="13">
      <c r="A593" s="18" t="s">
        <v>283</v>
      </c>
      <c r="B593" s="18" t="s">
        <v>260</v>
      </c>
      <c r="C593" s="18" t="s">
        <v>394</v>
      </c>
      <c r="D593" s="18" t="s">
        <v>381</v>
      </c>
      <c r="E593" s="33" t="s">
        <v>729</v>
      </c>
      <c r="F593" s="33" t="s">
        <v>84</v>
      </c>
      <c r="G593" s="18" t="s">
        <v>611</v>
      </c>
      <c r="H593" s="18">
        <v>2010</v>
      </c>
      <c r="I593" s="40">
        <v>20682</v>
      </c>
      <c r="J593" s="40">
        <v>18497</v>
      </c>
      <c r="K593" s="18">
        <v>23961</v>
      </c>
      <c r="L593" s="38" t="s">
        <v>637</v>
      </c>
      <c r="M593" s="32" t="s">
        <v>383</v>
      </c>
      <c r="N593" s="30" t="s">
        <v>384</v>
      </c>
    </row>
    <row r="594" spans="1:14" ht="13">
      <c r="A594" s="18" t="s">
        <v>283</v>
      </c>
      <c r="B594" s="18" t="s">
        <v>260</v>
      </c>
      <c r="C594" s="18" t="s">
        <v>394</v>
      </c>
      <c r="D594" s="18" t="s">
        <v>381</v>
      </c>
      <c r="E594" s="33" t="s">
        <v>729</v>
      </c>
      <c r="F594" s="33" t="s">
        <v>84</v>
      </c>
      <c r="G594" s="18" t="s">
        <v>611</v>
      </c>
      <c r="H594" s="18">
        <v>2011</v>
      </c>
      <c r="I594" s="40">
        <v>22380</v>
      </c>
      <c r="J594" s="40">
        <v>19757</v>
      </c>
      <c r="K594" s="18">
        <v>25495</v>
      </c>
      <c r="L594" s="38" t="s">
        <v>637</v>
      </c>
      <c r="M594" s="32" t="s">
        <v>383</v>
      </c>
      <c r="N594" s="30" t="s">
        <v>384</v>
      </c>
    </row>
    <row r="595" spans="1:14" ht="13">
      <c r="A595" s="18" t="s">
        <v>283</v>
      </c>
      <c r="B595" s="18" t="s">
        <v>260</v>
      </c>
      <c r="C595" s="18" t="s">
        <v>394</v>
      </c>
      <c r="D595" s="18" t="s">
        <v>381</v>
      </c>
      <c r="E595" s="33" t="s">
        <v>729</v>
      </c>
      <c r="F595" s="33" t="s">
        <v>84</v>
      </c>
      <c r="G595" s="18" t="s">
        <v>611</v>
      </c>
      <c r="H595" s="18">
        <v>2012</v>
      </c>
      <c r="I595" s="40">
        <v>22384</v>
      </c>
      <c r="J595" s="40">
        <v>19488</v>
      </c>
      <c r="K595" s="18">
        <v>25772</v>
      </c>
      <c r="L595" s="38" t="s">
        <v>637</v>
      </c>
      <c r="M595" s="32" t="s">
        <v>383</v>
      </c>
      <c r="N595" s="30" t="s">
        <v>384</v>
      </c>
    </row>
    <row r="596" spans="1:14" ht="13">
      <c r="A596" s="18" t="s">
        <v>283</v>
      </c>
      <c r="B596" s="18" t="s">
        <v>260</v>
      </c>
      <c r="C596" s="18" t="s">
        <v>394</v>
      </c>
      <c r="D596" s="18" t="s">
        <v>381</v>
      </c>
      <c r="E596" s="33" t="s">
        <v>729</v>
      </c>
      <c r="F596" s="33" t="s">
        <v>84</v>
      </c>
      <c r="G596" s="18" t="s">
        <v>611</v>
      </c>
      <c r="H596" s="18">
        <v>2013</v>
      </c>
      <c r="I596" s="40">
        <v>22060</v>
      </c>
      <c r="J596" s="40">
        <v>18726</v>
      </c>
      <c r="K596" s="18">
        <v>25939</v>
      </c>
      <c r="L596" s="38" t="s">
        <v>637</v>
      </c>
      <c r="M596" s="32" t="s">
        <v>383</v>
      </c>
      <c r="N596" s="30" t="s">
        <v>384</v>
      </c>
    </row>
    <row r="597" spans="1:14" ht="13">
      <c r="A597" s="18" t="s">
        <v>283</v>
      </c>
      <c r="B597" s="18" t="s">
        <v>260</v>
      </c>
      <c r="C597" s="18" t="s">
        <v>394</v>
      </c>
      <c r="D597" s="18" t="s">
        <v>381</v>
      </c>
      <c r="E597" s="33" t="s">
        <v>729</v>
      </c>
      <c r="F597" s="33" t="s">
        <v>84</v>
      </c>
      <c r="G597" s="18" t="s">
        <v>611</v>
      </c>
      <c r="H597" s="18">
        <v>2014</v>
      </c>
      <c r="I597" s="40">
        <v>22118</v>
      </c>
      <c r="J597" s="40">
        <v>18402</v>
      </c>
      <c r="K597" s="18">
        <v>26544</v>
      </c>
      <c r="L597" s="38" t="s">
        <v>637</v>
      </c>
      <c r="M597" s="32" t="s">
        <v>383</v>
      </c>
      <c r="N597" s="30" t="s">
        <v>384</v>
      </c>
    </row>
    <row r="598" spans="1:14" ht="13">
      <c r="A598" s="18" t="s">
        <v>283</v>
      </c>
      <c r="B598" s="18" t="s">
        <v>260</v>
      </c>
      <c r="C598" s="18" t="s">
        <v>394</v>
      </c>
      <c r="D598" s="18" t="s">
        <v>381</v>
      </c>
      <c r="E598" s="33" t="s">
        <v>729</v>
      </c>
      <c r="F598" s="33" t="s">
        <v>84</v>
      </c>
      <c r="G598" s="18" t="s">
        <v>611</v>
      </c>
      <c r="H598" s="18">
        <v>2015</v>
      </c>
      <c r="I598" s="40">
        <v>21083</v>
      </c>
      <c r="J598" s="40">
        <v>18242</v>
      </c>
      <c r="K598" s="18">
        <v>24908</v>
      </c>
      <c r="L598" s="38" t="s">
        <v>637</v>
      </c>
      <c r="M598" s="32" t="s">
        <v>383</v>
      </c>
      <c r="N598" s="30" t="s">
        <v>384</v>
      </c>
    </row>
    <row r="599" spans="1:14" ht="13">
      <c r="A599" s="18" t="s">
        <v>283</v>
      </c>
      <c r="B599" s="18" t="s">
        <v>260</v>
      </c>
      <c r="C599" s="18" t="s">
        <v>394</v>
      </c>
      <c r="D599" s="18" t="s">
        <v>381</v>
      </c>
      <c r="E599" s="33" t="s">
        <v>729</v>
      </c>
      <c r="F599" s="33" t="s">
        <v>84</v>
      </c>
      <c r="G599" s="18" t="s">
        <v>611</v>
      </c>
      <c r="H599" s="18">
        <v>2016</v>
      </c>
      <c r="I599" s="40">
        <v>22125</v>
      </c>
      <c r="J599" s="40">
        <v>18956</v>
      </c>
      <c r="K599" s="18">
        <v>27863</v>
      </c>
      <c r="L599" s="38" t="s">
        <v>637</v>
      </c>
      <c r="M599" s="32" t="s">
        <v>383</v>
      </c>
      <c r="N599" s="30" t="s">
        <v>384</v>
      </c>
    </row>
    <row r="600" spans="1:14" ht="13">
      <c r="A600" s="18" t="s">
        <v>283</v>
      </c>
      <c r="B600" s="18" t="s">
        <v>260</v>
      </c>
      <c r="C600" s="18" t="s">
        <v>394</v>
      </c>
      <c r="D600" s="18" t="s">
        <v>381</v>
      </c>
      <c r="E600" s="33" t="s">
        <v>729</v>
      </c>
      <c r="F600" s="33" t="s">
        <v>84</v>
      </c>
      <c r="G600" s="18" t="s">
        <v>611</v>
      </c>
      <c r="H600" s="18">
        <v>2017</v>
      </c>
      <c r="I600" s="40">
        <v>23331</v>
      </c>
      <c r="J600" s="40">
        <v>19069</v>
      </c>
      <c r="K600" s="18">
        <v>30490</v>
      </c>
      <c r="L600" s="38" t="s">
        <v>637</v>
      </c>
      <c r="M600" s="32" t="s">
        <v>383</v>
      </c>
      <c r="N600" s="30" t="s">
        <v>384</v>
      </c>
    </row>
    <row r="601" spans="1:14" ht="13">
      <c r="A601" s="18" t="s">
        <v>283</v>
      </c>
      <c r="B601" s="18" t="s">
        <v>260</v>
      </c>
      <c r="C601" s="18" t="s">
        <v>394</v>
      </c>
      <c r="D601" s="18" t="s">
        <v>381</v>
      </c>
      <c r="E601" s="33" t="s">
        <v>729</v>
      </c>
      <c r="F601" s="33" t="s">
        <v>84</v>
      </c>
      <c r="G601" s="18" t="s">
        <v>611</v>
      </c>
      <c r="H601" s="18">
        <v>2018</v>
      </c>
      <c r="I601" s="40">
        <v>23553</v>
      </c>
      <c r="J601" s="40">
        <v>18744</v>
      </c>
      <c r="K601" s="18">
        <v>28635</v>
      </c>
      <c r="L601" s="38" t="s">
        <v>637</v>
      </c>
      <c r="M601" s="32" t="s">
        <v>383</v>
      </c>
      <c r="N601" s="30" t="s">
        <v>384</v>
      </c>
    </row>
    <row r="602" spans="1:14" ht="13">
      <c r="A602" s="18" t="s">
        <v>283</v>
      </c>
      <c r="B602" s="18" t="s">
        <v>260</v>
      </c>
      <c r="C602" s="18" t="s">
        <v>395</v>
      </c>
      <c r="D602" s="18" t="s">
        <v>381</v>
      </c>
      <c r="E602" s="33" t="s">
        <v>730</v>
      </c>
      <c r="F602" s="33" t="s">
        <v>84</v>
      </c>
      <c r="G602" s="18" t="s">
        <v>611</v>
      </c>
      <c r="H602" s="18">
        <v>1996</v>
      </c>
      <c r="I602" s="40">
        <v>27157</v>
      </c>
      <c r="J602" s="40">
        <v>24326</v>
      </c>
      <c r="K602" s="18">
        <v>30157</v>
      </c>
      <c r="L602" s="38" t="s">
        <v>637</v>
      </c>
      <c r="M602" s="32" t="s">
        <v>383</v>
      </c>
      <c r="N602" s="30" t="s">
        <v>384</v>
      </c>
    </row>
    <row r="603" spans="1:14" ht="13">
      <c r="A603" s="18" t="s">
        <v>283</v>
      </c>
      <c r="B603" s="18" t="s">
        <v>260</v>
      </c>
      <c r="C603" s="18" t="s">
        <v>395</v>
      </c>
      <c r="D603" s="18" t="s">
        <v>381</v>
      </c>
      <c r="E603" s="33" t="s">
        <v>730</v>
      </c>
      <c r="F603" s="33" t="s">
        <v>84</v>
      </c>
      <c r="G603" s="18" t="s">
        <v>611</v>
      </c>
      <c r="H603" s="18">
        <v>1997</v>
      </c>
      <c r="I603" s="40">
        <v>27752</v>
      </c>
      <c r="J603" s="40">
        <v>24879</v>
      </c>
      <c r="K603" s="18">
        <v>30667</v>
      </c>
      <c r="L603" s="38" t="s">
        <v>637</v>
      </c>
      <c r="M603" s="32" t="s">
        <v>383</v>
      </c>
      <c r="N603" s="30" t="s">
        <v>384</v>
      </c>
    </row>
    <row r="604" spans="1:14" ht="13">
      <c r="A604" s="18" t="s">
        <v>283</v>
      </c>
      <c r="B604" s="18" t="s">
        <v>260</v>
      </c>
      <c r="C604" s="18" t="s">
        <v>395</v>
      </c>
      <c r="D604" s="18" t="s">
        <v>381</v>
      </c>
      <c r="E604" s="33" t="s">
        <v>730</v>
      </c>
      <c r="F604" s="33" t="s">
        <v>84</v>
      </c>
      <c r="G604" s="18" t="s">
        <v>611</v>
      </c>
      <c r="H604" s="18">
        <v>1998</v>
      </c>
      <c r="I604" s="40">
        <v>27374</v>
      </c>
      <c r="J604" s="40">
        <v>24797</v>
      </c>
      <c r="K604" s="18">
        <v>30332</v>
      </c>
      <c r="L604" s="38" t="s">
        <v>637</v>
      </c>
      <c r="M604" s="32" t="s">
        <v>383</v>
      </c>
      <c r="N604" s="30" t="s">
        <v>384</v>
      </c>
    </row>
    <row r="605" spans="1:14" ht="13">
      <c r="A605" s="18" t="s">
        <v>283</v>
      </c>
      <c r="B605" s="18" t="s">
        <v>260</v>
      </c>
      <c r="C605" s="18" t="s">
        <v>395</v>
      </c>
      <c r="D605" s="18" t="s">
        <v>381</v>
      </c>
      <c r="E605" s="33" t="s">
        <v>730</v>
      </c>
      <c r="F605" s="33" t="s">
        <v>84</v>
      </c>
      <c r="G605" s="18" t="s">
        <v>611</v>
      </c>
      <c r="H605" s="18">
        <v>1999</v>
      </c>
      <c r="I605" s="40">
        <v>27969</v>
      </c>
      <c r="J605" s="40">
        <v>24926</v>
      </c>
      <c r="K605" s="18">
        <v>31433</v>
      </c>
      <c r="L605" s="38" t="s">
        <v>637</v>
      </c>
      <c r="M605" s="32" t="s">
        <v>383</v>
      </c>
      <c r="N605" s="30" t="s">
        <v>384</v>
      </c>
    </row>
    <row r="606" spans="1:14" ht="13">
      <c r="A606" s="18" t="s">
        <v>283</v>
      </c>
      <c r="B606" s="18" t="s">
        <v>260</v>
      </c>
      <c r="C606" s="18" t="s">
        <v>395</v>
      </c>
      <c r="D606" s="18" t="s">
        <v>381</v>
      </c>
      <c r="E606" s="33" t="s">
        <v>730</v>
      </c>
      <c r="F606" s="33" t="s">
        <v>84</v>
      </c>
      <c r="G606" s="18" t="s">
        <v>611</v>
      </c>
      <c r="H606" s="18">
        <v>2000</v>
      </c>
      <c r="I606" s="40">
        <v>27971</v>
      </c>
      <c r="J606" s="40">
        <v>25225</v>
      </c>
      <c r="K606" s="18">
        <v>31098</v>
      </c>
      <c r="L606" s="38" t="s">
        <v>637</v>
      </c>
      <c r="M606" s="32" t="s">
        <v>383</v>
      </c>
      <c r="N606" s="30" t="s">
        <v>384</v>
      </c>
    </row>
    <row r="607" spans="1:14" ht="13">
      <c r="A607" s="18" t="s">
        <v>283</v>
      </c>
      <c r="B607" s="18" t="s">
        <v>260</v>
      </c>
      <c r="C607" s="18" t="s">
        <v>395</v>
      </c>
      <c r="D607" s="18" t="s">
        <v>381</v>
      </c>
      <c r="E607" s="33" t="s">
        <v>730</v>
      </c>
      <c r="F607" s="33" t="s">
        <v>84</v>
      </c>
      <c r="G607" s="18" t="s">
        <v>611</v>
      </c>
      <c r="H607" s="18">
        <v>2001</v>
      </c>
      <c r="I607" s="40">
        <v>29368</v>
      </c>
      <c r="J607" s="40">
        <v>26031</v>
      </c>
      <c r="K607" s="18">
        <v>33298</v>
      </c>
      <c r="L607" s="38" t="s">
        <v>637</v>
      </c>
      <c r="M607" s="32" t="s">
        <v>383</v>
      </c>
      <c r="N607" s="30" t="s">
        <v>384</v>
      </c>
    </row>
    <row r="608" spans="1:14" ht="13">
      <c r="A608" s="18" t="s">
        <v>283</v>
      </c>
      <c r="B608" s="18" t="s">
        <v>260</v>
      </c>
      <c r="C608" s="18" t="s">
        <v>395</v>
      </c>
      <c r="D608" s="18" t="s">
        <v>381</v>
      </c>
      <c r="E608" s="33" t="s">
        <v>730</v>
      </c>
      <c r="F608" s="33" t="s">
        <v>84</v>
      </c>
      <c r="G608" s="18" t="s">
        <v>611</v>
      </c>
      <c r="H608" s="18">
        <v>2002</v>
      </c>
      <c r="I608" s="40">
        <v>30639</v>
      </c>
      <c r="J608" s="40">
        <v>27301</v>
      </c>
      <c r="K608" s="18">
        <v>34019</v>
      </c>
      <c r="L608" s="38" t="s">
        <v>637</v>
      </c>
      <c r="M608" s="32" t="s">
        <v>383</v>
      </c>
      <c r="N608" s="30" t="s">
        <v>384</v>
      </c>
    </row>
    <row r="609" spans="1:14" ht="13">
      <c r="A609" s="18" t="s">
        <v>283</v>
      </c>
      <c r="B609" s="18" t="s">
        <v>260</v>
      </c>
      <c r="C609" s="18" t="s">
        <v>395</v>
      </c>
      <c r="D609" s="18" t="s">
        <v>381</v>
      </c>
      <c r="E609" s="33" t="s">
        <v>730</v>
      </c>
      <c r="F609" s="33" t="s">
        <v>84</v>
      </c>
      <c r="G609" s="18" t="s">
        <v>611</v>
      </c>
      <c r="H609" s="18">
        <v>2003</v>
      </c>
      <c r="I609" s="40">
        <v>30093</v>
      </c>
      <c r="J609" s="40">
        <v>27473</v>
      </c>
      <c r="K609" s="18">
        <v>33684</v>
      </c>
      <c r="L609" s="38" t="s">
        <v>637</v>
      </c>
      <c r="M609" s="32" t="s">
        <v>383</v>
      </c>
      <c r="N609" s="30" t="s">
        <v>384</v>
      </c>
    </row>
    <row r="610" spans="1:14" ht="13">
      <c r="A610" s="18" t="s">
        <v>283</v>
      </c>
      <c r="B610" s="18" t="s">
        <v>260</v>
      </c>
      <c r="C610" s="18" t="s">
        <v>395</v>
      </c>
      <c r="D610" s="18" t="s">
        <v>381</v>
      </c>
      <c r="E610" s="33" t="s">
        <v>730</v>
      </c>
      <c r="F610" s="33" t="s">
        <v>84</v>
      </c>
      <c r="G610" s="18" t="s">
        <v>611</v>
      </c>
      <c r="H610" s="18">
        <v>2004</v>
      </c>
      <c r="I610" s="40">
        <v>29630</v>
      </c>
      <c r="J610" s="40">
        <v>26504</v>
      </c>
      <c r="K610" s="18">
        <v>33138</v>
      </c>
      <c r="L610" s="38" t="s">
        <v>637</v>
      </c>
      <c r="M610" s="32" t="s">
        <v>383</v>
      </c>
      <c r="N610" s="30" t="s">
        <v>384</v>
      </c>
    </row>
    <row r="611" spans="1:14" ht="13">
      <c r="A611" s="18" t="s">
        <v>283</v>
      </c>
      <c r="B611" s="18" t="s">
        <v>260</v>
      </c>
      <c r="C611" s="18" t="s">
        <v>395</v>
      </c>
      <c r="D611" s="18" t="s">
        <v>381</v>
      </c>
      <c r="E611" s="33" t="s">
        <v>730</v>
      </c>
      <c r="F611" s="33" t="s">
        <v>84</v>
      </c>
      <c r="G611" s="18" t="s">
        <v>611</v>
      </c>
      <c r="H611" s="18">
        <v>2005</v>
      </c>
      <c r="I611" s="40">
        <v>29169</v>
      </c>
      <c r="J611" s="40">
        <v>26169</v>
      </c>
      <c r="K611" s="18">
        <v>33225</v>
      </c>
      <c r="L611" s="38" t="s">
        <v>637</v>
      </c>
      <c r="M611" s="32" t="s">
        <v>383</v>
      </c>
      <c r="N611" s="30" t="s">
        <v>384</v>
      </c>
    </row>
    <row r="612" spans="1:14" ht="13">
      <c r="A612" s="18" t="s">
        <v>283</v>
      </c>
      <c r="B612" s="18" t="s">
        <v>260</v>
      </c>
      <c r="C612" s="18" t="s">
        <v>395</v>
      </c>
      <c r="D612" s="18" t="s">
        <v>381</v>
      </c>
      <c r="E612" s="33" t="s">
        <v>730</v>
      </c>
      <c r="F612" s="33" t="s">
        <v>84</v>
      </c>
      <c r="G612" s="18" t="s">
        <v>611</v>
      </c>
      <c r="H612" s="18">
        <v>2006</v>
      </c>
      <c r="I612" s="40">
        <v>29277</v>
      </c>
      <c r="J612" s="40">
        <v>26087</v>
      </c>
      <c r="K612" s="18">
        <v>33228</v>
      </c>
      <c r="L612" s="38" t="s">
        <v>637</v>
      </c>
      <c r="M612" s="32" t="s">
        <v>383</v>
      </c>
      <c r="N612" s="30" t="s">
        <v>384</v>
      </c>
    </row>
    <row r="613" spans="1:14" ht="13">
      <c r="A613" s="18" t="s">
        <v>283</v>
      </c>
      <c r="B613" s="18" t="s">
        <v>260</v>
      </c>
      <c r="C613" s="18" t="s">
        <v>395</v>
      </c>
      <c r="D613" s="18" t="s">
        <v>381</v>
      </c>
      <c r="E613" s="33" t="s">
        <v>730</v>
      </c>
      <c r="F613" s="33" t="s">
        <v>84</v>
      </c>
      <c r="G613" s="18" t="s">
        <v>611</v>
      </c>
      <c r="H613" s="18">
        <v>2007</v>
      </c>
      <c r="I613" s="40">
        <v>28371</v>
      </c>
      <c r="J613" s="40">
        <v>25583</v>
      </c>
      <c r="K613" s="18">
        <v>31245</v>
      </c>
      <c r="L613" s="38" t="s">
        <v>637</v>
      </c>
      <c r="M613" s="32" t="s">
        <v>383</v>
      </c>
      <c r="N613" s="30" t="s">
        <v>384</v>
      </c>
    </row>
    <row r="614" spans="1:14" ht="13">
      <c r="A614" s="18" t="s">
        <v>283</v>
      </c>
      <c r="B614" s="18" t="s">
        <v>260</v>
      </c>
      <c r="C614" s="18" t="s">
        <v>395</v>
      </c>
      <c r="D614" s="18" t="s">
        <v>381</v>
      </c>
      <c r="E614" s="33" t="s">
        <v>730</v>
      </c>
      <c r="F614" s="33" t="s">
        <v>84</v>
      </c>
      <c r="G614" s="18" t="s">
        <v>611</v>
      </c>
      <c r="H614" s="18">
        <v>2008</v>
      </c>
      <c r="I614" s="40">
        <v>27529</v>
      </c>
      <c r="J614" s="40">
        <v>24952</v>
      </c>
      <c r="K614" s="18">
        <v>30571</v>
      </c>
      <c r="L614" s="38" t="s">
        <v>637</v>
      </c>
      <c r="M614" s="32" t="s">
        <v>383</v>
      </c>
      <c r="N614" s="30" t="s">
        <v>384</v>
      </c>
    </row>
    <row r="615" spans="1:14" ht="13">
      <c r="A615" s="18" t="s">
        <v>283</v>
      </c>
      <c r="B615" s="18" t="s">
        <v>260</v>
      </c>
      <c r="C615" s="18" t="s">
        <v>395</v>
      </c>
      <c r="D615" s="18" t="s">
        <v>381</v>
      </c>
      <c r="E615" s="33" t="s">
        <v>730</v>
      </c>
      <c r="F615" s="33" t="s">
        <v>84</v>
      </c>
      <c r="G615" s="18" t="s">
        <v>611</v>
      </c>
      <c r="H615" s="18">
        <v>2009</v>
      </c>
      <c r="I615" s="40">
        <v>26138</v>
      </c>
      <c r="J615" s="40">
        <v>23771</v>
      </c>
      <c r="K615" s="18">
        <v>29391</v>
      </c>
      <c r="L615" s="38" t="s">
        <v>637</v>
      </c>
      <c r="M615" s="32" t="s">
        <v>383</v>
      </c>
      <c r="N615" s="30" t="s">
        <v>384</v>
      </c>
    </row>
    <row r="616" spans="1:14" ht="13">
      <c r="A616" s="18" t="s">
        <v>283</v>
      </c>
      <c r="B616" s="18" t="s">
        <v>260</v>
      </c>
      <c r="C616" s="18" t="s">
        <v>395</v>
      </c>
      <c r="D616" s="18" t="s">
        <v>381</v>
      </c>
      <c r="E616" s="33" t="s">
        <v>730</v>
      </c>
      <c r="F616" s="33" t="s">
        <v>84</v>
      </c>
      <c r="G616" s="18" t="s">
        <v>611</v>
      </c>
      <c r="H616" s="18">
        <v>2010</v>
      </c>
      <c r="I616" s="40">
        <v>26816</v>
      </c>
      <c r="J616" s="40">
        <v>24408</v>
      </c>
      <c r="K616" s="18">
        <v>29817</v>
      </c>
      <c r="L616" s="38" t="s">
        <v>637</v>
      </c>
      <c r="M616" s="32" t="s">
        <v>383</v>
      </c>
      <c r="N616" s="30" t="s">
        <v>384</v>
      </c>
    </row>
    <row r="617" spans="1:14" ht="13">
      <c r="A617" s="18" t="s">
        <v>283</v>
      </c>
      <c r="B617" s="18" t="s">
        <v>260</v>
      </c>
      <c r="C617" s="18" t="s">
        <v>395</v>
      </c>
      <c r="D617" s="18" t="s">
        <v>381</v>
      </c>
      <c r="E617" s="33" t="s">
        <v>730</v>
      </c>
      <c r="F617" s="33" t="s">
        <v>84</v>
      </c>
      <c r="G617" s="18" t="s">
        <v>611</v>
      </c>
      <c r="H617" s="18">
        <v>2011</v>
      </c>
      <c r="I617" s="40">
        <v>25932</v>
      </c>
      <c r="J617" s="40">
        <v>23270</v>
      </c>
      <c r="K617" s="18">
        <v>29566</v>
      </c>
      <c r="L617" s="38" t="s">
        <v>637</v>
      </c>
      <c r="M617" s="32" t="s">
        <v>383</v>
      </c>
      <c r="N617" s="30" t="s">
        <v>384</v>
      </c>
    </row>
    <row r="618" spans="1:14" ht="13">
      <c r="A618" s="18" t="s">
        <v>283</v>
      </c>
      <c r="B618" s="18" t="s">
        <v>260</v>
      </c>
      <c r="C618" s="18" t="s">
        <v>395</v>
      </c>
      <c r="D618" s="18" t="s">
        <v>381</v>
      </c>
      <c r="E618" s="33" t="s">
        <v>730</v>
      </c>
      <c r="F618" s="33" t="s">
        <v>84</v>
      </c>
      <c r="G618" s="18" t="s">
        <v>611</v>
      </c>
      <c r="H618" s="18">
        <v>2012</v>
      </c>
      <c r="I618" s="40">
        <v>26653</v>
      </c>
      <c r="J618" s="40">
        <v>23526</v>
      </c>
      <c r="K618" s="18">
        <v>29949</v>
      </c>
      <c r="L618" s="38" t="s">
        <v>637</v>
      </c>
      <c r="M618" s="32" t="s">
        <v>383</v>
      </c>
      <c r="N618" s="30" t="s">
        <v>384</v>
      </c>
    </row>
    <row r="619" spans="1:14" ht="13">
      <c r="A619" s="18" t="s">
        <v>283</v>
      </c>
      <c r="B619" s="18" t="s">
        <v>260</v>
      </c>
      <c r="C619" s="18" t="s">
        <v>395</v>
      </c>
      <c r="D619" s="18" t="s">
        <v>381</v>
      </c>
      <c r="E619" s="33" t="s">
        <v>730</v>
      </c>
      <c r="F619" s="33" t="s">
        <v>84</v>
      </c>
      <c r="G619" s="18" t="s">
        <v>611</v>
      </c>
      <c r="H619" s="18">
        <v>2013</v>
      </c>
      <c r="I619" s="40">
        <v>26360</v>
      </c>
      <c r="J619" s="40">
        <v>23318</v>
      </c>
      <c r="K619" s="18">
        <v>30417</v>
      </c>
      <c r="L619" s="38" t="s">
        <v>637</v>
      </c>
      <c r="M619" s="32" t="s">
        <v>383</v>
      </c>
      <c r="N619" s="30" t="s">
        <v>384</v>
      </c>
    </row>
    <row r="620" spans="1:14" ht="13">
      <c r="A620" s="18" t="s">
        <v>283</v>
      </c>
      <c r="B620" s="18" t="s">
        <v>260</v>
      </c>
      <c r="C620" s="18" t="s">
        <v>395</v>
      </c>
      <c r="D620" s="18" t="s">
        <v>381</v>
      </c>
      <c r="E620" s="33" t="s">
        <v>730</v>
      </c>
      <c r="F620" s="33" t="s">
        <v>84</v>
      </c>
      <c r="G620" s="18" t="s">
        <v>611</v>
      </c>
      <c r="H620" s="18">
        <v>2014</v>
      </c>
      <c r="I620" s="40">
        <v>25560</v>
      </c>
      <c r="J620" s="40">
        <v>22687</v>
      </c>
      <c r="K620" s="18">
        <v>28771</v>
      </c>
      <c r="L620" s="38" t="s">
        <v>637</v>
      </c>
      <c r="M620" s="32" t="s">
        <v>383</v>
      </c>
      <c r="N620" s="30" t="s">
        <v>384</v>
      </c>
    </row>
    <row r="621" spans="1:14" ht="13">
      <c r="A621" s="18" t="s">
        <v>283</v>
      </c>
      <c r="B621" s="18" t="s">
        <v>260</v>
      </c>
      <c r="C621" s="18" t="s">
        <v>395</v>
      </c>
      <c r="D621" s="18" t="s">
        <v>381</v>
      </c>
      <c r="E621" s="33" t="s">
        <v>730</v>
      </c>
      <c r="F621" s="33" t="s">
        <v>84</v>
      </c>
      <c r="G621" s="18" t="s">
        <v>611</v>
      </c>
      <c r="H621" s="18">
        <v>2015</v>
      </c>
      <c r="I621" s="40">
        <v>24971</v>
      </c>
      <c r="J621" s="40">
        <v>22056</v>
      </c>
      <c r="K621" s="18">
        <v>28478</v>
      </c>
      <c r="L621" s="38" t="s">
        <v>637</v>
      </c>
      <c r="M621" s="32" t="s">
        <v>383</v>
      </c>
      <c r="N621" s="30" t="s">
        <v>384</v>
      </c>
    </row>
    <row r="622" spans="1:14" ht="13">
      <c r="A622" s="18" t="s">
        <v>283</v>
      </c>
      <c r="B622" s="18" t="s">
        <v>260</v>
      </c>
      <c r="C622" s="18" t="s">
        <v>395</v>
      </c>
      <c r="D622" s="18" t="s">
        <v>381</v>
      </c>
      <c r="E622" s="33" t="s">
        <v>730</v>
      </c>
      <c r="F622" s="33" t="s">
        <v>84</v>
      </c>
      <c r="G622" s="18" t="s">
        <v>611</v>
      </c>
      <c r="H622" s="18">
        <v>2016</v>
      </c>
      <c r="I622" s="40">
        <v>25946</v>
      </c>
      <c r="J622" s="40">
        <v>22523</v>
      </c>
      <c r="K622" s="18">
        <v>29706</v>
      </c>
      <c r="L622" s="38" t="s">
        <v>637</v>
      </c>
      <c r="M622" s="32" t="s">
        <v>383</v>
      </c>
      <c r="N622" s="30" t="s">
        <v>384</v>
      </c>
    </row>
    <row r="623" spans="1:14" ht="13">
      <c r="A623" s="18" t="s">
        <v>283</v>
      </c>
      <c r="B623" s="18" t="s">
        <v>260</v>
      </c>
      <c r="C623" s="18" t="s">
        <v>395</v>
      </c>
      <c r="D623" s="18" t="s">
        <v>381</v>
      </c>
      <c r="E623" s="33" t="s">
        <v>730</v>
      </c>
      <c r="F623" s="33" t="s">
        <v>84</v>
      </c>
      <c r="G623" s="18" t="s">
        <v>611</v>
      </c>
      <c r="H623" s="18">
        <v>2017</v>
      </c>
      <c r="I623" s="40">
        <v>27005</v>
      </c>
      <c r="J623" s="40">
        <v>22526</v>
      </c>
      <c r="K623" s="18">
        <v>31949</v>
      </c>
      <c r="L623" s="38" t="s">
        <v>637</v>
      </c>
      <c r="M623" s="32" t="s">
        <v>383</v>
      </c>
      <c r="N623" s="30" t="s">
        <v>384</v>
      </c>
    </row>
    <row r="624" spans="1:14" ht="13">
      <c r="A624" s="18" t="s">
        <v>283</v>
      </c>
      <c r="B624" s="18" t="s">
        <v>260</v>
      </c>
      <c r="C624" s="18" t="s">
        <v>395</v>
      </c>
      <c r="D624" s="18" t="s">
        <v>381</v>
      </c>
      <c r="E624" s="33" t="s">
        <v>730</v>
      </c>
      <c r="F624" s="33" t="s">
        <v>84</v>
      </c>
      <c r="G624" s="18" t="s">
        <v>611</v>
      </c>
      <c r="H624" s="18">
        <v>2018</v>
      </c>
      <c r="I624" s="40">
        <v>27684</v>
      </c>
      <c r="J624" s="40">
        <v>22783</v>
      </c>
      <c r="K624" s="18">
        <v>34233</v>
      </c>
      <c r="L624" s="38" t="s">
        <v>637</v>
      </c>
      <c r="M624" s="32" t="s">
        <v>383</v>
      </c>
      <c r="N624" s="30" t="s">
        <v>384</v>
      </c>
    </row>
    <row r="625" spans="1:34" ht="16">
      <c r="A625" s="30" t="s">
        <v>406</v>
      </c>
      <c r="B625" s="30" t="s">
        <v>260</v>
      </c>
      <c r="C625" s="30" t="s">
        <v>731</v>
      </c>
      <c r="D625" s="30" t="s">
        <v>381</v>
      </c>
      <c r="E625" s="30" t="s">
        <v>732</v>
      </c>
      <c r="F625" s="30" t="s">
        <v>733</v>
      </c>
      <c r="G625" s="30" t="s">
        <v>611</v>
      </c>
      <c r="H625" s="55">
        <v>1984</v>
      </c>
      <c r="I625" s="51">
        <v>3072</v>
      </c>
      <c r="J625" s="49" t="s">
        <v>402</v>
      </c>
      <c r="K625" s="48" t="s">
        <v>402</v>
      </c>
      <c r="L625" s="50" t="s">
        <v>734</v>
      </c>
      <c r="M625" s="56" t="s">
        <v>408</v>
      </c>
      <c r="N625" s="30"/>
      <c r="O625" s="30"/>
      <c r="P625" s="30"/>
      <c r="Q625" s="30"/>
      <c r="R625" s="30"/>
      <c r="S625" s="30"/>
      <c r="T625" s="30"/>
      <c r="U625" s="30"/>
      <c r="V625" s="30"/>
      <c r="W625" s="30"/>
      <c r="X625" s="30"/>
      <c r="Y625" s="30"/>
      <c r="Z625" s="30"/>
      <c r="AA625" s="30"/>
      <c r="AB625" s="30"/>
      <c r="AC625" s="30"/>
      <c r="AD625" s="30"/>
      <c r="AE625" s="30"/>
      <c r="AF625" s="30"/>
      <c r="AG625" s="30"/>
      <c r="AH625" s="30"/>
    </row>
    <row r="626" spans="1:34" ht="16">
      <c r="A626" s="30" t="s">
        <v>406</v>
      </c>
      <c r="B626" s="30" t="s">
        <v>260</v>
      </c>
      <c r="C626" s="30" t="s">
        <v>731</v>
      </c>
      <c r="D626" s="30" t="s">
        <v>381</v>
      </c>
      <c r="E626" s="30" t="s">
        <v>732</v>
      </c>
      <c r="F626" s="30" t="s">
        <v>733</v>
      </c>
      <c r="G626" s="30" t="s">
        <v>611</v>
      </c>
      <c r="H626" s="55">
        <v>1985</v>
      </c>
      <c r="I626" s="51">
        <v>2264</v>
      </c>
      <c r="J626" s="49" t="s">
        <v>402</v>
      </c>
      <c r="K626" s="48" t="s">
        <v>402</v>
      </c>
      <c r="L626" s="50" t="s">
        <v>734</v>
      </c>
      <c r="M626" s="56" t="s">
        <v>408</v>
      </c>
      <c r="N626" s="30"/>
      <c r="O626" s="30"/>
      <c r="P626" s="30"/>
      <c r="Q626" s="30"/>
      <c r="R626" s="30"/>
      <c r="S626" s="30"/>
      <c r="T626" s="30"/>
      <c r="U626" s="30"/>
      <c r="V626" s="30"/>
      <c r="W626" s="30"/>
      <c r="X626" s="30"/>
      <c r="Y626" s="30"/>
      <c r="Z626" s="30"/>
      <c r="AA626" s="30"/>
      <c r="AB626" s="30"/>
      <c r="AC626" s="30"/>
      <c r="AD626" s="30"/>
      <c r="AE626" s="30"/>
      <c r="AF626" s="30"/>
      <c r="AG626" s="30"/>
      <c r="AH626" s="30"/>
    </row>
    <row r="627" spans="1:34" ht="16">
      <c r="A627" s="30" t="s">
        <v>406</v>
      </c>
      <c r="B627" s="30" t="s">
        <v>260</v>
      </c>
      <c r="C627" s="30" t="s">
        <v>731</v>
      </c>
      <c r="D627" s="30" t="s">
        <v>381</v>
      </c>
      <c r="E627" s="30" t="s">
        <v>732</v>
      </c>
      <c r="F627" s="30" t="s">
        <v>733</v>
      </c>
      <c r="G627" s="30" t="s">
        <v>611</v>
      </c>
      <c r="H627" s="55">
        <v>1986</v>
      </c>
      <c r="I627" s="51">
        <v>1748</v>
      </c>
      <c r="J627" s="49" t="s">
        <v>402</v>
      </c>
      <c r="K627" s="48" t="s">
        <v>402</v>
      </c>
      <c r="L627" s="50" t="s">
        <v>734</v>
      </c>
      <c r="M627" s="56" t="s">
        <v>408</v>
      </c>
      <c r="N627" s="30"/>
      <c r="O627" s="30"/>
      <c r="P627" s="30"/>
      <c r="Q627" s="30"/>
      <c r="R627" s="30"/>
      <c r="S627" s="30"/>
      <c r="T627" s="30"/>
      <c r="U627" s="30"/>
      <c r="V627" s="30"/>
      <c r="W627" s="30"/>
      <c r="X627" s="30"/>
      <c r="Y627" s="30"/>
      <c r="Z627" s="30"/>
      <c r="AA627" s="30"/>
      <c r="AB627" s="30"/>
      <c r="AC627" s="30"/>
      <c r="AD627" s="30"/>
      <c r="AE627" s="30"/>
      <c r="AF627" s="30"/>
      <c r="AG627" s="30"/>
      <c r="AH627" s="30"/>
    </row>
    <row r="628" spans="1:34" ht="16">
      <c r="A628" s="30" t="s">
        <v>406</v>
      </c>
      <c r="B628" s="30" t="s">
        <v>260</v>
      </c>
      <c r="C628" s="30" t="s">
        <v>731</v>
      </c>
      <c r="D628" s="30" t="s">
        <v>381</v>
      </c>
      <c r="E628" s="30" t="s">
        <v>732</v>
      </c>
      <c r="F628" s="30" t="s">
        <v>733</v>
      </c>
      <c r="G628" s="30" t="s">
        <v>611</v>
      </c>
      <c r="H628" s="55">
        <v>1987</v>
      </c>
      <c r="I628" s="51">
        <v>4313</v>
      </c>
      <c r="J628" s="49" t="s">
        <v>402</v>
      </c>
      <c r="K628" s="48" t="s">
        <v>402</v>
      </c>
      <c r="L628" s="50" t="s">
        <v>734</v>
      </c>
      <c r="M628" s="56" t="s">
        <v>408</v>
      </c>
      <c r="N628" s="30"/>
      <c r="O628" s="30"/>
      <c r="P628" s="30"/>
      <c r="Q628" s="30"/>
      <c r="R628" s="30"/>
      <c r="S628" s="30"/>
      <c r="T628" s="30"/>
      <c r="U628" s="30"/>
      <c r="V628" s="30"/>
      <c r="W628" s="30"/>
      <c r="X628" s="30"/>
      <c r="Y628" s="30"/>
      <c r="Z628" s="30"/>
      <c r="AA628" s="30"/>
      <c r="AB628" s="30"/>
      <c r="AC628" s="30"/>
      <c r="AD628" s="30"/>
      <c r="AE628" s="30"/>
      <c r="AF628" s="30"/>
      <c r="AG628" s="30"/>
      <c r="AH628" s="30"/>
    </row>
    <row r="629" spans="1:34" ht="16">
      <c r="A629" s="30" t="s">
        <v>406</v>
      </c>
      <c r="B629" s="30" t="s">
        <v>260</v>
      </c>
      <c r="C629" s="30" t="s">
        <v>731</v>
      </c>
      <c r="D629" s="30" t="s">
        <v>381</v>
      </c>
      <c r="E629" s="30" t="s">
        <v>732</v>
      </c>
      <c r="F629" s="30" t="s">
        <v>733</v>
      </c>
      <c r="G629" s="30" t="s">
        <v>611</v>
      </c>
      <c r="H629" s="55">
        <v>1988</v>
      </c>
      <c r="I629" s="51">
        <v>3944</v>
      </c>
      <c r="J629" s="49" t="s">
        <v>402</v>
      </c>
      <c r="K629" s="48" t="s">
        <v>402</v>
      </c>
      <c r="L629" s="50" t="s">
        <v>734</v>
      </c>
      <c r="M629" s="56" t="s">
        <v>408</v>
      </c>
      <c r="N629" s="30"/>
      <c r="O629" s="30"/>
      <c r="P629" s="30"/>
      <c r="Q629" s="30"/>
      <c r="R629" s="30"/>
      <c r="S629" s="30"/>
      <c r="T629" s="30"/>
      <c r="U629" s="30"/>
      <c r="V629" s="30"/>
      <c r="W629" s="30"/>
      <c r="X629" s="30"/>
      <c r="Y629" s="30"/>
      <c r="Z629" s="30"/>
      <c r="AA629" s="30"/>
      <c r="AB629" s="30"/>
      <c r="AC629" s="30"/>
      <c r="AD629" s="30"/>
      <c r="AE629" s="30"/>
      <c r="AF629" s="30"/>
      <c r="AG629" s="30"/>
      <c r="AH629" s="30"/>
    </row>
    <row r="630" spans="1:34" ht="16">
      <c r="A630" s="30" t="s">
        <v>406</v>
      </c>
      <c r="B630" s="30" t="s">
        <v>260</v>
      </c>
      <c r="C630" s="30" t="s">
        <v>731</v>
      </c>
      <c r="D630" s="30" t="s">
        <v>381</v>
      </c>
      <c r="E630" s="30" t="s">
        <v>732</v>
      </c>
      <c r="F630" s="30" t="s">
        <v>733</v>
      </c>
      <c r="G630" s="30" t="s">
        <v>611</v>
      </c>
      <c r="H630" s="55">
        <v>1989</v>
      </c>
      <c r="I630" s="51">
        <v>4309</v>
      </c>
      <c r="J630" s="49" t="s">
        <v>402</v>
      </c>
      <c r="K630" s="48" t="s">
        <v>402</v>
      </c>
      <c r="L630" s="50" t="s">
        <v>734</v>
      </c>
      <c r="M630" s="56" t="s">
        <v>408</v>
      </c>
      <c r="N630" s="30"/>
      <c r="O630" s="30"/>
      <c r="P630" s="30"/>
      <c r="Q630" s="30"/>
      <c r="R630" s="30"/>
      <c r="S630" s="30"/>
      <c r="T630" s="30"/>
      <c r="U630" s="30"/>
      <c r="V630" s="30"/>
      <c r="W630" s="30"/>
      <c r="X630" s="30"/>
      <c r="Y630" s="30"/>
      <c r="Z630" s="30"/>
      <c r="AA630" s="30"/>
      <c r="AB630" s="30"/>
      <c r="AC630" s="30"/>
      <c r="AD630" s="30"/>
      <c r="AE630" s="30"/>
      <c r="AF630" s="30"/>
      <c r="AG630" s="30"/>
      <c r="AH630" s="30"/>
    </row>
    <row r="631" spans="1:34" ht="16">
      <c r="A631" s="30" t="s">
        <v>406</v>
      </c>
      <c r="B631" s="30" t="s">
        <v>260</v>
      </c>
      <c r="C631" s="30" t="s">
        <v>731</v>
      </c>
      <c r="D631" s="30" t="s">
        <v>381</v>
      </c>
      <c r="E631" s="30" t="s">
        <v>732</v>
      </c>
      <c r="F631" s="30" t="s">
        <v>733</v>
      </c>
      <c r="G631" s="30" t="s">
        <v>611</v>
      </c>
      <c r="H631" s="55">
        <v>1990</v>
      </c>
      <c r="I631" s="51">
        <v>2840</v>
      </c>
      <c r="J631" s="49" t="s">
        <v>402</v>
      </c>
      <c r="K631" s="48" t="s">
        <v>402</v>
      </c>
      <c r="L631" s="50" t="s">
        <v>734</v>
      </c>
      <c r="M631" s="56" t="s">
        <v>408</v>
      </c>
      <c r="N631" s="30"/>
      <c r="O631" s="30"/>
      <c r="P631" s="30"/>
      <c r="Q631" s="30"/>
      <c r="R631" s="30"/>
      <c r="S631" s="30"/>
      <c r="T631" s="30"/>
      <c r="U631" s="30"/>
      <c r="V631" s="30"/>
      <c r="W631" s="30"/>
      <c r="X631" s="30"/>
      <c r="Y631" s="30"/>
      <c r="Z631" s="30"/>
      <c r="AA631" s="30"/>
      <c r="AB631" s="30"/>
      <c r="AC631" s="30"/>
      <c r="AD631" s="30"/>
      <c r="AE631" s="30"/>
      <c r="AF631" s="30"/>
      <c r="AG631" s="30"/>
      <c r="AH631" s="30"/>
    </row>
    <row r="632" spans="1:34" ht="16">
      <c r="A632" s="30" t="s">
        <v>406</v>
      </c>
      <c r="B632" s="30" t="s">
        <v>260</v>
      </c>
      <c r="C632" s="30" t="s">
        <v>731</v>
      </c>
      <c r="D632" s="30" t="s">
        <v>381</v>
      </c>
      <c r="E632" s="30" t="s">
        <v>732</v>
      </c>
      <c r="F632" s="30" t="s">
        <v>733</v>
      </c>
      <c r="G632" s="30" t="s">
        <v>611</v>
      </c>
      <c r="H632" s="55">
        <v>1991</v>
      </c>
      <c r="I632" s="51">
        <v>4598</v>
      </c>
      <c r="J632" s="49" t="s">
        <v>402</v>
      </c>
      <c r="K632" s="48" t="s">
        <v>402</v>
      </c>
      <c r="L632" s="50" t="s">
        <v>734</v>
      </c>
      <c r="M632" s="56" t="s">
        <v>408</v>
      </c>
      <c r="N632" s="30"/>
      <c r="O632" s="30"/>
      <c r="P632" s="30"/>
      <c r="Q632" s="30"/>
      <c r="R632" s="30"/>
      <c r="S632" s="30"/>
      <c r="T632" s="30"/>
      <c r="U632" s="30"/>
      <c r="V632" s="30"/>
      <c r="W632" s="30"/>
      <c r="X632" s="30"/>
      <c r="Y632" s="30"/>
      <c r="Z632" s="30"/>
      <c r="AA632" s="30"/>
      <c r="AB632" s="30"/>
      <c r="AC632" s="30"/>
      <c r="AD632" s="30"/>
      <c r="AE632" s="30"/>
      <c r="AF632" s="30"/>
      <c r="AG632" s="30"/>
      <c r="AH632" s="30"/>
    </row>
    <row r="633" spans="1:34" ht="16">
      <c r="A633" s="30" t="s">
        <v>406</v>
      </c>
      <c r="B633" s="30" t="s">
        <v>260</v>
      </c>
      <c r="C633" s="30" t="s">
        <v>731</v>
      </c>
      <c r="D633" s="30" t="s">
        <v>381</v>
      </c>
      <c r="E633" s="30" t="s">
        <v>732</v>
      </c>
      <c r="F633" s="30" t="s">
        <v>733</v>
      </c>
      <c r="G633" s="30" t="s">
        <v>611</v>
      </c>
      <c r="H633" s="55">
        <v>1992</v>
      </c>
      <c r="I633" s="51">
        <v>4376</v>
      </c>
      <c r="J633" s="49" t="s">
        <v>402</v>
      </c>
      <c r="K633" s="48" t="s">
        <v>402</v>
      </c>
      <c r="L633" s="50" t="s">
        <v>734</v>
      </c>
      <c r="M633" s="56" t="s">
        <v>408</v>
      </c>
      <c r="N633" s="30"/>
      <c r="O633" s="30"/>
      <c r="P633" s="30"/>
      <c r="Q633" s="30"/>
      <c r="R633" s="30"/>
      <c r="S633" s="30"/>
      <c r="T633" s="30"/>
      <c r="U633" s="30"/>
      <c r="V633" s="30"/>
      <c r="W633" s="30"/>
      <c r="X633" s="30"/>
      <c r="Y633" s="30"/>
      <c r="Z633" s="30"/>
      <c r="AA633" s="30"/>
      <c r="AB633" s="30"/>
      <c r="AC633" s="30"/>
      <c r="AD633" s="30"/>
      <c r="AE633" s="30"/>
      <c r="AF633" s="30"/>
      <c r="AG633" s="30"/>
      <c r="AH633" s="30"/>
    </row>
    <row r="634" spans="1:34" ht="16">
      <c r="A634" s="30" t="s">
        <v>406</v>
      </c>
      <c r="B634" s="30" t="s">
        <v>260</v>
      </c>
      <c r="C634" s="30" t="s">
        <v>731</v>
      </c>
      <c r="D634" s="30" t="s">
        <v>381</v>
      </c>
      <c r="E634" s="30" t="s">
        <v>732</v>
      </c>
      <c r="F634" s="30" t="s">
        <v>733</v>
      </c>
      <c r="G634" s="30" t="s">
        <v>611</v>
      </c>
      <c r="H634" s="55">
        <v>1993</v>
      </c>
      <c r="I634" s="51">
        <v>3200</v>
      </c>
      <c r="J634" s="49" t="s">
        <v>402</v>
      </c>
      <c r="K634" s="48" t="s">
        <v>402</v>
      </c>
      <c r="L634" s="50" t="s">
        <v>734</v>
      </c>
      <c r="M634" s="56" t="s">
        <v>408</v>
      </c>
      <c r="N634" s="30"/>
      <c r="O634" s="30"/>
      <c r="P634" s="30"/>
      <c r="Q634" s="30"/>
      <c r="R634" s="30"/>
      <c r="S634" s="30"/>
      <c r="T634" s="30"/>
      <c r="U634" s="30"/>
      <c r="V634" s="30"/>
      <c r="W634" s="30"/>
      <c r="X634" s="30"/>
      <c r="Y634" s="30"/>
      <c r="Z634" s="30"/>
      <c r="AA634" s="30"/>
      <c r="AB634" s="30"/>
      <c r="AC634" s="30"/>
      <c r="AD634" s="30"/>
      <c r="AE634" s="30"/>
      <c r="AF634" s="30"/>
      <c r="AG634" s="30"/>
      <c r="AH634" s="30"/>
    </row>
    <row r="635" spans="1:34" ht="16">
      <c r="A635" s="30" t="s">
        <v>406</v>
      </c>
      <c r="B635" s="30" t="s">
        <v>260</v>
      </c>
      <c r="C635" s="30" t="s">
        <v>731</v>
      </c>
      <c r="D635" s="30" t="s">
        <v>381</v>
      </c>
      <c r="E635" s="30" t="s">
        <v>732</v>
      </c>
      <c r="F635" s="30" t="s">
        <v>733</v>
      </c>
      <c r="G635" s="30" t="s">
        <v>611</v>
      </c>
      <c r="H635" s="55">
        <v>1994</v>
      </c>
      <c r="I635" s="51">
        <v>4225</v>
      </c>
      <c r="J635" s="49" t="s">
        <v>402</v>
      </c>
      <c r="K635" s="48" t="s">
        <v>402</v>
      </c>
      <c r="L635" s="50" t="s">
        <v>734</v>
      </c>
      <c r="M635" s="56" t="s">
        <v>408</v>
      </c>
      <c r="N635" s="30"/>
      <c r="O635" s="30"/>
      <c r="P635" s="30"/>
      <c r="Q635" s="30"/>
      <c r="R635" s="30"/>
      <c r="S635" s="30"/>
      <c r="T635" s="30"/>
      <c r="U635" s="30"/>
      <c r="V635" s="30"/>
      <c r="W635" s="30"/>
      <c r="X635" s="30"/>
      <c r="Y635" s="30"/>
      <c r="Z635" s="30"/>
      <c r="AA635" s="30"/>
      <c r="AB635" s="30"/>
      <c r="AC635" s="30"/>
      <c r="AD635" s="30"/>
      <c r="AE635" s="30"/>
      <c r="AF635" s="30"/>
      <c r="AG635" s="30"/>
      <c r="AH635" s="30"/>
    </row>
    <row r="636" spans="1:34" ht="16">
      <c r="A636" s="30" t="s">
        <v>406</v>
      </c>
      <c r="B636" s="30" t="s">
        <v>260</v>
      </c>
      <c r="C636" s="30" t="s">
        <v>731</v>
      </c>
      <c r="D636" s="30" t="s">
        <v>381</v>
      </c>
      <c r="E636" s="30" t="s">
        <v>732</v>
      </c>
      <c r="F636" s="30" t="s">
        <v>733</v>
      </c>
      <c r="G636" s="30" t="s">
        <v>611</v>
      </c>
      <c r="H636" s="55">
        <v>1995</v>
      </c>
      <c r="I636" s="51">
        <v>2976</v>
      </c>
      <c r="J636" s="49" t="s">
        <v>402</v>
      </c>
      <c r="K636" s="48" t="s">
        <v>402</v>
      </c>
      <c r="L636" s="50" t="s">
        <v>734</v>
      </c>
      <c r="M636" s="56" t="s">
        <v>408</v>
      </c>
      <c r="N636" s="30"/>
      <c r="O636" s="30"/>
      <c r="P636" s="30"/>
      <c r="Q636" s="30"/>
      <c r="R636" s="30"/>
      <c r="S636" s="30"/>
      <c r="T636" s="30"/>
      <c r="U636" s="30"/>
      <c r="V636" s="30"/>
      <c r="W636" s="30"/>
      <c r="X636" s="30"/>
      <c r="Y636" s="30"/>
      <c r="Z636" s="30"/>
      <c r="AA636" s="30"/>
      <c r="AB636" s="30"/>
      <c r="AC636" s="30"/>
      <c r="AD636" s="30"/>
      <c r="AE636" s="30"/>
      <c r="AF636" s="30"/>
      <c r="AG636" s="30"/>
      <c r="AH636" s="30"/>
    </row>
    <row r="637" spans="1:34" ht="16">
      <c r="A637" s="30" t="s">
        <v>406</v>
      </c>
      <c r="B637" s="30" t="s">
        <v>260</v>
      </c>
      <c r="C637" s="30" t="s">
        <v>731</v>
      </c>
      <c r="D637" s="30" t="s">
        <v>381</v>
      </c>
      <c r="E637" s="30" t="s">
        <v>732</v>
      </c>
      <c r="F637" s="30" t="s">
        <v>733</v>
      </c>
      <c r="G637" s="30" t="s">
        <v>611</v>
      </c>
      <c r="H637" s="55">
        <v>2000</v>
      </c>
      <c r="I637" s="51">
        <v>3699</v>
      </c>
      <c r="J637" s="49" t="s">
        <v>402</v>
      </c>
      <c r="K637" s="48" t="s">
        <v>402</v>
      </c>
      <c r="L637" s="50" t="s">
        <v>734</v>
      </c>
      <c r="M637" s="56" t="s">
        <v>408</v>
      </c>
      <c r="N637" s="30"/>
      <c r="O637" s="30"/>
      <c r="P637" s="30"/>
      <c r="Q637" s="30"/>
      <c r="R637" s="30"/>
      <c r="S637" s="30"/>
      <c r="T637" s="30"/>
      <c r="U637" s="30"/>
      <c r="V637" s="30"/>
      <c r="W637" s="30"/>
      <c r="X637" s="30"/>
      <c r="Y637" s="30"/>
      <c r="Z637" s="30"/>
      <c r="AA637" s="30"/>
      <c r="AB637" s="30"/>
      <c r="AC637" s="30"/>
      <c r="AD637" s="30"/>
      <c r="AE637" s="30"/>
      <c r="AF637" s="30"/>
      <c r="AG637" s="30"/>
      <c r="AH637" s="30"/>
    </row>
    <row r="638" spans="1:34" ht="16">
      <c r="A638" s="30" t="s">
        <v>406</v>
      </c>
      <c r="B638" s="30" t="s">
        <v>260</v>
      </c>
      <c r="C638" s="30" t="s">
        <v>731</v>
      </c>
      <c r="D638" s="30" t="s">
        <v>381</v>
      </c>
      <c r="E638" s="30" t="s">
        <v>732</v>
      </c>
      <c r="F638" s="30" t="s">
        <v>733</v>
      </c>
      <c r="G638" s="30" t="s">
        <v>611</v>
      </c>
      <c r="H638" s="55">
        <v>2002</v>
      </c>
      <c r="I638" s="51">
        <v>3768</v>
      </c>
      <c r="J638" s="49" t="s">
        <v>402</v>
      </c>
      <c r="K638" s="48" t="s">
        <v>402</v>
      </c>
      <c r="L638" s="50" t="s">
        <v>734</v>
      </c>
      <c r="M638" s="56" t="s">
        <v>408</v>
      </c>
      <c r="N638" s="30"/>
      <c r="O638" s="30"/>
      <c r="P638" s="30"/>
      <c r="Q638" s="30"/>
      <c r="R638" s="30"/>
      <c r="S638" s="30"/>
      <c r="T638" s="30"/>
      <c r="U638" s="30"/>
      <c r="V638" s="30"/>
      <c r="W638" s="30"/>
      <c r="X638" s="30"/>
      <c r="Y638" s="30"/>
      <c r="Z638" s="30"/>
      <c r="AA638" s="30"/>
      <c r="AB638" s="30"/>
      <c r="AC638" s="30"/>
      <c r="AD638" s="30"/>
      <c r="AE638" s="30"/>
      <c r="AF638" s="30"/>
      <c r="AG638" s="30"/>
      <c r="AH638" s="30"/>
    </row>
    <row r="639" spans="1:34" ht="16">
      <c r="A639" s="30" t="s">
        <v>406</v>
      </c>
      <c r="B639" s="30" t="s">
        <v>260</v>
      </c>
      <c r="C639" s="30" t="s">
        <v>731</v>
      </c>
      <c r="D639" s="30" t="s">
        <v>381</v>
      </c>
      <c r="E639" s="30" t="s">
        <v>732</v>
      </c>
      <c r="F639" s="30" t="s">
        <v>733</v>
      </c>
      <c r="G639" s="30" t="s">
        <v>611</v>
      </c>
      <c r="H639" s="55">
        <v>2004</v>
      </c>
      <c r="I639" s="51">
        <v>4277</v>
      </c>
      <c r="J639" s="49" t="s">
        <v>402</v>
      </c>
      <c r="K639" s="48" t="s">
        <v>402</v>
      </c>
      <c r="L639" s="50" t="s">
        <v>734</v>
      </c>
      <c r="M639" s="56" t="s">
        <v>408</v>
      </c>
      <c r="N639" s="30"/>
      <c r="O639" s="30"/>
      <c r="P639" s="30"/>
      <c r="Q639" s="30"/>
      <c r="R639" s="30"/>
      <c r="S639" s="30"/>
      <c r="T639" s="30"/>
      <c r="U639" s="30"/>
      <c r="V639" s="30"/>
      <c r="W639" s="30"/>
      <c r="X639" s="30"/>
      <c r="Y639" s="30"/>
      <c r="Z639" s="30"/>
      <c r="AA639" s="30"/>
      <c r="AB639" s="30"/>
      <c r="AC639" s="30"/>
      <c r="AD639" s="30"/>
      <c r="AE639" s="30"/>
      <c r="AF639" s="30"/>
      <c r="AG639" s="30"/>
      <c r="AH639" s="30"/>
    </row>
    <row r="640" spans="1:34" ht="16">
      <c r="A640" s="30" t="s">
        <v>406</v>
      </c>
      <c r="B640" s="30" t="s">
        <v>260</v>
      </c>
      <c r="C640" s="30" t="s">
        <v>731</v>
      </c>
      <c r="D640" s="30" t="s">
        <v>381</v>
      </c>
      <c r="E640" s="30" t="s">
        <v>732</v>
      </c>
      <c r="F640" s="30" t="s">
        <v>733</v>
      </c>
      <c r="G640" s="30" t="s">
        <v>611</v>
      </c>
      <c r="H640" s="55">
        <v>2007</v>
      </c>
      <c r="I640" s="51">
        <v>3831</v>
      </c>
      <c r="J640" s="49" t="s">
        <v>402</v>
      </c>
      <c r="K640" s="48" t="s">
        <v>402</v>
      </c>
      <c r="L640" s="50" t="s">
        <v>734</v>
      </c>
      <c r="M640" s="56" t="s">
        <v>408</v>
      </c>
      <c r="N640" s="30"/>
      <c r="O640" s="30"/>
      <c r="P640" s="30"/>
      <c r="Q640" s="30"/>
      <c r="R640" s="30"/>
      <c r="S640" s="30"/>
      <c r="T640" s="30"/>
      <c r="U640" s="30"/>
      <c r="V640" s="30"/>
      <c r="W640" s="30"/>
      <c r="X640" s="30"/>
      <c r="Y640" s="30"/>
      <c r="Z640" s="30"/>
      <c r="AA640" s="30"/>
      <c r="AB640" s="30"/>
      <c r="AC640" s="30"/>
      <c r="AD640" s="30"/>
      <c r="AE640" s="30"/>
      <c r="AF640" s="30"/>
      <c r="AG640" s="30"/>
      <c r="AH640" s="30"/>
    </row>
    <row r="641" spans="1:34" ht="16">
      <c r="A641" s="30" t="s">
        <v>406</v>
      </c>
      <c r="B641" s="30" t="s">
        <v>260</v>
      </c>
      <c r="C641" s="30" t="s">
        <v>731</v>
      </c>
      <c r="D641" s="30" t="s">
        <v>381</v>
      </c>
      <c r="E641" s="30" t="s">
        <v>732</v>
      </c>
      <c r="F641" s="30" t="s">
        <v>733</v>
      </c>
      <c r="G641" s="30" t="s">
        <v>611</v>
      </c>
      <c r="H641" s="55">
        <v>2009</v>
      </c>
      <c r="I641" s="51">
        <v>3460</v>
      </c>
      <c r="J641" s="49" t="s">
        <v>402</v>
      </c>
      <c r="K641" s="48" t="s">
        <v>402</v>
      </c>
      <c r="L641" s="50" t="s">
        <v>734</v>
      </c>
      <c r="M641" s="56" t="s">
        <v>408</v>
      </c>
      <c r="N641" s="30"/>
      <c r="O641" s="30"/>
      <c r="P641" s="30"/>
      <c r="Q641" s="30"/>
      <c r="R641" s="30"/>
      <c r="S641" s="30"/>
      <c r="T641" s="30"/>
      <c r="U641" s="30"/>
      <c r="V641" s="30"/>
      <c r="W641" s="30"/>
      <c r="X641" s="30"/>
      <c r="Y641" s="30"/>
      <c r="Z641" s="30"/>
      <c r="AA641" s="30"/>
      <c r="AB641" s="30"/>
      <c r="AC641" s="30"/>
      <c r="AD641" s="30"/>
      <c r="AE641" s="30"/>
      <c r="AF641" s="30"/>
      <c r="AG641" s="30"/>
      <c r="AH641" s="30"/>
    </row>
    <row r="642" spans="1:34" ht="16">
      <c r="A642" s="30" t="s">
        <v>406</v>
      </c>
      <c r="B642" s="30" t="s">
        <v>260</v>
      </c>
      <c r="C642" s="30" t="s">
        <v>731</v>
      </c>
      <c r="D642" s="30" t="s">
        <v>381</v>
      </c>
      <c r="E642" s="30" t="s">
        <v>732</v>
      </c>
      <c r="F642" s="30" t="s">
        <v>733</v>
      </c>
      <c r="G642" s="30" t="s">
        <v>611</v>
      </c>
      <c r="H642" s="55">
        <v>2012</v>
      </c>
      <c r="I642" s="51">
        <v>4481</v>
      </c>
      <c r="J642" s="49" t="s">
        <v>402</v>
      </c>
      <c r="K642" s="48" t="s">
        <v>402</v>
      </c>
      <c r="L642" s="50" t="s">
        <v>734</v>
      </c>
      <c r="M642" s="56" t="s">
        <v>408</v>
      </c>
      <c r="N642" s="30"/>
      <c r="O642" s="30"/>
      <c r="P642" s="30"/>
      <c r="Q642" s="30"/>
      <c r="R642" s="30"/>
      <c r="S642" s="30"/>
      <c r="T642" s="30"/>
      <c r="U642" s="30"/>
      <c r="V642" s="30"/>
      <c r="W642" s="30"/>
      <c r="X642" s="30"/>
      <c r="Y642" s="30"/>
      <c r="Z642" s="30"/>
      <c r="AA642" s="30"/>
      <c r="AB642" s="30"/>
      <c r="AC642" s="30"/>
      <c r="AD642" s="30"/>
      <c r="AE642" s="30"/>
      <c r="AF642" s="30"/>
      <c r="AG642" s="30"/>
      <c r="AH642" s="30"/>
    </row>
    <row r="643" spans="1:34" ht="16">
      <c r="A643" s="30" t="s">
        <v>406</v>
      </c>
      <c r="B643" s="30" t="s">
        <v>260</v>
      </c>
      <c r="C643" s="30" t="s">
        <v>735</v>
      </c>
      <c r="D643" s="30" t="s">
        <v>381</v>
      </c>
      <c r="E643" s="18" t="s">
        <v>736</v>
      </c>
      <c r="F643" s="30" t="s">
        <v>733</v>
      </c>
      <c r="G643" s="30" t="s">
        <v>611</v>
      </c>
      <c r="H643" s="55">
        <v>1982</v>
      </c>
      <c r="I643" s="51">
        <v>12759</v>
      </c>
      <c r="J643" s="49" t="s">
        <v>402</v>
      </c>
      <c r="K643" s="48" t="s">
        <v>402</v>
      </c>
      <c r="L643" s="50" t="s">
        <v>734</v>
      </c>
      <c r="M643" s="56" t="s">
        <v>408</v>
      </c>
      <c r="N643" s="30"/>
      <c r="O643" s="30"/>
      <c r="P643" s="30"/>
      <c r="Q643" s="30"/>
      <c r="R643" s="30"/>
      <c r="S643" s="30"/>
      <c r="T643" s="30"/>
      <c r="U643" s="30"/>
      <c r="V643" s="30"/>
      <c r="W643" s="30"/>
      <c r="X643" s="30"/>
      <c r="Y643" s="30"/>
      <c r="Z643" s="30"/>
      <c r="AA643" s="30"/>
      <c r="AB643" s="30"/>
      <c r="AC643" s="30"/>
      <c r="AD643" s="30"/>
      <c r="AE643" s="30"/>
      <c r="AF643" s="30"/>
      <c r="AG643" s="30"/>
      <c r="AH643" s="30"/>
    </row>
    <row r="644" spans="1:34" ht="16">
      <c r="A644" s="30" t="s">
        <v>406</v>
      </c>
      <c r="B644" s="30" t="s">
        <v>260</v>
      </c>
      <c r="C644" s="30" t="s">
        <v>735</v>
      </c>
      <c r="D644" s="30" t="s">
        <v>381</v>
      </c>
      <c r="E644" s="18" t="s">
        <v>736</v>
      </c>
      <c r="F644" s="30" t="s">
        <v>733</v>
      </c>
      <c r="G644" s="30" t="s">
        <v>611</v>
      </c>
      <c r="H644" s="55">
        <v>1983</v>
      </c>
      <c r="I644" s="51">
        <v>10923</v>
      </c>
      <c r="J644" s="49" t="s">
        <v>402</v>
      </c>
      <c r="K644" s="48" t="s">
        <v>402</v>
      </c>
      <c r="L644" s="50" t="s">
        <v>734</v>
      </c>
      <c r="M644" s="56" t="s">
        <v>408</v>
      </c>
      <c r="N644" s="30"/>
      <c r="O644" s="30"/>
      <c r="P644" s="30"/>
      <c r="Q644" s="30"/>
      <c r="R644" s="30"/>
      <c r="S644" s="30"/>
      <c r="T644" s="30"/>
      <c r="U644" s="30"/>
      <c r="V644" s="30"/>
      <c r="W644" s="30"/>
      <c r="X644" s="30"/>
      <c r="Y644" s="30"/>
      <c r="Z644" s="30"/>
      <c r="AA644" s="30"/>
      <c r="AB644" s="30"/>
      <c r="AC644" s="30"/>
      <c r="AD644" s="30"/>
      <c r="AE644" s="30"/>
      <c r="AF644" s="30"/>
      <c r="AG644" s="30"/>
      <c r="AH644" s="30"/>
    </row>
    <row r="645" spans="1:34" ht="16">
      <c r="A645" s="30" t="s">
        <v>406</v>
      </c>
      <c r="B645" s="30" t="s">
        <v>260</v>
      </c>
      <c r="C645" s="30" t="s">
        <v>735</v>
      </c>
      <c r="D645" s="30" t="s">
        <v>381</v>
      </c>
      <c r="E645" s="18" t="s">
        <v>736</v>
      </c>
      <c r="F645" s="30" t="s">
        <v>733</v>
      </c>
      <c r="G645" s="30" t="s">
        <v>611</v>
      </c>
      <c r="H645" s="55">
        <v>1984</v>
      </c>
      <c r="I645" s="51">
        <v>10994</v>
      </c>
      <c r="J645" s="49" t="s">
        <v>402</v>
      </c>
      <c r="K645" s="48" t="s">
        <v>402</v>
      </c>
      <c r="L645" s="50" t="s">
        <v>734</v>
      </c>
      <c r="M645" s="56" t="s">
        <v>408</v>
      </c>
      <c r="N645" s="30"/>
      <c r="O645" s="30"/>
      <c r="P645" s="30"/>
      <c r="Q645" s="30"/>
      <c r="R645" s="30"/>
      <c r="S645" s="30"/>
      <c r="T645" s="30"/>
      <c r="U645" s="30"/>
      <c r="V645" s="30"/>
      <c r="W645" s="30"/>
      <c r="X645" s="30"/>
      <c r="Y645" s="30"/>
      <c r="Z645" s="30"/>
      <c r="AA645" s="30"/>
      <c r="AB645" s="30"/>
      <c r="AC645" s="30"/>
      <c r="AD645" s="30"/>
      <c r="AE645" s="30"/>
      <c r="AF645" s="30"/>
      <c r="AG645" s="30"/>
      <c r="AH645" s="30"/>
    </row>
    <row r="646" spans="1:34" ht="16">
      <c r="A646" s="30" t="s">
        <v>406</v>
      </c>
      <c r="B646" s="30" t="s">
        <v>260</v>
      </c>
      <c r="C646" s="30" t="s">
        <v>735</v>
      </c>
      <c r="D646" s="30" t="s">
        <v>381</v>
      </c>
      <c r="E646" s="18" t="s">
        <v>736</v>
      </c>
      <c r="F646" s="30" t="s">
        <v>733</v>
      </c>
      <c r="G646" s="30" t="s">
        <v>611</v>
      </c>
      <c r="H646" s="55">
        <v>1985</v>
      </c>
      <c r="I646" s="51">
        <v>12459</v>
      </c>
      <c r="J646" s="49" t="s">
        <v>402</v>
      </c>
      <c r="K646" s="48" t="s">
        <v>402</v>
      </c>
      <c r="L646" s="50" t="s">
        <v>734</v>
      </c>
      <c r="M646" s="56" t="s">
        <v>408</v>
      </c>
      <c r="N646" s="30"/>
      <c r="O646" s="30"/>
      <c r="P646" s="30"/>
      <c r="Q646" s="30"/>
      <c r="R646" s="30"/>
      <c r="S646" s="30"/>
      <c r="T646" s="30"/>
      <c r="U646" s="30"/>
      <c r="V646" s="30"/>
      <c r="W646" s="30"/>
      <c r="X646" s="30"/>
      <c r="Y646" s="30"/>
      <c r="Z646" s="30"/>
      <c r="AA646" s="30"/>
      <c r="AB646" s="30"/>
      <c r="AC646" s="30"/>
      <c r="AD646" s="30"/>
      <c r="AE646" s="30"/>
      <c r="AF646" s="30"/>
      <c r="AG646" s="30"/>
      <c r="AH646" s="30"/>
    </row>
    <row r="647" spans="1:34" ht="16">
      <c r="A647" s="30" t="s">
        <v>406</v>
      </c>
      <c r="B647" s="30" t="s">
        <v>260</v>
      </c>
      <c r="C647" s="30" t="s">
        <v>735</v>
      </c>
      <c r="D647" s="30" t="s">
        <v>381</v>
      </c>
      <c r="E647" s="18" t="s">
        <v>736</v>
      </c>
      <c r="F647" s="30" t="s">
        <v>733</v>
      </c>
      <c r="G647" s="30" t="s">
        <v>611</v>
      </c>
      <c r="H647" s="55">
        <v>1986</v>
      </c>
      <c r="I647" s="51">
        <v>13850</v>
      </c>
      <c r="J647" s="49" t="s">
        <v>402</v>
      </c>
      <c r="K647" s="48" t="s">
        <v>402</v>
      </c>
      <c r="L647" s="50" t="s">
        <v>734</v>
      </c>
      <c r="M647" s="56" t="s">
        <v>408</v>
      </c>
      <c r="N647" s="30"/>
      <c r="O647" s="30"/>
      <c r="P647" s="30"/>
      <c r="Q647" s="30"/>
      <c r="R647" s="30"/>
      <c r="S647" s="30"/>
      <c r="T647" s="30"/>
      <c r="U647" s="30"/>
      <c r="V647" s="30"/>
      <c r="W647" s="30"/>
      <c r="X647" s="30"/>
      <c r="Y647" s="30"/>
      <c r="Z647" s="30"/>
      <c r="AA647" s="30"/>
      <c r="AB647" s="30"/>
      <c r="AC647" s="30"/>
      <c r="AD647" s="30"/>
      <c r="AE647" s="30"/>
      <c r="AF647" s="30"/>
      <c r="AG647" s="30"/>
      <c r="AH647" s="30"/>
    </row>
    <row r="648" spans="1:34" ht="16">
      <c r="A648" s="30" t="s">
        <v>406</v>
      </c>
      <c r="B648" s="30" t="s">
        <v>260</v>
      </c>
      <c r="C648" s="30" t="s">
        <v>735</v>
      </c>
      <c r="D648" s="30" t="s">
        <v>381</v>
      </c>
      <c r="E648" s="18" t="s">
        <v>736</v>
      </c>
      <c r="F648" s="30" t="s">
        <v>733</v>
      </c>
      <c r="G648" s="30" t="s">
        <v>611</v>
      </c>
      <c r="H648" s="55">
        <v>1987</v>
      </c>
      <c r="I648" s="51">
        <v>15169</v>
      </c>
      <c r="J648" s="49" t="s">
        <v>402</v>
      </c>
      <c r="K648" s="48" t="s">
        <v>402</v>
      </c>
      <c r="L648" s="50" t="s">
        <v>734</v>
      </c>
      <c r="M648" s="56" t="s">
        <v>408</v>
      </c>
      <c r="N648" s="30"/>
      <c r="O648" s="30"/>
      <c r="P648" s="30"/>
      <c r="Q648" s="30"/>
      <c r="R648" s="30"/>
      <c r="S648" s="30"/>
      <c r="T648" s="30"/>
      <c r="U648" s="30"/>
      <c r="V648" s="30"/>
      <c r="W648" s="30"/>
      <c r="X648" s="30"/>
      <c r="Y648" s="30"/>
      <c r="Z648" s="30"/>
      <c r="AA648" s="30"/>
      <c r="AB648" s="30"/>
      <c r="AC648" s="30"/>
      <c r="AD648" s="30"/>
      <c r="AE648" s="30"/>
      <c r="AF648" s="30"/>
      <c r="AG648" s="30"/>
      <c r="AH648" s="30"/>
    </row>
    <row r="649" spans="1:34" ht="16">
      <c r="A649" s="30" t="s">
        <v>406</v>
      </c>
      <c r="B649" s="30" t="s">
        <v>260</v>
      </c>
      <c r="C649" s="30" t="s">
        <v>735</v>
      </c>
      <c r="D649" s="30" t="s">
        <v>381</v>
      </c>
      <c r="E649" s="18" t="s">
        <v>736</v>
      </c>
      <c r="F649" s="30" t="s">
        <v>733</v>
      </c>
      <c r="G649" s="30" t="s">
        <v>611</v>
      </c>
      <c r="H649" s="55">
        <v>1988</v>
      </c>
      <c r="I649" s="51">
        <v>14140</v>
      </c>
      <c r="J649" s="49" t="s">
        <v>402</v>
      </c>
      <c r="K649" s="48" t="s">
        <v>402</v>
      </c>
      <c r="L649" s="50" t="s">
        <v>734</v>
      </c>
      <c r="M649" s="56" t="s">
        <v>408</v>
      </c>
      <c r="N649" s="30"/>
      <c r="O649" s="30"/>
      <c r="P649" s="30"/>
      <c r="Q649" s="30"/>
      <c r="R649" s="30"/>
      <c r="S649" s="30"/>
      <c r="T649" s="30"/>
      <c r="U649" s="30"/>
      <c r="V649" s="30"/>
      <c r="W649" s="30"/>
      <c r="X649" s="30"/>
      <c r="Y649" s="30"/>
      <c r="Z649" s="30"/>
      <c r="AA649" s="30"/>
      <c r="AB649" s="30"/>
      <c r="AC649" s="30"/>
      <c r="AD649" s="30"/>
      <c r="AE649" s="30"/>
      <c r="AF649" s="30"/>
      <c r="AG649" s="30"/>
      <c r="AH649" s="30"/>
    </row>
    <row r="650" spans="1:34" ht="16">
      <c r="A650" s="30" t="s">
        <v>406</v>
      </c>
      <c r="B650" s="30" t="s">
        <v>260</v>
      </c>
      <c r="C650" s="30" t="s">
        <v>735</v>
      </c>
      <c r="D650" s="30" t="s">
        <v>381</v>
      </c>
      <c r="E650" s="18" t="s">
        <v>736</v>
      </c>
      <c r="F650" s="30" t="s">
        <v>733</v>
      </c>
      <c r="G650" s="30" t="s">
        <v>611</v>
      </c>
      <c r="H650" s="55">
        <v>1989</v>
      </c>
      <c r="I650" s="51">
        <v>16045</v>
      </c>
      <c r="J650" s="49" t="s">
        <v>402</v>
      </c>
      <c r="K650" s="48" t="s">
        <v>402</v>
      </c>
      <c r="L650" s="50" t="s">
        <v>734</v>
      </c>
      <c r="M650" s="56" t="s">
        <v>408</v>
      </c>
      <c r="N650" s="30"/>
      <c r="O650" s="30"/>
      <c r="P650" s="30"/>
      <c r="Q650" s="30"/>
      <c r="R650" s="30"/>
      <c r="S650" s="30"/>
      <c r="T650" s="30"/>
      <c r="U650" s="30"/>
      <c r="V650" s="30"/>
      <c r="W650" s="30"/>
      <c r="X650" s="30"/>
      <c r="Y650" s="30"/>
      <c r="Z650" s="30"/>
      <c r="AA650" s="30"/>
      <c r="AB650" s="30"/>
      <c r="AC650" s="30"/>
      <c r="AD650" s="30"/>
      <c r="AE650" s="30"/>
      <c r="AF650" s="30"/>
      <c r="AG650" s="30"/>
      <c r="AH650" s="30"/>
    </row>
    <row r="651" spans="1:34" ht="16">
      <c r="A651" s="30" t="s">
        <v>406</v>
      </c>
      <c r="B651" s="30" t="s">
        <v>260</v>
      </c>
      <c r="C651" s="30" t="s">
        <v>735</v>
      </c>
      <c r="D651" s="30" t="s">
        <v>381</v>
      </c>
      <c r="E651" s="18" t="s">
        <v>736</v>
      </c>
      <c r="F651" s="30" t="s">
        <v>733</v>
      </c>
      <c r="G651" s="30" t="s">
        <v>611</v>
      </c>
      <c r="H651" s="55">
        <v>1990</v>
      </c>
      <c r="I651" s="51">
        <v>15676</v>
      </c>
      <c r="J651" s="49" t="s">
        <v>402</v>
      </c>
      <c r="K651" s="48" t="s">
        <v>402</v>
      </c>
      <c r="L651" s="50" t="s">
        <v>734</v>
      </c>
      <c r="M651" s="56" t="s">
        <v>408</v>
      </c>
      <c r="N651" s="30"/>
      <c r="O651" s="30"/>
      <c r="P651" s="30"/>
      <c r="Q651" s="30"/>
      <c r="R651" s="30"/>
      <c r="S651" s="30"/>
      <c r="T651" s="30"/>
      <c r="U651" s="30"/>
      <c r="V651" s="30"/>
      <c r="W651" s="30"/>
      <c r="X651" s="30"/>
      <c r="Y651" s="30"/>
      <c r="Z651" s="30"/>
      <c r="AA651" s="30"/>
      <c r="AB651" s="30"/>
      <c r="AC651" s="30"/>
      <c r="AD651" s="30"/>
      <c r="AE651" s="30"/>
      <c r="AF651" s="30"/>
      <c r="AG651" s="30"/>
      <c r="AH651" s="30"/>
    </row>
    <row r="652" spans="1:34" ht="16">
      <c r="A652" s="30" t="s">
        <v>406</v>
      </c>
      <c r="B652" s="30" t="s">
        <v>260</v>
      </c>
      <c r="C652" s="30" t="s">
        <v>735</v>
      </c>
      <c r="D652" s="30" t="s">
        <v>381</v>
      </c>
      <c r="E652" s="18" t="s">
        <v>736</v>
      </c>
      <c r="F652" s="30" t="s">
        <v>733</v>
      </c>
      <c r="G652" s="30" t="s">
        <v>611</v>
      </c>
      <c r="H652" s="55">
        <v>1991</v>
      </c>
      <c r="I652" s="51">
        <v>18094</v>
      </c>
      <c r="J652" s="49" t="s">
        <v>402</v>
      </c>
      <c r="K652" s="48" t="s">
        <v>402</v>
      </c>
      <c r="L652" s="50" t="s">
        <v>734</v>
      </c>
      <c r="M652" s="56" t="s">
        <v>408</v>
      </c>
      <c r="N652" s="30"/>
      <c r="O652" s="30"/>
      <c r="P652" s="30"/>
      <c r="Q652" s="30"/>
      <c r="R652" s="30"/>
      <c r="S652" s="30"/>
      <c r="T652" s="30"/>
      <c r="U652" s="30"/>
      <c r="V652" s="30"/>
      <c r="W652" s="30"/>
      <c r="X652" s="30"/>
      <c r="Y652" s="30"/>
      <c r="Z652" s="30"/>
      <c r="AA652" s="30"/>
      <c r="AB652" s="30"/>
      <c r="AC652" s="30"/>
      <c r="AD652" s="30"/>
      <c r="AE652" s="30"/>
      <c r="AF652" s="30"/>
      <c r="AG652" s="30"/>
      <c r="AH652" s="30"/>
    </row>
    <row r="653" spans="1:34" ht="16">
      <c r="A653" s="30" t="s">
        <v>406</v>
      </c>
      <c r="B653" s="30" t="s">
        <v>260</v>
      </c>
      <c r="C653" s="30" t="s">
        <v>735</v>
      </c>
      <c r="D653" s="30" t="s">
        <v>381</v>
      </c>
      <c r="E653" s="18" t="s">
        <v>736</v>
      </c>
      <c r="F653" s="30" t="s">
        <v>733</v>
      </c>
      <c r="G653" s="30" t="s">
        <v>611</v>
      </c>
      <c r="H653" s="55">
        <v>1992</v>
      </c>
      <c r="I653" s="51">
        <v>18679</v>
      </c>
      <c r="J653" s="49" t="s">
        <v>402</v>
      </c>
      <c r="K653" s="48" t="s">
        <v>402</v>
      </c>
      <c r="L653" s="50" t="s">
        <v>734</v>
      </c>
      <c r="M653" s="56" t="s">
        <v>408</v>
      </c>
      <c r="N653" s="30"/>
      <c r="O653" s="30"/>
      <c r="P653" s="30"/>
      <c r="Q653" s="30"/>
      <c r="R653" s="30"/>
      <c r="S653" s="30"/>
      <c r="T653" s="30"/>
      <c r="U653" s="30"/>
      <c r="V653" s="30"/>
      <c r="W653" s="30"/>
      <c r="X653" s="30"/>
      <c r="Y653" s="30"/>
      <c r="Z653" s="30"/>
      <c r="AA653" s="30"/>
      <c r="AB653" s="30"/>
      <c r="AC653" s="30"/>
      <c r="AD653" s="30"/>
      <c r="AE653" s="30"/>
      <c r="AF653" s="30"/>
      <c r="AG653" s="30"/>
      <c r="AH653" s="30"/>
    </row>
    <row r="654" spans="1:34" ht="16">
      <c r="A654" s="30" t="s">
        <v>406</v>
      </c>
      <c r="B654" s="30" t="s">
        <v>260</v>
      </c>
      <c r="C654" s="30" t="s">
        <v>735</v>
      </c>
      <c r="D654" s="30" t="s">
        <v>381</v>
      </c>
      <c r="E654" s="18" t="s">
        <v>736</v>
      </c>
      <c r="F654" s="30" t="s">
        <v>733</v>
      </c>
      <c r="G654" s="30" t="s">
        <v>611</v>
      </c>
      <c r="H654" s="55">
        <v>1993</v>
      </c>
      <c r="I654" s="51">
        <v>14863</v>
      </c>
      <c r="J654" s="49" t="s">
        <v>402</v>
      </c>
      <c r="K654" s="48" t="s">
        <v>402</v>
      </c>
      <c r="L654" s="50" t="s">
        <v>734</v>
      </c>
      <c r="M654" s="56" t="s">
        <v>408</v>
      </c>
      <c r="N654" s="30"/>
      <c r="O654" s="30"/>
      <c r="P654" s="30"/>
      <c r="Q654" s="30"/>
      <c r="R654" s="30"/>
      <c r="S654" s="30"/>
      <c r="T654" s="30"/>
      <c r="U654" s="30"/>
      <c r="V654" s="30"/>
      <c r="W654" s="30"/>
      <c r="X654" s="30"/>
      <c r="Y654" s="30"/>
      <c r="Z654" s="30"/>
      <c r="AA654" s="30"/>
      <c r="AB654" s="30"/>
      <c r="AC654" s="30"/>
      <c r="AD654" s="30"/>
      <c r="AE654" s="30"/>
      <c r="AF654" s="30"/>
      <c r="AG654" s="30"/>
      <c r="AH654" s="30"/>
    </row>
    <row r="655" spans="1:34" ht="16">
      <c r="A655" s="30" t="s">
        <v>406</v>
      </c>
      <c r="B655" s="30" t="s">
        <v>260</v>
      </c>
      <c r="C655" s="30" t="s">
        <v>735</v>
      </c>
      <c r="D655" s="30" t="s">
        <v>381</v>
      </c>
      <c r="E655" s="18" t="s">
        <v>736</v>
      </c>
      <c r="F655" s="30" t="s">
        <v>733</v>
      </c>
      <c r="G655" s="30" t="s">
        <v>611</v>
      </c>
      <c r="H655" s="55">
        <v>1994</v>
      </c>
      <c r="I655" s="51">
        <v>17208</v>
      </c>
      <c r="J655" s="49" t="s">
        <v>402</v>
      </c>
      <c r="K655" s="48" t="s">
        <v>402</v>
      </c>
      <c r="L655" s="50" t="s">
        <v>734</v>
      </c>
      <c r="M655" s="56" t="s">
        <v>408</v>
      </c>
      <c r="N655" s="30"/>
      <c r="O655" s="30"/>
      <c r="P655" s="30"/>
      <c r="Q655" s="30"/>
      <c r="R655" s="30"/>
      <c r="S655" s="30"/>
      <c r="T655" s="30"/>
      <c r="U655" s="30"/>
      <c r="V655" s="30"/>
      <c r="W655" s="30"/>
      <c r="X655" s="30"/>
      <c r="Y655" s="30"/>
      <c r="Z655" s="30"/>
      <c r="AA655" s="30"/>
      <c r="AB655" s="30"/>
      <c r="AC655" s="30"/>
      <c r="AD655" s="30"/>
      <c r="AE655" s="30"/>
      <c r="AF655" s="30"/>
      <c r="AG655" s="30"/>
      <c r="AH655" s="30"/>
    </row>
    <row r="656" spans="1:34" ht="16">
      <c r="A656" s="30" t="s">
        <v>406</v>
      </c>
      <c r="B656" s="30" t="s">
        <v>260</v>
      </c>
      <c r="C656" s="30" t="s">
        <v>735</v>
      </c>
      <c r="D656" s="30" t="s">
        <v>381</v>
      </c>
      <c r="E656" s="18" t="s">
        <v>736</v>
      </c>
      <c r="F656" s="30" t="s">
        <v>733</v>
      </c>
      <c r="G656" s="30" t="s">
        <v>611</v>
      </c>
      <c r="H656" s="55">
        <v>1995</v>
      </c>
      <c r="I656" s="51">
        <v>20360</v>
      </c>
      <c r="J656" s="49" t="s">
        <v>402</v>
      </c>
      <c r="K656" s="48" t="s">
        <v>402</v>
      </c>
      <c r="L656" s="50" t="s">
        <v>734</v>
      </c>
      <c r="M656" s="56" t="s">
        <v>408</v>
      </c>
      <c r="N656" s="30"/>
      <c r="O656" s="30"/>
      <c r="P656" s="30"/>
      <c r="Q656" s="30"/>
      <c r="R656" s="30"/>
      <c r="S656" s="30"/>
      <c r="T656" s="30"/>
      <c r="U656" s="30"/>
      <c r="V656" s="30"/>
      <c r="W656" s="30"/>
      <c r="X656" s="30"/>
      <c r="Y656" s="30"/>
      <c r="Z656" s="30"/>
      <c r="AA656" s="30"/>
      <c r="AB656" s="30"/>
      <c r="AC656" s="30"/>
      <c r="AD656" s="30"/>
      <c r="AE656" s="30"/>
      <c r="AF656" s="30"/>
      <c r="AG656" s="30"/>
      <c r="AH656" s="30"/>
    </row>
    <row r="657" spans="1:34" ht="16">
      <c r="A657" s="30" t="s">
        <v>406</v>
      </c>
      <c r="B657" s="30" t="s">
        <v>260</v>
      </c>
      <c r="C657" s="30" t="s">
        <v>735</v>
      </c>
      <c r="D657" s="30" t="s">
        <v>381</v>
      </c>
      <c r="E657" s="18" t="s">
        <v>736</v>
      </c>
      <c r="F657" s="30" t="s">
        <v>733</v>
      </c>
      <c r="G657" s="30" t="s">
        <v>611</v>
      </c>
      <c r="H657" s="55">
        <v>2002</v>
      </c>
      <c r="I657" s="51">
        <v>17631</v>
      </c>
      <c r="J657" s="49" t="s">
        <v>402</v>
      </c>
      <c r="K657" s="48" t="s">
        <v>402</v>
      </c>
      <c r="L657" s="50" t="s">
        <v>734</v>
      </c>
      <c r="M657" s="56" t="s">
        <v>408</v>
      </c>
      <c r="N657" s="30"/>
      <c r="O657" s="30"/>
      <c r="P657" s="30"/>
      <c r="Q657" s="30"/>
      <c r="R657" s="30"/>
      <c r="S657" s="30"/>
      <c r="T657" s="30"/>
      <c r="U657" s="30"/>
      <c r="V657" s="30"/>
      <c r="W657" s="30"/>
      <c r="X657" s="30"/>
      <c r="Y657" s="30"/>
      <c r="Z657" s="30"/>
      <c r="AA657" s="30"/>
      <c r="AB657" s="30"/>
      <c r="AC657" s="30"/>
      <c r="AD657" s="30"/>
      <c r="AE657" s="30"/>
      <c r="AF657" s="30"/>
      <c r="AG657" s="30"/>
      <c r="AH657" s="30"/>
    </row>
    <row r="658" spans="1:34" ht="16">
      <c r="A658" s="30" t="s">
        <v>406</v>
      </c>
      <c r="B658" s="30" t="s">
        <v>260</v>
      </c>
      <c r="C658" s="30" t="s">
        <v>735</v>
      </c>
      <c r="D658" s="30" t="s">
        <v>381</v>
      </c>
      <c r="E658" s="18" t="s">
        <v>736</v>
      </c>
      <c r="F658" s="30" t="s">
        <v>733</v>
      </c>
      <c r="G658" s="30" t="s">
        <v>611</v>
      </c>
      <c r="H658" s="55">
        <v>2004</v>
      </c>
      <c r="I658" s="51">
        <v>21955</v>
      </c>
      <c r="J658" s="49" t="s">
        <v>402</v>
      </c>
      <c r="K658" s="48" t="s">
        <v>402</v>
      </c>
      <c r="L658" s="50" t="s">
        <v>734</v>
      </c>
      <c r="M658" s="56" t="s">
        <v>408</v>
      </c>
      <c r="N658" s="30"/>
      <c r="O658" s="30"/>
      <c r="P658" s="30"/>
      <c r="Q658" s="30"/>
      <c r="R658" s="30"/>
      <c r="S658" s="30"/>
      <c r="T658" s="30"/>
      <c r="U658" s="30"/>
      <c r="V658" s="30"/>
      <c r="W658" s="30"/>
      <c r="X658" s="30"/>
      <c r="Y658" s="30"/>
      <c r="Z658" s="30"/>
      <c r="AA658" s="30"/>
      <c r="AB658" s="30"/>
      <c r="AC658" s="30"/>
      <c r="AD658" s="30"/>
      <c r="AE658" s="30"/>
      <c r="AF658" s="30"/>
      <c r="AG658" s="30"/>
      <c r="AH658" s="30"/>
    </row>
    <row r="659" spans="1:34" ht="16">
      <c r="A659" s="30" t="s">
        <v>406</v>
      </c>
      <c r="B659" s="30" t="s">
        <v>260</v>
      </c>
      <c r="C659" s="30" t="s">
        <v>735</v>
      </c>
      <c r="D659" s="30" t="s">
        <v>381</v>
      </c>
      <c r="E659" s="18" t="s">
        <v>736</v>
      </c>
      <c r="F659" s="30" t="s">
        <v>733</v>
      </c>
      <c r="G659" s="30" t="s">
        <v>611</v>
      </c>
      <c r="H659" s="55">
        <v>2009</v>
      </c>
      <c r="I659" s="51">
        <v>16076</v>
      </c>
      <c r="J659" s="49" t="s">
        <v>402</v>
      </c>
      <c r="K659" s="48" t="s">
        <v>402</v>
      </c>
      <c r="L659" s="50" t="s">
        <v>734</v>
      </c>
      <c r="M659" s="56" t="s">
        <v>408</v>
      </c>
      <c r="N659" s="30"/>
      <c r="O659" s="30"/>
      <c r="P659" s="30"/>
      <c r="Q659" s="30"/>
      <c r="R659" s="30"/>
      <c r="S659" s="30"/>
      <c r="T659" s="30"/>
      <c r="U659" s="30"/>
      <c r="V659" s="30"/>
      <c r="W659" s="30"/>
      <c r="X659" s="30"/>
      <c r="Y659" s="30"/>
      <c r="Z659" s="30"/>
      <c r="AA659" s="30"/>
      <c r="AB659" s="30"/>
      <c r="AC659" s="30"/>
      <c r="AD659" s="30"/>
      <c r="AE659" s="30"/>
      <c r="AF659" s="30"/>
      <c r="AG659" s="30"/>
      <c r="AH659" s="30"/>
    </row>
    <row r="660" spans="1:34" ht="16">
      <c r="A660" s="30" t="s">
        <v>406</v>
      </c>
      <c r="B660" s="30" t="s">
        <v>260</v>
      </c>
      <c r="C660" s="30" t="s">
        <v>735</v>
      </c>
      <c r="D660" s="30" t="s">
        <v>381</v>
      </c>
      <c r="E660" s="18" t="s">
        <v>736</v>
      </c>
      <c r="F660" s="30" t="s">
        <v>733</v>
      </c>
      <c r="G660" s="30" t="s">
        <v>611</v>
      </c>
      <c r="H660" s="55">
        <v>2012</v>
      </c>
      <c r="I660" s="51">
        <v>15410</v>
      </c>
      <c r="J660" s="49" t="s">
        <v>402</v>
      </c>
      <c r="K660" s="48" t="s">
        <v>402</v>
      </c>
      <c r="L660" s="50" t="s">
        <v>734</v>
      </c>
      <c r="M660" s="56" t="s">
        <v>408</v>
      </c>
      <c r="N660" s="30"/>
      <c r="O660" s="30"/>
      <c r="P660" s="30"/>
      <c r="Q660" s="30"/>
      <c r="R660" s="30"/>
      <c r="S660" s="30"/>
      <c r="T660" s="30"/>
      <c r="U660" s="30"/>
      <c r="V660" s="30"/>
      <c r="W660" s="30"/>
      <c r="X660" s="30"/>
      <c r="Y660" s="30"/>
      <c r="Z660" s="30"/>
      <c r="AA660" s="30"/>
      <c r="AB660" s="30"/>
      <c r="AC660" s="30"/>
      <c r="AD660" s="30"/>
      <c r="AE660" s="30"/>
      <c r="AF660" s="30"/>
      <c r="AG660" s="30"/>
      <c r="AH660" s="30"/>
    </row>
    <row r="661" spans="1:34" ht="16">
      <c r="A661" s="30" t="s">
        <v>406</v>
      </c>
      <c r="B661" s="30" t="s">
        <v>260</v>
      </c>
      <c r="C661" s="30" t="s">
        <v>737</v>
      </c>
      <c r="D661" s="30" t="s">
        <v>381</v>
      </c>
      <c r="E661" s="30" t="s">
        <v>738</v>
      </c>
      <c r="F661" s="30" t="s">
        <v>733</v>
      </c>
      <c r="G661" s="30" t="s">
        <v>611</v>
      </c>
      <c r="H661" s="55">
        <v>1984</v>
      </c>
      <c r="I661" s="51">
        <v>14295</v>
      </c>
      <c r="J661" s="49" t="s">
        <v>402</v>
      </c>
      <c r="K661" s="48" t="s">
        <v>402</v>
      </c>
      <c r="L661" s="50" t="s">
        <v>734</v>
      </c>
      <c r="M661" s="56" t="s">
        <v>408</v>
      </c>
      <c r="N661" s="30"/>
      <c r="O661" s="30"/>
      <c r="P661" s="30"/>
      <c r="Q661" s="30"/>
      <c r="R661" s="30"/>
      <c r="S661" s="30"/>
      <c r="T661" s="30"/>
      <c r="U661" s="30"/>
      <c r="V661" s="30"/>
      <c r="W661" s="30"/>
      <c r="X661" s="30"/>
      <c r="Y661" s="30"/>
      <c r="Z661" s="30"/>
      <c r="AA661" s="30"/>
      <c r="AB661" s="30"/>
      <c r="AC661" s="30"/>
      <c r="AD661" s="30"/>
      <c r="AE661" s="30"/>
      <c r="AF661" s="30"/>
      <c r="AG661" s="30"/>
      <c r="AH661" s="30"/>
    </row>
    <row r="662" spans="1:34" ht="16">
      <c r="A662" s="30" t="s">
        <v>406</v>
      </c>
      <c r="B662" s="30" t="s">
        <v>260</v>
      </c>
      <c r="C662" s="30" t="s">
        <v>737</v>
      </c>
      <c r="D662" s="30" t="s">
        <v>381</v>
      </c>
      <c r="E662" s="30" t="s">
        <v>738</v>
      </c>
      <c r="F662" s="30" t="s">
        <v>733</v>
      </c>
      <c r="G662" s="30" t="s">
        <v>611</v>
      </c>
      <c r="H662" s="55">
        <v>1985</v>
      </c>
      <c r="I662" s="51">
        <v>14953</v>
      </c>
      <c r="J662" s="49" t="s">
        <v>402</v>
      </c>
      <c r="K662" s="48" t="s">
        <v>402</v>
      </c>
      <c r="L662" s="50" t="s">
        <v>734</v>
      </c>
      <c r="M662" s="56" t="s">
        <v>408</v>
      </c>
      <c r="N662" s="30"/>
      <c r="O662" s="30"/>
      <c r="P662" s="30"/>
      <c r="Q662" s="30"/>
      <c r="R662" s="30"/>
      <c r="S662" s="30"/>
      <c r="T662" s="30"/>
      <c r="U662" s="30"/>
      <c r="V662" s="30"/>
      <c r="W662" s="30"/>
      <c r="X662" s="30"/>
      <c r="Y662" s="30"/>
      <c r="Z662" s="30"/>
      <c r="AA662" s="30"/>
      <c r="AB662" s="30"/>
      <c r="AC662" s="30"/>
      <c r="AD662" s="30"/>
      <c r="AE662" s="30"/>
      <c r="AF662" s="30"/>
      <c r="AG662" s="30"/>
      <c r="AH662" s="30"/>
    </row>
    <row r="663" spans="1:34" ht="16">
      <c r="A663" s="30" t="s">
        <v>406</v>
      </c>
      <c r="B663" s="30" t="s">
        <v>260</v>
      </c>
      <c r="C663" s="30" t="s">
        <v>737</v>
      </c>
      <c r="D663" s="30" t="s">
        <v>381</v>
      </c>
      <c r="E663" s="30" t="s">
        <v>738</v>
      </c>
      <c r="F663" s="30" t="s">
        <v>733</v>
      </c>
      <c r="G663" s="30" t="s">
        <v>611</v>
      </c>
      <c r="H663" s="55">
        <v>1986</v>
      </c>
      <c r="I663" s="51">
        <v>15684</v>
      </c>
      <c r="J663" s="49" t="s">
        <v>402</v>
      </c>
      <c r="K663" s="48" t="s">
        <v>402</v>
      </c>
      <c r="L663" s="50" t="s">
        <v>734</v>
      </c>
      <c r="M663" s="56" t="s">
        <v>408</v>
      </c>
      <c r="N663" s="30"/>
      <c r="O663" s="30"/>
      <c r="P663" s="30"/>
      <c r="Q663" s="30"/>
      <c r="R663" s="30"/>
      <c r="S663" s="30"/>
      <c r="T663" s="30"/>
      <c r="U663" s="30"/>
      <c r="V663" s="30"/>
      <c r="W663" s="30"/>
      <c r="X663" s="30"/>
      <c r="Y663" s="30"/>
      <c r="Z663" s="30"/>
      <c r="AA663" s="30"/>
      <c r="AB663" s="30"/>
      <c r="AC663" s="30"/>
      <c r="AD663" s="30"/>
      <c r="AE663" s="30"/>
      <c r="AF663" s="30"/>
      <c r="AG663" s="30"/>
      <c r="AH663" s="30"/>
    </row>
    <row r="664" spans="1:34" ht="16">
      <c r="A664" s="30" t="s">
        <v>406</v>
      </c>
      <c r="B664" s="30" t="s">
        <v>260</v>
      </c>
      <c r="C664" s="30" t="s">
        <v>737</v>
      </c>
      <c r="D664" s="30" t="s">
        <v>381</v>
      </c>
      <c r="E664" s="30" t="s">
        <v>738</v>
      </c>
      <c r="F664" s="30" t="s">
        <v>733</v>
      </c>
      <c r="G664" s="30" t="s">
        <v>611</v>
      </c>
      <c r="H664" s="55">
        <v>1987</v>
      </c>
      <c r="I664" s="51">
        <v>19423</v>
      </c>
      <c r="J664" s="49" t="s">
        <v>402</v>
      </c>
      <c r="K664" s="48" t="s">
        <v>402</v>
      </c>
      <c r="L664" s="50" t="s">
        <v>734</v>
      </c>
      <c r="M664" s="56" t="s">
        <v>408</v>
      </c>
      <c r="N664" s="30"/>
      <c r="O664" s="30"/>
      <c r="P664" s="30"/>
      <c r="Q664" s="30"/>
      <c r="R664" s="30"/>
      <c r="S664" s="30"/>
      <c r="T664" s="30"/>
      <c r="U664" s="30"/>
      <c r="V664" s="30"/>
      <c r="W664" s="30"/>
      <c r="X664" s="30"/>
      <c r="Y664" s="30"/>
      <c r="Z664" s="30"/>
      <c r="AA664" s="30"/>
      <c r="AB664" s="30"/>
      <c r="AC664" s="30"/>
      <c r="AD664" s="30"/>
      <c r="AE664" s="30"/>
      <c r="AF664" s="30"/>
      <c r="AG664" s="30"/>
      <c r="AH664" s="30"/>
    </row>
    <row r="665" spans="1:34" ht="16">
      <c r="A665" s="30" t="s">
        <v>406</v>
      </c>
      <c r="B665" s="30" t="s">
        <v>260</v>
      </c>
      <c r="C665" s="30" t="s">
        <v>737</v>
      </c>
      <c r="D665" s="30" t="s">
        <v>381</v>
      </c>
      <c r="E665" s="30" t="s">
        <v>738</v>
      </c>
      <c r="F665" s="30" t="s">
        <v>733</v>
      </c>
      <c r="G665" s="30" t="s">
        <v>611</v>
      </c>
      <c r="H665" s="55">
        <v>1988</v>
      </c>
      <c r="I665" s="51">
        <v>18101</v>
      </c>
      <c r="J665" s="49" t="s">
        <v>402</v>
      </c>
      <c r="K665" s="48" t="s">
        <v>402</v>
      </c>
      <c r="L665" s="50" t="s">
        <v>734</v>
      </c>
      <c r="M665" s="56" t="s">
        <v>408</v>
      </c>
      <c r="N665" s="30"/>
      <c r="O665" s="30"/>
      <c r="P665" s="30"/>
      <c r="Q665" s="30"/>
      <c r="R665" s="30"/>
      <c r="S665" s="30"/>
      <c r="T665" s="30"/>
      <c r="U665" s="30"/>
      <c r="V665" s="30"/>
      <c r="W665" s="30"/>
      <c r="X665" s="30"/>
      <c r="Y665" s="30"/>
      <c r="Z665" s="30"/>
      <c r="AA665" s="30"/>
      <c r="AB665" s="30"/>
      <c r="AC665" s="30"/>
      <c r="AD665" s="30"/>
      <c r="AE665" s="30"/>
      <c r="AF665" s="30"/>
      <c r="AG665" s="30"/>
      <c r="AH665" s="30"/>
    </row>
    <row r="666" spans="1:34" ht="16">
      <c r="A666" s="30" t="s">
        <v>406</v>
      </c>
      <c r="B666" s="30" t="s">
        <v>260</v>
      </c>
      <c r="C666" s="30" t="s">
        <v>737</v>
      </c>
      <c r="D666" s="30" t="s">
        <v>381</v>
      </c>
      <c r="E666" s="30" t="s">
        <v>738</v>
      </c>
      <c r="F666" s="30" t="s">
        <v>733</v>
      </c>
      <c r="G666" s="30" t="s">
        <v>611</v>
      </c>
      <c r="H666" s="55">
        <v>1989</v>
      </c>
      <c r="I666" s="51">
        <v>20372</v>
      </c>
      <c r="J666" s="49" t="s">
        <v>402</v>
      </c>
      <c r="K666" s="48" t="s">
        <v>402</v>
      </c>
      <c r="L666" s="50" t="s">
        <v>734</v>
      </c>
      <c r="M666" s="56" t="s">
        <v>408</v>
      </c>
      <c r="N666" s="30"/>
      <c r="O666" s="30"/>
      <c r="P666" s="30"/>
      <c r="Q666" s="30"/>
      <c r="R666" s="30"/>
      <c r="S666" s="30"/>
      <c r="T666" s="30"/>
      <c r="U666" s="30"/>
      <c r="V666" s="30"/>
      <c r="W666" s="30"/>
      <c r="X666" s="30"/>
      <c r="Y666" s="30"/>
      <c r="Z666" s="30"/>
      <c r="AA666" s="30"/>
      <c r="AB666" s="30"/>
      <c r="AC666" s="30"/>
      <c r="AD666" s="30"/>
      <c r="AE666" s="30"/>
      <c r="AF666" s="30"/>
      <c r="AG666" s="30"/>
      <c r="AH666" s="30"/>
    </row>
    <row r="667" spans="1:34" ht="16">
      <c r="A667" s="30" t="s">
        <v>406</v>
      </c>
      <c r="B667" s="30" t="s">
        <v>260</v>
      </c>
      <c r="C667" s="30" t="s">
        <v>737</v>
      </c>
      <c r="D667" s="30" t="s">
        <v>381</v>
      </c>
      <c r="E667" s="30" t="s">
        <v>738</v>
      </c>
      <c r="F667" s="30" t="s">
        <v>733</v>
      </c>
      <c r="G667" s="30" t="s">
        <v>611</v>
      </c>
      <c r="H667" s="55">
        <v>1990</v>
      </c>
      <c r="I667" s="51">
        <v>18537</v>
      </c>
      <c r="J667" s="49" t="s">
        <v>402</v>
      </c>
      <c r="K667" s="48" t="s">
        <v>402</v>
      </c>
      <c r="L667" s="50" t="s">
        <v>734</v>
      </c>
      <c r="M667" s="56" t="s">
        <v>408</v>
      </c>
      <c r="N667" s="30"/>
      <c r="O667" s="30"/>
      <c r="P667" s="30"/>
      <c r="Q667" s="30"/>
      <c r="R667" s="30"/>
      <c r="S667" s="30"/>
      <c r="T667" s="30"/>
      <c r="U667" s="30"/>
      <c r="V667" s="30"/>
      <c r="W667" s="30"/>
      <c r="X667" s="30"/>
      <c r="Y667" s="30"/>
      <c r="Z667" s="30"/>
      <c r="AA667" s="30"/>
      <c r="AB667" s="30"/>
      <c r="AC667" s="30"/>
      <c r="AD667" s="30"/>
      <c r="AE667" s="30"/>
      <c r="AF667" s="30"/>
      <c r="AG667" s="30"/>
      <c r="AH667" s="30"/>
    </row>
    <row r="668" spans="1:34" ht="16">
      <c r="A668" s="30" t="s">
        <v>406</v>
      </c>
      <c r="B668" s="30" t="s">
        <v>260</v>
      </c>
      <c r="C668" s="30" t="s">
        <v>737</v>
      </c>
      <c r="D668" s="30" t="s">
        <v>381</v>
      </c>
      <c r="E668" s="30" t="s">
        <v>738</v>
      </c>
      <c r="F668" s="30" t="s">
        <v>733</v>
      </c>
      <c r="G668" s="30" t="s">
        <v>611</v>
      </c>
      <c r="H668" s="55">
        <v>1991</v>
      </c>
      <c r="I668" s="51">
        <v>22862</v>
      </c>
      <c r="J668" s="49" t="s">
        <v>402</v>
      </c>
      <c r="K668" s="48" t="s">
        <v>402</v>
      </c>
      <c r="L668" s="50" t="s">
        <v>734</v>
      </c>
      <c r="M668" s="56" t="s">
        <v>408</v>
      </c>
      <c r="N668" s="30"/>
      <c r="O668" s="30"/>
      <c r="P668" s="30"/>
      <c r="Q668" s="30"/>
      <c r="R668" s="30"/>
      <c r="S668" s="30"/>
      <c r="T668" s="30"/>
      <c r="U668" s="30"/>
      <c r="V668" s="30"/>
      <c r="W668" s="30"/>
      <c r="X668" s="30"/>
      <c r="Y668" s="30"/>
      <c r="Z668" s="30"/>
      <c r="AA668" s="30"/>
      <c r="AB668" s="30"/>
      <c r="AC668" s="30"/>
      <c r="AD668" s="30"/>
      <c r="AE668" s="30"/>
      <c r="AF668" s="30"/>
      <c r="AG668" s="30"/>
      <c r="AH668" s="30"/>
    </row>
    <row r="669" spans="1:34" ht="16">
      <c r="A669" s="30" t="s">
        <v>406</v>
      </c>
      <c r="B669" s="30" t="s">
        <v>260</v>
      </c>
      <c r="C669" s="30" t="s">
        <v>737</v>
      </c>
      <c r="D669" s="30" t="s">
        <v>381</v>
      </c>
      <c r="E669" s="30" t="s">
        <v>738</v>
      </c>
      <c r="F669" s="30" t="s">
        <v>733</v>
      </c>
      <c r="G669" s="30" t="s">
        <v>611</v>
      </c>
      <c r="H669" s="55">
        <v>1992</v>
      </c>
      <c r="I669" s="51">
        <v>23153</v>
      </c>
      <c r="J669" s="49" t="s">
        <v>402</v>
      </c>
      <c r="K669" s="48" t="s">
        <v>402</v>
      </c>
      <c r="L669" s="50" t="s">
        <v>734</v>
      </c>
      <c r="M669" s="56" t="s">
        <v>408</v>
      </c>
      <c r="N669" s="30"/>
      <c r="O669" s="30"/>
      <c r="P669" s="30"/>
      <c r="Q669" s="30"/>
      <c r="R669" s="30"/>
      <c r="S669" s="30"/>
      <c r="T669" s="30"/>
      <c r="U669" s="30"/>
      <c r="V669" s="30"/>
      <c r="W669" s="30"/>
      <c r="X669" s="30"/>
      <c r="Y669" s="30"/>
      <c r="Z669" s="30"/>
      <c r="AA669" s="30"/>
      <c r="AB669" s="30"/>
      <c r="AC669" s="30"/>
      <c r="AD669" s="30"/>
      <c r="AE669" s="30"/>
      <c r="AF669" s="30"/>
      <c r="AG669" s="30"/>
      <c r="AH669" s="30"/>
    </row>
    <row r="670" spans="1:34" ht="16">
      <c r="A670" s="30" t="s">
        <v>406</v>
      </c>
      <c r="B670" s="30" t="s">
        <v>260</v>
      </c>
      <c r="C670" s="30" t="s">
        <v>737</v>
      </c>
      <c r="D670" s="30" t="s">
        <v>381</v>
      </c>
      <c r="E670" s="30" t="s">
        <v>738</v>
      </c>
      <c r="F670" s="30" t="s">
        <v>733</v>
      </c>
      <c r="G670" s="30" t="s">
        <v>611</v>
      </c>
      <c r="H670" s="55">
        <v>1993</v>
      </c>
      <c r="I670" s="51">
        <v>18164</v>
      </c>
      <c r="J670" s="49" t="s">
        <v>402</v>
      </c>
      <c r="K670" s="48" t="s">
        <v>402</v>
      </c>
      <c r="L670" s="50" t="s">
        <v>734</v>
      </c>
      <c r="M670" s="56" t="s">
        <v>408</v>
      </c>
      <c r="N670" s="30"/>
      <c r="O670" s="30"/>
      <c r="P670" s="30"/>
      <c r="Q670" s="30"/>
      <c r="R670" s="30"/>
      <c r="S670" s="30"/>
      <c r="T670" s="30"/>
      <c r="U670" s="30"/>
      <c r="V670" s="30"/>
      <c r="W670" s="30"/>
      <c r="X670" s="30"/>
      <c r="Y670" s="30"/>
      <c r="Z670" s="30"/>
      <c r="AA670" s="30"/>
      <c r="AB670" s="30"/>
      <c r="AC670" s="30"/>
      <c r="AD670" s="30"/>
      <c r="AE670" s="30"/>
      <c r="AF670" s="30"/>
      <c r="AG670" s="30"/>
      <c r="AH670" s="30"/>
    </row>
    <row r="671" spans="1:34" ht="16">
      <c r="A671" s="30" t="s">
        <v>406</v>
      </c>
      <c r="B671" s="30" t="s">
        <v>260</v>
      </c>
      <c r="C671" s="30" t="s">
        <v>737</v>
      </c>
      <c r="D671" s="30" t="s">
        <v>381</v>
      </c>
      <c r="E671" s="30" t="s">
        <v>738</v>
      </c>
      <c r="F671" s="30" t="s">
        <v>733</v>
      </c>
      <c r="G671" s="30" t="s">
        <v>611</v>
      </c>
      <c r="H671" s="55">
        <v>1994</v>
      </c>
      <c r="I671" s="51">
        <v>21462</v>
      </c>
      <c r="J671" s="49" t="s">
        <v>402</v>
      </c>
      <c r="K671" s="48" t="s">
        <v>402</v>
      </c>
      <c r="L671" s="50" t="s">
        <v>734</v>
      </c>
      <c r="M671" s="56" t="s">
        <v>408</v>
      </c>
      <c r="N671" s="30"/>
      <c r="O671" s="30"/>
      <c r="P671" s="30"/>
      <c r="Q671" s="30"/>
      <c r="R671" s="30"/>
      <c r="S671" s="30"/>
      <c r="T671" s="30"/>
      <c r="U671" s="30"/>
      <c r="V671" s="30"/>
      <c r="W671" s="30"/>
      <c r="X671" s="30"/>
      <c r="Y671" s="30"/>
      <c r="Z671" s="30"/>
      <c r="AA671" s="30"/>
      <c r="AB671" s="30"/>
      <c r="AC671" s="30"/>
      <c r="AD671" s="30"/>
      <c r="AE671" s="30"/>
      <c r="AF671" s="30"/>
      <c r="AG671" s="30"/>
      <c r="AH671" s="30"/>
    </row>
    <row r="672" spans="1:34" ht="16">
      <c r="A672" s="30" t="s">
        <v>406</v>
      </c>
      <c r="B672" s="30" t="s">
        <v>260</v>
      </c>
      <c r="C672" s="30" t="s">
        <v>737</v>
      </c>
      <c r="D672" s="30" t="s">
        <v>381</v>
      </c>
      <c r="E672" s="30" t="s">
        <v>738</v>
      </c>
      <c r="F672" s="30" t="s">
        <v>733</v>
      </c>
      <c r="G672" s="30" t="s">
        <v>611</v>
      </c>
      <c r="H672" s="55">
        <v>1995</v>
      </c>
      <c r="I672" s="51">
        <v>23367</v>
      </c>
      <c r="J672" s="49" t="s">
        <v>402</v>
      </c>
      <c r="K672" s="48" t="s">
        <v>402</v>
      </c>
      <c r="L672" s="50" t="s">
        <v>734</v>
      </c>
      <c r="M672" s="56" t="s">
        <v>408</v>
      </c>
      <c r="N672" s="30"/>
      <c r="O672" s="30"/>
      <c r="P672" s="30"/>
      <c r="Q672" s="30"/>
      <c r="R672" s="30"/>
      <c r="S672" s="30"/>
      <c r="T672" s="30"/>
      <c r="U672" s="30"/>
      <c r="V672" s="30"/>
      <c r="W672" s="30"/>
      <c r="X672" s="30"/>
      <c r="Y672" s="30"/>
      <c r="Z672" s="30"/>
      <c r="AA672" s="30"/>
      <c r="AB672" s="30"/>
      <c r="AC672" s="30"/>
      <c r="AD672" s="30"/>
      <c r="AE672" s="30"/>
      <c r="AF672" s="30"/>
      <c r="AG672" s="30"/>
      <c r="AH672" s="30"/>
    </row>
    <row r="673" spans="1:34" ht="16">
      <c r="A673" s="30" t="s">
        <v>406</v>
      </c>
      <c r="B673" s="30" t="s">
        <v>260</v>
      </c>
      <c r="C673" s="30" t="s">
        <v>737</v>
      </c>
      <c r="D673" s="30" t="s">
        <v>381</v>
      </c>
      <c r="E673" s="30" t="s">
        <v>738</v>
      </c>
      <c r="F673" s="30" t="s">
        <v>733</v>
      </c>
      <c r="G673" s="30" t="s">
        <v>611</v>
      </c>
      <c r="H673" s="55">
        <v>2002</v>
      </c>
      <c r="I673" s="51">
        <v>21445</v>
      </c>
      <c r="J673" s="49" t="s">
        <v>402</v>
      </c>
      <c r="K673" s="48" t="s">
        <v>402</v>
      </c>
      <c r="L673" s="50" t="s">
        <v>734</v>
      </c>
      <c r="M673" s="56" t="s">
        <v>408</v>
      </c>
      <c r="N673" s="30"/>
      <c r="O673" s="30"/>
      <c r="P673" s="30"/>
      <c r="Q673" s="30"/>
      <c r="R673" s="30"/>
      <c r="S673" s="30"/>
      <c r="T673" s="30"/>
      <c r="U673" s="30"/>
      <c r="V673" s="30"/>
      <c r="W673" s="30"/>
      <c r="X673" s="30"/>
      <c r="Y673" s="30"/>
      <c r="Z673" s="30"/>
      <c r="AA673" s="30"/>
      <c r="AB673" s="30"/>
      <c r="AC673" s="30"/>
      <c r="AD673" s="30"/>
      <c r="AE673" s="30"/>
      <c r="AF673" s="30"/>
      <c r="AG673" s="30"/>
      <c r="AH673" s="30"/>
    </row>
    <row r="674" spans="1:34" ht="16">
      <c r="A674" s="30" t="s">
        <v>406</v>
      </c>
      <c r="B674" s="30" t="s">
        <v>260</v>
      </c>
      <c r="C674" s="30" t="s">
        <v>737</v>
      </c>
      <c r="D674" s="30" t="s">
        <v>381</v>
      </c>
      <c r="E674" s="30" t="s">
        <v>738</v>
      </c>
      <c r="F674" s="30" t="s">
        <v>733</v>
      </c>
      <c r="G674" s="30" t="s">
        <v>611</v>
      </c>
      <c r="H674" s="55">
        <v>2004</v>
      </c>
      <c r="I674" s="51">
        <v>26282</v>
      </c>
      <c r="J674" s="49" t="s">
        <v>402</v>
      </c>
      <c r="K674" s="48" t="s">
        <v>402</v>
      </c>
      <c r="L674" s="50" t="s">
        <v>734</v>
      </c>
      <c r="M674" s="56" t="s">
        <v>408</v>
      </c>
      <c r="N674" s="30"/>
      <c r="O674" s="30"/>
      <c r="P674" s="30"/>
      <c r="Q674" s="30"/>
      <c r="R674" s="30"/>
      <c r="S674" s="30"/>
      <c r="T674" s="30"/>
      <c r="U674" s="30"/>
      <c r="V674" s="30"/>
      <c r="W674" s="30"/>
      <c r="X674" s="30"/>
      <c r="Y674" s="30"/>
      <c r="Z674" s="30"/>
      <c r="AA674" s="30"/>
      <c r="AB674" s="30"/>
      <c r="AC674" s="30"/>
      <c r="AD674" s="30"/>
      <c r="AE674" s="30"/>
      <c r="AF674" s="30"/>
      <c r="AG674" s="30"/>
      <c r="AH674" s="30"/>
    </row>
    <row r="675" spans="1:34" ht="16">
      <c r="A675" s="30" t="s">
        <v>406</v>
      </c>
      <c r="B675" s="30" t="s">
        <v>260</v>
      </c>
      <c r="C675" s="30" t="s">
        <v>737</v>
      </c>
      <c r="D675" s="30" t="s">
        <v>381</v>
      </c>
      <c r="E675" s="30" t="s">
        <v>738</v>
      </c>
      <c r="F675" s="30" t="s">
        <v>733</v>
      </c>
      <c r="G675" s="30" t="s">
        <v>611</v>
      </c>
      <c r="H675" s="55">
        <v>2009</v>
      </c>
      <c r="I675" s="51">
        <v>19597</v>
      </c>
      <c r="J675" s="49" t="s">
        <v>402</v>
      </c>
      <c r="K675" s="48" t="s">
        <v>402</v>
      </c>
      <c r="L675" s="50" t="s">
        <v>734</v>
      </c>
      <c r="M675" s="56" t="s">
        <v>408</v>
      </c>
      <c r="N675" s="30"/>
      <c r="O675" s="30"/>
      <c r="P675" s="30"/>
      <c r="Q675" s="30"/>
      <c r="R675" s="30"/>
      <c r="S675" s="30"/>
      <c r="T675" s="30"/>
      <c r="U675" s="30"/>
      <c r="V675" s="30"/>
      <c r="W675" s="30"/>
      <c r="X675" s="30"/>
      <c r="Y675" s="30"/>
      <c r="Z675" s="30"/>
      <c r="AA675" s="30"/>
      <c r="AB675" s="30"/>
      <c r="AC675" s="30"/>
      <c r="AD675" s="30"/>
      <c r="AE675" s="30"/>
      <c r="AF675" s="30"/>
      <c r="AG675" s="30"/>
      <c r="AH675" s="30"/>
    </row>
    <row r="676" spans="1:34" ht="16">
      <c r="A676" s="30" t="s">
        <v>406</v>
      </c>
      <c r="B676" s="30" t="s">
        <v>260</v>
      </c>
      <c r="C676" s="30" t="s">
        <v>737</v>
      </c>
      <c r="D676" s="30" t="s">
        <v>381</v>
      </c>
      <c r="E676" s="30" t="s">
        <v>738</v>
      </c>
      <c r="F676" s="30" t="s">
        <v>733</v>
      </c>
      <c r="G676" s="30" t="s">
        <v>611</v>
      </c>
      <c r="H676" s="55">
        <v>2012</v>
      </c>
      <c r="I676" s="51">
        <v>20104</v>
      </c>
      <c r="J676" s="49" t="s">
        <v>402</v>
      </c>
      <c r="K676" s="48" t="s">
        <v>402</v>
      </c>
      <c r="L676" s="50" t="s">
        <v>734</v>
      </c>
      <c r="M676" s="56" t="s">
        <v>408</v>
      </c>
      <c r="N676" s="30"/>
      <c r="O676" s="30"/>
      <c r="P676" s="30"/>
      <c r="Q676" s="30"/>
      <c r="R676" s="30"/>
      <c r="S676" s="30"/>
      <c r="T676" s="30"/>
      <c r="U676" s="30"/>
      <c r="V676" s="30"/>
      <c r="W676" s="30"/>
      <c r="X676" s="30"/>
      <c r="Y676" s="30"/>
      <c r="Z676" s="30"/>
      <c r="AA676" s="30"/>
      <c r="AB676" s="30"/>
      <c r="AC676" s="30"/>
      <c r="AD676" s="30"/>
      <c r="AE676" s="30"/>
      <c r="AF676" s="30"/>
      <c r="AG676" s="30"/>
      <c r="AH676" s="30"/>
    </row>
    <row r="677" spans="1:34" ht="13">
      <c r="A677" s="30" t="s">
        <v>400</v>
      </c>
      <c r="B677" s="30" t="s">
        <v>260</v>
      </c>
      <c r="C677" s="30" t="s">
        <v>739</v>
      </c>
      <c r="D677" s="30" t="s">
        <v>381</v>
      </c>
      <c r="E677" s="18" t="s">
        <v>740</v>
      </c>
      <c r="F677" s="30" t="s">
        <v>84</v>
      </c>
      <c r="G677" s="30" t="s">
        <v>611</v>
      </c>
      <c r="H677" s="48">
        <v>1980</v>
      </c>
      <c r="I677" s="49">
        <v>4503</v>
      </c>
      <c r="J677" s="49" t="s">
        <v>402</v>
      </c>
      <c r="K677" s="48" t="s">
        <v>402</v>
      </c>
      <c r="L677" s="50" t="s">
        <v>612</v>
      </c>
      <c r="M677" s="56" t="s">
        <v>403</v>
      </c>
      <c r="N677" s="30"/>
      <c r="O677" s="30"/>
      <c r="P677" s="30"/>
      <c r="Q677" s="30"/>
      <c r="R677" s="30"/>
      <c r="S677" s="30"/>
      <c r="T677" s="30"/>
      <c r="U677" s="30"/>
      <c r="V677" s="30"/>
      <c r="W677" s="30"/>
      <c r="X677" s="30"/>
      <c r="Y677" s="30"/>
      <c r="Z677" s="30"/>
      <c r="AA677" s="30"/>
      <c r="AB677" s="30"/>
      <c r="AC677" s="30"/>
      <c r="AD677" s="30"/>
      <c r="AE677" s="30"/>
      <c r="AF677" s="30"/>
      <c r="AG677" s="30"/>
      <c r="AH677" s="30"/>
    </row>
    <row r="678" spans="1:34" ht="13">
      <c r="A678" s="30" t="s">
        <v>400</v>
      </c>
      <c r="B678" s="30" t="s">
        <v>260</v>
      </c>
      <c r="C678" s="30" t="s">
        <v>739</v>
      </c>
      <c r="D678" s="30" t="s">
        <v>381</v>
      </c>
      <c r="E678" s="18" t="s">
        <v>740</v>
      </c>
      <c r="F678" s="30" t="s">
        <v>84</v>
      </c>
      <c r="G678" s="30" t="s">
        <v>611</v>
      </c>
      <c r="H678" s="48">
        <v>1981</v>
      </c>
      <c r="I678" s="49">
        <v>6085</v>
      </c>
      <c r="J678" s="49" t="s">
        <v>402</v>
      </c>
      <c r="K678" s="48" t="s">
        <v>402</v>
      </c>
      <c r="L678" s="50" t="s">
        <v>612</v>
      </c>
      <c r="M678" s="56" t="s">
        <v>403</v>
      </c>
      <c r="N678" s="30"/>
      <c r="O678" s="30"/>
      <c r="P678" s="30"/>
      <c r="Q678" s="30"/>
      <c r="R678" s="30"/>
      <c r="S678" s="30"/>
      <c r="T678" s="30"/>
      <c r="U678" s="30"/>
      <c r="V678" s="30"/>
      <c r="W678" s="30"/>
      <c r="X678" s="30"/>
      <c r="Y678" s="30"/>
      <c r="Z678" s="30"/>
      <c r="AA678" s="30"/>
      <c r="AB678" s="30"/>
      <c r="AC678" s="30"/>
      <c r="AD678" s="30"/>
      <c r="AE678" s="30"/>
      <c r="AF678" s="30"/>
      <c r="AG678" s="30"/>
      <c r="AH678" s="30"/>
    </row>
    <row r="679" spans="1:34" ht="13">
      <c r="A679" s="30" t="s">
        <v>400</v>
      </c>
      <c r="B679" s="30" t="s">
        <v>260</v>
      </c>
      <c r="C679" s="30" t="s">
        <v>739</v>
      </c>
      <c r="D679" s="30" t="s">
        <v>381</v>
      </c>
      <c r="E679" s="18" t="s">
        <v>740</v>
      </c>
      <c r="F679" s="30" t="s">
        <v>84</v>
      </c>
      <c r="G679" s="30" t="s">
        <v>611</v>
      </c>
      <c r="H679" s="48">
        <v>1983</v>
      </c>
      <c r="I679" s="49">
        <v>6775</v>
      </c>
      <c r="J679" s="49" t="s">
        <v>402</v>
      </c>
      <c r="K679" s="48" t="s">
        <v>402</v>
      </c>
      <c r="L679" s="50" t="s">
        <v>612</v>
      </c>
      <c r="M679" s="56" t="s">
        <v>403</v>
      </c>
      <c r="N679" s="30"/>
      <c r="O679" s="30"/>
      <c r="P679" s="30"/>
      <c r="Q679" s="30"/>
      <c r="R679" s="30"/>
      <c r="S679" s="30"/>
      <c r="T679" s="30"/>
      <c r="U679" s="30"/>
      <c r="V679" s="30"/>
      <c r="W679" s="30"/>
      <c r="X679" s="30"/>
      <c r="Y679" s="30"/>
      <c r="Z679" s="30"/>
      <c r="AA679" s="30"/>
      <c r="AB679" s="30"/>
      <c r="AC679" s="30"/>
      <c r="AD679" s="30"/>
      <c r="AE679" s="30"/>
      <c r="AF679" s="30"/>
      <c r="AG679" s="30"/>
      <c r="AH679" s="30"/>
    </row>
    <row r="680" spans="1:34" ht="13">
      <c r="A680" s="30" t="s">
        <v>400</v>
      </c>
      <c r="B680" s="30" t="s">
        <v>260</v>
      </c>
      <c r="C680" s="30" t="s">
        <v>739</v>
      </c>
      <c r="D680" s="30" t="s">
        <v>381</v>
      </c>
      <c r="E680" s="18" t="s">
        <v>740</v>
      </c>
      <c r="F680" s="30" t="s">
        <v>84</v>
      </c>
      <c r="G680" s="30" t="s">
        <v>611</v>
      </c>
      <c r="H680" s="48">
        <v>1986</v>
      </c>
      <c r="I680" s="49">
        <v>6569</v>
      </c>
      <c r="J680" s="49" t="s">
        <v>402</v>
      </c>
      <c r="K680" s="48" t="s">
        <v>402</v>
      </c>
      <c r="L680" s="50" t="s">
        <v>612</v>
      </c>
      <c r="M680" s="56" t="s">
        <v>403</v>
      </c>
      <c r="N680" s="30"/>
      <c r="O680" s="30"/>
      <c r="P680" s="30"/>
      <c r="Q680" s="30"/>
      <c r="R680" s="30"/>
      <c r="S680" s="30"/>
      <c r="T680" s="30"/>
      <c r="U680" s="30"/>
      <c r="V680" s="30"/>
      <c r="W680" s="30"/>
      <c r="X680" s="30"/>
      <c r="Y680" s="30"/>
      <c r="Z680" s="30"/>
      <c r="AA680" s="30"/>
      <c r="AB680" s="30"/>
      <c r="AC680" s="30"/>
      <c r="AD680" s="30"/>
      <c r="AE680" s="30"/>
      <c r="AF680" s="30"/>
      <c r="AG680" s="30"/>
      <c r="AH680" s="30"/>
    </row>
    <row r="681" spans="1:34" ht="13">
      <c r="A681" s="30" t="s">
        <v>400</v>
      </c>
      <c r="B681" s="30" t="s">
        <v>260</v>
      </c>
      <c r="C681" s="30" t="s">
        <v>739</v>
      </c>
      <c r="D681" s="30" t="s">
        <v>381</v>
      </c>
      <c r="E681" s="18" t="s">
        <v>740</v>
      </c>
      <c r="F681" s="30" t="s">
        <v>84</v>
      </c>
      <c r="G681" s="30" t="s">
        <v>611</v>
      </c>
      <c r="H681" s="48">
        <v>1987</v>
      </c>
      <c r="I681" s="49">
        <v>10804</v>
      </c>
      <c r="J681" s="49" t="s">
        <v>402</v>
      </c>
      <c r="K681" s="48" t="s">
        <v>402</v>
      </c>
      <c r="L681" s="50" t="s">
        <v>612</v>
      </c>
      <c r="M681" s="56" t="s">
        <v>403</v>
      </c>
      <c r="N681" s="30"/>
      <c r="O681" s="30"/>
      <c r="P681" s="30"/>
      <c r="Q681" s="30"/>
      <c r="R681" s="30"/>
      <c r="S681" s="30"/>
      <c r="T681" s="30"/>
      <c r="U681" s="30"/>
      <c r="V681" s="30"/>
      <c r="W681" s="30"/>
      <c r="X681" s="30"/>
      <c r="Y681" s="30"/>
      <c r="Z681" s="30"/>
      <c r="AA681" s="30"/>
      <c r="AB681" s="30"/>
      <c r="AC681" s="30"/>
      <c r="AD681" s="30"/>
      <c r="AE681" s="30"/>
      <c r="AF681" s="30"/>
      <c r="AG681" s="30"/>
      <c r="AH681" s="30"/>
    </row>
    <row r="682" spans="1:34" ht="13">
      <c r="A682" s="30" t="s">
        <v>400</v>
      </c>
      <c r="B682" s="30" t="s">
        <v>260</v>
      </c>
      <c r="C682" s="30" t="s">
        <v>739</v>
      </c>
      <c r="D682" s="30" t="s">
        <v>381</v>
      </c>
      <c r="E682" s="18" t="s">
        <v>740</v>
      </c>
      <c r="F682" s="30" t="s">
        <v>84</v>
      </c>
      <c r="G682" s="30" t="s">
        <v>611</v>
      </c>
      <c r="H682" s="48">
        <v>1989</v>
      </c>
      <c r="I682" s="49">
        <v>10142</v>
      </c>
      <c r="J682" s="49" t="s">
        <v>402</v>
      </c>
      <c r="K682" s="48" t="s">
        <v>402</v>
      </c>
      <c r="L682" s="50" t="s">
        <v>612</v>
      </c>
      <c r="M682" s="56" t="s">
        <v>403</v>
      </c>
      <c r="N682" s="30"/>
      <c r="O682" s="30"/>
      <c r="P682" s="30"/>
      <c r="Q682" s="30"/>
      <c r="R682" s="30"/>
      <c r="S682" s="30"/>
      <c r="T682" s="30"/>
      <c r="U682" s="30"/>
      <c r="V682" s="30"/>
      <c r="W682" s="30"/>
      <c r="X682" s="30"/>
      <c r="Y682" s="30"/>
      <c r="Z682" s="30"/>
      <c r="AA682" s="30"/>
      <c r="AB682" s="30"/>
      <c r="AC682" s="30"/>
      <c r="AD682" s="30"/>
      <c r="AE682" s="30"/>
      <c r="AF682" s="30"/>
      <c r="AG682" s="30"/>
      <c r="AH682" s="30"/>
    </row>
    <row r="683" spans="1:34" ht="13">
      <c r="A683" s="30" t="s">
        <v>400</v>
      </c>
      <c r="B683" s="30" t="s">
        <v>260</v>
      </c>
      <c r="C683" s="30" t="s">
        <v>739</v>
      </c>
      <c r="D683" s="30" t="s">
        <v>381</v>
      </c>
      <c r="E683" s="18" t="s">
        <v>740</v>
      </c>
      <c r="F683" s="30" t="s">
        <v>84</v>
      </c>
      <c r="G683" s="30" t="s">
        <v>611</v>
      </c>
      <c r="H683" s="48">
        <v>1991</v>
      </c>
      <c r="I683" s="49">
        <v>12512</v>
      </c>
      <c r="J683" s="49" t="s">
        <v>402</v>
      </c>
      <c r="K683" s="48" t="s">
        <v>402</v>
      </c>
      <c r="L683" s="50" t="s">
        <v>612</v>
      </c>
      <c r="M683" s="56" t="s">
        <v>403</v>
      </c>
      <c r="N683" s="30"/>
      <c r="O683" s="30"/>
      <c r="P683" s="30"/>
      <c r="Q683" s="30"/>
      <c r="R683" s="30"/>
      <c r="S683" s="30"/>
      <c r="T683" s="30"/>
      <c r="U683" s="30"/>
      <c r="V683" s="30"/>
      <c r="W683" s="30"/>
      <c r="X683" s="30"/>
      <c r="Y683" s="30"/>
      <c r="Z683" s="30"/>
      <c r="AA683" s="30"/>
      <c r="AB683" s="30"/>
      <c r="AC683" s="30"/>
      <c r="AD683" s="30"/>
      <c r="AE683" s="30"/>
      <c r="AF683" s="30"/>
      <c r="AG683" s="30"/>
      <c r="AH683" s="30"/>
    </row>
    <row r="684" spans="1:34" ht="13">
      <c r="A684" s="30" t="s">
        <v>400</v>
      </c>
      <c r="B684" s="30" t="s">
        <v>260</v>
      </c>
      <c r="C684" s="30" t="s">
        <v>739</v>
      </c>
      <c r="D684" s="30" t="s">
        <v>381</v>
      </c>
      <c r="E684" s="18" t="s">
        <v>740</v>
      </c>
      <c r="F684" s="30" t="s">
        <v>84</v>
      </c>
      <c r="G684" s="30" t="s">
        <v>611</v>
      </c>
      <c r="H684" s="48">
        <v>1992</v>
      </c>
      <c r="I684" s="49">
        <v>11952</v>
      </c>
      <c r="J684" s="49" t="s">
        <v>402</v>
      </c>
      <c r="K684" s="48" t="s">
        <v>402</v>
      </c>
      <c r="L684" s="50" t="s">
        <v>612</v>
      </c>
      <c r="M684" s="56" t="s">
        <v>403</v>
      </c>
      <c r="N684" s="30"/>
      <c r="O684" s="30"/>
      <c r="P684" s="30"/>
      <c r="Q684" s="30"/>
      <c r="R684" s="30"/>
      <c r="S684" s="30"/>
      <c r="T684" s="30"/>
      <c r="U684" s="30"/>
      <c r="V684" s="30"/>
      <c r="W684" s="30"/>
      <c r="X684" s="30"/>
      <c r="Y684" s="30"/>
      <c r="Z684" s="30"/>
      <c r="AA684" s="30"/>
      <c r="AB684" s="30"/>
      <c r="AC684" s="30"/>
      <c r="AD684" s="30"/>
      <c r="AE684" s="30"/>
      <c r="AF684" s="30"/>
      <c r="AG684" s="30"/>
      <c r="AH684" s="30"/>
    </row>
    <row r="685" spans="1:34" ht="13">
      <c r="A685" s="30" t="s">
        <v>400</v>
      </c>
      <c r="B685" s="30" t="s">
        <v>260</v>
      </c>
      <c r="C685" s="30" t="s">
        <v>739</v>
      </c>
      <c r="D685" s="30" t="s">
        <v>381</v>
      </c>
      <c r="E685" s="18" t="s">
        <v>740</v>
      </c>
      <c r="F685" s="30" t="s">
        <v>84</v>
      </c>
      <c r="G685" s="30" t="s">
        <v>611</v>
      </c>
      <c r="H685" s="48">
        <v>1993</v>
      </c>
      <c r="I685" s="49">
        <v>11705</v>
      </c>
      <c r="J685" s="49" t="s">
        <v>402</v>
      </c>
      <c r="K685" s="48" t="s">
        <v>402</v>
      </c>
      <c r="L685" s="50" t="s">
        <v>612</v>
      </c>
      <c r="M685" s="56" t="s">
        <v>403</v>
      </c>
      <c r="N685" s="30"/>
      <c r="O685" s="30"/>
      <c r="P685" s="30"/>
      <c r="Q685" s="30"/>
      <c r="R685" s="30"/>
      <c r="S685" s="30"/>
      <c r="T685" s="30"/>
      <c r="U685" s="30"/>
      <c r="V685" s="30"/>
      <c r="W685" s="30"/>
      <c r="X685" s="30"/>
      <c r="Y685" s="30"/>
      <c r="Z685" s="30"/>
      <c r="AA685" s="30"/>
      <c r="AB685" s="30"/>
      <c r="AC685" s="30"/>
      <c r="AD685" s="30"/>
      <c r="AE685" s="30"/>
      <c r="AF685" s="30"/>
      <c r="AG685" s="30"/>
      <c r="AH685" s="30"/>
    </row>
    <row r="686" spans="1:34" ht="13">
      <c r="A686" s="30" t="s">
        <v>400</v>
      </c>
      <c r="B686" s="30" t="s">
        <v>260</v>
      </c>
      <c r="C686" s="30" t="s">
        <v>739</v>
      </c>
      <c r="D686" s="30" t="s">
        <v>381</v>
      </c>
      <c r="E686" s="18" t="s">
        <v>740</v>
      </c>
      <c r="F686" s="30" t="s">
        <v>84</v>
      </c>
      <c r="G686" s="30" t="s">
        <v>611</v>
      </c>
      <c r="H686" s="48">
        <v>1994</v>
      </c>
      <c r="I686" s="49">
        <v>9291</v>
      </c>
      <c r="J686" s="49" t="s">
        <v>402</v>
      </c>
      <c r="K686" s="48" t="s">
        <v>402</v>
      </c>
      <c r="L686" s="50" t="s">
        <v>612</v>
      </c>
      <c r="M686" s="56" t="s">
        <v>403</v>
      </c>
      <c r="N686" s="30"/>
      <c r="O686" s="30"/>
      <c r="P686" s="30"/>
      <c r="Q686" s="30"/>
      <c r="R686" s="30"/>
      <c r="S686" s="30"/>
      <c r="T686" s="30"/>
      <c r="U686" s="30"/>
      <c r="V686" s="30"/>
      <c r="W686" s="30"/>
      <c r="X686" s="30"/>
      <c r="Y686" s="30"/>
      <c r="Z686" s="30"/>
      <c r="AA686" s="30"/>
      <c r="AB686" s="30"/>
      <c r="AC686" s="30"/>
      <c r="AD686" s="30"/>
      <c r="AE686" s="30"/>
      <c r="AF686" s="30"/>
      <c r="AG686" s="30"/>
      <c r="AH686" s="30"/>
    </row>
    <row r="687" spans="1:34" ht="13">
      <c r="A687" s="30" t="s">
        <v>400</v>
      </c>
      <c r="B687" s="30" t="s">
        <v>260</v>
      </c>
      <c r="C687" s="30" t="s">
        <v>739</v>
      </c>
      <c r="D687" s="30" t="s">
        <v>381</v>
      </c>
      <c r="E687" s="18" t="s">
        <v>740</v>
      </c>
      <c r="F687" s="30" t="s">
        <v>84</v>
      </c>
      <c r="G687" s="30" t="s">
        <v>611</v>
      </c>
      <c r="H687" s="48">
        <v>1995</v>
      </c>
      <c r="I687" s="49">
        <v>11359</v>
      </c>
      <c r="J687" s="49" t="s">
        <v>402</v>
      </c>
      <c r="K687" s="48" t="s">
        <v>402</v>
      </c>
      <c r="L687" s="50" t="s">
        <v>612</v>
      </c>
      <c r="M687" s="56" t="s">
        <v>403</v>
      </c>
      <c r="N687" s="30"/>
      <c r="O687" s="30"/>
      <c r="P687" s="30"/>
      <c r="Q687" s="30"/>
      <c r="R687" s="30"/>
      <c r="S687" s="30"/>
      <c r="T687" s="30"/>
      <c r="U687" s="30"/>
      <c r="V687" s="30"/>
      <c r="W687" s="30"/>
      <c r="X687" s="30"/>
      <c r="Y687" s="30"/>
      <c r="Z687" s="30"/>
      <c r="AA687" s="30"/>
      <c r="AB687" s="30"/>
      <c r="AC687" s="30"/>
      <c r="AD687" s="30"/>
      <c r="AE687" s="30"/>
      <c r="AF687" s="30"/>
      <c r="AG687" s="30"/>
      <c r="AH687" s="30"/>
    </row>
    <row r="688" spans="1:34" ht="13">
      <c r="A688" s="30" t="s">
        <v>400</v>
      </c>
      <c r="B688" s="30" t="s">
        <v>260</v>
      </c>
      <c r="C688" s="30" t="s">
        <v>739</v>
      </c>
      <c r="D688" s="30" t="s">
        <v>381</v>
      </c>
      <c r="E688" s="18" t="s">
        <v>740</v>
      </c>
      <c r="F688" s="30" t="s">
        <v>84</v>
      </c>
      <c r="G688" s="30" t="s">
        <v>611</v>
      </c>
      <c r="H688" s="48">
        <v>1996</v>
      </c>
      <c r="I688" s="49">
        <v>10315</v>
      </c>
      <c r="J688" s="49" t="s">
        <v>402</v>
      </c>
      <c r="K688" s="48" t="s">
        <v>402</v>
      </c>
      <c r="L688" s="50" t="s">
        <v>612</v>
      </c>
      <c r="M688" s="56" t="s">
        <v>403</v>
      </c>
      <c r="N688" s="30"/>
      <c r="O688" s="30"/>
      <c r="P688" s="30"/>
      <c r="Q688" s="30"/>
      <c r="R688" s="30"/>
      <c r="S688" s="30"/>
      <c r="T688" s="30"/>
      <c r="U688" s="30"/>
      <c r="V688" s="30"/>
      <c r="W688" s="30"/>
      <c r="X688" s="30"/>
      <c r="Y688" s="30"/>
      <c r="Z688" s="30"/>
      <c r="AA688" s="30"/>
      <c r="AB688" s="30"/>
      <c r="AC688" s="30"/>
      <c r="AD688" s="30"/>
      <c r="AE688" s="30"/>
      <c r="AF688" s="30"/>
      <c r="AG688" s="30"/>
      <c r="AH688" s="30"/>
    </row>
    <row r="689" spans="1:34" ht="13">
      <c r="A689" s="30" t="s">
        <v>400</v>
      </c>
      <c r="B689" s="30" t="s">
        <v>260</v>
      </c>
      <c r="C689" s="30" t="s">
        <v>739</v>
      </c>
      <c r="D689" s="30" t="s">
        <v>381</v>
      </c>
      <c r="E689" s="18" t="s">
        <v>740</v>
      </c>
      <c r="F689" s="30" t="s">
        <v>84</v>
      </c>
      <c r="G689" s="30" t="s">
        <v>611</v>
      </c>
      <c r="H689" s="48">
        <v>1997</v>
      </c>
      <c r="I689" s="49">
        <v>11864</v>
      </c>
      <c r="J689" s="49" t="s">
        <v>402</v>
      </c>
      <c r="K689" s="48" t="s">
        <v>402</v>
      </c>
      <c r="L689" s="50" t="s">
        <v>612</v>
      </c>
      <c r="M689" s="56" t="s">
        <v>403</v>
      </c>
      <c r="N689" s="30"/>
      <c r="O689" s="30"/>
      <c r="P689" s="30"/>
      <c r="Q689" s="30"/>
      <c r="R689" s="30"/>
      <c r="S689" s="30"/>
      <c r="T689" s="30"/>
      <c r="U689" s="30"/>
      <c r="V689" s="30"/>
      <c r="W689" s="30"/>
      <c r="X689" s="30"/>
      <c r="Y689" s="30"/>
      <c r="Z689" s="30"/>
      <c r="AA689" s="30"/>
      <c r="AB689" s="30"/>
      <c r="AC689" s="30"/>
      <c r="AD689" s="30"/>
      <c r="AE689" s="30"/>
      <c r="AF689" s="30"/>
      <c r="AG689" s="30"/>
      <c r="AH689" s="30"/>
    </row>
    <row r="690" spans="1:34" ht="13">
      <c r="A690" s="30" t="s">
        <v>400</v>
      </c>
      <c r="B690" s="30" t="s">
        <v>260</v>
      </c>
      <c r="C690" s="30" t="s">
        <v>739</v>
      </c>
      <c r="D690" s="30" t="s">
        <v>381</v>
      </c>
      <c r="E690" s="18" t="s">
        <v>740</v>
      </c>
      <c r="F690" s="30" t="s">
        <v>84</v>
      </c>
      <c r="G690" s="30" t="s">
        <v>611</v>
      </c>
      <c r="H690" s="48">
        <v>1999</v>
      </c>
      <c r="I690" s="49">
        <v>10430</v>
      </c>
      <c r="J690" s="49" t="s">
        <v>402</v>
      </c>
      <c r="K690" s="48" t="s">
        <v>402</v>
      </c>
      <c r="L690" s="50" t="s">
        <v>612</v>
      </c>
      <c r="M690" s="56" t="s">
        <v>403</v>
      </c>
      <c r="N690" s="30"/>
      <c r="O690" s="30"/>
      <c r="P690" s="30"/>
      <c r="Q690" s="30"/>
      <c r="R690" s="30"/>
      <c r="S690" s="30"/>
      <c r="T690" s="30"/>
      <c r="U690" s="30"/>
      <c r="V690" s="30"/>
      <c r="W690" s="30"/>
      <c r="X690" s="30"/>
      <c r="Y690" s="30"/>
      <c r="Z690" s="30"/>
      <c r="AA690" s="30"/>
      <c r="AB690" s="30"/>
      <c r="AC690" s="30"/>
      <c r="AD690" s="30"/>
      <c r="AE690" s="30"/>
      <c r="AF690" s="30"/>
      <c r="AG690" s="30"/>
      <c r="AH690" s="30"/>
    </row>
    <row r="691" spans="1:34" ht="13">
      <c r="A691" s="30" t="s">
        <v>400</v>
      </c>
      <c r="B691" s="30" t="s">
        <v>260</v>
      </c>
      <c r="C691" s="30" t="s">
        <v>741</v>
      </c>
      <c r="D691" s="30" t="s">
        <v>381</v>
      </c>
      <c r="E691" s="18" t="s">
        <v>742</v>
      </c>
      <c r="F691" s="30" t="s">
        <v>84</v>
      </c>
      <c r="G691" s="30" t="s">
        <v>611</v>
      </c>
      <c r="H691" s="48">
        <v>1978</v>
      </c>
      <c r="I691" s="49">
        <v>3093</v>
      </c>
      <c r="J691" s="49" t="s">
        <v>402</v>
      </c>
      <c r="K691" s="48" t="s">
        <v>402</v>
      </c>
      <c r="L691" s="50" t="s">
        <v>612</v>
      </c>
      <c r="M691" s="56" t="s">
        <v>743</v>
      </c>
      <c r="N691" s="30"/>
      <c r="O691" s="30"/>
      <c r="P691" s="30"/>
      <c r="Q691" s="30"/>
      <c r="R691" s="30"/>
      <c r="S691" s="30"/>
      <c r="T691" s="30"/>
      <c r="U691" s="30"/>
      <c r="V691" s="30"/>
      <c r="W691" s="30"/>
      <c r="X691" s="30"/>
      <c r="Y691" s="30"/>
      <c r="Z691" s="30"/>
      <c r="AA691" s="30"/>
      <c r="AB691" s="30"/>
      <c r="AC691" s="30"/>
      <c r="AD691" s="30"/>
      <c r="AE691" s="30"/>
      <c r="AF691" s="30"/>
      <c r="AG691" s="30"/>
      <c r="AH691" s="30"/>
    </row>
    <row r="692" spans="1:34" ht="13">
      <c r="A692" s="30" t="s">
        <v>400</v>
      </c>
      <c r="B692" s="30" t="s">
        <v>260</v>
      </c>
      <c r="C692" s="30" t="s">
        <v>741</v>
      </c>
      <c r="D692" s="30" t="s">
        <v>381</v>
      </c>
      <c r="E692" s="18" t="s">
        <v>742</v>
      </c>
      <c r="F692" s="30" t="s">
        <v>84</v>
      </c>
      <c r="G692" s="30" t="s">
        <v>611</v>
      </c>
      <c r="H692" s="48">
        <v>1985</v>
      </c>
      <c r="I692" s="49">
        <v>5295</v>
      </c>
      <c r="J692" s="49" t="s">
        <v>402</v>
      </c>
      <c r="K692" s="48" t="s">
        <v>402</v>
      </c>
      <c r="L692" s="50" t="s">
        <v>612</v>
      </c>
      <c r="M692" s="56" t="s">
        <v>743</v>
      </c>
      <c r="N692" s="30"/>
      <c r="O692" s="30"/>
      <c r="P692" s="30"/>
      <c r="Q692" s="30"/>
      <c r="R692" s="30"/>
      <c r="S692" s="30"/>
      <c r="T692" s="30"/>
      <c r="U692" s="30"/>
      <c r="V692" s="30"/>
      <c r="W692" s="30"/>
      <c r="X692" s="30"/>
      <c r="Y692" s="30"/>
      <c r="Z692" s="30"/>
      <c r="AA692" s="30"/>
      <c r="AB692" s="30"/>
      <c r="AC692" s="30"/>
      <c r="AD692" s="30"/>
      <c r="AE692" s="30"/>
      <c r="AF692" s="30"/>
      <c r="AG692" s="30"/>
      <c r="AH692" s="30"/>
    </row>
    <row r="693" spans="1:34" ht="13">
      <c r="A693" s="30" t="s">
        <v>400</v>
      </c>
      <c r="B693" s="30" t="s">
        <v>260</v>
      </c>
      <c r="C693" s="30" t="s">
        <v>741</v>
      </c>
      <c r="D693" s="30" t="s">
        <v>381</v>
      </c>
      <c r="E693" s="18" t="s">
        <v>742</v>
      </c>
      <c r="F693" s="30" t="s">
        <v>84</v>
      </c>
      <c r="G693" s="30" t="s">
        <v>611</v>
      </c>
      <c r="H693" s="48">
        <v>1991</v>
      </c>
      <c r="I693" s="49">
        <v>8784</v>
      </c>
      <c r="J693" s="49" t="s">
        <v>402</v>
      </c>
      <c r="K693" s="48" t="s">
        <v>402</v>
      </c>
      <c r="L693" s="50" t="s">
        <v>612</v>
      </c>
      <c r="M693" s="56" t="s">
        <v>743</v>
      </c>
      <c r="N693" s="30"/>
      <c r="O693" s="30"/>
      <c r="P693" s="30"/>
      <c r="Q693" s="30"/>
      <c r="R693" s="30"/>
      <c r="S693" s="30"/>
      <c r="T693" s="30"/>
      <c r="U693" s="30"/>
      <c r="V693" s="30"/>
      <c r="W693" s="30"/>
      <c r="X693" s="30"/>
      <c r="Y693" s="30"/>
      <c r="Z693" s="30"/>
      <c r="AA693" s="30"/>
      <c r="AB693" s="30"/>
      <c r="AC693" s="30"/>
      <c r="AD693" s="30"/>
      <c r="AE693" s="30"/>
      <c r="AF693" s="30"/>
      <c r="AG693" s="30"/>
      <c r="AH693" s="30"/>
    </row>
    <row r="694" spans="1:34" ht="13">
      <c r="A694" s="30" t="s">
        <v>400</v>
      </c>
      <c r="B694" s="30" t="s">
        <v>260</v>
      </c>
      <c r="C694" s="30" t="s">
        <v>741</v>
      </c>
      <c r="D694" s="30" t="s">
        <v>381</v>
      </c>
      <c r="E694" s="18" t="s">
        <v>742</v>
      </c>
      <c r="F694" s="30" t="s">
        <v>84</v>
      </c>
      <c r="G694" s="30" t="s">
        <v>611</v>
      </c>
      <c r="H694" s="48">
        <v>1992</v>
      </c>
      <c r="I694" s="49">
        <v>9019</v>
      </c>
      <c r="J694" s="49" t="s">
        <v>402</v>
      </c>
      <c r="K694" s="48" t="s">
        <v>402</v>
      </c>
      <c r="L694" s="50" t="s">
        <v>612</v>
      </c>
      <c r="M694" s="56" t="s">
        <v>743</v>
      </c>
      <c r="N694" s="30"/>
      <c r="O694" s="30"/>
      <c r="P694" s="30"/>
      <c r="Q694" s="30"/>
      <c r="R694" s="30"/>
      <c r="S694" s="30"/>
      <c r="T694" s="30"/>
      <c r="U694" s="30"/>
      <c r="V694" s="30"/>
      <c r="W694" s="30"/>
      <c r="X694" s="30"/>
      <c r="Y694" s="30"/>
      <c r="Z694" s="30"/>
      <c r="AA694" s="30"/>
      <c r="AB694" s="30"/>
      <c r="AC694" s="30"/>
      <c r="AD694" s="30"/>
      <c r="AE694" s="30"/>
      <c r="AF694" s="30"/>
      <c r="AG694" s="30"/>
      <c r="AH694" s="30"/>
    </row>
    <row r="695" spans="1:34" ht="13">
      <c r="A695" s="30" t="s">
        <v>400</v>
      </c>
      <c r="B695" s="30" t="s">
        <v>260</v>
      </c>
      <c r="C695" s="30" t="s">
        <v>741</v>
      </c>
      <c r="D695" s="30" t="s">
        <v>381</v>
      </c>
      <c r="E695" s="18" t="s">
        <v>742</v>
      </c>
      <c r="F695" s="30" t="s">
        <v>84</v>
      </c>
      <c r="G695" s="30" t="s">
        <v>611</v>
      </c>
      <c r="H695" s="48">
        <v>1993</v>
      </c>
      <c r="I695" s="49">
        <v>10417</v>
      </c>
      <c r="J695" s="49" t="s">
        <v>402</v>
      </c>
      <c r="K695" s="48" t="s">
        <v>402</v>
      </c>
      <c r="L695" s="50" t="s">
        <v>612</v>
      </c>
      <c r="M695" s="56" t="s">
        <v>743</v>
      </c>
      <c r="N695" s="30"/>
      <c r="O695" s="30"/>
      <c r="P695" s="30"/>
      <c r="Q695" s="30"/>
      <c r="R695" s="30"/>
      <c r="S695" s="30"/>
      <c r="T695" s="30"/>
      <c r="U695" s="30"/>
      <c r="V695" s="30"/>
      <c r="W695" s="30"/>
      <c r="X695" s="30"/>
      <c r="Y695" s="30"/>
      <c r="Z695" s="30"/>
      <c r="AA695" s="30"/>
      <c r="AB695" s="30"/>
      <c r="AC695" s="30"/>
      <c r="AD695" s="30"/>
      <c r="AE695" s="30"/>
      <c r="AF695" s="30"/>
      <c r="AG695" s="30"/>
      <c r="AH695" s="30"/>
    </row>
    <row r="696" spans="1:34" ht="13">
      <c r="A696" s="30" t="s">
        <v>400</v>
      </c>
      <c r="B696" s="30" t="s">
        <v>260</v>
      </c>
      <c r="C696" s="30" t="s">
        <v>741</v>
      </c>
      <c r="D696" s="30" t="s">
        <v>381</v>
      </c>
      <c r="E696" s="18" t="s">
        <v>742</v>
      </c>
      <c r="F696" s="30" t="s">
        <v>84</v>
      </c>
      <c r="G696" s="30" t="s">
        <v>611</v>
      </c>
      <c r="H696" s="48">
        <v>1994</v>
      </c>
      <c r="I696" s="49">
        <v>9015</v>
      </c>
      <c r="J696" s="49" t="s">
        <v>402</v>
      </c>
      <c r="K696" s="48" t="s">
        <v>402</v>
      </c>
      <c r="L696" s="50" t="s">
        <v>612</v>
      </c>
      <c r="M696" s="56" t="s">
        <v>743</v>
      </c>
      <c r="N696" s="30"/>
      <c r="O696" s="30"/>
      <c r="P696" s="30"/>
      <c r="Q696" s="30"/>
      <c r="R696" s="30"/>
      <c r="S696" s="30"/>
      <c r="T696" s="30"/>
      <c r="U696" s="30"/>
      <c r="V696" s="30"/>
      <c r="W696" s="30"/>
      <c r="X696" s="30"/>
      <c r="Y696" s="30"/>
      <c r="Z696" s="30"/>
      <c r="AA696" s="30"/>
      <c r="AB696" s="30"/>
      <c r="AC696" s="30"/>
      <c r="AD696" s="30"/>
      <c r="AE696" s="30"/>
      <c r="AF696" s="30"/>
      <c r="AG696" s="30"/>
      <c r="AH696" s="30"/>
    </row>
    <row r="697" spans="1:34" ht="13">
      <c r="A697" s="30" t="s">
        <v>400</v>
      </c>
      <c r="B697" s="30" t="s">
        <v>260</v>
      </c>
      <c r="C697" s="30" t="s">
        <v>741</v>
      </c>
      <c r="D697" s="30" t="s">
        <v>381</v>
      </c>
      <c r="E697" s="18" t="s">
        <v>742</v>
      </c>
      <c r="F697" s="30" t="s">
        <v>84</v>
      </c>
      <c r="G697" s="30" t="s">
        <v>611</v>
      </c>
      <c r="H697" s="48">
        <v>1996</v>
      </c>
      <c r="I697" s="49">
        <v>11933</v>
      </c>
      <c r="J697" s="49" t="s">
        <v>402</v>
      </c>
      <c r="K697" s="48" t="s">
        <v>402</v>
      </c>
      <c r="L697" s="50" t="s">
        <v>612</v>
      </c>
      <c r="M697" s="56" t="s">
        <v>743</v>
      </c>
      <c r="N697" s="30"/>
      <c r="O697" s="30"/>
      <c r="P697" s="30"/>
      <c r="Q697" s="30"/>
      <c r="R697" s="30"/>
      <c r="S697" s="30"/>
      <c r="T697" s="30"/>
      <c r="U697" s="30"/>
      <c r="V697" s="30"/>
      <c r="W697" s="30"/>
      <c r="X697" s="30"/>
      <c r="Y697" s="30"/>
      <c r="Z697" s="30"/>
      <c r="AA697" s="30"/>
      <c r="AB697" s="30"/>
      <c r="AC697" s="30"/>
      <c r="AD697" s="30"/>
      <c r="AE697" s="30"/>
      <c r="AF697" s="30"/>
      <c r="AG697" s="30"/>
      <c r="AH697" s="30"/>
    </row>
    <row r="698" spans="1:34" ht="13">
      <c r="A698" s="30" t="s">
        <v>400</v>
      </c>
      <c r="B698" s="30" t="s">
        <v>260</v>
      </c>
      <c r="C698" s="30" t="s">
        <v>741</v>
      </c>
      <c r="D698" s="30" t="s">
        <v>381</v>
      </c>
      <c r="E698" s="18" t="s">
        <v>742</v>
      </c>
      <c r="F698" s="30" t="s">
        <v>84</v>
      </c>
      <c r="G698" s="30" t="s">
        <v>611</v>
      </c>
      <c r="H698" s="48">
        <v>1997</v>
      </c>
      <c r="I698" s="49">
        <v>10324</v>
      </c>
      <c r="J698" s="49" t="s">
        <v>402</v>
      </c>
      <c r="K698" s="48" t="s">
        <v>402</v>
      </c>
      <c r="L698" s="50" t="s">
        <v>612</v>
      </c>
      <c r="M698" s="56" t="s">
        <v>743</v>
      </c>
      <c r="N698" s="30"/>
      <c r="O698" s="30"/>
      <c r="P698" s="30"/>
      <c r="Q698" s="30"/>
      <c r="R698" s="30"/>
      <c r="S698" s="30"/>
      <c r="T698" s="30"/>
      <c r="U698" s="30"/>
      <c r="V698" s="30"/>
      <c r="W698" s="30"/>
      <c r="X698" s="30"/>
      <c r="Y698" s="30"/>
      <c r="Z698" s="30"/>
      <c r="AA698" s="30"/>
      <c r="AB698" s="30"/>
      <c r="AC698" s="30"/>
      <c r="AD698" s="30"/>
      <c r="AE698" s="30"/>
      <c r="AF698" s="30"/>
      <c r="AG698" s="30"/>
      <c r="AH698" s="30"/>
    </row>
    <row r="699" spans="1:34" ht="13">
      <c r="A699" s="30" t="s">
        <v>400</v>
      </c>
      <c r="B699" s="30" t="s">
        <v>260</v>
      </c>
      <c r="C699" s="30" t="s">
        <v>741</v>
      </c>
      <c r="D699" s="30" t="s">
        <v>381</v>
      </c>
      <c r="E699" s="18" t="s">
        <v>742</v>
      </c>
      <c r="F699" s="30" t="s">
        <v>84</v>
      </c>
      <c r="G699" s="30" t="s">
        <v>611</v>
      </c>
      <c r="H699" s="48">
        <v>1998</v>
      </c>
      <c r="I699" s="49">
        <v>9588</v>
      </c>
      <c r="J699" s="49" t="s">
        <v>402</v>
      </c>
      <c r="K699" s="48" t="s">
        <v>402</v>
      </c>
      <c r="L699" s="50" t="s">
        <v>612</v>
      </c>
      <c r="M699" s="56" t="s">
        <v>743</v>
      </c>
      <c r="N699" s="30"/>
      <c r="O699" s="30"/>
      <c r="P699" s="30"/>
      <c r="Q699" s="30"/>
      <c r="R699" s="30"/>
      <c r="S699" s="30"/>
      <c r="T699" s="30"/>
      <c r="U699" s="30"/>
      <c r="V699" s="30"/>
      <c r="W699" s="30"/>
      <c r="X699" s="30"/>
      <c r="Y699" s="30"/>
      <c r="Z699" s="30"/>
      <c r="AA699" s="30"/>
      <c r="AB699" s="30"/>
      <c r="AC699" s="30"/>
      <c r="AD699" s="30"/>
      <c r="AE699" s="30"/>
      <c r="AF699" s="30"/>
      <c r="AG699" s="30"/>
      <c r="AH699" s="30"/>
    </row>
    <row r="700" spans="1:34" ht="13">
      <c r="A700" s="30" t="s">
        <v>400</v>
      </c>
      <c r="B700" s="30" t="s">
        <v>260</v>
      </c>
      <c r="C700" s="30" t="s">
        <v>741</v>
      </c>
      <c r="D700" s="30" t="s">
        <v>381</v>
      </c>
      <c r="E700" s="18" t="s">
        <v>742</v>
      </c>
      <c r="F700" s="30" t="s">
        <v>84</v>
      </c>
      <c r="G700" s="30" t="s">
        <v>611</v>
      </c>
      <c r="H700" s="48">
        <v>1999</v>
      </c>
      <c r="I700" s="49">
        <v>8949</v>
      </c>
      <c r="J700" s="49" t="s">
        <v>402</v>
      </c>
      <c r="K700" s="48" t="s">
        <v>402</v>
      </c>
      <c r="L700" s="50" t="s">
        <v>612</v>
      </c>
      <c r="M700" s="56" t="s">
        <v>743</v>
      </c>
      <c r="N700" s="30"/>
      <c r="O700" s="30"/>
      <c r="P700" s="30"/>
      <c r="Q700" s="30"/>
      <c r="R700" s="30"/>
      <c r="S700" s="30"/>
      <c r="T700" s="30"/>
      <c r="U700" s="30"/>
      <c r="V700" s="30"/>
      <c r="W700" s="30"/>
      <c r="X700" s="30"/>
      <c r="Y700" s="30"/>
      <c r="Z700" s="30"/>
      <c r="AA700" s="30"/>
      <c r="AB700" s="30"/>
      <c r="AC700" s="30"/>
      <c r="AD700" s="30"/>
      <c r="AE700" s="30"/>
      <c r="AF700" s="30"/>
      <c r="AG700" s="30"/>
      <c r="AH700" s="30"/>
    </row>
    <row r="701" spans="1:34" ht="13">
      <c r="A701" s="30" t="s">
        <v>400</v>
      </c>
      <c r="B701" s="30" t="s">
        <v>260</v>
      </c>
      <c r="C701" s="30" t="s">
        <v>744</v>
      </c>
      <c r="D701" s="30" t="s">
        <v>381</v>
      </c>
      <c r="E701" s="30" t="s">
        <v>745</v>
      </c>
      <c r="F701" s="30" t="s">
        <v>84</v>
      </c>
      <c r="G701" s="30" t="s">
        <v>746</v>
      </c>
      <c r="H701" s="48">
        <v>1982</v>
      </c>
      <c r="I701" s="49">
        <v>2710</v>
      </c>
      <c r="J701" s="49" t="s">
        <v>402</v>
      </c>
      <c r="K701" s="48" t="s">
        <v>402</v>
      </c>
      <c r="L701" s="50" t="s">
        <v>612</v>
      </c>
      <c r="M701" s="56" t="s">
        <v>403</v>
      </c>
      <c r="N701" s="30"/>
      <c r="O701" s="30"/>
      <c r="P701" s="30"/>
      <c r="Q701" s="30"/>
      <c r="R701" s="30"/>
      <c r="S701" s="30"/>
      <c r="T701" s="30"/>
      <c r="U701" s="30"/>
      <c r="V701" s="30"/>
      <c r="W701" s="30"/>
      <c r="X701" s="30"/>
      <c r="Y701" s="30"/>
      <c r="Z701" s="30"/>
      <c r="AA701" s="30"/>
      <c r="AB701" s="30"/>
      <c r="AC701" s="30"/>
      <c r="AD701" s="30"/>
      <c r="AE701" s="30"/>
      <c r="AF701" s="30"/>
      <c r="AG701" s="30"/>
      <c r="AH701" s="30"/>
    </row>
    <row r="702" spans="1:34" ht="13">
      <c r="A702" s="30" t="s">
        <v>400</v>
      </c>
      <c r="B702" s="30" t="s">
        <v>260</v>
      </c>
      <c r="C702" s="30" t="s">
        <v>744</v>
      </c>
      <c r="D702" s="30" t="s">
        <v>381</v>
      </c>
      <c r="E702" s="30" t="s">
        <v>745</v>
      </c>
      <c r="F702" s="30" t="s">
        <v>84</v>
      </c>
      <c r="G702" s="30" t="s">
        <v>746</v>
      </c>
      <c r="H702" s="48">
        <v>1983</v>
      </c>
      <c r="I702" s="49">
        <v>3407</v>
      </c>
      <c r="J702" s="49" t="s">
        <v>402</v>
      </c>
      <c r="K702" s="48" t="s">
        <v>402</v>
      </c>
      <c r="L702" s="50" t="s">
        <v>612</v>
      </c>
      <c r="M702" s="56" t="s">
        <v>403</v>
      </c>
      <c r="N702" s="30"/>
      <c r="O702" s="30"/>
      <c r="P702" s="30"/>
      <c r="Q702" s="30"/>
      <c r="R702" s="30"/>
      <c r="S702" s="30"/>
      <c r="T702" s="30"/>
      <c r="U702" s="30"/>
      <c r="V702" s="30"/>
      <c r="W702" s="30"/>
      <c r="X702" s="30"/>
      <c r="Y702" s="30"/>
      <c r="Z702" s="30"/>
      <c r="AA702" s="30"/>
      <c r="AB702" s="30"/>
      <c r="AC702" s="30"/>
      <c r="AD702" s="30"/>
      <c r="AE702" s="30"/>
      <c r="AF702" s="30"/>
      <c r="AG702" s="30"/>
      <c r="AH702" s="30"/>
    </row>
    <row r="703" spans="1:34" ht="13">
      <c r="A703" s="30" t="s">
        <v>400</v>
      </c>
      <c r="B703" s="30" t="s">
        <v>260</v>
      </c>
      <c r="C703" s="30" t="s">
        <v>744</v>
      </c>
      <c r="D703" s="30" t="s">
        <v>381</v>
      </c>
      <c r="E703" s="30" t="s">
        <v>745</v>
      </c>
      <c r="F703" s="30" t="s">
        <v>84</v>
      </c>
      <c r="G703" s="30" t="s">
        <v>746</v>
      </c>
      <c r="H703" s="48">
        <v>1985</v>
      </c>
      <c r="I703" s="49">
        <v>3756</v>
      </c>
      <c r="J703" s="49" t="s">
        <v>402</v>
      </c>
      <c r="K703" s="48" t="s">
        <v>402</v>
      </c>
      <c r="L703" s="50" t="s">
        <v>612</v>
      </c>
      <c r="M703" s="56" t="s">
        <v>403</v>
      </c>
      <c r="N703" s="30"/>
      <c r="O703" s="30"/>
      <c r="P703" s="30"/>
      <c r="Q703" s="30"/>
      <c r="R703" s="30"/>
      <c r="S703" s="30"/>
      <c r="T703" s="30"/>
      <c r="U703" s="30"/>
      <c r="V703" s="30"/>
      <c r="W703" s="30"/>
      <c r="X703" s="30"/>
      <c r="Y703" s="30"/>
      <c r="Z703" s="30"/>
      <c r="AA703" s="30"/>
      <c r="AB703" s="30"/>
      <c r="AC703" s="30"/>
      <c r="AD703" s="30"/>
      <c r="AE703" s="30"/>
      <c r="AF703" s="30"/>
      <c r="AG703" s="30"/>
      <c r="AH703" s="30"/>
    </row>
    <row r="704" spans="1:34" ht="13">
      <c r="A704" s="30" t="s">
        <v>400</v>
      </c>
      <c r="B704" s="30" t="s">
        <v>260</v>
      </c>
      <c r="C704" s="30" t="s">
        <v>744</v>
      </c>
      <c r="D704" s="30" t="s">
        <v>381</v>
      </c>
      <c r="E704" s="30" t="s">
        <v>745</v>
      </c>
      <c r="F704" s="30" t="s">
        <v>84</v>
      </c>
      <c r="G704" s="30" t="s">
        <v>746</v>
      </c>
      <c r="H704" s="48">
        <v>1987</v>
      </c>
      <c r="I704" s="49">
        <v>3986</v>
      </c>
      <c r="J704" s="49" t="s">
        <v>402</v>
      </c>
      <c r="K704" s="48" t="s">
        <v>402</v>
      </c>
      <c r="L704" s="50" t="s">
        <v>612</v>
      </c>
      <c r="M704" s="56" t="s">
        <v>403</v>
      </c>
      <c r="N704" s="30"/>
      <c r="O704" s="30"/>
      <c r="P704" s="30"/>
      <c r="Q704" s="30"/>
      <c r="R704" s="30"/>
      <c r="S704" s="30"/>
      <c r="T704" s="30"/>
      <c r="U704" s="30"/>
      <c r="V704" s="30"/>
      <c r="W704" s="30"/>
      <c r="X704" s="30"/>
      <c r="Y704" s="30"/>
      <c r="Z704" s="30"/>
      <c r="AA704" s="30"/>
      <c r="AB704" s="30"/>
      <c r="AC704" s="30"/>
      <c r="AD704" s="30"/>
      <c r="AE704" s="30"/>
      <c r="AF704" s="30"/>
      <c r="AG704" s="30"/>
      <c r="AH704" s="30"/>
    </row>
    <row r="705" spans="1:34" ht="13">
      <c r="A705" s="30" t="s">
        <v>400</v>
      </c>
      <c r="B705" s="30" t="s">
        <v>260</v>
      </c>
      <c r="C705" s="30" t="s">
        <v>744</v>
      </c>
      <c r="D705" s="30" t="s">
        <v>381</v>
      </c>
      <c r="E705" s="30" t="s">
        <v>745</v>
      </c>
      <c r="F705" s="30" t="s">
        <v>84</v>
      </c>
      <c r="G705" s="30" t="s">
        <v>746</v>
      </c>
      <c r="H705" s="48">
        <v>1988</v>
      </c>
      <c r="I705" s="49">
        <v>4480</v>
      </c>
      <c r="J705" s="49" t="s">
        <v>402</v>
      </c>
      <c r="K705" s="48" t="s">
        <v>402</v>
      </c>
      <c r="L705" s="50" t="s">
        <v>612</v>
      </c>
      <c r="M705" s="56" t="s">
        <v>403</v>
      </c>
      <c r="N705" s="30"/>
      <c r="O705" s="30"/>
      <c r="P705" s="30"/>
      <c r="Q705" s="30"/>
      <c r="R705" s="30"/>
      <c r="S705" s="30"/>
      <c r="T705" s="30"/>
      <c r="U705" s="30"/>
      <c r="V705" s="30"/>
      <c r="W705" s="30"/>
      <c r="X705" s="30"/>
      <c r="Y705" s="30"/>
      <c r="Z705" s="30"/>
      <c r="AA705" s="30"/>
      <c r="AB705" s="30"/>
      <c r="AC705" s="30"/>
      <c r="AD705" s="30"/>
      <c r="AE705" s="30"/>
      <c r="AF705" s="30"/>
      <c r="AG705" s="30"/>
      <c r="AH705" s="30"/>
    </row>
    <row r="706" spans="1:34" ht="13">
      <c r="A706" s="30" t="s">
        <v>400</v>
      </c>
      <c r="B706" s="30" t="s">
        <v>260</v>
      </c>
      <c r="C706" s="30" t="s">
        <v>744</v>
      </c>
      <c r="D706" s="30" t="s">
        <v>381</v>
      </c>
      <c r="E706" s="30" t="s">
        <v>745</v>
      </c>
      <c r="F706" s="30" t="s">
        <v>84</v>
      </c>
      <c r="G706" s="30" t="s">
        <v>746</v>
      </c>
      <c r="H706" s="48">
        <v>1989</v>
      </c>
      <c r="I706" s="49">
        <v>5044</v>
      </c>
      <c r="J706" s="49" t="s">
        <v>402</v>
      </c>
      <c r="K706" s="48" t="s">
        <v>402</v>
      </c>
      <c r="L706" s="50" t="s">
        <v>612</v>
      </c>
      <c r="M706" s="56" t="s">
        <v>403</v>
      </c>
      <c r="N706" s="30"/>
      <c r="O706" s="30"/>
      <c r="P706" s="30"/>
      <c r="Q706" s="30"/>
      <c r="R706" s="30"/>
      <c r="S706" s="30"/>
      <c r="T706" s="30"/>
      <c r="U706" s="30"/>
      <c r="V706" s="30"/>
      <c r="W706" s="30"/>
      <c r="X706" s="30"/>
      <c r="Y706" s="30"/>
      <c r="Z706" s="30"/>
      <c r="AA706" s="30"/>
      <c r="AB706" s="30"/>
      <c r="AC706" s="30"/>
      <c r="AD706" s="30"/>
      <c r="AE706" s="30"/>
      <c r="AF706" s="30"/>
      <c r="AG706" s="30"/>
      <c r="AH706" s="30"/>
    </row>
    <row r="707" spans="1:34" ht="13">
      <c r="A707" s="30" t="s">
        <v>400</v>
      </c>
      <c r="B707" s="30" t="s">
        <v>260</v>
      </c>
      <c r="C707" s="30" t="s">
        <v>744</v>
      </c>
      <c r="D707" s="30" t="s">
        <v>381</v>
      </c>
      <c r="E707" s="30" t="s">
        <v>745</v>
      </c>
      <c r="F707" s="30" t="s">
        <v>84</v>
      </c>
      <c r="G707" s="30" t="s">
        <v>746</v>
      </c>
      <c r="H707" s="48">
        <v>1990</v>
      </c>
      <c r="I707" s="49">
        <v>4825</v>
      </c>
      <c r="J707" s="49" t="s">
        <v>402</v>
      </c>
      <c r="K707" s="48" t="s">
        <v>402</v>
      </c>
      <c r="L707" s="50" t="s">
        <v>612</v>
      </c>
      <c r="M707" s="56" t="s">
        <v>403</v>
      </c>
      <c r="N707" s="30"/>
      <c r="O707" s="30"/>
      <c r="P707" s="30"/>
      <c r="Q707" s="30"/>
      <c r="R707" s="30"/>
      <c r="S707" s="30"/>
      <c r="T707" s="30"/>
      <c r="U707" s="30"/>
      <c r="V707" s="30"/>
      <c r="W707" s="30"/>
      <c r="X707" s="30"/>
      <c r="Y707" s="30"/>
      <c r="Z707" s="30"/>
      <c r="AA707" s="30"/>
      <c r="AB707" s="30"/>
      <c r="AC707" s="30"/>
      <c r="AD707" s="30"/>
      <c r="AE707" s="30"/>
      <c r="AF707" s="30"/>
      <c r="AG707" s="30"/>
      <c r="AH707" s="30"/>
    </row>
    <row r="708" spans="1:34" ht="13">
      <c r="A708" s="30" t="s">
        <v>400</v>
      </c>
      <c r="B708" s="30" t="s">
        <v>260</v>
      </c>
      <c r="C708" s="30" t="s">
        <v>744</v>
      </c>
      <c r="D708" s="30" t="s">
        <v>381</v>
      </c>
      <c r="E708" s="30" t="s">
        <v>745</v>
      </c>
      <c r="F708" s="30" t="s">
        <v>84</v>
      </c>
      <c r="G708" s="30" t="s">
        <v>746</v>
      </c>
      <c r="H708" s="48">
        <v>1991</v>
      </c>
      <c r="I708" s="49">
        <v>4593</v>
      </c>
      <c r="J708" s="49" t="s">
        <v>402</v>
      </c>
      <c r="K708" s="48" t="s">
        <v>402</v>
      </c>
      <c r="L708" s="50" t="s">
        <v>612</v>
      </c>
      <c r="M708" s="56" t="s">
        <v>403</v>
      </c>
      <c r="N708" s="30"/>
      <c r="O708" s="30"/>
      <c r="P708" s="30"/>
      <c r="Q708" s="30"/>
      <c r="R708" s="30"/>
      <c r="S708" s="30"/>
      <c r="T708" s="30"/>
      <c r="U708" s="30"/>
      <c r="V708" s="30"/>
      <c r="W708" s="30"/>
      <c r="X708" s="30"/>
      <c r="Y708" s="30"/>
      <c r="Z708" s="30"/>
      <c r="AA708" s="30"/>
      <c r="AB708" s="30"/>
      <c r="AC708" s="30"/>
      <c r="AD708" s="30"/>
      <c r="AE708" s="30"/>
      <c r="AF708" s="30"/>
      <c r="AG708" s="30"/>
      <c r="AH708" s="30"/>
    </row>
    <row r="709" spans="1:34" ht="13">
      <c r="A709" s="30" t="s">
        <v>400</v>
      </c>
      <c r="B709" s="30" t="s">
        <v>260</v>
      </c>
      <c r="C709" s="30" t="s">
        <v>744</v>
      </c>
      <c r="D709" s="30" t="s">
        <v>381</v>
      </c>
      <c r="E709" s="30" t="s">
        <v>745</v>
      </c>
      <c r="F709" s="30" t="s">
        <v>84</v>
      </c>
      <c r="G709" s="30" t="s">
        <v>746</v>
      </c>
      <c r="H709" s="48">
        <v>1992</v>
      </c>
      <c r="I709" s="49">
        <v>5508</v>
      </c>
      <c r="J709" s="49" t="s">
        <v>402</v>
      </c>
      <c r="K709" s="48" t="s">
        <v>402</v>
      </c>
      <c r="L709" s="50" t="s">
        <v>612</v>
      </c>
      <c r="M709" s="56" t="s">
        <v>403</v>
      </c>
      <c r="N709" s="30"/>
      <c r="O709" s="30"/>
      <c r="P709" s="30"/>
      <c r="Q709" s="30"/>
      <c r="R709" s="30"/>
      <c r="S709" s="30"/>
      <c r="T709" s="30"/>
      <c r="U709" s="30"/>
      <c r="V709" s="30"/>
      <c r="W709" s="30"/>
      <c r="X709" s="30"/>
      <c r="Y709" s="30"/>
      <c r="Z709" s="30"/>
      <c r="AA709" s="30"/>
      <c r="AB709" s="30"/>
      <c r="AC709" s="30"/>
      <c r="AD709" s="30"/>
      <c r="AE709" s="30"/>
      <c r="AF709" s="30"/>
      <c r="AG709" s="30"/>
      <c r="AH709" s="30"/>
    </row>
    <row r="710" spans="1:34" ht="13">
      <c r="A710" s="30" t="s">
        <v>400</v>
      </c>
      <c r="B710" s="30" t="s">
        <v>260</v>
      </c>
      <c r="C710" s="30" t="s">
        <v>744</v>
      </c>
      <c r="D710" s="30" t="s">
        <v>381</v>
      </c>
      <c r="E710" s="30" t="s">
        <v>745</v>
      </c>
      <c r="F710" s="30" t="s">
        <v>84</v>
      </c>
      <c r="G710" s="30" t="s">
        <v>746</v>
      </c>
      <c r="H710" s="48">
        <v>1993</v>
      </c>
      <c r="I710" s="49">
        <v>5202</v>
      </c>
      <c r="J710" s="49" t="s">
        <v>402</v>
      </c>
      <c r="K710" s="48" t="s">
        <v>402</v>
      </c>
      <c r="L710" s="50" t="s">
        <v>612</v>
      </c>
      <c r="M710" s="56" t="s">
        <v>403</v>
      </c>
      <c r="N710" s="30"/>
      <c r="O710" s="30"/>
      <c r="P710" s="30"/>
      <c r="Q710" s="30"/>
      <c r="R710" s="30"/>
      <c r="S710" s="30"/>
      <c r="T710" s="30"/>
      <c r="U710" s="30"/>
      <c r="V710" s="30"/>
      <c r="W710" s="30"/>
      <c r="X710" s="30"/>
      <c r="Y710" s="30"/>
      <c r="Z710" s="30"/>
      <c r="AA710" s="30"/>
      <c r="AB710" s="30"/>
      <c r="AC710" s="30"/>
      <c r="AD710" s="30"/>
      <c r="AE710" s="30"/>
      <c r="AF710" s="30"/>
      <c r="AG710" s="30"/>
      <c r="AH710" s="30"/>
    </row>
    <row r="711" spans="1:34" ht="13">
      <c r="A711" s="30" t="s">
        <v>400</v>
      </c>
      <c r="B711" s="30" t="s">
        <v>260</v>
      </c>
      <c r="C711" s="30" t="s">
        <v>744</v>
      </c>
      <c r="D711" s="30" t="s">
        <v>381</v>
      </c>
      <c r="E711" s="30" t="s">
        <v>745</v>
      </c>
      <c r="F711" s="30" t="s">
        <v>84</v>
      </c>
      <c r="G711" s="30" t="s">
        <v>746</v>
      </c>
      <c r="H711" s="48">
        <v>1994</v>
      </c>
      <c r="I711" s="49">
        <v>4681</v>
      </c>
      <c r="J711" s="49" t="s">
        <v>402</v>
      </c>
      <c r="K711" s="48" t="s">
        <v>402</v>
      </c>
      <c r="L711" s="50" t="s">
        <v>612</v>
      </c>
      <c r="M711" s="56" t="s">
        <v>403</v>
      </c>
      <c r="N711" s="30"/>
      <c r="O711" s="30"/>
      <c r="P711" s="30"/>
      <c r="Q711" s="30"/>
      <c r="R711" s="30"/>
      <c r="S711" s="30"/>
      <c r="T711" s="30"/>
      <c r="U711" s="30"/>
      <c r="V711" s="30"/>
      <c r="W711" s="30"/>
      <c r="X711" s="30"/>
      <c r="Y711" s="30"/>
      <c r="Z711" s="30"/>
      <c r="AA711" s="30"/>
      <c r="AB711" s="30"/>
      <c r="AC711" s="30"/>
      <c r="AD711" s="30"/>
      <c r="AE711" s="30"/>
      <c r="AF711" s="30"/>
      <c r="AG711" s="30"/>
      <c r="AH711" s="30"/>
    </row>
    <row r="712" spans="1:34" ht="13">
      <c r="A712" s="30" t="s">
        <v>400</v>
      </c>
      <c r="B712" s="30" t="s">
        <v>260</v>
      </c>
      <c r="C712" s="30" t="s">
        <v>744</v>
      </c>
      <c r="D712" s="30" t="s">
        <v>381</v>
      </c>
      <c r="E712" s="30" t="s">
        <v>745</v>
      </c>
      <c r="F712" s="30" t="s">
        <v>84</v>
      </c>
      <c r="G712" s="30" t="s">
        <v>746</v>
      </c>
      <c r="H712" s="48">
        <v>1995</v>
      </c>
      <c r="I712" s="49">
        <v>4245</v>
      </c>
      <c r="J712" s="49" t="s">
        <v>402</v>
      </c>
      <c r="K712" s="48" t="s">
        <v>402</v>
      </c>
      <c r="L712" s="50" t="s">
        <v>612</v>
      </c>
      <c r="M712" s="56" t="s">
        <v>403</v>
      </c>
      <c r="N712" s="30"/>
      <c r="O712" s="30"/>
      <c r="P712" s="30"/>
      <c r="Q712" s="30"/>
      <c r="R712" s="30"/>
      <c r="S712" s="30"/>
      <c r="T712" s="30"/>
      <c r="U712" s="30"/>
      <c r="V712" s="30"/>
      <c r="W712" s="30"/>
      <c r="X712" s="30"/>
      <c r="Y712" s="30"/>
      <c r="Z712" s="30"/>
      <c r="AA712" s="30"/>
      <c r="AB712" s="30"/>
      <c r="AC712" s="30"/>
      <c r="AD712" s="30"/>
      <c r="AE712" s="30"/>
      <c r="AF712" s="30"/>
      <c r="AG712" s="30"/>
      <c r="AH712" s="30"/>
    </row>
    <row r="713" spans="1:34" ht="13">
      <c r="A713" s="30" t="s">
        <v>400</v>
      </c>
      <c r="B713" s="30" t="s">
        <v>260</v>
      </c>
      <c r="C713" s="30" t="s">
        <v>744</v>
      </c>
      <c r="D713" s="30" t="s">
        <v>381</v>
      </c>
      <c r="E713" s="30" t="s">
        <v>745</v>
      </c>
      <c r="F713" s="30" t="s">
        <v>84</v>
      </c>
      <c r="G713" s="30" t="s">
        <v>746</v>
      </c>
      <c r="H713" s="48">
        <v>1996</v>
      </c>
      <c r="I713" s="49">
        <v>4630</v>
      </c>
      <c r="J713" s="49" t="s">
        <v>402</v>
      </c>
      <c r="K713" s="48" t="s">
        <v>402</v>
      </c>
      <c r="L713" s="50" t="s">
        <v>612</v>
      </c>
      <c r="M713" s="56" t="s">
        <v>403</v>
      </c>
      <c r="N713" s="30"/>
      <c r="O713" s="30"/>
      <c r="P713" s="30"/>
      <c r="Q713" s="30"/>
      <c r="R713" s="30"/>
      <c r="S713" s="30"/>
      <c r="T713" s="30"/>
      <c r="U713" s="30"/>
      <c r="V713" s="30"/>
      <c r="W713" s="30"/>
      <c r="X713" s="30"/>
      <c r="Y713" s="30"/>
      <c r="Z713" s="30"/>
      <c r="AA713" s="30"/>
      <c r="AB713" s="30"/>
      <c r="AC713" s="30"/>
      <c r="AD713" s="30"/>
      <c r="AE713" s="30"/>
      <c r="AF713" s="30"/>
      <c r="AG713" s="30"/>
      <c r="AH713" s="30"/>
    </row>
    <row r="714" spans="1:34" ht="13">
      <c r="A714" s="30" t="s">
        <v>400</v>
      </c>
      <c r="B714" s="30" t="s">
        <v>260</v>
      </c>
      <c r="C714" s="30" t="s">
        <v>744</v>
      </c>
      <c r="D714" s="30" t="s">
        <v>381</v>
      </c>
      <c r="E714" s="30" t="s">
        <v>745</v>
      </c>
      <c r="F714" s="30" t="s">
        <v>84</v>
      </c>
      <c r="G714" s="30" t="s">
        <v>746</v>
      </c>
      <c r="H714" s="48">
        <v>1998</v>
      </c>
      <c r="I714" s="49">
        <v>5329</v>
      </c>
      <c r="J714" s="49" t="s">
        <v>402</v>
      </c>
      <c r="K714" s="48" t="s">
        <v>402</v>
      </c>
      <c r="L714" s="50" t="s">
        <v>612</v>
      </c>
      <c r="M714" s="56" t="s">
        <v>403</v>
      </c>
      <c r="N714" s="30"/>
      <c r="O714" s="30"/>
      <c r="P714" s="30"/>
      <c r="Q714" s="30"/>
      <c r="R714" s="30"/>
      <c r="S714" s="30"/>
      <c r="T714" s="30"/>
      <c r="U714" s="30"/>
      <c r="V714" s="30"/>
      <c r="W714" s="30"/>
      <c r="X714" s="30"/>
      <c r="Y714" s="30"/>
      <c r="Z714" s="30"/>
      <c r="AA714" s="30"/>
      <c r="AB714" s="30"/>
      <c r="AC714" s="30"/>
      <c r="AD714" s="30"/>
      <c r="AE714" s="30"/>
      <c r="AF714" s="30"/>
      <c r="AG714" s="30"/>
      <c r="AH714" s="30"/>
    </row>
    <row r="715" spans="1:34" ht="13">
      <c r="A715" s="30" t="s">
        <v>400</v>
      </c>
      <c r="B715" s="30" t="s">
        <v>260</v>
      </c>
      <c r="C715" s="30" t="s">
        <v>744</v>
      </c>
      <c r="D715" s="30" t="s">
        <v>381</v>
      </c>
      <c r="E715" s="30" t="s">
        <v>745</v>
      </c>
      <c r="F715" s="30" t="s">
        <v>84</v>
      </c>
      <c r="G715" s="30" t="s">
        <v>746</v>
      </c>
      <c r="H715" s="48">
        <v>1999</v>
      </c>
      <c r="I715" s="49">
        <v>4407</v>
      </c>
      <c r="J715" s="49" t="s">
        <v>402</v>
      </c>
      <c r="K715" s="48" t="s">
        <v>402</v>
      </c>
      <c r="L715" s="50" t="s">
        <v>612</v>
      </c>
      <c r="M715" s="56" t="s">
        <v>403</v>
      </c>
      <c r="N715" s="30"/>
      <c r="O715" s="30"/>
      <c r="P715" s="30"/>
      <c r="Q715" s="30"/>
      <c r="R715" s="30"/>
      <c r="S715" s="30"/>
      <c r="T715" s="30"/>
      <c r="U715" s="30"/>
      <c r="V715" s="30"/>
      <c r="W715" s="30"/>
      <c r="X715" s="30"/>
      <c r="Y715" s="30"/>
      <c r="Z715" s="30"/>
      <c r="AA715" s="30"/>
      <c r="AB715" s="30"/>
      <c r="AC715" s="30"/>
      <c r="AD715" s="30"/>
      <c r="AE715" s="30"/>
      <c r="AF715" s="30"/>
      <c r="AG715" s="30"/>
      <c r="AH715" s="30"/>
    </row>
    <row r="716" spans="1:34" ht="13">
      <c r="A716" s="30" t="s">
        <v>400</v>
      </c>
      <c r="B716" s="30" t="s">
        <v>260</v>
      </c>
      <c r="C716" s="30" t="s">
        <v>744</v>
      </c>
      <c r="D716" s="30" t="s">
        <v>381</v>
      </c>
      <c r="E716" s="30" t="s">
        <v>745</v>
      </c>
      <c r="F716" s="30" t="s">
        <v>84</v>
      </c>
      <c r="G716" s="30" t="s">
        <v>746</v>
      </c>
      <c r="H716" s="48">
        <v>2000</v>
      </c>
      <c r="I716" s="49">
        <v>4560</v>
      </c>
      <c r="J716" s="49" t="s">
        <v>402</v>
      </c>
      <c r="K716" s="48" t="s">
        <v>402</v>
      </c>
      <c r="L716" s="50" t="s">
        <v>612</v>
      </c>
      <c r="M716" s="56" t="s">
        <v>403</v>
      </c>
      <c r="N716" s="30"/>
      <c r="O716" s="30"/>
      <c r="P716" s="30"/>
      <c r="Q716" s="30"/>
      <c r="R716" s="30"/>
      <c r="S716" s="30"/>
      <c r="T716" s="30"/>
      <c r="U716" s="30"/>
      <c r="V716" s="30"/>
      <c r="W716" s="30"/>
      <c r="X716" s="30"/>
      <c r="Y716" s="30"/>
      <c r="Z716" s="30"/>
      <c r="AA716" s="30"/>
      <c r="AB716" s="30"/>
      <c r="AC716" s="30"/>
      <c r="AD716" s="30"/>
      <c r="AE716" s="30"/>
      <c r="AF716" s="30"/>
      <c r="AG716" s="30"/>
      <c r="AH716" s="30"/>
    </row>
    <row r="717" spans="1:34" ht="13">
      <c r="A717" s="30" t="s">
        <v>400</v>
      </c>
      <c r="B717" s="30" t="s">
        <v>260</v>
      </c>
      <c r="C717" s="30" t="s">
        <v>744</v>
      </c>
      <c r="D717" s="30" t="s">
        <v>381</v>
      </c>
      <c r="E717" s="30" t="s">
        <v>745</v>
      </c>
      <c r="F717" s="30" t="s">
        <v>84</v>
      </c>
      <c r="G717" s="30" t="s">
        <v>746</v>
      </c>
      <c r="H717" s="48">
        <v>2001</v>
      </c>
      <c r="I717" s="49">
        <v>4479</v>
      </c>
      <c r="J717" s="49" t="s">
        <v>402</v>
      </c>
      <c r="K717" s="48" t="s">
        <v>402</v>
      </c>
      <c r="L717" s="50" t="s">
        <v>612</v>
      </c>
      <c r="M717" s="56" t="s">
        <v>403</v>
      </c>
      <c r="N717" s="30"/>
      <c r="O717" s="30"/>
      <c r="P717" s="30"/>
      <c r="Q717" s="30"/>
      <c r="R717" s="30"/>
      <c r="S717" s="30"/>
      <c r="T717" s="30"/>
      <c r="U717" s="30"/>
      <c r="V717" s="30"/>
      <c r="W717" s="30"/>
      <c r="X717" s="30"/>
      <c r="Y717" s="30"/>
      <c r="Z717" s="30"/>
      <c r="AA717" s="30"/>
      <c r="AB717" s="30"/>
      <c r="AC717" s="30"/>
      <c r="AD717" s="30"/>
      <c r="AE717" s="30"/>
      <c r="AF717" s="30"/>
      <c r="AG717" s="30"/>
      <c r="AH717" s="30"/>
    </row>
    <row r="718" spans="1:34" ht="13">
      <c r="A718" s="30" t="s">
        <v>400</v>
      </c>
      <c r="B718" s="30" t="s">
        <v>260</v>
      </c>
      <c r="C718" s="30" t="s">
        <v>744</v>
      </c>
      <c r="D718" s="30" t="s">
        <v>381</v>
      </c>
      <c r="E718" s="30" t="s">
        <v>745</v>
      </c>
      <c r="F718" s="30" t="s">
        <v>84</v>
      </c>
      <c r="G718" s="30" t="s">
        <v>746</v>
      </c>
      <c r="H718" s="48">
        <v>2002</v>
      </c>
      <c r="I718" s="49">
        <v>5258</v>
      </c>
      <c r="J718" s="49" t="s">
        <v>402</v>
      </c>
      <c r="K718" s="48" t="s">
        <v>402</v>
      </c>
      <c r="L718" s="50" t="s">
        <v>612</v>
      </c>
      <c r="M718" s="56" t="s">
        <v>403</v>
      </c>
      <c r="N718" s="30"/>
      <c r="O718" s="30"/>
      <c r="P718" s="30"/>
      <c r="Q718" s="30"/>
      <c r="R718" s="30"/>
      <c r="S718" s="30"/>
      <c r="T718" s="30"/>
      <c r="U718" s="30"/>
      <c r="V718" s="30"/>
      <c r="W718" s="30"/>
      <c r="X718" s="30"/>
      <c r="Y718" s="30"/>
      <c r="Z718" s="30"/>
      <c r="AA718" s="30"/>
      <c r="AB718" s="30"/>
      <c r="AC718" s="30"/>
      <c r="AD718" s="30"/>
      <c r="AE718" s="30"/>
      <c r="AF718" s="30"/>
      <c r="AG718" s="30"/>
      <c r="AH718" s="30"/>
    </row>
    <row r="719" spans="1:34" ht="13">
      <c r="A719" s="30" t="s">
        <v>400</v>
      </c>
      <c r="B719" s="30" t="s">
        <v>260</v>
      </c>
      <c r="C719" s="30" t="s">
        <v>744</v>
      </c>
      <c r="D719" s="30" t="s">
        <v>381</v>
      </c>
      <c r="E719" s="30" t="s">
        <v>745</v>
      </c>
      <c r="F719" s="30" t="s">
        <v>84</v>
      </c>
      <c r="G719" s="30" t="s">
        <v>746</v>
      </c>
      <c r="H719" s="48">
        <v>2003</v>
      </c>
      <c r="I719" s="49">
        <v>5491</v>
      </c>
      <c r="J719" s="49" t="s">
        <v>402</v>
      </c>
      <c r="K719" s="48" t="s">
        <v>402</v>
      </c>
      <c r="L719" s="50" t="s">
        <v>612</v>
      </c>
      <c r="M719" s="56" t="s">
        <v>403</v>
      </c>
      <c r="N719" s="30"/>
      <c r="O719" s="30"/>
      <c r="P719" s="30"/>
      <c r="Q719" s="30"/>
      <c r="R719" s="30"/>
      <c r="S719" s="30"/>
      <c r="T719" s="30"/>
      <c r="U719" s="30"/>
      <c r="V719" s="30"/>
      <c r="W719" s="30"/>
      <c r="X719" s="30"/>
      <c r="Y719" s="30"/>
      <c r="Z719" s="30"/>
      <c r="AA719" s="30"/>
      <c r="AB719" s="30"/>
      <c r="AC719" s="30"/>
      <c r="AD719" s="30"/>
      <c r="AE719" s="30"/>
      <c r="AF719" s="30"/>
      <c r="AG719" s="30"/>
      <c r="AH719" s="30"/>
    </row>
    <row r="720" spans="1:34" ht="13">
      <c r="A720" s="18" t="s">
        <v>272</v>
      </c>
      <c r="B720" s="18" t="s">
        <v>260</v>
      </c>
      <c r="C720" s="18" t="s">
        <v>318</v>
      </c>
      <c r="D720" s="18" t="s">
        <v>75</v>
      </c>
      <c r="E720" s="18" t="s">
        <v>747</v>
      </c>
      <c r="F720" s="18" t="s">
        <v>748</v>
      </c>
      <c r="G720" s="18" t="s">
        <v>611</v>
      </c>
      <c r="H720" s="18">
        <v>2013</v>
      </c>
      <c r="I720" s="40">
        <v>1288</v>
      </c>
      <c r="J720" s="40">
        <v>1213</v>
      </c>
      <c r="K720" s="18">
        <v>1399</v>
      </c>
      <c r="L720" s="38" t="s">
        <v>637</v>
      </c>
      <c r="M720" s="21" t="s">
        <v>378</v>
      </c>
      <c r="N720" s="18" t="s">
        <v>379</v>
      </c>
    </row>
    <row r="721" spans="1:15" ht="13">
      <c r="A721" s="18" t="s">
        <v>272</v>
      </c>
      <c r="B721" s="18" t="s">
        <v>260</v>
      </c>
      <c r="C721" s="18" t="s">
        <v>318</v>
      </c>
      <c r="D721" s="18" t="s">
        <v>75</v>
      </c>
      <c r="E721" s="18" t="s">
        <v>747</v>
      </c>
      <c r="F721" s="18" t="s">
        <v>748</v>
      </c>
      <c r="G721" s="18" t="s">
        <v>611</v>
      </c>
      <c r="H721" s="18">
        <v>2014</v>
      </c>
      <c r="I721" s="40">
        <v>1309</v>
      </c>
      <c r="J721" s="40">
        <v>1242</v>
      </c>
      <c r="K721" s="18">
        <v>1418</v>
      </c>
      <c r="L721" s="38" t="s">
        <v>637</v>
      </c>
      <c r="M721" s="21" t="s">
        <v>378</v>
      </c>
      <c r="N721" s="18" t="s">
        <v>379</v>
      </c>
    </row>
    <row r="722" spans="1:15" ht="13">
      <c r="A722" s="18" t="s">
        <v>272</v>
      </c>
      <c r="B722" s="18" t="s">
        <v>260</v>
      </c>
      <c r="C722" s="18" t="s">
        <v>318</v>
      </c>
      <c r="D722" s="18" t="s">
        <v>75</v>
      </c>
      <c r="E722" s="18" t="s">
        <v>747</v>
      </c>
      <c r="F722" s="18" t="s">
        <v>748</v>
      </c>
      <c r="G722" s="18" t="s">
        <v>611</v>
      </c>
      <c r="H722" s="18">
        <v>2015</v>
      </c>
      <c r="I722" s="40">
        <v>1333</v>
      </c>
      <c r="J722" s="40">
        <v>1275</v>
      </c>
      <c r="K722" s="18">
        <v>1444</v>
      </c>
      <c r="L722" s="38" t="s">
        <v>637</v>
      </c>
      <c r="M722" s="21" t="s">
        <v>378</v>
      </c>
      <c r="N722" s="18" t="s">
        <v>379</v>
      </c>
    </row>
    <row r="723" spans="1:15" ht="13">
      <c r="A723" s="18" t="s">
        <v>272</v>
      </c>
      <c r="B723" s="18" t="s">
        <v>260</v>
      </c>
      <c r="C723" s="18" t="s">
        <v>318</v>
      </c>
      <c r="D723" s="18" t="s">
        <v>75</v>
      </c>
      <c r="E723" s="18" t="s">
        <v>747</v>
      </c>
      <c r="F723" s="18" t="s">
        <v>748</v>
      </c>
      <c r="G723" s="18" t="s">
        <v>611</v>
      </c>
      <c r="H723" s="18">
        <v>2016</v>
      </c>
      <c r="I723" s="40">
        <v>1416</v>
      </c>
      <c r="J723" s="40">
        <v>1348</v>
      </c>
      <c r="K723" s="18">
        <v>1527</v>
      </c>
      <c r="L723" s="38" t="s">
        <v>637</v>
      </c>
      <c r="M723" s="21" t="s">
        <v>378</v>
      </c>
      <c r="N723" s="18" t="s">
        <v>379</v>
      </c>
    </row>
    <row r="724" spans="1:15" ht="13">
      <c r="A724" s="18" t="s">
        <v>272</v>
      </c>
      <c r="B724" s="18" t="s">
        <v>260</v>
      </c>
      <c r="C724" s="18" t="s">
        <v>318</v>
      </c>
      <c r="D724" s="18" t="s">
        <v>75</v>
      </c>
      <c r="E724" s="18" t="s">
        <v>747</v>
      </c>
      <c r="F724" s="18" t="s">
        <v>748</v>
      </c>
      <c r="G724" s="18" t="s">
        <v>611</v>
      </c>
      <c r="H724" s="18">
        <v>2017</v>
      </c>
      <c r="I724" s="40">
        <v>1358</v>
      </c>
      <c r="J724" s="40">
        <v>1302</v>
      </c>
      <c r="K724" s="18">
        <v>1447</v>
      </c>
      <c r="L724" s="38" t="s">
        <v>637</v>
      </c>
      <c r="M724" s="21" t="s">
        <v>378</v>
      </c>
      <c r="N724" s="18" t="s">
        <v>379</v>
      </c>
    </row>
    <row r="725" spans="1:15" ht="13">
      <c r="A725" s="18" t="s">
        <v>272</v>
      </c>
      <c r="B725" s="18" t="s">
        <v>260</v>
      </c>
      <c r="C725" s="18" t="s">
        <v>318</v>
      </c>
      <c r="D725" s="18" t="s">
        <v>75</v>
      </c>
      <c r="E725" s="18" t="s">
        <v>747</v>
      </c>
      <c r="F725" s="18" t="s">
        <v>748</v>
      </c>
      <c r="G725" s="18" t="s">
        <v>611</v>
      </c>
      <c r="H725" s="18">
        <v>2018</v>
      </c>
      <c r="I725" s="40">
        <v>1437</v>
      </c>
      <c r="J725" s="40">
        <v>1366</v>
      </c>
      <c r="K725" s="18">
        <v>1550</v>
      </c>
      <c r="L725" s="38" t="s">
        <v>637</v>
      </c>
      <c r="M725" s="21" t="s">
        <v>378</v>
      </c>
      <c r="N725" s="18" t="s">
        <v>379</v>
      </c>
    </row>
    <row r="726" spans="1:15" ht="13">
      <c r="A726" s="18" t="s">
        <v>272</v>
      </c>
      <c r="B726" s="18" t="s">
        <v>260</v>
      </c>
      <c r="C726" s="18" t="s">
        <v>318</v>
      </c>
      <c r="D726" s="18" t="s">
        <v>75</v>
      </c>
      <c r="E726" s="18" t="s">
        <v>747</v>
      </c>
      <c r="F726" s="18" t="s">
        <v>748</v>
      </c>
      <c r="G726" s="18" t="s">
        <v>611</v>
      </c>
      <c r="H726" s="18">
        <v>2019</v>
      </c>
      <c r="I726" s="40">
        <v>1435</v>
      </c>
      <c r="J726" s="40">
        <v>1368</v>
      </c>
      <c r="K726" s="18">
        <v>1531</v>
      </c>
      <c r="L726" s="38" t="s">
        <v>637</v>
      </c>
      <c r="M726" s="21" t="s">
        <v>378</v>
      </c>
      <c r="N726" s="18" t="s">
        <v>379</v>
      </c>
    </row>
    <row r="727" spans="1:15" ht="13">
      <c r="A727" s="18" t="s">
        <v>272</v>
      </c>
      <c r="B727" s="18" t="s">
        <v>260</v>
      </c>
      <c r="C727" s="18" t="s">
        <v>318</v>
      </c>
      <c r="D727" s="18" t="s">
        <v>75</v>
      </c>
      <c r="E727" s="18" t="s">
        <v>747</v>
      </c>
      <c r="F727" s="18" t="s">
        <v>748</v>
      </c>
      <c r="G727" s="18" t="s">
        <v>611</v>
      </c>
      <c r="H727" s="18">
        <v>2020</v>
      </c>
      <c r="I727" s="40">
        <v>1465</v>
      </c>
      <c r="J727" s="40">
        <v>1389</v>
      </c>
      <c r="K727" s="18">
        <v>1568</v>
      </c>
      <c r="L727" s="38" t="s">
        <v>637</v>
      </c>
      <c r="M727" s="21" t="s">
        <v>378</v>
      </c>
      <c r="N727" s="18" t="s">
        <v>379</v>
      </c>
    </row>
    <row r="728" spans="1:15" ht="13">
      <c r="A728" s="18" t="s">
        <v>266</v>
      </c>
      <c r="B728" s="18" t="s">
        <v>260</v>
      </c>
      <c r="C728" s="18" t="s">
        <v>371</v>
      </c>
      <c r="D728" s="18" t="s">
        <v>292</v>
      </c>
      <c r="E728" s="18" t="s">
        <v>749</v>
      </c>
      <c r="F728" s="18" t="s">
        <v>636</v>
      </c>
      <c r="G728" s="18" t="s">
        <v>611</v>
      </c>
      <c r="H728" s="37">
        <v>1991.32</v>
      </c>
      <c r="I728" s="37">
        <v>568.44547563805099</v>
      </c>
      <c r="J728" s="37">
        <v>127.61020881670601</v>
      </c>
      <c r="K728" s="37">
        <v>2111.3689095127602</v>
      </c>
      <c r="L728" s="38" t="s">
        <v>637</v>
      </c>
      <c r="M728" s="24" t="s">
        <v>294</v>
      </c>
      <c r="N728" s="18" t="s">
        <v>295</v>
      </c>
      <c r="O728" s="18" t="s">
        <v>750</v>
      </c>
    </row>
    <row r="729" spans="1:15" ht="13">
      <c r="A729" s="18" t="s">
        <v>266</v>
      </c>
      <c r="B729" s="18" t="s">
        <v>260</v>
      </c>
      <c r="C729" s="18" t="s">
        <v>371</v>
      </c>
      <c r="D729" s="18" t="s">
        <v>292</v>
      </c>
      <c r="E729" s="18" t="s">
        <v>749</v>
      </c>
      <c r="F729" s="18" t="s">
        <v>636</v>
      </c>
      <c r="G729" s="18" t="s">
        <v>611</v>
      </c>
      <c r="H729" s="37">
        <v>1993.2962962962999</v>
      </c>
      <c r="I729" s="37">
        <v>707.65661252900304</v>
      </c>
      <c r="J729" s="37">
        <v>255.22041763341201</v>
      </c>
      <c r="K729" s="37">
        <v>1844.5475638051</v>
      </c>
      <c r="L729" s="38" t="s">
        <v>637</v>
      </c>
      <c r="M729" s="24" t="s">
        <v>294</v>
      </c>
      <c r="N729" s="18" t="s">
        <v>295</v>
      </c>
    </row>
    <row r="730" spans="1:15" ht="13">
      <c r="A730" s="18" t="s">
        <v>266</v>
      </c>
      <c r="B730" s="18" t="s">
        <v>260</v>
      </c>
      <c r="C730" s="18" t="s">
        <v>371</v>
      </c>
      <c r="D730" s="18" t="s">
        <v>292</v>
      </c>
      <c r="E730" s="18" t="s">
        <v>749</v>
      </c>
      <c r="F730" s="18" t="s">
        <v>636</v>
      </c>
      <c r="G730" s="18" t="s">
        <v>611</v>
      </c>
      <c r="H730" s="37">
        <v>1996.2607407407399</v>
      </c>
      <c r="I730" s="37">
        <v>1751.7401392111401</v>
      </c>
      <c r="J730" s="37">
        <v>649.651972157773</v>
      </c>
      <c r="K730" s="37">
        <v>4628.7703016241303</v>
      </c>
      <c r="L730" s="38" t="s">
        <v>637</v>
      </c>
      <c r="M730" s="24" t="s">
        <v>294</v>
      </c>
      <c r="N730" s="18" t="s">
        <v>295</v>
      </c>
    </row>
    <row r="731" spans="1:15" ht="13">
      <c r="A731" s="18" t="s">
        <v>266</v>
      </c>
      <c r="B731" s="18" t="s">
        <v>260</v>
      </c>
      <c r="C731" s="18" t="s">
        <v>371</v>
      </c>
      <c r="D731" s="18" t="s">
        <v>292</v>
      </c>
      <c r="E731" s="18" t="s">
        <v>749</v>
      </c>
      <c r="F731" s="18" t="s">
        <v>636</v>
      </c>
      <c r="G731" s="18" t="s">
        <v>611</v>
      </c>
      <c r="H731" s="37">
        <v>2001.24444444444</v>
      </c>
      <c r="I731" s="37">
        <v>1287.7030162413</v>
      </c>
      <c r="J731" s="37">
        <v>417.63341067285501</v>
      </c>
      <c r="K731" s="37">
        <v>3781.9025522041802</v>
      </c>
      <c r="L731" s="38" t="s">
        <v>637</v>
      </c>
      <c r="M731" s="24" t="s">
        <v>294</v>
      </c>
      <c r="N731" s="18" t="s">
        <v>295</v>
      </c>
    </row>
    <row r="732" spans="1:15" ht="13">
      <c r="A732" s="18" t="s">
        <v>266</v>
      </c>
      <c r="B732" s="18" t="s">
        <v>260</v>
      </c>
      <c r="C732" s="18" t="s">
        <v>371</v>
      </c>
      <c r="D732" s="18" t="s">
        <v>292</v>
      </c>
      <c r="E732" s="18" t="s">
        <v>749</v>
      </c>
      <c r="F732" s="18" t="s">
        <v>636</v>
      </c>
      <c r="G732" s="18" t="s">
        <v>611</v>
      </c>
      <c r="H732" s="37">
        <v>2005.24</v>
      </c>
      <c r="I732" s="37">
        <v>1624.1299303944299</v>
      </c>
      <c r="J732" s="37">
        <v>603.24825986078895</v>
      </c>
      <c r="K732" s="37">
        <v>4245.9396751740096</v>
      </c>
      <c r="L732" s="38" t="s">
        <v>637</v>
      </c>
      <c r="M732" s="24" t="s">
        <v>294</v>
      </c>
      <c r="N732" s="18" t="s">
        <v>295</v>
      </c>
    </row>
    <row r="733" spans="1:15" ht="13">
      <c r="A733" s="18" t="s">
        <v>266</v>
      </c>
      <c r="B733" s="18" t="s">
        <v>260</v>
      </c>
      <c r="C733" s="18" t="s">
        <v>371</v>
      </c>
      <c r="D733" s="18" t="s">
        <v>292</v>
      </c>
      <c r="E733" s="18" t="s">
        <v>749</v>
      </c>
      <c r="F733" s="18" t="s">
        <v>636</v>
      </c>
      <c r="G733" s="18" t="s">
        <v>611</v>
      </c>
      <c r="H733" s="37">
        <v>2008.2903703703701</v>
      </c>
      <c r="I733" s="37">
        <v>1310.9048723897899</v>
      </c>
      <c r="J733" s="37">
        <v>429.23433874710003</v>
      </c>
      <c r="K733" s="37">
        <v>3897.9118329466401</v>
      </c>
      <c r="L733" s="38" t="s">
        <v>637</v>
      </c>
      <c r="M733" s="24" t="s">
        <v>294</v>
      </c>
      <c r="N733" s="18" t="s">
        <v>295</v>
      </c>
    </row>
    <row r="734" spans="1:15" ht="13">
      <c r="A734" s="18" t="s">
        <v>266</v>
      </c>
      <c r="B734" s="18" t="s">
        <v>260</v>
      </c>
      <c r="C734" s="18" t="s">
        <v>371</v>
      </c>
      <c r="D734" s="18" t="s">
        <v>292</v>
      </c>
      <c r="E734" s="18" t="s">
        <v>749</v>
      </c>
      <c r="F734" s="18" t="s">
        <v>636</v>
      </c>
      <c r="G734" s="18" t="s">
        <v>611</v>
      </c>
      <c r="H734" s="37">
        <v>2014.2622222222201</v>
      </c>
      <c r="I734" s="37">
        <v>3062.64501160093</v>
      </c>
      <c r="J734" s="37">
        <v>742.45939675173997</v>
      </c>
      <c r="K734" s="37">
        <v>12000</v>
      </c>
      <c r="L734" s="38" t="s">
        <v>637</v>
      </c>
      <c r="M734" s="24" t="s">
        <v>294</v>
      </c>
      <c r="N734" s="18" t="s">
        <v>295</v>
      </c>
    </row>
    <row r="735" spans="1:15" ht="13">
      <c r="A735" s="18" t="s">
        <v>266</v>
      </c>
      <c r="B735" s="18" t="s">
        <v>260</v>
      </c>
      <c r="C735" s="18" t="s">
        <v>371</v>
      </c>
      <c r="D735" s="18" t="s">
        <v>292</v>
      </c>
      <c r="E735" s="18" t="s">
        <v>749</v>
      </c>
      <c r="F735" s="18" t="s">
        <v>751</v>
      </c>
      <c r="G735" s="18" t="s">
        <v>611</v>
      </c>
      <c r="H735" s="37">
        <v>1989.04296296296</v>
      </c>
      <c r="I735" s="37">
        <v>499</v>
      </c>
      <c r="J735" s="37" t="s">
        <v>402</v>
      </c>
      <c r="K735" s="37" t="s">
        <v>402</v>
      </c>
      <c r="L735" s="38" t="s">
        <v>612</v>
      </c>
      <c r="M735" s="24" t="s">
        <v>294</v>
      </c>
      <c r="N735" s="18" t="s">
        <v>295</v>
      </c>
    </row>
    <row r="736" spans="1:15" ht="13">
      <c r="A736" s="18" t="s">
        <v>266</v>
      </c>
      <c r="B736" s="18" t="s">
        <v>260</v>
      </c>
      <c r="C736" s="18" t="s">
        <v>371</v>
      </c>
      <c r="D736" s="18" t="s">
        <v>292</v>
      </c>
      <c r="E736" s="18" t="s">
        <v>749</v>
      </c>
      <c r="F736" s="18" t="s">
        <v>751</v>
      </c>
      <c r="G736" s="18" t="s">
        <v>611</v>
      </c>
      <c r="H736" s="37">
        <v>1990.03111111111</v>
      </c>
      <c r="I736" s="37">
        <v>552</v>
      </c>
      <c r="J736" s="37" t="s">
        <v>402</v>
      </c>
      <c r="K736" s="37" t="s">
        <v>402</v>
      </c>
      <c r="L736" s="38" t="s">
        <v>612</v>
      </c>
      <c r="M736" s="24" t="s">
        <v>294</v>
      </c>
      <c r="N736" s="18" t="s">
        <v>295</v>
      </c>
    </row>
    <row r="737" spans="1:14" ht="13">
      <c r="A737" s="18" t="s">
        <v>266</v>
      </c>
      <c r="B737" s="18" t="s">
        <v>260</v>
      </c>
      <c r="C737" s="18" t="s">
        <v>371</v>
      </c>
      <c r="D737" s="18" t="s">
        <v>292</v>
      </c>
      <c r="E737" s="18" t="s">
        <v>749</v>
      </c>
      <c r="F737" s="18" t="s">
        <v>751</v>
      </c>
      <c r="G737" s="18" t="s">
        <v>611</v>
      </c>
      <c r="H737" s="37">
        <v>1991.01925925926</v>
      </c>
      <c r="I737" s="37">
        <v>682</v>
      </c>
      <c r="J737" s="37" t="s">
        <v>402</v>
      </c>
      <c r="K737" s="37" t="s">
        <v>402</v>
      </c>
      <c r="L737" s="38" t="s">
        <v>612</v>
      </c>
      <c r="M737" s="24" t="s">
        <v>294</v>
      </c>
      <c r="N737" s="18" t="s">
        <v>295</v>
      </c>
    </row>
    <row r="738" spans="1:14" ht="13">
      <c r="A738" s="18" t="s">
        <v>266</v>
      </c>
      <c r="B738" s="18" t="s">
        <v>260</v>
      </c>
      <c r="C738" s="18" t="s">
        <v>371</v>
      </c>
      <c r="D738" s="18" t="s">
        <v>292</v>
      </c>
      <c r="E738" s="18" t="s">
        <v>749</v>
      </c>
      <c r="F738" s="18" t="s">
        <v>751</v>
      </c>
      <c r="G738" s="18" t="s">
        <v>611</v>
      </c>
      <c r="H738" s="37">
        <v>1992.00740740741</v>
      </c>
      <c r="I738" s="37">
        <v>759</v>
      </c>
      <c r="J738" s="37" t="s">
        <v>402</v>
      </c>
      <c r="K738" s="37" t="s">
        <v>402</v>
      </c>
      <c r="L738" s="38" t="s">
        <v>612</v>
      </c>
      <c r="M738" s="24" t="s">
        <v>294</v>
      </c>
      <c r="N738" s="18" t="s">
        <v>295</v>
      </c>
    </row>
    <row r="739" spans="1:14" ht="13">
      <c r="A739" s="18" t="s">
        <v>266</v>
      </c>
      <c r="B739" s="18" t="s">
        <v>260</v>
      </c>
      <c r="C739" s="18" t="s">
        <v>371</v>
      </c>
      <c r="D739" s="18" t="s">
        <v>292</v>
      </c>
      <c r="E739" s="18" t="s">
        <v>749</v>
      </c>
      <c r="F739" s="18" t="s">
        <v>751</v>
      </c>
      <c r="G739" s="18" t="s">
        <v>611</v>
      </c>
      <c r="H739" s="37">
        <v>1992.99555555556</v>
      </c>
      <c r="I739" s="37">
        <v>793</v>
      </c>
      <c r="J739" s="37" t="s">
        <v>402</v>
      </c>
      <c r="K739" s="37" t="s">
        <v>402</v>
      </c>
      <c r="L739" s="38" t="s">
        <v>612</v>
      </c>
      <c r="M739" s="24" t="s">
        <v>294</v>
      </c>
      <c r="N739" s="18" t="s">
        <v>295</v>
      </c>
    </row>
    <row r="740" spans="1:14" ht="13">
      <c r="A740" s="18" t="s">
        <v>266</v>
      </c>
      <c r="B740" s="18" t="s">
        <v>260</v>
      </c>
      <c r="C740" s="18" t="s">
        <v>371</v>
      </c>
      <c r="D740" s="18" t="s">
        <v>292</v>
      </c>
      <c r="E740" s="18" t="s">
        <v>749</v>
      </c>
      <c r="F740" s="18" t="s">
        <v>751</v>
      </c>
      <c r="G740" s="18" t="s">
        <v>611</v>
      </c>
      <c r="H740" s="37">
        <v>1994.0266666666701</v>
      </c>
      <c r="I740" s="37">
        <v>804</v>
      </c>
      <c r="J740" s="37" t="s">
        <v>402</v>
      </c>
      <c r="K740" s="37" t="s">
        <v>402</v>
      </c>
      <c r="L740" s="38" t="s">
        <v>612</v>
      </c>
      <c r="M740" s="24" t="s">
        <v>294</v>
      </c>
      <c r="N740" s="18" t="s">
        <v>295</v>
      </c>
    </row>
    <row r="741" spans="1:14" ht="13">
      <c r="A741" s="18" t="s">
        <v>266</v>
      </c>
      <c r="B741" s="18" t="s">
        <v>260</v>
      </c>
      <c r="C741" s="18" t="s">
        <v>371</v>
      </c>
      <c r="D741" s="18" t="s">
        <v>292</v>
      </c>
      <c r="E741" s="18" t="s">
        <v>749</v>
      </c>
      <c r="F741" s="18" t="s">
        <v>751</v>
      </c>
      <c r="G741" s="18" t="s">
        <v>611</v>
      </c>
      <c r="H741" s="37">
        <v>1995.0148148148101</v>
      </c>
      <c r="I741" s="37">
        <v>892</v>
      </c>
      <c r="J741" s="37" t="s">
        <v>402</v>
      </c>
      <c r="K741" s="37" t="s">
        <v>402</v>
      </c>
      <c r="L741" s="38" t="s">
        <v>612</v>
      </c>
      <c r="M741" s="24" t="s">
        <v>294</v>
      </c>
      <c r="N741" s="18" t="s">
        <v>295</v>
      </c>
    </row>
    <row r="742" spans="1:14" ht="13">
      <c r="A742" s="18" t="s">
        <v>266</v>
      </c>
      <c r="B742" s="18" t="s">
        <v>260</v>
      </c>
      <c r="C742" s="18" t="s">
        <v>371</v>
      </c>
      <c r="D742" s="18" t="s">
        <v>292</v>
      </c>
      <c r="E742" s="18" t="s">
        <v>749</v>
      </c>
      <c r="F742" s="18" t="s">
        <v>751</v>
      </c>
      <c r="G742" s="18" t="s">
        <v>611</v>
      </c>
      <c r="H742" s="37">
        <v>1996.0029629629601</v>
      </c>
      <c r="I742" s="37">
        <v>919</v>
      </c>
      <c r="J742" s="37" t="s">
        <v>402</v>
      </c>
      <c r="K742" s="37" t="s">
        <v>402</v>
      </c>
      <c r="L742" s="38" t="s">
        <v>612</v>
      </c>
      <c r="M742" s="24" t="s">
        <v>294</v>
      </c>
      <c r="N742" s="18" t="s">
        <v>295</v>
      </c>
    </row>
    <row r="743" spans="1:14" ht="13">
      <c r="A743" s="18" t="s">
        <v>266</v>
      </c>
      <c r="B743" s="18" t="s">
        <v>260</v>
      </c>
      <c r="C743" s="18" t="s">
        <v>371</v>
      </c>
      <c r="D743" s="18" t="s">
        <v>292</v>
      </c>
      <c r="E743" s="18" t="s">
        <v>749</v>
      </c>
      <c r="F743" s="18" t="s">
        <v>751</v>
      </c>
      <c r="G743" s="18" t="s">
        <v>611</v>
      </c>
      <c r="H743" s="37">
        <v>1996.9911111111101</v>
      </c>
      <c r="I743" s="37">
        <v>1016</v>
      </c>
      <c r="J743" s="37" t="s">
        <v>402</v>
      </c>
      <c r="K743" s="37" t="s">
        <v>402</v>
      </c>
      <c r="L743" s="38" t="s">
        <v>612</v>
      </c>
      <c r="M743" s="24" t="s">
        <v>294</v>
      </c>
      <c r="N743" s="18" t="s">
        <v>295</v>
      </c>
    </row>
    <row r="744" spans="1:14" ht="13">
      <c r="A744" s="18" t="s">
        <v>266</v>
      </c>
      <c r="B744" s="18" t="s">
        <v>260</v>
      </c>
      <c r="C744" s="18" t="s">
        <v>371</v>
      </c>
      <c r="D744" s="18" t="s">
        <v>292</v>
      </c>
      <c r="E744" s="18" t="s">
        <v>749</v>
      </c>
      <c r="F744" s="18" t="s">
        <v>751</v>
      </c>
      <c r="G744" s="18" t="s">
        <v>611</v>
      </c>
      <c r="H744" s="37">
        <v>1998.0222222222201</v>
      </c>
      <c r="I744" s="37">
        <v>1090</v>
      </c>
      <c r="J744" s="37" t="s">
        <v>402</v>
      </c>
      <c r="K744" s="37" t="s">
        <v>402</v>
      </c>
      <c r="L744" s="38" t="s">
        <v>612</v>
      </c>
      <c r="M744" s="24" t="s">
        <v>294</v>
      </c>
      <c r="N744" s="18" t="s">
        <v>295</v>
      </c>
    </row>
    <row r="745" spans="1:14" ht="13">
      <c r="A745" s="18" t="s">
        <v>266</v>
      </c>
      <c r="B745" s="18" t="s">
        <v>260</v>
      </c>
      <c r="C745" s="18" t="s">
        <v>371</v>
      </c>
      <c r="D745" s="18" t="s">
        <v>292</v>
      </c>
      <c r="E745" s="18" t="s">
        <v>749</v>
      </c>
      <c r="F745" s="18" t="s">
        <v>751</v>
      </c>
      <c r="G745" s="18" t="s">
        <v>611</v>
      </c>
      <c r="H745" s="37">
        <v>1999.0103703703701</v>
      </c>
      <c r="I745" s="37">
        <v>1276</v>
      </c>
      <c r="J745" s="37" t="s">
        <v>402</v>
      </c>
      <c r="K745" s="37" t="s">
        <v>402</v>
      </c>
      <c r="L745" s="38" t="s">
        <v>612</v>
      </c>
      <c r="M745" s="24" t="s">
        <v>294</v>
      </c>
      <c r="N745" s="18" t="s">
        <v>295</v>
      </c>
    </row>
    <row r="746" spans="1:14" ht="13">
      <c r="A746" s="18" t="s">
        <v>266</v>
      </c>
      <c r="B746" s="18" t="s">
        <v>260</v>
      </c>
      <c r="C746" s="18" t="s">
        <v>371</v>
      </c>
      <c r="D746" s="18" t="s">
        <v>292</v>
      </c>
      <c r="E746" s="18" t="s">
        <v>749</v>
      </c>
      <c r="F746" s="18" t="s">
        <v>751</v>
      </c>
      <c r="G746" s="18" t="s">
        <v>611</v>
      </c>
      <c r="H746" s="37">
        <v>2000.0414814814801</v>
      </c>
      <c r="I746" s="37">
        <v>1112</v>
      </c>
      <c r="J746" s="37" t="s">
        <v>402</v>
      </c>
      <c r="K746" s="37" t="s">
        <v>402</v>
      </c>
      <c r="L746" s="38" t="s">
        <v>612</v>
      </c>
      <c r="M746" s="24" t="s">
        <v>294</v>
      </c>
      <c r="N746" s="18" t="s">
        <v>295</v>
      </c>
    </row>
    <row r="747" spans="1:14" ht="13">
      <c r="A747" s="18" t="s">
        <v>266</v>
      </c>
      <c r="B747" s="18" t="s">
        <v>260</v>
      </c>
      <c r="C747" s="18" t="s">
        <v>371</v>
      </c>
      <c r="D747" s="18" t="s">
        <v>292</v>
      </c>
      <c r="E747" s="18" t="s">
        <v>749</v>
      </c>
      <c r="F747" s="18" t="s">
        <v>751</v>
      </c>
      <c r="G747" s="18" t="s">
        <v>611</v>
      </c>
      <c r="H747" s="37">
        <v>2001.0296296296301</v>
      </c>
      <c r="I747" s="37">
        <v>1276</v>
      </c>
      <c r="J747" s="37" t="s">
        <v>402</v>
      </c>
      <c r="K747" s="37" t="s">
        <v>402</v>
      </c>
      <c r="L747" s="38" t="s">
        <v>612</v>
      </c>
      <c r="M747" s="24" t="s">
        <v>294</v>
      </c>
      <c r="N747" s="18" t="s">
        <v>295</v>
      </c>
    </row>
    <row r="748" spans="1:14" ht="13">
      <c r="A748" s="18" t="s">
        <v>266</v>
      </c>
      <c r="B748" s="18" t="s">
        <v>260</v>
      </c>
      <c r="C748" s="18" t="s">
        <v>371</v>
      </c>
      <c r="D748" s="18" t="s">
        <v>292</v>
      </c>
      <c r="E748" s="18" t="s">
        <v>749</v>
      </c>
      <c r="F748" s="18" t="s">
        <v>751</v>
      </c>
      <c r="G748" s="18" t="s">
        <v>611</v>
      </c>
      <c r="H748" s="37">
        <v>2002.0177777777801</v>
      </c>
      <c r="I748" s="37">
        <v>1304</v>
      </c>
      <c r="J748" s="37" t="s">
        <v>402</v>
      </c>
      <c r="K748" s="37" t="s">
        <v>402</v>
      </c>
      <c r="L748" s="38" t="s">
        <v>612</v>
      </c>
      <c r="M748" s="24" t="s">
        <v>294</v>
      </c>
      <c r="N748" s="18" t="s">
        <v>295</v>
      </c>
    </row>
    <row r="749" spans="1:14" ht="13">
      <c r="A749" s="18" t="s">
        <v>266</v>
      </c>
      <c r="B749" s="18" t="s">
        <v>260</v>
      </c>
      <c r="C749" s="18" t="s">
        <v>371</v>
      </c>
      <c r="D749" s="18" t="s">
        <v>292</v>
      </c>
      <c r="E749" s="18" t="s">
        <v>749</v>
      </c>
      <c r="F749" s="18" t="s">
        <v>751</v>
      </c>
      <c r="G749" s="18" t="s">
        <v>611</v>
      </c>
      <c r="H749" s="37">
        <v>2003.0059259259299</v>
      </c>
      <c r="I749" s="37">
        <v>1553</v>
      </c>
      <c r="J749" s="37" t="s">
        <v>402</v>
      </c>
      <c r="K749" s="37" t="s">
        <v>402</v>
      </c>
      <c r="L749" s="38" t="s">
        <v>612</v>
      </c>
      <c r="M749" s="24" t="s">
        <v>294</v>
      </c>
      <c r="N749" s="18" t="s">
        <v>295</v>
      </c>
    </row>
    <row r="750" spans="1:14" ht="13">
      <c r="A750" s="18" t="s">
        <v>266</v>
      </c>
      <c r="B750" s="18" t="s">
        <v>260</v>
      </c>
      <c r="C750" s="18" t="s">
        <v>371</v>
      </c>
      <c r="D750" s="18" t="s">
        <v>292</v>
      </c>
      <c r="E750" s="18" t="s">
        <v>749</v>
      </c>
      <c r="F750" s="18" t="s">
        <v>751</v>
      </c>
      <c r="G750" s="18" t="s">
        <v>611</v>
      </c>
      <c r="H750" s="37">
        <v>2003.9940740740701</v>
      </c>
      <c r="I750" s="37">
        <v>1535</v>
      </c>
      <c r="J750" s="37" t="s">
        <v>402</v>
      </c>
      <c r="K750" s="37" t="s">
        <v>402</v>
      </c>
      <c r="L750" s="38" t="s">
        <v>612</v>
      </c>
      <c r="M750" s="24" t="s">
        <v>294</v>
      </c>
      <c r="N750" s="18" t="s">
        <v>295</v>
      </c>
    </row>
    <row r="751" spans="1:14" ht="13">
      <c r="A751" s="18" t="s">
        <v>266</v>
      </c>
      <c r="B751" s="18" t="s">
        <v>260</v>
      </c>
      <c r="C751" s="18" t="s">
        <v>371</v>
      </c>
      <c r="D751" s="18" t="s">
        <v>292</v>
      </c>
      <c r="E751" s="18" t="s">
        <v>749</v>
      </c>
      <c r="F751" s="18" t="s">
        <v>751</v>
      </c>
      <c r="G751" s="18" t="s">
        <v>611</v>
      </c>
      <c r="H751" s="37">
        <v>2005.0251851851899</v>
      </c>
      <c r="I751" s="37">
        <v>1860</v>
      </c>
      <c r="J751" s="37" t="s">
        <v>402</v>
      </c>
      <c r="K751" s="37" t="s">
        <v>402</v>
      </c>
      <c r="L751" s="38" t="s">
        <v>612</v>
      </c>
      <c r="M751" s="24" t="s">
        <v>294</v>
      </c>
      <c r="N751" s="18" t="s">
        <v>295</v>
      </c>
    </row>
    <row r="752" spans="1:14" ht="13">
      <c r="A752" s="18" t="s">
        <v>266</v>
      </c>
      <c r="B752" s="18" t="s">
        <v>260</v>
      </c>
      <c r="C752" s="18" t="s">
        <v>371</v>
      </c>
      <c r="D752" s="18" t="s">
        <v>292</v>
      </c>
      <c r="E752" s="18" t="s">
        <v>749</v>
      </c>
      <c r="F752" s="18" t="s">
        <v>751</v>
      </c>
      <c r="G752" s="18" t="s">
        <v>611</v>
      </c>
      <c r="H752" s="37">
        <v>2006.0133333333299</v>
      </c>
      <c r="I752" s="37">
        <v>1964</v>
      </c>
      <c r="J752" s="37" t="s">
        <v>402</v>
      </c>
      <c r="K752" s="37" t="s">
        <v>402</v>
      </c>
      <c r="L752" s="38" t="s">
        <v>612</v>
      </c>
      <c r="M752" s="24" t="s">
        <v>294</v>
      </c>
      <c r="N752" s="18" t="s">
        <v>295</v>
      </c>
    </row>
    <row r="753" spans="1:15" ht="13">
      <c r="A753" s="18" t="s">
        <v>266</v>
      </c>
      <c r="B753" s="18" t="s">
        <v>260</v>
      </c>
      <c r="C753" s="18" t="s">
        <v>371</v>
      </c>
      <c r="D753" s="18" t="s">
        <v>292</v>
      </c>
      <c r="E753" s="18" t="s">
        <v>749</v>
      </c>
      <c r="F753" s="18" t="s">
        <v>751</v>
      </c>
      <c r="G753" s="18" t="s">
        <v>611</v>
      </c>
      <c r="H753" s="37">
        <v>2007.0014814814799</v>
      </c>
      <c r="I753" s="37">
        <v>1901</v>
      </c>
      <c r="J753" s="37" t="s">
        <v>402</v>
      </c>
      <c r="K753" s="37" t="s">
        <v>402</v>
      </c>
      <c r="L753" s="38" t="s">
        <v>612</v>
      </c>
      <c r="M753" s="24" t="s">
        <v>294</v>
      </c>
      <c r="N753" s="18" t="s">
        <v>295</v>
      </c>
    </row>
    <row r="754" spans="1:15" ht="13">
      <c r="A754" s="18" t="s">
        <v>266</v>
      </c>
      <c r="B754" s="18" t="s">
        <v>260</v>
      </c>
      <c r="C754" s="18" t="s">
        <v>371</v>
      </c>
      <c r="D754" s="18" t="s">
        <v>292</v>
      </c>
      <c r="E754" s="18" t="s">
        <v>749</v>
      </c>
      <c r="F754" s="18" t="s">
        <v>751</v>
      </c>
      <c r="G754" s="18" t="s">
        <v>611</v>
      </c>
      <c r="H754" s="37">
        <v>2007.9896296296299</v>
      </c>
      <c r="I754" s="37">
        <v>2255</v>
      </c>
      <c r="J754" s="37" t="s">
        <v>402</v>
      </c>
      <c r="K754" s="37" t="s">
        <v>402</v>
      </c>
      <c r="L754" s="38" t="s">
        <v>612</v>
      </c>
      <c r="M754" s="24" t="s">
        <v>294</v>
      </c>
      <c r="N754" s="18" t="s">
        <v>295</v>
      </c>
    </row>
    <row r="755" spans="1:15" ht="13">
      <c r="A755" s="18" t="s">
        <v>266</v>
      </c>
      <c r="B755" s="18" t="s">
        <v>260</v>
      </c>
      <c r="C755" s="18" t="s">
        <v>371</v>
      </c>
      <c r="D755" s="18" t="s">
        <v>292</v>
      </c>
      <c r="E755" s="18" t="s">
        <v>749</v>
      </c>
      <c r="F755" s="18" t="s">
        <v>751</v>
      </c>
      <c r="G755" s="18" t="s">
        <v>611</v>
      </c>
      <c r="H755" s="37">
        <v>2009.0207407407399</v>
      </c>
      <c r="I755" s="37">
        <v>2308</v>
      </c>
      <c r="J755" s="37" t="s">
        <v>402</v>
      </c>
      <c r="K755" s="37" t="s">
        <v>402</v>
      </c>
      <c r="L755" s="38" t="s">
        <v>612</v>
      </c>
      <c r="M755" s="24" t="s">
        <v>294</v>
      </c>
      <c r="N755" s="18" t="s">
        <v>295</v>
      </c>
    </row>
    <row r="756" spans="1:15" ht="13">
      <c r="A756" s="18" t="s">
        <v>266</v>
      </c>
      <c r="B756" s="18" t="s">
        <v>260</v>
      </c>
      <c r="C756" s="18" t="s">
        <v>371</v>
      </c>
      <c r="D756" s="18" t="s">
        <v>292</v>
      </c>
      <c r="E756" s="18" t="s">
        <v>749</v>
      </c>
      <c r="F756" s="18" t="s">
        <v>751</v>
      </c>
      <c r="G756" s="18" t="s">
        <v>611</v>
      </c>
      <c r="H756" s="37">
        <v>2010.0088888888899</v>
      </c>
      <c r="I756" s="37">
        <v>2254</v>
      </c>
      <c r="J756" s="37" t="s">
        <v>402</v>
      </c>
      <c r="K756" s="37" t="s">
        <v>402</v>
      </c>
      <c r="L756" s="38" t="s">
        <v>612</v>
      </c>
      <c r="M756" s="24" t="s">
        <v>294</v>
      </c>
      <c r="N756" s="18" t="s">
        <v>295</v>
      </c>
    </row>
    <row r="757" spans="1:15" ht="13">
      <c r="A757" s="18" t="s">
        <v>266</v>
      </c>
      <c r="B757" s="18" t="s">
        <v>260</v>
      </c>
      <c r="C757" s="18" t="s">
        <v>371</v>
      </c>
      <c r="D757" s="18" t="s">
        <v>292</v>
      </c>
      <c r="E757" s="18" t="s">
        <v>749</v>
      </c>
      <c r="F757" s="18" t="s">
        <v>751</v>
      </c>
      <c r="G757" s="18" t="s">
        <v>611</v>
      </c>
      <c r="H757" s="37">
        <v>2010.9970370370399</v>
      </c>
      <c r="I757" s="37">
        <v>2320</v>
      </c>
      <c r="J757" s="37" t="s">
        <v>402</v>
      </c>
      <c r="K757" s="37" t="s">
        <v>402</v>
      </c>
      <c r="L757" s="38" t="s">
        <v>612</v>
      </c>
      <c r="M757" s="24" t="s">
        <v>294</v>
      </c>
      <c r="N757" s="18" t="s">
        <v>295</v>
      </c>
    </row>
    <row r="758" spans="1:15" ht="13">
      <c r="A758" s="18" t="s">
        <v>266</v>
      </c>
      <c r="B758" s="18" t="s">
        <v>260</v>
      </c>
      <c r="C758" s="18" t="s">
        <v>371</v>
      </c>
      <c r="D758" s="18" t="s">
        <v>292</v>
      </c>
      <c r="E758" s="18" t="s">
        <v>749</v>
      </c>
      <c r="F758" s="18" t="s">
        <v>751</v>
      </c>
      <c r="G758" s="18" t="s">
        <v>611</v>
      </c>
      <c r="H758" s="37">
        <v>2011.9851851851899</v>
      </c>
      <c r="I758" s="37">
        <v>2373</v>
      </c>
      <c r="J758" s="37" t="s">
        <v>402</v>
      </c>
      <c r="K758" s="37" t="s">
        <v>402</v>
      </c>
      <c r="L758" s="38" t="s">
        <v>612</v>
      </c>
      <c r="M758" s="24" t="s">
        <v>294</v>
      </c>
      <c r="N758" s="18" t="s">
        <v>295</v>
      </c>
    </row>
    <row r="759" spans="1:15" ht="13">
      <c r="A759" s="18" t="s">
        <v>266</v>
      </c>
      <c r="B759" s="18" t="s">
        <v>260</v>
      </c>
      <c r="C759" s="18" t="s">
        <v>371</v>
      </c>
      <c r="D759" s="18" t="s">
        <v>292</v>
      </c>
      <c r="E759" s="18" t="s">
        <v>749</v>
      </c>
      <c r="F759" s="18" t="s">
        <v>751</v>
      </c>
      <c r="G759" s="18" t="s">
        <v>611</v>
      </c>
      <c r="H759" s="37">
        <v>2013.0162962963</v>
      </c>
      <c r="I759" s="37">
        <v>2210</v>
      </c>
      <c r="J759" s="37" t="s">
        <v>402</v>
      </c>
      <c r="K759" s="37" t="s">
        <v>402</v>
      </c>
      <c r="L759" s="38" t="s">
        <v>612</v>
      </c>
      <c r="M759" s="24" t="s">
        <v>294</v>
      </c>
      <c r="N759" s="18" t="s">
        <v>295</v>
      </c>
    </row>
    <row r="760" spans="1:15" ht="13">
      <c r="A760" s="18" t="s">
        <v>266</v>
      </c>
      <c r="B760" s="18" t="s">
        <v>260</v>
      </c>
      <c r="C760" s="18" t="s">
        <v>371</v>
      </c>
      <c r="D760" s="18" t="s">
        <v>292</v>
      </c>
      <c r="E760" s="18" t="s">
        <v>749</v>
      </c>
      <c r="F760" s="18" t="s">
        <v>751</v>
      </c>
      <c r="G760" s="18" t="s">
        <v>611</v>
      </c>
      <c r="H760" s="37">
        <v>2014.00444444444</v>
      </c>
      <c r="I760" s="37">
        <v>2322</v>
      </c>
      <c r="J760" s="37" t="s">
        <v>402</v>
      </c>
      <c r="K760" s="37" t="s">
        <v>402</v>
      </c>
      <c r="L760" s="38" t="s">
        <v>612</v>
      </c>
      <c r="M760" s="24" t="s">
        <v>294</v>
      </c>
      <c r="N760" s="18" t="s">
        <v>295</v>
      </c>
    </row>
    <row r="761" spans="1:15" ht="13">
      <c r="A761" s="18" t="s">
        <v>266</v>
      </c>
      <c r="B761" s="18" t="s">
        <v>260</v>
      </c>
      <c r="C761" s="18" t="s">
        <v>371</v>
      </c>
      <c r="D761" s="18" t="s">
        <v>292</v>
      </c>
      <c r="E761" s="18" t="s">
        <v>749</v>
      </c>
      <c r="F761" s="18" t="s">
        <v>751</v>
      </c>
      <c r="G761" s="18" t="s">
        <v>611</v>
      </c>
      <c r="H761" s="37">
        <v>2014.99259259259</v>
      </c>
      <c r="I761" s="37">
        <v>3021</v>
      </c>
      <c r="J761" s="37" t="s">
        <v>402</v>
      </c>
      <c r="K761" s="37" t="s">
        <v>402</v>
      </c>
      <c r="L761" s="38" t="s">
        <v>612</v>
      </c>
      <c r="M761" s="24" t="s">
        <v>294</v>
      </c>
      <c r="N761" s="18" t="s">
        <v>295</v>
      </c>
    </row>
    <row r="762" spans="1:15" ht="13">
      <c r="A762" s="18" t="s">
        <v>266</v>
      </c>
      <c r="B762" s="18" t="s">
        <v>260</v>
      </c>
      <c r="C762" s="18" t="s">
        <v>371</v>
      </c>
      <c r="D762" s="18" t="s">
        <v>292</v>
      </c>
      <c r="E762" s="18" t="s">
        <v>749</v>
      </c>
      <c r="F762" s="18" t="s">
        <v>751</v>
      </c>
      <c r="G762" s="18" t="s">
        <v>611</v>
      </c>
      <c r="H762" s="37">
        <v>2015.98074074074</v>
      </c>
      <c r="I762" s="37">
        <v>4303</v>
      </c>
      <c r="J762" s="37" t="s">
        <v>402</v>
      </c>
      <c r="K762" s="37" t="s">
        <v>402</v>
      </c>
      <c r="L762" s="38" t="s">
        <v>612</v>
      </c>
      <c r="M762" s="24" t="s">
        <v>294</v>
      </c>
      <c r="N762" s="18" t="s">
        <v>295</v>
      </c>
    </row>
    <row r="763" spans="1:15" ht="13">
      <c r="A763" s="18" t="s">
        <v>266</v>
      </c>
      <c r="B763" s="18" t="s">
        <v>260</v>
      </c>
      <c r="C763" s="18" t="s">
        <v>371</v>
      </c>
      <c r="D763" s="18" t="s">
        <v>292</v>
      </c>
      <c r="E763" s="18" t="s">
        <v>749</v>
      </c>
      <c r="F763" s="18" t="s">
        <v>751</v>
      </c>
      <c r="G763" s="18" t="s">
        <v>611</v>
      </c>
      <c r="H763" s="37">
        <v>2017.01185185185</v>
      </c>
      <c r="I763" s="37">
        <v>4674</v>
      </c>
      <c r="J763" s="37" t="s">
        <v>402</v>
      </c>
      <c r="K763" s="37" t="s">
        <v>402</v>
      </c>
      <c r="L763" s="38" t="s">
        <v>612</v>
      </c>
      <c r="M763" s="24" t="s">
        <v>294</v>
      </c>
      <c r="N763" s="18" t="s">
        <v>295</v>
      </c>
    </row>
    <row r="764" spans="1:15" ht="13">
      <c r="A764" s="18" t="s">
        <v>266</v>
      </c>
      <c r="B764" s="18" t="s">
        <v>260</v>
      </c>
      <c r="C764" s="18" t="s">
        <v>371</v>
      </c>
      <c r="D764" s="18" t="s">
        <v>292</v>
      </c>
      <c r="E764" s="18" t="s">
        <v>749</v>
      </c>
      <c r="F764" s="18" t="s">
        <v>751</v>
      </c>
      <c r="G764" s="18" t="s">
        <v>611</v>
      </c>
      <c r="H764" s="37">
        <v>2018</v>
      </c>
      <c r="I764" s="37">
        <v>5612</v>
      </c>
      <c r="J764" s="37" t="s">
        <v>402</v>
      </c>
      <c r="K764" s="37" t="s">
        <v>402</v>
      </c>
      <c r="L764" s="38" t="s">
        <v>612</v>
      </c>
      <c r="M764" s="24" t="s">
        <v>294</v>
      </c>
      <c r="N764" s="18" t="s">
        <v>295</v>
      </c>
    </row>
    <row r="765" spans="1:15" ht="13">
      <c r="A765" s="18" t="s">
        <v>296</v>
      </c>
      <c r="B765" s="18" t="s">
        <v>260</v>
      </c>
      <c r="C765" s="18" t="s">
        <v>297</v>
      </c>
      <c r="D765" s="18" t="s">
        <v>292</v>
      </c>
      <c r="E765" s="18" t="s">
        <v>752</v>
      </c>
      <c r="F765" s="18" t="s">
        <v>751</v>
      </c>
      <c r="G765" s="18" t="s">
        <v>753</v>
      </c>
      <c r="H765" s="37">
        <v>2000</v>
      </c>
      <c r="I765" s="37">
        <v>448.15905922288903</v>
      </c>
      <c r="J765" s="37">
        <v>412.26586652118601</v>
      </c>
      <c r="K765" s="37">
        <v>481.06928532460398</v>
      </c>
      <c r="L765" s="38" t="s">
        <v>637</v>
      </c>
      <c r="M765" s="21" t="s">
        <v>298</v>
      </c>
      <c r="N765" s="18" t="s">
        <v>299</v>
      </c>
      <c r="O765" s="18" t="s">
        <v>754</v>
      </c>
    </row>
    <row r="766" spans="1:15" ht="13">
      <c r="A766" s="18" t="s">
        <v>296</v>
      </c>
      <c r="B766" s="18" t="s">
        <v>260</v>
      </c>
      <c r="C766" s="18" t="s">
        <v>297</v>
      </c>
      <c r="D766" s="18" t="s">
        <v>292</v>
      </c>
      <c r="E766" s="18" t="s">
        <v>752</v>
      </c>
      <c r="F766" s="18" t="s">
        <v>751</v>
      </c>
      <c r="G766" s="18" t="s">
        <v>753</v>
      </c>
      <c r="H766" s="37">
        <v>2000.9787234042601</v>
      </c>
      <c r="I766" s="37">
        <v>427.023701279021</v>
      </c>
      <c r="J766" s="37">
        <v>403.09207734739698</v>
      </c>
      <c r="K766" s="37">
        <v>456.93398799781801</v>
      </c>
      <c r="L766" s="38" t="s">
        <v>637</v>
      </c>
      <c r="M766" s="21" t="s">
        <v>298</v>
      </c>
      <c r="N766" s="18" t="s">
        <v>299</v>
      </c>
    </row>
    <row r="767" spans="1:15" ht="13">
      <c r="A767" s="18" t="s">
        <v>296</v>
      </c>
      <c r="B767" s="18" t="s">
        <v>260</v>
      </c>
      <c r="C767" s="18" t="s">
        <v>297</v>
      </c>
      <c r="D767" s="18" t="s">
        <v>292</v>
      </c>
      <c r="E767" s="18" t="s">
        <v>752</v>
      </c>
      <c r="F767" s="18" t="s">
        <v>751</v>
      </c>
      <c r="G767" s="18" t="s">
        <v>753</v>
      </c>
      <c r="H767" s="37">
        <v>2001.9787234042601</v>
      </c>
      <c r="I767" s="37">
        <v>462.72170697702597</v>
      </c>
      <c r="J767" s="37">
        <v>438.78583984967003</v>
      </c>
      <c r="K767" s="37">
        <v>489.64478390010299</v>
      </c>
      <c r="L767" s="38" t="s">
        <v>637</v>
      </c>
      <c r="M767" s="21" t="s">
        <v>298</v>
      </c>
      <c r="N767" s="18" t="s">
        <v>299</v>
      </c>
    </row>
    <row r="768" spans="1:15" ht="13">
      <c r="A768" s="18" t="s">
        <v>296</v>
      </c>
      <c r="B768" s="18" t="s">
        <v>260</v>
      </c>
      <c r="C768" s="18" t="s">
        <v>297</v>
      </c>
      <c r="D768" s="18" t="s">
        <v>292</v>
      </c>
      <c r="E768" s="18" t="s">
        <v>752</v>
      </c>
      <c r="F768" s="18" t="s">
        <v>751</v>
      </c>
      <c r="G768" s="18" t="s">
        <v>753</v>
      </c>
      <c r="H768" s="37">
        <v>2003</v>
      </c>
      <c r="I768" s="37">
        <v>483.45820452203498</v>
      </c>
      <c r="J768" s="37">
        <v>459.530823786143</v>
      </c>
      <c r="K768" s="37">
        <v>504.39837546220502</v>
      </c>
      <c r="L768" s="38" t="s">
        <v>637</v>
      </c>
      <c r="M768" s="21" t="s">
        <v>298</v>
      </c>
      <c r="N768" s="18" t="s">
        <v>299</v>
      </c>
    </row>
    <row r="769" spans="1:14" ht="13">
      <c r="A769" s="18" t="s">
        <v>296</v>
      </c>
      <c r="B769" s="18" t="s">
        <v>260</v>
      </c>
      <c r="C769" s="18" t="s">
        <v>297</v>
      </c>
      <c r="D769" s="18" t="s">
        <v>292</v>
      </c>
      <c r="E769" s="18" t="s">
        <v>752</v>
      </c>
      <c r="F769" s="18" t="s">
        <v>751</v>
      </c>
      <c r="G769" s="18" t="s">
        <v>753</v>
      </c>
      <c r="H769" s="37">
        <v>2003.9787234042601</v>
      </c>
      <c r="I769" s="37">
        <v>495.228829484149</v>
      </c>
      <c r="J769" s="37">
        <v>471.29720555252499</v>
      </c>
      <c r="K769" s="37">
        <v>516.16051403285496</v>
      </c>
      <c r="L769" s="38" t="s">
        <v>637</v>
      </c>
      <c r="M769" s="21" t="s">
        <v>298</v>
      </c>
      <c r="N769" s="18" t="s">
        <v>299</v>
      </c>
    </row>
    <row r="770" spans="1:14" ht="13">
      <c r="A770" s="18" t="s">
        <v>296</v>
      </c>
      <c r="B770" s="18" t="s">
        <v>260</v>
      </c>
      <c r="C770" s="18" t="s">
        <v>297</v>
      </c>
      <c r="D770" s="18" t="s">
        <v>292</v>
      </c>
      <c r="E770" s="18" t="s">
        <v>752</v>
      </c>
      <c r="F770" s="18" t="s">
        <v>751</v>
      </c>
      <c r="G770" s="18" t="s">
        <v>753</v>
      </c>
      <c r="H770" s="37">
        <v>2004.9787234042601</v>
      </c>
      <c r="I770" s="37">
        <v>495.02939928471801</v>
      </c>
      <c r="J770" s="37">
        <v>468.10632236164201</v>
      </c>
      <c r="K770" s="37">
        <v>518.96102321634305</v>
      </c>
      <c r="L770" s="38" t="s">
        <v>637</v>
      </c>
      <c r="M770" s="21" t="s">
        <v>298</v>
      </c>
      <c r="N770" s="18" t="s">
        <v>299</v>
      </c>
    </row>
    <row r="771" spans="1:14" ht="13">
      <c r="A771" s="18" t="s">
        <v>296</v>
      </c>
      <c r="B771" s="18" t="s">
        <v>260</v>
      </c>
      <c r="C771" s="18" t="s">
        <v>297</v>
      </c>
      <c r="D771" s="18" t="s">
        <v>292</v>
      </c>
      <c r="E771" s="18" t="s">
        <v>752</v>
      </c>
      <c r="F771" s="18" t="s">
        <v>751</v>
      </c>
      <c r="G771" s="18" t="s">
        <v>753</v>
      </c>
      <c r="H771" s="37">
        <v>2005.9787234042601</v>
      </c>
      <c r="I771" s="37">
        <v>488.84706310238198</v>
      </c>
      <c r="J771" s="37">
        <v>467.90689216221102</v>
      </c>
      <c r="K771" s="37">
        <v>515.770140025459</v>
      </c>
      <c r="L771" s="38" t="s">
        <v>637</v>
      </c>
      <c r="M771" s="21" t="s">
        <v>298</v>
      </c>
      <c r="N771" s="18" t="s">
        <v>299</v>
      </c>
    </row>
    <row r="772" spans="1:14" ht="13">
      <c r="A772" s="18" t="s">
        <v>296</v>
      </c>
      <c r="B772" s="18" t="s">
        <v>260</v>
      </c>
      <c r="C772" s="18" t="s">
        <v>297</v>
      </c>
      <c r="D772" s="18" t="s">
        <v>292</v>
      </c>
      <c r="E772" s="18" t="s">
        <v>752</v>
      </c>
      <c r="F772" s="18" t="s">
        <v>751</v>
      </c>
      <c r="G772" s="18" t="s">
        <v>753</v>
      </c>
      <c r="H772" s="37">
        <v>2006.9787234042601</v>
      </c>
      <c r="I772" s="37">
        <v>539.50233375765299</v>
      </c>
      <c r="J772" s="37">
        <v>512.57501363884398</v>
      </c>
      <c r="K772" s="37">
        <v>563.43395768927701</v>
      </c>
      <c r="L772" s="38" t="s">
        <v>637</v>
      </c>
      <c r="M772" s="21" t="s">
        <v>298</v>
      </c>
      <c r="N772" s="18" t="s">
        <v>299</v>
      </c>
    </row>
    <row r="773" spans="1:14" ht="13">
      <c r="A773" s="18" t="s">
        <v>296</v>
      </c>
      <c r="B773" s="18" t="s">
        <v>260</v>
      </c>
      <c r="C773" s="18" t="s">
        <v>297</v>
      </c>
      <c r="D773" s="18" t="s">
        <v>292</v>
      </c>
      <c r="E773" s="18" t="s">
        <v>752</v>
      </c>
      <c r="F773" s="18" t="s">
        <v>751</v>
      </c>
      <c r="G773" s="18" t="s">
        <v>753</v>
      </c>
      <c r="H773" s="37">
        <v>2008</v>
      </c>
      <c r="I773" s="37">
        <v>584.17045523428499</v>
      </c>
      <c r="J773" s="37">
        <v>557.25162150693995</v>
      </c>
      <c r="K773" s="37">
        <v>611.09353215736201</v>
      </c>
      <c r="L773" s="38" t="s">
        <v>637</v>
      </c>
      <c r="M773" s="21" t="s">
        <v>298</v>
      </c>
      <c r="N773" s="18" t="s">
        <v>299</v>
      </c>
    </row>
    <row r="774" spans="1:14" ht="13">
      <c r="A774" s="18" t="s">
        <v>296</v>
      </c>
      <c r="B774" s="18" t="s">
        <v>260</v>
      </c>
      <c r="C774" s="18" t="s">
        <v>297</v>
      </c>
      <c r="D774" s="18" t="s">
        <v>292</v>
      </c>
      <c r="E774" s="18" t="s">
        <v>752</v>
      </c>
      <c r="F774" s="18" t="s">
        <v>751</v>
      </c>
      <c r="G774" s="18" t="s">
        <v>753</v>
      </c>
      <c r="H774" s="37">
        <v>2008.9787234042601</v>
      </c>
      <c r="I774" s="37">
        <v>607.90689216221097</v>
      </c>
      <c r="J774" s="37">
        <v>577.99236224768094</v>
      </c>
      <c r="K774" s="37">
        <v>634.82996908528798</v>
      </c>
      <c r="L774" s="38" t="s">
        <v>637</v>
      </c>
      <c r="M774" s="21" t="s">
        <v>298</v>
      </c>
      <c r="N774" s="18" t="s">
        <v>299</v>
      </c>
    </row>
    <row r="775" spans="1:14" ht="13">
      <c r="A775" s="18" t="s">
        <v>296</v>
      </c>
      <c r="B775" s="18" t="s">
        <v>260</v>
      </c>
      <c r="C775" s="18" t="s">
        <v>297</v>
      </c>
      <c r="D775" s="18" t="s">
        <v>292</v>
      </c>
      <c r="E775" s="18" t="s">
        <v>752</v>
      </c>
      <c r="F775" s="18" t="s">
        <v>751</v>
      </c>
      <c r="G775" s="18" t="s">
        <v>753</v>
      </c>
      <c r="H775" s="37">
        <v>2010</v>
      </c>
      <c r="I775" s="37">
        <v>628.64338970721894</v>
      </c>
      <c r="J775" s="37">
        <v>601.72031278414204</v>
      </c>
      <c r="K775" s="37">
        <v>658.55791962174897</v>
      </c>
      <c r="L775" s="38" t="s">
        <v>637</v>
      </c>
      <c r="M775" s="21" t="s">
        <v>298</v>
      </c>
      <c r="N775" s="18" t="s">
        <v>299</v>
      </c>
    </row>
    <row r="776" spans="1:14" ht="13">
      <c r="A776" s="18" t="s">
        <v>296</v>
      </c>
      <c r="B776" s="18" t="s">
        <v>260</v>
      </c>
      <c r="C776" s="18" t="s">
        <v>297</v>
      </c>
      <c r="D776" s="18" t="s">
        <v>292</v>
      </c>
      <c r="E776" s="18" t="s">
        <v>752</v>
      </c>
      <c r="F776" s="18" t="s">
        <v>751</v>
      </c>
      <c r="G776" s="18" t="s">
        <v>753</v>
      </c>
      <c r="H776" s="37">
        <v>2011</v>
      </c>
      <c r="I776" s="37">
        <v>622.46105352488303</v>
      </c>
      <c r="J776" s="37">
        <v>589.55931381463301</v>
      </c>
      <c r="K776" s="37">
        <v>646.39267745650704</v>
      </c>
      <c r="L776" s="38" t="s">
        <v>637</v>
      </c>
      <c r="M776" s="21" t="s">
        <v>298</v>
      </c>
      <c r="N776" s="18" t="s">
        <v>299</v>
      </c>
    </row>
    <row r="777" spans="1:14" ht="13">
      <c r="A777" s="18" t="s">
        <v>296</v>
      </c>
      <c r="B777" s="18" t="s">
        <v>260</v>
      </c>
      <c r="C777" s="18" t="s">
        <v>297</v>
      </c>
      <c r="D777" s="18" t="s">
        <v>292</v>
      </c>
      <c r="E777" s="18" t="s">
        <v>752</v>
      </c>
      <c r="F777" s="18" t="s">
        <v>751</v>
      </c>
      <c r="G777" s="18" t="s">
        <v>753</v>
      </c>
      <c r="H777" s="37">
        <v>2011.9787234042601</v>
      </c>
      <c r="I777" s="37">
        <v>616.28296053828001</v>
      </c>
      <c r="J777" s="37">
        <v>583.37273443656397</v>
      </c>
      <c r="K777" s="37">
        <v>643.20603746135703</v>
      </c>
      <c r="L777" s="38" t="s">
        <v>637</v>
      </c>
      <c r="M777" s="21" t="s">
        <v>298</v>
      </c>
      <c r="N777" s="18" t="s">
        <v>299</v>
      </c>
    </row>
    <row r="778" spans="1:14" ht="13">
      <c r="A778" s="18" t="s">
        <v>296</v>
      </c>
      <c r="B778" s="18" t="s">
        <v>260</v>
      </c>
      <c r="C778" s="18" t="s">
        <v>297</v>
      </c>
      <c r="D778" s="18" t="s">
        <v>292</v>
      </c>
      <c r="E778" s="18" t="s">
        <v>752</v>
      </c>
      <c r="F778" s="18" t="s">
        <v>751</v>
      </c>
      <c r="G778" s="18" t="s">
        <v>753</v>
      </c>
      <c r="H778" s="37">
        <v>2012.9787234042601</v>
      </c>
      <c r="I778" s="37">
        <v>571.21173546705495</v>
      </c>
      <c r="J778" s="37">
        <v>541.29296235679203</v>
      </c>
      <c r="K778" s="37">
        <v>607.10492816875797</v>
      </c>
      <c r="L778" s="38" t="s">
        <v>637</v>
      </c>
      <c r="M778" s="21" t="s">
        <v>298</v>
      </c>
      <c r="N778" s="18" t="s">
        <v>299</v>
      </c>
    </row>
    <row r="779" spans="1:14" ht="13">
      <c r="A779" s="18" t="s">
        <v>296</v>
      </c>
      <c r="B779" s="18" t="s">
        <v>260</v>
      </c>
      <c r="C779" s="18" t="s">
        <v>297</v>
      </c>
      <c r="D779" s="18" t="s">
        <v>292</v>
      </c>
      <c r="E779" s="18" t="s">
        <v>752</v>
      </c>
      <c r="F779" s="18" t="s">
        <v>751</v>
      </c>
      <c r="G779" s="18" t="s">
        <v>753</v>
      </c>
      <c r="H779" s="37">
        <v>2014</v>
      </c>
      <c r="I779" s="37">
        <v>582.97387403770404</v>
      </c>
      <c r="J779" s="37">
        <v>544.08498514881501</v>
      </c>
      <c r="K779" s="37">
        <v>615.87985694368695</v>
      </c>
      <c r="L779" s="38" t="s">
        <v>637</v>
      </c>
      <c r="M779" s="21" t="s">
        <v>298</v>
      </c>
      <c r="N779" s="18" t="s">
        <v>299</v>
      </c>
    </row>
    <row r="780" spans="1:14" ht="13">
      <c r="A780" s="18" t="s">
        <v>296</v>
      </c>
      <c r="B780" s="18" t="s">
        <v>260</v>
      </c>
      <c r="C780" s="18" t="s">
        <v>297</v>
      </c>
      <c r="D780" s="18" t="s">
        <v>292</v>
      </c>
      <c r="E780" s="18" t="s">
        <v>752</v>
      </c>
      <c r="F780" s="18" t="s">
        <v>751</v>
      </c>
      <c r="G780" s="18" t="s">
        <v>753</v>
      </c>
      <c r="H780" s="37">
        <v>2015</v>
      </c>
      <c r="I780" s="37">
        <v>609.69752076135103</v>
      </c>
      <c r="J780" s="37">
        <v>570.808631872462</v>
      </c>
      <c r="K780" s="37">
        <v>645.59495665878705</v>
      </c>
      <c r="L780" s="38" t="s">
        <v>637</v>
      </c>
      <c r="M780" s="21" t="s">
        <v>298</v>
      </c>
      <c r="N780" s="18" t="s">
        <v>299</v>
      </c>
    </row>
    <row r="781" spans="1:14" ht="13">
      <c r="A781" s="18" t="s">
        <v>296</v>
      </c>
      <c r="B781" s="18" t="s">
        <v>260</v>
      </c>
      <c r="C781" s="18" t="s">
        <v>297</v>
      </c>
      <c r="D781" s="18" t="s">
        <v>292</v>
      </c>
      <c r="E781" s="18" t="s">
        <v>752</v>
      </c>
      <c r="F781" s="18" t="s">
        <v>751</v>
      </c>
      <c r="G781" s="18" t="s">
        <v>753</v>
      </c>
      <c r="H781" s="37">
        <v>2016</v>
      </c>
      <c r="I781" s="37">
        <v>621.46390252773199</v>
      </c>
      <c r="J781" s="37">
        <v>582.57501363884398</v>
      </c>
      <c r="K781" s="37">
        <v>657.36133842516801</v>
      </c>
      <c r="L781" s="38" t="s">
        <v>637</v>
      </c>
      <c r="M781" s="21" t="s">
        <v>298</v>
      </c>
      <c r="N781" s="18" t="s">
        <v>299</v>
      </c>
    </row>
    <row r="782" spans="1:14" ht="13">
      <c r="A782" s="18" t="s">
        <v>296</v>
      </c>
      <c r="B782" s="18" t="s">
        <v>260</v>
      </c>
      <c r="C782" s="18" t="s">
        <v>297</v>
      </c>
      <c r="D782" s="18" t="s">
        <v>292</v>
      </c>
      <c r="E782" s="18" t="s">
        <v>752</v>
      </c>
      <c r="F782" s="18" t="s">
        <v>751</v>
      </c>
      <c r="G782" s="18" t="s">
        <v>755</v>
      </c>
      <c r="H782" s="37">
        <v>2000</v>
      </c>
      <c r="I782" s="37">
        <v>448.15905922288903</v>
      </c>
      <c r="J782" s="37">
        <v>415.25731951263901</v>
      </c>
      <c r="K782" s="37">
        <v>481.06928532460398</v>
      </c>
      <c r="L782" s="38" t="s">
        <v>637</v>
      </c>
      <c r="M782" s="21" t="s">
        <v>298</v>
      </c>
      <c r="N782" s="18" t="s">
        <v>299</v>
      </c>
    </row>
    <row r="783" spans="1:14" ht="13">
      <c r="A783" s="18" t="s">
        <v>296</v>
      </c>
      <c r="B783" s="18" t="s">
        <v>260</v>
      </c>
      <c r="C783" s="18" t="s">
        <v>297</v>
      </c>
      <c r="D783" s="18" t="s">
        <v>292</v>
      </c>
      <c r="E783" s="18" t="s">
        <v>752</v>
      </c>
      <c r="F783" s="18" t="s">
        <v>751</v>
      </c>
      <c r="G783" s="18" t="s">
        <v>755</v>
      </c>
      <c r="H783" s="37">
        <v>2000.9787200000001</v>
      </c>
      <c r="I783" s="37">
        <v>465.912590167909</v>
      </c>
      <c r="J783" s="37">
        <v>433.006607261927</v>
      </c>
      <c r="K783" s="37">
        <v>492.83142389525301</v>
      </c>
      <c r="L783" s="38" t="s">
        <v>637</v>
      </c>
      <c r="M783" s="21" t="s">
        <v>298</v>
      </c>
      <c r="N783" s="18" t="s">
        <v>299</v>
      </c>
    </row>
    <row r="784" spans="1:14" ht="13">
      <c r="A784" s="18" t="s">
        <v>296</v>
      </c>
      <c r="B784" s="18" t="s">
        <v>260</v>
      </c>
      <c r="C784" s="18" t="s">
        <v>297</v>
      </c>
      <c r="D784" s="18" t="s">
        <v>292</v>
      </c>
      <c r="E784" s="18" t="s">
        <v>752</v>
      </c>
      <c r="F784" s="18" t="s">
        <v>751</v>
      </c>
      <c r="G784" s="18" t="s">
        <v>755</v>
      </c>
      <c r="H784" s="37">
        <v>2002</v>
      </c>
      <c r="I784" s="37">
        <v>498.61489967872899</v>
      </c>
      <c r="J784" s="37">
        <v>468.70036976419902</v>
      </c>
      <c r="K784" s="37">
        <v>522.54652361035403</v>
      </c>
      <c r="L784" s="38" t="s">
        <v>637</v>
      </c>
      <c r="M784" s="21" t="s">
        <v>298</v>
      </c>
      <c r="N784" s="18" t="s">
        <v>299</v>
      </c>
    </row>
    <row r="785" spans="1:14" ht="13">
      <c r="A785" s="18" t="s">
        <v>296</v>
      </c>
      <c r="B785" s="18" t="s">
        <v>260</v>
      </c>
      <c r="C785" s="18" t="s">
        <v>297</v>
      </c>
      <c r="D785" s="18" t="s">
        <v>292</v>
      </c>
      <c r="E785" s="18" t="s">
        <v>752</v>
      </c>
      <c r="F785" s="18" t="s">
        <v>751</v>
      </c>
      <c r="G785" s="18" t="s">
        <v>755</v>
      </c>
      <c r="H785" s="37">
        <v>2002.9787200000001</v>
      </c>
      <c r="I785" s="37">
        <v>522.35133660665599</v>
      </c>
      <c r="J785" s="37">
        <v>495.42401648784602</v>
      </c>
      <c r="K785" s="37">
        <v>549.27441352973301</v>
      </c>
      <c r="L785" s="38" t="s">
        <v>637</v>
      </c>
      <c r="M785" s="21" t="s">
        <v>298</v>
      </c>
      <c r="N785" s="18" t="s">
        <v>299</v>
      </c>
    </row>
    <row r="786" spans="1:14" ht="13">
      <c r="A786" s="18" t="s">
        <v>296</v>
      </c>
      <c r="B786" s="18" t="s">
        <v>260</v>
      </c>
      <c r="C786" s="18" t="s">
        <v>297</v>
      </c>
      <c r="D786" s="18" t="s">
        <v>292</v>
      </c>
      <c r="E786" s="18" t="s">
        <v>752</v>
      </c>
      <c r="F786" s="18" t="s">
        <v>751</v>
      </c>
      <c r="G786" s="18" t="s">
        <v>755</v>
      </c>
      <c r="H786" s="37">
        <v>2003.9787200000001</v>
      </c>
      <c r="I786" s="37">
        <v>534.11771837303695</v>
      </c>
      <c r="J786" s="37">
        <v>510.181851245681</v>
      </c>
      <c r="K786" s="37">
        <v>561.04079529611397</v>
      </c>
      <c r="L786" s="38" t="s">
        <v>637</v>
      </c>
      <c r="M786" s="21" t="s">
        <v>298</v>
      </c>
      <c r="N786" s="18" t="s">
        <v>299</v>
      </c>
    </row>
    <row r="787" spans="1:14" ht="13">
      <c r="A787" s="18" t="s">
        <v>296</v>
      </c>
      <c r="B787" s="18" t="s">
        <v>260</v>
      </c>
      <c r="C787" s="18" t="s">
        <v>297</v>
      </c>
      <c r="D787" s="18" t="s">
        <v>292</v>
      </c>
      <c r="E787" s="18" t="s">
        <v>752</v>
      </c>
      <c r="F787" s="18" t="s">
        <v>751</v>
      </c>
      <c r="G787" s="18" t="s">
        <v>755</v>
      </c>
      <c r="H787" s="37">
        <v>2004.9787200000001</v>
      </c>
      <c r="I787" s="37">
        <v>548.87555313087296</v>
      </c>
      <c r="J787" s="37">
        <v>518.95253682487703</v>
      </c>
      <c r="K787" s="37">
        <v>572.80293386676396</v>
      </c>
      <c r="L787" s="38" t="s">
        <v>637</v>
      </c>
      <c r="M787" s="21" t="s">
        <v>298</v>
      </c>
      <c r="N787" s="18" t="s">
        <v>299</v>
      </c>
    </row>
    <row r="788" spans="1:14" ht="13">
      <c r="A788" s="18" t="s">
        <v>296</v>
      </c>
      <c r="B788" s="18" t="s">
        <v>260</v>
      </c>
      <c r="C788" s="18" t="s">
        <v>297</v>
      </c>
      <c r="D788" s="18" t="s">
        <v>292</v>
      </c>
      <c r="E788" s="18" t="s">
        <v>752</v>
      </c>
      <c r="F788" s="18" t="s">
        <v>751</v>
      </c>
      <c r="G788" s="18" t="s">
        <v>755</v>
      </c>
      <c r="H788" s="37">
        <v>2006</v>
      </c>
      <c r="I788" s="37">
        <v>554.65478571861604</v>
      </c>
      <c r="J788" s="37">
        <v>530.71891859125901</v>
      </c>
      <c r="K788" s="37">
        <v>581.58210583742505</v>
      </c>
      <c r="L788" s="38" t="s">
        <v>637</v>
      </c>
      <c r="M788" s="21" t="s">
        <v>298</v>
      </c>
      <c r="N788" s="18" t="s">
        <v>299</v>
      </c>
    </row>
    <row r="789" spans="1:14" ht="13">
      <c r="A789" s="18" t="s">
        <v>296</v>
      </c>
      <c r="B789" s="18" t="s">
        <v>260</v>
      </c>
      <c r="C789" s="18" t="s">
        <v>297</v>
      </c>
      <c r="D789" s="18" t="s">
        <v>292</v>
      </c>
      <c r="E789" s="18" t="s">
        <v>752</v>
      </c>
      <c r="F789" s="18" t="s">
        <v>751</v>
      </c>
      <c r="G789" s="18" t="s">
        <v>755</v>
      </c>
      <c r="H789" s="37">
        <v>2006.9787200000001</v>
      </c>
      <c r="I789" s="37">
        <v>602.32284657816604</v>
      </c>
      <c r="J789" s="37">
        <v>575.39552645935703</v>
      </c>
      <c r="K789" s="37">
        <v>629.24168030551004</v>
      </c>
      <c r="L789" s="38" t="s">
        <v>637</v>
      </c>
      <c r="M789" s="21" t="s">
        <v>298</v>
      </c>
      <c r="N789" s="18" t="s">
        <v>299</v>
      </c>
    </row>
    <row r="790" spans="1:14" ht="13">
      <c r="A790" s="18" t="s">
        <v>296</v>
      </c>
      <c r="B790" s="18" t="s">
        <v>260</v>
      </c>
      <c r="C790" s="18" t="s">
        <v>297</v>
      </c>
      <c r="D790" s="18" t="s">
        <v>292</v>
      </c>
      <c r="E790" s="18" t="s">
        <v>752</v>
      </c>
      <c r="F790" s="18" t="s">
        <v>751</v>
      </c>
      <c r="G790" s="18" t="s">
        <v>755</v>
      </c>
      <c r="H790" s="37">
        <v>2007.9787200000001</v>
      </c>
      <c r="I790" s="37">
        <v>652.97811723343705</v>
      </c>
      <c r="J790" s="37">
        <v>623.06358731890703</v>
      </c>
      <c r="K790" s="37">
        <v>679.89695096078106</v>
      </c>
      <c r="L790" s="38" t="s">
        <v>637</v>
      </c>
      <c r="M790" s="21" t="s">
        <v>298</v>
      </c>
      <c r="N790" s="18" t="s">
        <v>299</v>
      </c>
    </row>
    <row r="791" spans="1:14" ht="13">
      <c r="A791" s="18" t="s">
        <v>296</v>
      </c>
      <c r="B791" s="18" t="s">
        <v>260</v>
      </c>
      <c r="C791" s="18" t="s">
        <v>297</v>
      </c>
      <c r="D791" s="18" t="s">
        <v>292</v>
      </c>
      <c r="E791" s="18" t="s">
        <v>752</v>
      </c>
      <c r="F791" s="18" t="s">
        <v>751</v>
      </c>
      <c r="G791" s="18" t="s">
        <v>755</v>
      </c>
      <c r="H791" s="37">
        <v>2008.9787200000001</v>
      </c>
      <c r="I791" s="37">
        <v>685.68466993998902</v>
      </c>
      <c r="J791" s="37">
        <v>652.778687034006</v>
      </c>
      <c r="K791" s="37">
        <v>712.60350366733303</v>
      </c>
      <c r="L791" s="38" t="s">
        <v>637</v>
      </c>
      <c r="M791" s="21" t="s">
        <v>298</v>
      </c>
      <c r="N791" s="18" t="s">
        <v>299</v>
      </c>
    </row>
    <row r="792" spans="1:14" ht="13">
      <c r="A792" s="18" t="s">
        <v>296</v>
      </c>
      <c r="B792" s="18" t="s">
        <v>260</v>
      </c>
      <c r="C792" s="18" t="s">
        <v>297</v>
      </c>
      <c r="D792" s="18" t="s">
        <v>292</v>
      </c>
      <c r="E792" s="18" t="s">
        <v>752</v>
      </c>
      <c r="F792" s="18" t="s">
        <v>751</v>
      </c>
      <c r="G792" s="18" t="s">
        <v>755</v>
      </c>
      <c r="H792" s="37">
        <v>2010</v>
      </c>
      <c r="I792" s="37">
        <v>718.38697945080901</v>
      </c>
      <c r="J792" s="37">
        <v>685.48099654482598</v>
      </c>
      <c r="K792" s="37">
        <v>745.31005637388603</v>
      </c>
      <c r="L792" s="38" t="s">
        <v>637</v>
      </c>
      <c r="M792" s="21" t="s">
        <v>298</v>
      </c>
      <c r="N792" s="18" t="s">
        <v>299</v>
      </c>
    </row>
    <row r="793" spans="1:14" ht="13">
      <c r="A793" s="18" t="s">
        <v>296</v>
      </c>
      <c r="B793" s="18" t="s">
        <v>260</v>
      </c>
      <c r="C793" s="18" t="s">
        <v>297</v>
      </c>
      <c r="D793" s="18" t="s">
        <v>292</v>
      </c>
      <c r="E793" s="18" t="s">
        <v>752</v>
      </c>
      <c r="F793" s="18" t="s">
        <v>751</v>
      </c>
      <c r="G793" s="18" t="s">
        <v>755</v>
      </c>
      <c r="H793" s="37">
        <v>2011</v>
      </c>
      <c r="I793" s="37">
        <v>718.18754925137898</v>
      </c>
      <c r="J793" s="37">
        <v>682.29011335394296</v>
      </c>
      <c r="K793" s="37">
        <v>745.11486937018799</v>
      </c>
      <c r="L793" s="38" t="s">
        <v>637</v>
      </c>
      <c r="M793" s="21" t="s">
        <v>298</v>
      </c>
      <c r="N793" s="18" t="s">
        <v>299</v>
      </c>
    </row>
    <row r="794" spans="1:14" ht="13">
      <c r="A794" s="18" t="s">
        <v>296</v>
      </c>
      <c r="B794" s="18" t="s">
        <v>260</v>
      </c>
      <c r="C794" s="18" t="s">
        <v>297</v>
      </c>
      <c r="D794" s="18" t="s">
        <v>292</v>
      </c>
      <c r="E794" s="18" t="s">
        <v>752</v>
      </c>
      <c r="F794" s="18" t="s">
        <v>751</v>
      </c>
      <c r="G794" s="18" t="s">
        <v>755</v>
      </c>
      <c r="H794" s="37">
        <v>2012</v>
      </c>
      <c r="I794" s="37">
        <v>714.99666606049595</v>
      </c>
      <c r="J794" s="37">
        <v>685.08213614596605</v>
      </c>
      <c r="K794" s="37">
        <v>759.86846093229099</v>
      </c>
      <c r="L794" s="38" t="s">
        <v>637</v>
      </c>
      <c r="M794" s="21" t="s">
        <v>298</v>
      </c>
      <c r="N794" s="18" t="s">
        <v>299</v>
      </c>
    </row>
    <row r="795" spans="1:14" ht="13">
      <c r="A795" s="18" t="s">
        <v>296</v>
      </c>
      <c r="B795" s="18" t="s">
        <v>260</v>
      </c>
      <c r="C795" s="18" t="s">
        <v>297</v>
      </c>
      <c r="D795" s="18" t="s">
        <v>292</v>
      </c>
      <c r="E795" s="18" t="s">
        <v>752</v>
      </c>
      <c r="F795" s="18" t="s">
        <v>751</v>
      </c>
      <c r="G795" s="18" t="s">
        <v>755</v>
      </c>
      <c r="H795" s="37">
        <v>2012.9787200000001</v>
      </c>
      <c r="I795" s="37">
        <v>687.87840213372101</v>
      </c>
      <c r="J795" s="37">
        <v>651.98096623628498</v>
      </c>
      <c r="K795" s="37">
        <v>717.78868885251904</v>
      </c>
      <c r="L795" s="38" t="s">
        <v>637</v>
      </c>
      <c r="M795" s="21" t="s">
        <v>298</v>
      </c>
      <c r="N795" s="18" t="s">
        <v>299</v>
      </c>
    </row>
    <row r="796" spans="1:14" ht="13">
      <c r="A796" s="18" t="s">
        <v>296</v>
      </c>
      <c r="B796" s="18" t="s">
        <v>260</v>
      </c>
      <c r="C796" s="18" t="s">
        <v>297</v>
      </c>
      <c r="D796" s="18" t="s">
        <v>292</v>
      </c>
      <c r="E796" s="18" t="s">
        <v>752</v>
      </c>
      <c r="F796" s="18" t="s">
        <v>751</v>
      </c>
      <c r="G796" s="18" t="s">
        <v>755</v>
      </c>
      <c r="H796" s="37">
        <v>2014</v>
      </c>
      <c r="I796" s="37">
        <v>711.60635267018199</v>
      </c>
      <c r="J796" s="37">
        <v>672.71746378129296</v>
      </c>
      <c r="K796" s="37">
        <v>738.52942959325901</v>
      </c>
      <c r="L796" s="38" t="s">
        <v>637</v>
      </c>
      <c r="M796" s="21" t="s">
        <v>298</v>
      </c>
      <c r="N796" s="18" t="s">
        <v>299</v>
      </c>
    </row>
    <row r="797" spans="1:14" ht="13">
      <c r="A797" s="18" t="s">
        <v>296</v>
      </c>
      <c r="B797" s="18" t="s">
        <v>260</v>
      </c>
      <c r="C797" s="18" t="s">
        <v>297</v>
      </c>
      <c r="D797" s="18" t="s">
        <v>292</v>
      </c>
      <c r="E797" s="18" t="s">
        <v>752</v>
      </c>
      <c r="F797" s="18" t="s">
        <v>751</v>
      </c>
      <c r="G797" s="18" t="s">
        <v>755</v>
      </c>
      <c r="H797" s="37">
        <v>2015</v>
      </c>
      <c r="I797" s="37">
        <v>741.32145238528199</v>
      </c>
      <c r="J797" s="37">
        <v>708.41546947929896</v>
      </c>
      <c r="K797" s="37">
        <v>774.22743529126501</v>
      </c>
      <c r="L797" s="38" t="s">
        <v>637</v>
      </c>
      <c r="M797" s="21" t="s">
        <v>298</v>
      </c>
      <c r="N797" s="18" t="s">
        <v>299</v>
      </c>
    </row>
    <row r="798" spans="1:14" ht="13">
      <c r="A798" s="18" t="s">
        <v>296</v>
      </c>
      <c r="B798" s="18" t="s">
        <v>260</v>
      </c>
      <c r="C798" s="18" t="s">
        <v>297</v>
      </c>
      <c r="D798" s="18" t="s">
        <v>292</v>
      </c>
      <c r="E798" s="18" t="s">
        <v>752</v>
      </c>
      <c r="F798" s="18" t="s">
        <v>751</v>
      </c>
      <c r="G798" s="18" t="s">
        <v>755</v>
      </c>
      <c r="H798" s="37">
        <v>2015.9787200000001</v>
      </c>
      <c r="I798" s="37">
        <v>765.05788931320797</v>
      </c>
      <c r="J798" s="37">
        <v>726.16475722858695</v>
      </c>
      <c r="K798" s="37">
        <v>797.95538582772599</v>
      </c>
      <c r="L798" s="38" t="s">
        <v>637</v>
      </c>
      <c r="M798" s="21" t="s">
        <v>298</v>
      </c>
      <c r="N798" s="18" t="s">
        <v>299</v>
      </c>
    </row>
    <row r="799" spans="1:14" ht="13">
      <c r="A799" s="18" t="s">
        <v>296</v>
      </c>
      <c r="B799" s="18" t="s">
        <v>260</v>
      </c>
      <c r="C799" s="18" t="s">
        <v>297</v>
      </c>
      <c r="D799" s="18" t="s">
        <v>292</v>
      </c>
      <c r="E799" s="18" t="s">
        <v>752</v>
      </c>
      <c r="F799" s="18" t="s">
        <v>751</v>
      </c>
      <c r="G799" s="18" t="s">
        <v>756</v>
      </c>
      <c r="H799" s="37">
        <v>2000</v>
      </c>
      <c r="I799" s="37">
        <v>896.87700794083798</v>
      </c>
      <c r="J799" s="37">
        <v>849.01376007758995</v>
      </c>
      <c r="K799" s="37">
        <v>947.73595199127101</v>
      </c>
      <c r="L799" s="38" t="s">
        <v>637</v>
      </c>
      <c r="M799" s="21" t="s">
        <v>298</v>
      </c>
      <c r="N799" s="18" t="s">
        <v>299</v>
      </c>
    </row>
    <row r="800" spans="1:14" ht="13">
      <c r="A800" s="18" t="s">
        <v>296</v>
      </c>
      <c r="B800" s="18" t="s">
        <v>260</v>
      </c>
      <c r="C800" s="18" t="s">
        <v>297</v>
      </c>
      <c r="D800" s="18" t="s">
        <v>292</v>
      </c>
      <c r="E800" s="18" t="s">
        <v>752</v>
      </c>
      <c r="F800" s="18" t="s">
        <v>751</v>
      </c>
      <c r="G800" s="18" t="s">
        <v>756</v>
      </c>
      <c r="H800" s="37">
        <v>2001</v>
      </c>
      <c r="I800" s="37">
        <v>893.68612474995496</v>
      </c>
      <c r="J800" s="37">
        <v>851.80578286961304</v>
      </c>
      <c r="K800" s="37">
        <v>935.57070982602897</v>
      </c>
      <c r="L800" s="38" t="s">
        <v>637</v>
      </c>
      <c r="M800" s="21" t="s">
        <v>298</v>
      </c>
      <c r="N800" s="18" t="s">
        <v>299</v>
      </c>
    </row>
    <row r="801" spans="1:14" ht="13">
      <c r="A801" s="18" t="s">
        <v>296</v>
      </c>
      <c r="B801" s="18" t="s">
        <v>260</v>
      </c>
      <c r="C801" s="18" t="s">
        <v>297</v>
      </c>
      <c r="D801" s="18" t="s">
        <v>292</v>
      </c>
      <c r="E801" s="18" t="s">
        <v>752</v>
      </c>
      <c r="F801" s="18" t="s">
        <v>751</v>
      </c>
      <c r="G801" s="18" t="s">
        <v>756</v>
      </c>
      <c r="H801" s="37">
        <v>2002</v>
      </c>
      <c r="I801" s="37">
        <v>962.29011335394296</v>
      </c>
      <c r="J801" s="37">
        <v>929.38837364369294</v>
      </c>
      <c r="K801" s="37">
        <v>989.21319027701998</v>
      </c>
      <c r="L801" s="38" t="s">
        <v>637</v>
      </c>
      <c r="M801" s="21" t="s">
        <v>298</v>
      </c>
      <c r="N801" s="18" t="s">
        <v>299</v>
      </c>
    </row>
    <row r="802" spans="1:14" ht="13">
      <c r="A802" s="18" t="s">
        <v>296</v>
      </c>
      <c r="B802" s="18" t="s">
        <v>260</v>
      </c>
      <c r="C802" s="18" t="s">
        <v>297</v>
      </c>
      <c r="D802" s="18" t="s">
        <v>292</v>
      </c>
      <c r="E802" s="18" t="s">
        <v>752</v>
      </c>
      <c r="F802" s="18" t="s">
        <v>751</v>
      </c>
      <c r="G802" s="18" t="s">
        <v>756</v>
      </c>
      <c r="H802" s="37">
        <v>2003</v>
      </c>
      <c r="I802" s="37">
        <v>1009.9539310177601</v>
      </c>
      <c r="J802" s="37">
        <v>971.06504212887205</v>
      </c>
      <c r="K802" s="37">
        <v>1036.87700794084</v>
      </c>
      <c r="L802" s="38" t="s">
        <v>637</v>
      </c>
      <c r="M802" s="21" t="s">
        <v>298</v>
      </c>
      <c r="N802" s="18" t="s">
        <v>299</v>
      </c>
    </row>
    <row r="803" spans="1:14" ht="13">
      <c r="A803" s="18" t="s">
        <v>296</v>
      </c>
      <c r="B803" s="18" t="s">
        <v>260</v>
      </c>
      <c r="C803" s="18" t="s">
        <v>297</v>
      </c>
      <c r="D803" s="18" t="s">
        <v>292</v>
      </c>
      <c r="E803" s="18" t="s">
        <v>752</v>
      </c>
      <c r="F803" s="18" t="s">
        <v>751</v>
      </c>
      <c r="G803" s="18" t="s">
        <v>756</v>
      </c>
      <c r="H803" s="37">
        <v>2004.0212765957399</v>
      </c>
      <c r="I803" s="37">
        <v>1027.69897557132</v>
      </c>
      <c r="J803" s="37">
        <v>997.79293204825103</v>
      </c>
      <c r="K803" s="37">
        <v>1063.60489786022</v>
      </c>
      <c r="L803" s="38" t="s">
        <v>637</v>
      </c>
      <c r="M803" s="21" t="s">
        <v>298</v>
      </c>
      <c r="N803" s="18" t="s">
        <v>299</v>
      </c>
    </row>
    <row r="804" spans="1:14" ht="13">
      <c r="A804" s="18" t="s">
        <v>296</v>
      </c>
      <c r="B804" s="18" t="s">
        <v>260</v>
      </c>
      <c r="C804" s="18" t="s">
        <v>297</v>
      </c>
      <c r="D804" s="18" t="s">
        <v>292</v>
      </c>
      <c r="E804" s="18" t="s">
        <v>752</v>
      </c>
      <c r="F804" s="18" t="s">
        <v>751</v>
      </c>
      <c r="G804" s="18" t="s">
        <v>756</v>
      </c>
      <c r="H804" s="37">
        <v>2004.9787234042601</v>
      </c>
      <c r="I804" s="37">
        <v>1045.4567497120699</v>
      </c>
      <c r="J804" s="37">
        <v>1009.5550706189</v>
      </c>
      <c r="K804" s="37">
        <v>1075.36703643087</v>
      </c>
      <c r="L804" s="38" t="s">
        <v>637</v>
      </c>
      <c r="M804" s="21" t="s">
        <v>298</v>
      </c>
      <c r="N804" s="18" t="s">
        <v>299</v>
      </c>
    </row>
    <row r="805" spans="1:14" ht="13">
      <c r="A805" s="18" t="s">
        <v>296</v>
      </c>
      <c r="B805" s="18" t="s">
        <v>260</v>
      </c>
      <c r="C805" s="18" t="s">
        <v>297</v>
      </c>
      <c r="D805" s="18" t="s">
        <v>292</v>
      </c>
      <c r="E805" s="18" t="s">
        <v>752</v>
      </c>
      <c r="F805" s="18" t="s">
        <v>751</v>
      </c>
      <c r="G805" s="18" t="s">
        <v>756</v>
      </c>
      <c r="H805" s="37">
        <v>2006.0212765957399</v>
      </c>
      <c r="I805" s="37">
        <v>1045.24883312117</v>
      </c>
      <c r="J805" s="37">
        <v>1015.33854640238</v>
      </c>
      <c r="K805" s="37">
        <v>1078.1590592228899</v>
      </c>
      <c r="L805" s="38" t="s">
        <v>637</v>
      </c>
      <c r="M805" s="21" t="s">
        <v>298</v>
      </c>
      <c r="N805" s="18" t="s">
        <v>299</v>
      </c>
    </row>
    <row r="806" spans="1:14" ht="13">
      <c r="A806" s="18" t="s">
        <v>296</v>
      </c>
      <c r="B806" s="18" t="s">
        <v>260</v>
      </c>
      <c r="C806" s="18" t="s">
        <v>297</v>
      </c>
      <c r="D806" s="18" t="s">
        <v>292</v>
      </c>
      <c r="E806" s="18" t="s">
        <v>752</v>
      </c>
      <c r="F806" s="18" t="s">
        <v>751</v>
      </c>
      <c r="G806" s="18" t="s">
        <v>756</v>
      </c>
      <c r="H806" s="37">
        <v>2006.95744680851</v>
      </c>
      <c r="I806" s="37">
        <v>1140.78862823544</v>
      </c>
      <c r="J806" s="37">
        <v>1104.88270594654</v>
      </c>
      <c r="K806" s="37">
        <v>1170.6989149542301</v>
      </c>
      <c r="L806" s="38" t="s">
        <v>637</v>
      </c>
      <c r="M806" s="21" t="s">
        <v>298</v>
      </c>
      <c r="N806" s="18" t="s">
        <v>299</v>
      </c>
    </row>
    <row r="807" spans="1:14" ht="13">
      <c r="A807" s="18" t="s">
        <v>296</v>
      </c>
      <c r="B807" s="18" t="s">
        <v>260</v>
      </c>
      <c r="C807" s="18" t="s">
        <v>297</v>
      </c>
      <c r="D807" s="18" t="s">
        <v>292</v>
      </c>
      <c r="E807" s="18" t="s">
        <v>752</v>
      </c>
      <c r="F807" s="18" t="s">
        <v>751</v>
      </c>
      <c r="G807" s="18" t="s">
        <v>756</v>
      </c>
      <c r="H807" s="37">
        <v>2008</v>
      </c>
      <c r="I807" s="37">
        <v>1242.2901133539399</v>
      </c>
      <c r="J807" s="37">
        <v>1206.39267745651</v>
      </c>
      <c r="K807" s="37">
        <v>1269.2174334727499</v>
      </c>
      <c r="L807" s="38" t="s">
        <v>637</v>
      </c>
      <c r="M807" s="21" t="s">
        <v>298</v>
      </c>
      <c r="N807" s="18" t="s">
        <v>299</v>
      </c>
    </row>
    <row r="808" spans="1:14" ht="13">
      <c r="A808" s="18" t="s">
        <v>296</v>
      </c>
      <c r="B808" s="18" t="s">
        <v>260</v>
      </c>
      <c r="C808" s="18" t="s">
        <v>297</v>
      </c>
      <c r="D808" s="18" t="s">
        <v>292</v>
      </c>
      <c r="E808" s="18" t="s">
        <v>752</v>
      </c>
      <c r="F808" s="18" t="s">
        <v>751</v>
      </c>
      <c r="G808" s="18" t="s">
        <v>756</v>
      </c>
      <c r="H808" s="37">
        <v>2009</v>
      </c>
      <c r="I808" s="37">
        <v>1295.93683700067</v>
      </c>
      <c r="J808" s="37">
        <v>1266.0180638904001</v>
      </c>
      <c r="K808" s="37">
        <v>1325.8513669152001</v>
      </c>
      <c r="L808" s="38" t="s">
        <v>637</v>
      </c>
      <c r="M808" s="21" t="s">
        <v>298</v>
      </c>
      <c r="N808" s="18" t="s">
        <v>299</v>
      </c>
    </row>
    <row r="809" spans="1:14" ht="13">
      <c r="A809" s="18" t="s">
        <v>296</v>
      </c>
      <c r="B809" s="18" t="s">
        <v>260</v>
      </c>
      <c r="C809" s="18" t="s">
        <v>297</v>
      </c>
      <c r="D809" s="18" t="s">
        <v>292</v>
      </c>
      <c r="E809" s="18" t="s">
        <v>752</v>
      </c>
      <c r="F809" s="18" t="s">
        <v>751</v>
      </c>
      <c r="G809" s="18" t="s">
        <v>756</v>
      </c>
      <c r="H809" s="37">
        <v>2010</v>
      </c>
      <c r="I809" s="37">
        <v>1349.58356064739</v>
      </c>
      <c r="J809" s="37">
        <v>1310.6946717584999</v>
      </c>
      <c r="K809" s="37">
        <v>1379.5023337576499</v>
      </c>
      <c r="L809" s="38" t="s">
        <v>637</v>
      </c>
      <c r="M809" s="21" t="s">
        <v>298</v>
      </c>
      <c r="N809" s="18" t="s">
        <v>299</v>
      </c>
    </row>
    <row r="810" spans="1:14" ht="13">
      <c r="A810" s="18" t="s">
        <v>296</v>
      </c>
      <c r="B810" s="18" t="s">
        <v>260</v>
      </c>
      <c r="C810" s="18" t="s">
        <v>297</v>
      </c>
      <c r="D810" s="18" t="s">
        <v>292</v>
      </c>
      <c r="E810" s="18" t="s">
        <v>752</v>
      </c>
      <c r="F810" s="18" t="s">
        <v>751</v>
      </c>
      <c r="G810" s="18" t="s">
        <v>756</v>
      </c>
      <c r="H810" s="37">
        <v>2010.9787234042601</v>
      </c>
      <c r="I810" s="37">
        <v>1340.4140146693301</v>
      </c>
      <c r="J810" s="37">
        <v>1301.52512578044</v>
      </c>
      <c r="K810" s="37">
        <v>1370.3243013881299</v>
      </c>
      <c r="L810" s="38" t="s">
        <v>637</v>
      </c>
      <c r="M810" s="21" t="s">
        <v>298</v>
      </c>
      <c r="N810" s="18" t="s">
        <v>299</v>
      </c>
    </row>
    <row r="811" spans="1:14" ht="13">
      <c r="A811" s="18" t="s">
        <v>296</v>
      </c>
      <c r="B811" s="18" t="s">
        <v>260</v>
      </c>
      <c r="C811" s="18" t="s">
        <v>297</v>
      </c>
      <c r="D811" s="18" t="s">
        <v>292</v>
      </c>
      <c r="E811" s="18" t="s">
        <v>752</v>
      </c>
      <c r="F811" s="18" t="s">
        <v>751</v>
      </c>
      <c r="G811" s="18" t="s">
        <v>756</v>
      </c>
      <c r="H811" s="37">
        <v>2011.9787234042601</v>
      </c>
      <c r="I811" s="37">
        <v>1337.2231314784499</v>
      </c>
      <c r="J811" s="37">
        <v>1295.33854640238</v>
      </c>
      <c r="K811" s="37">
        <v>1373.1163241801501</v>
      </c>
      <c r="L811" s="38" t="s">
        <v>637</v>
      </c>
      <c r="M811" s="21" t="s">
        <v>298</v>
      </c>
      <c r="N811" s="18" t="s">
        <v>299</v>
      </c>
    </row>
    <row r="812" spans="1:14" ht="13">
      <c r="A812" s="18" t="s">
        <v>296</v>
      </c>
      <c r="B812" s="18" t="s">
        <v>260</v>
      </c>
      <c r="C812" s="18" t="s">
        <v>297</v>
      </c>
      <c r="D812" s="18" t="s">
        <v>292</v>
      </c>
      <c r="E812" s="18" t="s">
        <v>752</v>
      </c>
      <c r="F812" s="18" t="s">
        <v>751</v>
      </c>
      <c r="G812" s="18" t="s">
        <v>756</v>
      </c>
      <c r="H812" s="37">
        <v>2013</v>
      </c>
      <c r="I812" s="37">
        <v>1262.23313329696</v>
      </c>
      <c r="J812" s="37">
        <v>1220.35279141662</v>
      </c>
      <c r="K812" s="37">
        <v>1301.12202218585</v>
      </c>
      <c r="L812" s="38" t="s">
        <v>637</v>
      </c>
      <c r="M812" s="21" t="s">
        <v>298</v>
      </c>
      <c r="N812" s="18" t="s">
        <v>299</v>
      </c>
    </row>
    <row r="813" spans="1:14" ht="13">
      <c r="A813" s="18" t="s">
        <v>296</v>
      </c>
      <c r="B813" s="18" t="s">
        <v>260</v>
      </c>
      <c r="C813" s="18" t="s">
        <v>297</v>
      </c>
      <c r="D813" s="18" t="s">
        <v>292</v>
      </c>
      <c r="E813" s="18" t="s">
        <v>752</v>
      </c>
      <c r="F813" s="18" t="s">
        <v>751</v>
      </c>
      <c r="G813" s="18" t="s">
        <v>756</v>
      </c>
      <c r="H813" s="37">
        <v>2014</v>
      </c>
      <c r="I813" s="37">
        <v>1291.94823301206</v>
      </c>
      <c r="J813" s="37">
        <v>1256.0465539188899</v>
      </c>
      <c r="K813" s="37">
        <v>1333.8328180881399</v>
      </c>
      <c r="L813" s="38" t="s">
        <v>637</v>
      </c>
      <c r="M813" s="21" t="s">
        <v>298</v>
      </c>
      <c r="N813" s="18" t="s">
        <v>299</v>
      </c>
    </row>
    <row r="814" spans="1:14" ht="13">
      <c r="A814" s="18" t="s">
        <v>296</v>
      </c>
      <c r="B814" s="18" t="s">
        <v>260</v>
      </c>
      <c r="C814" s="18" t="s">
        <v>297</v>
      </c>
      <c r="D814" s="18" t="s">
        <v>292</v>
      </c>
      <c r="E814" s="18" t="s">
        <v>752</v>
      </c>
      <c r="F814" s="18" t="s">
        <v>751</v>
      </c>
      <c r="G814" s="18" t="s">
        <v>756</v>
      </c>
      <c r="H814" s="37">
        <v>2015</v>
      </c>
      <c r="I814" s="37">
        <v>1348.5864096502401</v>
      </c>
      <c r="J814" s="37">
        <v>1315.6804267442601</v>
      </c>
      <c r="K814" s="37">
        <v>1393.45820452203</v>
      </c>
      <c r="L814" s="38" t="s">
        <v>637</v>
      </c>
      <c r="M814" s="21" t="s">
        <v>298</v>
      </c>
      <c r="N814" s="18" t="s">
        <v>299</v>
      </c>
    </row>
    <row r="815" spans="1:14" ht="13">
      <c r="A815" s="18" t="s">
        <v>296</v>
      </c>
      <c r="B815" s="18" t="s">
        <v>260</v>
      </c>
      <c r="C815" s="18" t="s">
        <v>297</v>
      </c>
      <c r="D815" s="18" t="s">
        <v>292</v>
      </c>
      <c r="E815" s="18" t="s">
        <v>752</v>
      </c>
      <c r="F815" s="18" t="s">
        <v>751</v>
      </c>
      <c r="G815" s="18" t="s">
        <v>756</v>
      </c>
      <c r="H815" s="37">
        <v>2016</v>
      </c>
      <c r="I815" s="37">
        <v>1390.26732133115</v>
      </c>
      <c r="J815" s="37">
        <v>1345.3955264593601</v>
      </c>
      <c r="K815" s="37">
        <v>1429.1562102200401</v>
      </c>
      <c r="L815" s="38" t="s">
        <v>637</v>
      </c>
      <c r="M815" s="21" t="s">
        <v>298</v>
      </c>
      <c r="N815" s="18" t="s">
        <v>299</v>
      </c>
    </row>
    <row r="816" spans="1:14" ht="13">
      <c r="A816" s="18" t="s">
        <v>266</v>
      </c>
      <c r="B816" s="18" t="s">
        <v>260</v>
      </c>
      <c r="C816" s="18" t="s">
        <v>371</v>
      </c>
      <c r="D816" s="18" t="s">
        <v>292</v>
      </c>
      <c r="E816" s="18" t="s">
        <v>749</v>
      </c>
      <c r="F816" s="18" t="s">
        <v>621</v>
      </c>
      <c r="G816" s="18" t="s">
        <v>622</v>
      </c>
      <c r="H816" s="18">
        <v>1996</v>
      </c>
      <c r="I816" s="40">
        <v>1181</v>
      </c>
      <c r="J816" s="40">
        <v>642</v>
      </c>
      <c r="K816" s="26">
        <v>2173</v>
      </c>
      <c r="L816" s="41" t="s">
        <v>623</v>
      </c>
      <c r="M816" s="18" t="s">
        <v>555</v>
      </c>
      <c r="N816" s="18" t="s">
        <v>556</v>
      </c>
    </row>
    <row r="817" spans="1:15" ht="13">
      <c r="A817" s="18" t="s">
        <v>266</v>
      </c>
      <c r="B817" s="18" t="s">
        <v>260</v>
      </c>
      <c r="C817" s="18" t="s">
        <v>371</v>
      </c>
      <c r="D817" s="18" t="s">
        <v>292</v>
      </c>
      <c r="E817" s="18" t="s">
        <v>749</v>
      </c>
      <c r="F817" s="18" t="s">
        <v>621</v>
      </c>
      <c r="G817" s="18" t="s">
        <v>622</v>
      </c>
      <c r="H817" s="18">
        <v>2001</v>
      </c>
      <c r="I817" s="40">
        <v>1364</v>
      </c>
      <c r="J817" s="40">
        <v>775</v>
      </c>
      <c r="K817" s="26">
        <v>2400</v>
      </c>
      <c r="L817" s="41" t="s">
        <v>623</v>
      </c>
      <c r="M817" s="18" t="s">
        <v>555</v>
      </c>
      <c r="N817" s="18" t="s">
        <v>556</v>
      </c>
    </row>
    <row r="818" spans="1:15" ht="13">
      <c r="A818" s="18" t="s">
        <v>266</v>
      </c>
      <c r="B818" s="18" t="s">
        <v>260</v>
      </c>
      <c r="C818" s="18" t="s">
        <v>371</v>
      </c>
      <c r="D818" s="18" t="s">
        <v>292</v>
      </c>
      <c r="E818" s="18" t="s">
        <v>749</v>
      </c>
      <c r="F818" s="18" t="s">
        <v>621</v>
      </c>
      <c r="G818" s="18" t="s">
        <v>622</v>
      </c>
      <c r="H818" s="18">
        <v>2005</v>
      </c>
      <c r="I818" s="40">
        <v>1575</v>
      </c>
      <c r="J818" s="40">
        <v>878</v>
      </c>
      <c r="K818" s="26">
        <v>2824</v>
      </c>
      <c r="L818" s="41" t="s">
        <v>623</v>
      </c>
      <c r="M818" s="18" t="s">
        <v>555</v>
      </c>
      <c r="N818" s="18" t="s">
        <v>556</v>
      </c>
    </row>
    <row r="819" spans="1:15" ht="13">
      <c r="A819" s="18" t="s">
        <v>266</v>
      </c>
      <c r="B819" s="18" t="s">
        <v>260</v>
      </c>
      <c r="C819" s="18" t="s">
        <v>371</v>
      </c>
      <c r="D819" s="18" t="s">
        <v>292</v>
      </c>
      <c r="E819" s="18" t="s">
        <v>749</v>
      </c>
      <c r="F819" s="18" t="s">
        <v>621</v>
      </c>
      <c r="G819" s="18" t="s">
        <v>622</v>
      </c>
      <c r="H819" s="18">
        <v>2008</v>
      </c>
      <c r="I819" s="40">
        <v>1727</v>
      </c>
      <c r="J819" s="40">
        <v>915</v>
      </c>
      <c r="K819" s="26">
        <v>3259</v>
      </c>
      <c r="L819" s="41" t="s">
        <v>623</v>
      </c>
      <c r="M819" s="18" t="s">
        <v>555</v>
      </c>
      <c r="N819" s="18" t="s">
        <v>556</v>
      </c>
    </row>
    <row r="820" spans="1:15" ht="13">
      <c r="A820" s="18" t="s">
        <v>266</v>
      </c>
      <c r="B820" s="18" t="s">
        <v>260</v>
      </c>
      <c r="C820" s="18" t="s">
        <v>371</v>
      </c>
      <c r="D820" s="18" t="s">
        <v>292</v>
      </c>
      <c r="E820" s="18" t="s">
        <v>749</v>
      </c>
      <c r="F820" s="18" t="s">
        <v>621</v>
      </c>
      <c r="G820" s="18" t="s">
        <v>622</v>
      </c>
      <c r="H820" s="18">
        <v>2014</v>
      </c>
      <c r="I820" s="40">
        <v>2178</v>
      </c>
      <c r="J820" s="40">
        <v>1038</v>
      </c>
      <c r="K820" s="26">
        <v>4568</v>
      </c>
      <c r="L820" s="41" t="s">
        <v>623</v>
      </c>
      <c r="M820" s="18" t="s">
        <v>555</v>
      </c>
      <c r="N820" s="18" t="s">
        <v>556</v>
      </c>
    </row>
    <row r="821" spans="1:15" ht="13">
      <c r="A821" s="18" t="s">
        <v>266</v>
      </c>
      <c r="B821" s="18" t="s">
        <v>260</v>
      </c>
      <c r="C821" s="18" t="s">
        <v>371</v>
      </c>
      <c r="D821" s="18" t="s">
        <v>292</v>
      </c>
      <c r="E821" s="18" t="s">
        <v>749</v>
      </c>
      <c r="F821" s="18" t="s">
        <v>621</v>
      </c>
      <c r="G821" s="18" t="s">
        <v>622</v>
      </c>
      <c r="H821" s="18">
        <v>2018</v>
      </c>
      <c r="I821" s="40">
        <v>4784</v>
      </c>
      <c r="J821" s="40">
        <v>2658</v>
      </c>
      <c r="K821" s="26">
        <v>8609</v>
      </c>
      <c r="L821" s="41" t="s">
        <v>623</v>
      </c>
      <c r="M821" s="18" t="s">
        <v>555</v>
      </c>
      <c r="N821" s="18" t="s">
        <v>556</v>
      </c>
    </row>
    <row r="822" spans="1:15" ht="13">
      <c r="A822" s="18" t="s">
        <v>272</v>
      </c>
      <c r="B822" s="18" t="s">
        <v>260</v>
      </c>
      <c r="C822" s="18" t="s">
        <v>757</v>
      </c>
      <c r="D822" s="18" t="s">
        <v>324</v>
      </c>
      <c r="E822" s="27" t="s">
        <v>758</v>
      </c>
      <c r="F822" s="18" t="s">
        <v>139</v>
      </c>
      <c r="G822" s="18" t="s">
        <v>611</v>
      </c>
      <c r="H822" s="37">
        <v>1974</v>
      </c>
      <c r="I822" s="37">
        <v>72</v>
      </c>
      <c r="J822" s="40" t="s">
        <v>402</v>
      </c>
      <c r="K822" s="18" t="s">
        <v>402</v>
      </c>
      <c r="L822" s="38" t="s">
        <v>612</v>
      </c>
      <c r="M822" s="21" t="s">
        <v>326</v>
      </c>
      <c r="N822" s="18" t="s">
        <v>327</v>
      </c>
      <c r="O822" s="18" t="s">
        <v>759</v>
      </c>
    </row>
    <row r="823" spans="1:15" ht="13">
      <c r="A823" s="18" t="s">
        <v>272</v>
      </c>
      <c r="B823" s="18" t="s">
        <v>260</v>
      </c>
      <c r="C823" s="18" t="s">
        <v>757</v>
      </c>
      <c r="D823" s="18" t="s">
        <v>324</v>
      </c>
      <c r="E823" s="27" t="s">
        <v>758</v>
      </c>
      <c r="F823" s="18" t="s">
        <v>139</v>
      </c>
      <c r="G823" s="18" t="s">
        <v>611</v>
      </c>
      <c r="H823" s="37">
        <v>1975</v>
      </c>
      <c r="I823" s="37">
        <v>71</v>
      </c>
      <c r="J823" s="40" t="s">
        <v>402</v>
      </c>
      <c r="K823" s="18" t="s">
        <v>402</v>
      </c>
      <c r="L823" s="38" t="s">
        <v>612</v>
      </c>
      <c r="M823" s="21" t="s">
        <v>326</v>
      </c>
      <c r="N823" s="18" t="s">
        <v>327</v>
      </c>
    </row>
    <row r="824" spans="1:15" ht="13">
      <c r="A824" s="18" t="s">
        <v>272</v>
      </c>
      <c r="B824" s="18" t="s">
        <v>260</v>
      </c>
      <c r="C824" s="18" t="s">
        <v>757</v>
      </c>
      <c r="D824" s="18" t="s">
        <v>324</v>
      </c>
      <c r="E824" s="27" t="s">
        <v>758</v>
      </c>
      <c r="F824" s="18" t="s">
        <v>139</v>
      </c>
      <c r="G824" s="18" t="s">
        <v>611</v>
      </c>
      <c r="H824" s="18">
        <v>1976</v>
      </c>
      <c r="I824" s="37">
        <v>80</v>
      </c>
      <c r="J824" s="40" t="s">
        <v>402</v>
      </c>
      <c r="K824" s="18" t="s">
        <v>402</v>
      </c>
      <c r="L824" s="38" t="s">
        <v>612</v>
      </c>
      <c r="M824" s="21" t="s">
        <v>326</v>
      </c>
      <c r="N824" s="18" t="s">
        <v>327</v>
      </c>
    </row>
    <row r="825" spans="1:15" ht="13">
      <c r="A825" s="18" t="s">
        <v>272</v>
      </c>
      <c r="B825" s="18" t="s">
        <v>260</v>
      </c>
      <c r="C825" s="18" t="s">
        <v>757</v>
      </c>
      <c r="D825" s="18" t="s">
        <v>324</v>
      </c>
      <c r="E825" s="27" t="s">
        <v>758</v>
      </c>
      <c r="F825" s="18" t="s">
        <v>139</v>
      </c>
      <c r="G825" s="18" t="s">
        <v>611</v>
      </c>
      <c r="H825" s="37">
        <v>1977</v>
      </c>
      <c r="I825" s="37">
        <v>80</v>
      </c>
      <c r="J825" s="40" t="s">
        <v>402</v>
      </c>
      <c r="K825" s="18" t="s">
        <v>402</v>
      </c>
      <c r="L825" s="38" t="s">
        <v>612</v>
      </c>
      <c r="M825" s="21" t="s">
        <v>326</v>
      </c>
      <c r="N825" s="18" t="s">
        <v>327</v>
      </c>
    </row>
    <row r="826" spans="1:15" ht="13">
      <c r="A826" s="18" t="s">
        <v>272</v>
      </c>
      <c r="B826" s="18" t="s">
        <v>260</v>
      </c>
      <c r="C826" s="18" t="s">
        <v>757</v>
      </c>
      <c r="D826" s="18" t="s">
        <v>324</v>
      </c>
      <c r="E826" s="27" t="s">
        <v>758</v>
      </c>
      <c r="F826" s="18" t="s">
        <v>139</v>
      </c>
      <c r="G826" s="18" t="s">
        <v>611</v>
      </c>
      <c r="H826" s="37">
        <v>1978</v>
      </c>
      <c r="I826" s="37">
        <v>82</v>
      </c>
      <c r="J826" s="40" t="s">
        <v>402</v>
      </c>
      <c r="K826" s="18" t="s">
        <v>402</v>
      </c>
      <c r="L826" s="38" t="s">
        <v>612</v>
      </c>
      <c r="M826" s="21" t="s">
        <v>326</v>
      </c>
      <c r="N826" s="18" t="s">
        <v>327</v>
      </c>
    </row>
    <row r="827" spans="1:15" ht="13">
      <c r="A827" s="18" t="s">
        <v>272</v>
      </c>
      <c r="B827" s="18" t="s">
        <v>260</v>
      </c>
      <c r="C827" s="18" t="s">
        <v>757</v>
      </c>
      <c r="D827" s="18" t="s">
        <v>324</v>
      </c>
      <c r="E827" s="27" t="s">
        <v>758</v>
      </c>
      <c r="F827" s="18" t="s">
        <v>139</v>
      </c>
      <c r="G827" s="18" t="s">
        <v>611</v>
      </c>
      <c r="H827" s="37">
        <v>1979</v>
      </c>
      <c r="I827" s="37">
        <v>84</v>
      </c>
      <c r="J827" s="40" t="s">
        <v>402</v>
      </c>
      <c r="K827" s="18" t="s">
        <v>402</v>
      </c>
      <c r="L827" s="38" t="s">
        <v>612</v>
      </c>
      <c r="M827" s="21" t="s">
        <v>326</v>
      </c>
      <c r="N827" s="18" t="s">
        <v>327</v>
      </c>
    </row>
    <row r="828" spans="1:15" ht="13">
      <c r="A828" s="18" t="s">
        <v>272</v>
      </c>
      <c r="B828" s="18" t="s">
        <v>260</v>
      </c>
      <c r="C828" s="18" t="s">
        <v>757</v>
      </c>
      <c r="D828" s="18" t="s">
        <v>324</v>
      </c>
      <c r="E828" s="27" t="s">
        <v>758</v>
      </c>
      <c r="F828" s="18" t="s">
        <v>139</v>
      </c>
      <c r="G828" s="18" t="s">
        <v>611</v>
      </c>
      <c r="H828" s="37">
        <v>1980</v>
      </c>
      <c r="I828" s="37">
        <v>82</v>
      </c>
      <c r="J828" s="40" t="s">
        <v>402</v>
      </c>
      <c r="K828" s="18" t="s">
        <v>402</v>
      </c>
      <c r="L828" s="38" t="s">
        <v>612</v>
      </c>
      <c r="M828" s="21" t="s">
        <v>326</v>
      </c>
      <c r="N828" s="18" t="s">
        <v>327</v>
      </c>
    </row>
    <row r="829" spans="1:15" ht="13">
      <c r="A829" s="18" t="s">
        <v>272</v>
      </c>
      <c r="B829" s="18" t="s">
        <v>260</v>
      </c>
      <c r="C829" s="18" t="s">
        <v>757</v>
      </c>
      <c r="D829" s="18" t="s">
        <v>324</v>
      </c>
      <c r="E829" s="27" t="s">
        <v>758</v>
      </c>
      <c r="F829" s="18" t="s">
        <v>139</v>
      </c>
      <c r="G829" s="18" t="s">
        <v>611</v>
      </c>
      <c r="H829" s="37">
        <v>1981</v>
      </c>
      <c r="I829" s="37">
        <v>79</v>
      </c>
      <c r="J829" s="40" t="s">
        <v>402</v>
      </c>
      <c r="K829" s="18" t="s">
        <v>402</v>
      </c>
      <c r="L829" s="38" t="s">
        <v>612</v>
      </c>
      <c r="M829" s="21" t="s">
        <v>326</v>
      </c>
      <c r="N829" s="18" t="s">
        <v>327</v>
      </c>
    </row>
    <row r="830" spans="1:15" ht="13">
      <c r="A830" s="18" t="s">
        <v>272</v>
      </c>
      <c r="B830" s="18" t="s">
        <v>260</v>
      </c>
      <c r="C830" s="18" t="s">
        <v>757</v>
      </c>
      <c r="D830" s="18" t="s">
        <v>324</v>
      </c>
      <c r="E830" s="27" t="s">
        <v>758</v>
      </c>
      <c r="F830" s="18" t="s">
        <v>139</v>
      </c>
      <c r="G830" s="18" t="s">
        <v>611</v>
      </c>
      <c r="H830" s="37">
        <v>1982</v>
      </c>
      <c r="I830" s="37">
        <v>76</v>
      </c>
      <c r="J830" s="40" t="s">
        <v>402</v>
      </c>
      <c r="K830" s="18" t="s">
        <v>402</v>
      </c>
      <c r="L830" s="38" t="s">
        <v>612</v>
      </c>
      <c r="M830" s="21" t="s">
        <v>326</v>
      </c>
      <c r="N830" s="18" t="s">
        <v>327</v>
      </c>
    </row>
    <row r="831" spans="1:15" ht="13">
      <c r="A831" s="18" t="s">
        <v>272</v>
      </c>
      <c r="B831" s="18" t="s">
        <v>260</v>
      </c>
      <c r="C831" s="18" t="s">
        <v>757</v>
      </c>
      <c r="D831" s="18" t="s">
        <v>324</v>
      </c>
      <c r="E831" s="27" t="s">
        <v>758</v>
      </c>
      <c r="F831" s="18" t="s">
        <v>139</v>
      </c>
      <c r="G831" s="18" t="s">
        <v>611</v>
      </c>
      <c r="H831" s="37">
        <v>1983</v>
      </c>
      <c r="I831" s="37">
        <v>74</v>
      </c>
      <c r="J831" s="40" t="s">
        <v>402</v>
      </c>
      <c r="K831" s="18" t="s">
        <v>402</v>
      </c>
      <c r="L831" s="38" t="s">
        <v>612</v>
      </c>
      <c r="M831" s="21" t="s">
        <v>326</v>
      </c>
      <c r="N831" s="18" t="s">
        <v>327</v>
      </c>
    </row>
    <row r="832" spans="1:15" ht="13">
      <c r="A832" s="18" t="s">
        <v>272</v>
      </c>
      <c r="B832" s="18" t="s">
        <v>260</v>
      </c>
      <c r="C832" s="18" t="s">
        <v>757</v>
      </c>
      <c r="D832" s="18" t="s">
        <v>324</v>
      </c>
      <c r="E832" s="27" t="s">
        <v>758</v>
      </c>
      <c r="F832" s="18" t="s">
        <v>139</v>
      </c>
      <c r="G832" s="18" t="s">
        <v>611</v>
      </c>
      <c r="H832" s="37">
        <v>1984</v>
      </c>
      <c r="I832" s="37">
        <v>77</v>
      </c>
      <c r="J832" s="40" t="s">
        <v>402</v>
      </c>
      <c r="K832" s="18" t="s">
        <v>402</v>
      </c>
      <c r="L832" s="38" t="s">
        <v>612</v>
      </c>
      <c r="M832" s="21" t="s">
        <v>326</v>
      </c>
      <c r="N832" s="18" t="s">
        <v>327</v>
      </c>
    </row>
    <row r="833" spans="1:14" ht="13">
      <c r="A833" s="18" t="s">
        <v>272</v>
      </c>
      <c r="B833" s="18" t="s">
        <v>260</v>
      </c>
      <c r="C833" s="18" t="s">
        <v>757</v>
      </c>
      <c r="D833" s="18" t="s">
        <v>324</v>
      </c>
      <c r="E833" s="27" t="s">
        <v>758</v>
      </c>
      <c r="F833" s="18" t="s">
        <v>139</v>
      </c>
      <c r="G833" s="18" t="s">
        <v>611</v>
      </c>
      <c r="H833" s="37">
        <v>1985</v>
      </c>
      <c r="I833" s="37">
        <v>81</v>
      </c>
      <c r="J833" s="40" t="s">
        <v>402</v>
      </c>
      <c r="K833" s="18" t="s">
        <v>402</v>
      </c>
      <c r="L833" s="38" t="s">
        <v>612</v>
      </c>
      <c r="M833" s="21" t="s">
        <v>326</v>
      </c>
      <c r="N833" s="18" t="s">
        <v>327</v>
      </c>
    </row>
    <row r="834" spans="1:14" ht="13">
      <c r="A834" s="18" t="s">
        <v>272</v>
      </c>
      <c r="B834" s="18" t="s">
        <v>260</v>
      </c>
      <c r="C834" s="18" t="s">
        <v>757</v>
      </c>
      <c r="D834" s="18" t="s">
        <v>324</v>
      </c>
      <c r="E834" s="27" t="s">
        <v>758</v>
      </c>
      <c r="F834" s="18" t="s">
        <v>139</v>
      </c>
      <c r="G834" s="18" t="s">
        <v>611</v>
      </c>
      <c r="H834" s="37">
        <v>1986</v>
      </c>
      <c r="I834" s="37">
        <v>84</v>
      </c>
      <c r="J834" s="40" t="s">
        <v>402</v>
      </c>
      <c r="K834" s="18" t="s">
        <v>402</v>
      </c>
      <c r="L834" s="38" t="s">
        <v>612</v>
      </c>
      <c r="M834" s="21" t="s">
        <v>326</v>
      </c>
      <c r="N834" s="18" t="s">
        <v>327</v>
      </c>
    </row>
    <row r="835" spans="1:14" ht="13">
      <c r="A835" s="18" t="s">
        <v>272</v>
      </c>
      <c r="B835" s="18" t="s">
        <v>260</v>
      </c>
      <c r="C835" s="18" t="s">
        <v>757</v>
      </c>
      <c r="D835" s="18" t="s">
        <v>324</v>
      </c>
      <c r="E835" s="27" t="s">
        <v>758</v>
      </c>
      <c r="F835" s="18" t="s">
        <v>139</v>
      </c>
      <c r="G835" s="18" t="s">
        <v>611</v>
      </c>
      <c r="H835" s="37">
        <v>1987</v>
      </c>
      <c r="I835" s="37">
        <v>85</v>
      </c>
      <c r="J835" s="40" t="s">
        <v>402</v>
      </c>
      <c r="K835" s="18" t="s">
        <v>402</v>
      </c>
      <c r="L835" s="38" t="s">
        <v>612</v>
      </c>
      <c r="M835" s="21" t="s">
        <v>326</v>
      </c>
      <c r="N835" s="18" t="s">
        <v>327</v>
      </c>
    </row>
    <row r="836" spans="1:14" ht="13">
      <c r="A836" s="18" t="s">
        <v>272</v>
      </c>
      <c r="B836" s="18" t="s">
        <v>260</v>
      </c>
      <c r="C836" s="18" t="s">
        <v>757</v>
      </c>
      <c r="D836" s="18" t="s">
        <v>324</v>
      </c>
      <c r="E836" s="27" t="s">
        <v>758</v>
      </c>
      <c r="F836" s="18" t="s">
        <v>139</v>
      </c>
      <c r="G836" s="18" t="s">
        <v>611</v>
      </c>
      <c r="H836" s="37">
        <v>1988</v>
      </c>
      <c r="I836" s="37">
        <v>85</v>
      </c>
      <c r="J836" s="40" t="s">
        <v>402</v>
      </c>
      <c r="K836" s="18" t="s">
        <v>402</v>
      </c>
      <c r="L836" s="38" t="s">
        <v>612</v>
      </c>
      <c r="M836" s="21" t="s">
        <v>326</v>
      </c>
      <c r="N836" s="18" t="s">
        <v>327</v>
      </c>
    </row>
    <row r="837" spans="1:14" ht="13">
      <c r="A837" s="18" t="s">
        <v>272</v>
      </c>
      <c r="B837" s="18" t="s">
        <v>260</v>
      </c>
      <c r="C837" s="18" t="s">
        <v>757</v>
      </c>
      <c r="D837" s="18" t="s">
        <v>324</v>
      </c>
      <c r="E837" s="27" t="s">
        <v>758</v>
      </c>
      <c r="F837" s="18" t="s">
        <v>139</v>
      </c>
      <c r="G837" s="18" t="s">
        <v>611</v>
      </c>
      <c r="H837" s="37">
        <v>1989</v>
      </c>
      <c r="I837" s="37">
        <v>88</v>
      </c>
      <c r="J837" s="40" t="s">
        <v>402</v>
      </c>
      <c r="K837" s="18" t="s">
        <v>402</v>
      </c>
      <c r="L837" s="38" t="s">
        <v>612</v>
      </c>
      <c r="M837" s="21" t="s">
        <v>326</v>
      </c>
      <c r="N837" s="18" t="s">
        <v>327</v>
      </c>
    </row>
    <row r="838" spans="1:14" ht="13">
      <c r="A838" s="18" t="s">
        <v>272</v>
      </c>
      <c r="B838" s="18" t="s">
        <v>260</v>
      </c>
      <c r="C838" s="18" t="s">
        <v>757</v>
      </c>
      <c r="D838" s="18" t="s">
        <v>324</v>
      </c>
      <c r="E838" s="27" t="s">
        <v>758</v>
      </c>
      <c r="F838" s="18" t="s">
        <v>139</v>
      </c>
      <c r="G838" s="18" t="s">
        <v>611</v>
      </c>
      <c r="H838" s="37">
        <v>1990</v>
      </c>
      <c r="I838" s="37">
        <v>92</v>
      </c>
      <c r="J838" s="40" t="s">
        <v>402</v>
      </c>
      <c r="K838" s="18" t="s">
        <v>402</v>
      </c>
      <c r="L838" s="38" t="s">
        <v>612</v>
      </c>
      <c r="M838" s="21" t="s">
        <v>326</v>
      </c>
      <c r="N838" s="18" t="s">
        <v>327</v>
      </c>
    </row>
    <row r="839" spans="1:14" ht="13">
      <c r="A839" s="18" t="s">
        <v>272</v>
      </c>
      <c r="B839" s="18" t="s">
        <v>260</v>
      </c>
      <c r="C839" s="18" t="s">
        <v>757</v>
      </c>
      <c r="D839" s="18" t="s">
        <v>324</v>
      </c>
      <c r="E839" s="27" t="s">
        <v>758</v>
      </c>
      <c r="F839" s="18" t="s">
        <v>139</v>
      </c>
      <c r="G839" s="18" t="s">
        <v>611</v>
      </c>
      <c r="H839" s="37">
        <v>1991</v>
      </c>
      <c r="I839" s="37">
        <v>91</v>
      </c>
      <c r="J839" s="40" t="s">
        <v>402</v>
      </c>
      <c r="K839" s="18" t="s">
        <v>402</v>
      </c>
      <c r="L839" s="38" t="s">
        <v>612</v>
      </c>
      <c r="M839" s="21" t="s">
        <v>326</v>
      </c>
      <c r="N839" s="18" t="s">
        <v>327</v>
      </c>
    </row>
    <row r="840" spans="1:14" ht="13">
      <c r="A840" s="18" t="s">
        <v>272</v>
      </c>
      <c r="B840" s="18" t="s">
        <v>260</v>
      </c>
      <c r="C840" s="18" t="s">
        <v>757</v>
      </c>
      <c r="D840" s="18" t="s">
        <v>324</v>
      </c>
      <c r="E840" s="27" t="s">
        <v>758</v>
      </c>
      <c r="F840" s="18" t="s">
        <v>139</v>
      </c>
      <c r="G840" s="18" t="s">
        <v>611</v>
      </c>
      <c r="H840" s="37">
        <v>1992</v>
      </c>
      <c r="I840" s="37">
        <v>97</v>
      </c>
      <c r="J840" s="40" t="s">
        <v>402</v>
      </c>
      <c r="K840" s="18" t="s">
        <v>402</v>
      </c>
      <c r="L840" s="38" t="s">
        <v>612</v>
      </c>
      <c r="M840" s="21" t="s">
        <v>326</v>
      </c>
      <c r="N840" s="18" t="s">
        <v>327</v>
      </c>
    </row>
    <row r="841" spans="1:14" ht="13">
      <c r="A841" s="18" t="s">
        <v>272</v>
      </c>
      <c r="B841" s="18" t="s">
        <v>260</v>
      </c>
      <c r="C841" s="18" t="s">
        <v>757</v>
      </c>
      <c r="D841" s="18" t="s">
        <v>324</v>
      </c>
      <c r="E841" s="27" t="s">
        <v>758</v>
      </c>
      <c r="F841" s="18" t="s">
        <v>139</v>
      </c>
      <c r="G841" s="18" t="s">
        <v>611</v>
      </c>
      <c r="H841" s="37">
        <v>1993</v>
      </c>
      <c r="I841" s="37">
        <v>96</v>
      </c>
      <c r="J841" s="40" t="s">
        <v>402</v>
      </c>
      <c r="K841" s="18" t="s">
        <v>402</v>
      </c>
      <c r="L841" s="38" t="s">
        <v>612</v>
      </c>
      <c r="M841" s="21" t="s">
        <v>326</v>
      </c>
      <c r="N841" s="18" t="s">
        <v>327</v>
      </c>
    </row>
    <row r="842" spans="1:14" ht="13">
      <c r="A842" s="18" t="s">
        <v>272</v>
      </c>
      <c r="B842" s="18" t="s">
        <v>260</v>
      </c>
      <c r="C842" s="18" t="s">
        <v>757</v>
      </c>
      <c r="D842" s="18" t="s">
        <v>324</v>
      </c>
      <c r="E842" s="27" t="s">
        <v>758</v>
      </c>
      <c r="F842" s="18" t="s">
        <v>139</v>
      </c>
      <c r="G842" s="18" t="s">
        <v>611</v>
      </c>
      <c r="H842" s="37">
        <v>1994</v>
      </c>
      <c r="I842" s="37">
        <v>98</v>
      </c>
      <c r="J842" s="40" t="s">
        <v>402</v>
      </c>
      <c r="K842" s="18" t="s">
        <v>402</v>
      </c>
      <c r="L842" s="38" t="s">
        <v>612</v>
      </c>
      <c r="M842" s="21" t="s">
        <v>326</v>
      </c>
      <c r="N842" s="18" t="s">
        <v>327</v>
      </c>
    </row>
    <row r="843" spans="1:14" ht="13">
      <c r="A843" s="18" t="s">
        <v>272</v>
      </c>
      <c r="B843" s="18" t="s">
        <v>260</v>
      </c>
      <c r="C843" s="18" t="s">
        <v>757</v>
      </c>
      <c r="D843" s="18" t="s">
        <v>324</v>
      </c>
      <c r="E843" s="27" t="s">
        <v>758</v>
      </c>
      <c r="F843" s="18" t="s">
        <v>139</v>
      </c>
      <c r="G843" s="18" t="s">
        <v>611</v>
      </c>
      <c r="H843" s="37">
        <v>1995</v>
      </c>
      <c r="I843" s="37">
        <v>97</v>
      </c>
      <c r="J843" s="40" t="s">
        <v>402</v>
      </c>
      <c r="K843" s="18" t="s">
        <v>402</v>
      </c>
      <c r="L843" s="38" t="s">
        <v>612</v>
      </c>
      <c r="M843" s="21" t="s">
        <v>326</v>
      </c>
      <c r="N843" s="18" t="s">
        <v>327</v>
      </c>
    </row>
    <row r="844" spans="1:14" ht="13">
      <c r="A844" s="18" t="s">
        <v>272</v>
      </c>
      <c r="B844" s="18" t="s">
        <v>260</v>
      </c>
      <c r="C844" s="18" t="s">
        <v>757</v>
      </c>
      <c r="D844" s="18" t="s">
        <v>324</v>
      </c>
      <c r="E844" s="27" t="s">
        <v>758</v>
      </c>
      <c r="F844" s="18" t="s">
        <v>139</v>
      </c>
      <c r="G844" s="18" t="s">
        <v>611</v>
      </c>
      <c r="H844" s="37">
        <v>1996</v>
      </c>
      <c r="I844" s="37">
        <v>92</v>
      </c>
      <c r="J844" s="40" t="s">
        <v>402</v>
      </c>
      <c r="K844" s="18" t="s">
        <v>402</v>
      </c>
      <c r="L844" s="38" t="s">
        <v>612</v>
      </c>
      <c r="M844" s="21" t="s">
        <v>326</v>
      </c>
      <c r="N844" s="18" t="s">
        <v>327</v>
      </c>
    </row>
    <row r="845" spans="1:14" ht="13">
      <c r="A845" s="18" t="s">
        <v>272</v>
      </c>
      <c r="B845" s="18" t="s">
        <v>260</v>
      </c>
      <c r="C845" s="18" t="s">
        <v>757</v>
      </c>
      <c r="D845" s="18" t="s">
        <v>324</v>
      </c>
      <c r="E845" s="27" t="s">
        <v>758</v>
      </c>
      <c r="F845" s="18" t="s">
        <v>139</v>
      </c>
      <c r="G845" s="18" t="s">
        <v>611</v>
      </c>
      <c r="H845" s="37">
        <v>1997</v>
      </c>
      <c r="I845" s="37">
        <v>89</v>
      </c>
      <c r="J845" s="40" t="s">
        <v>402</v>
      </c>
      <c r="K845" s="18" t="s">
        <v>402</v>
      </c>
      <c r="L845" s="38" t="s">
        <v>612</v>
      </c>
      <c r="M845" s="21" t="s">
        <v>326</v>
      </c>
      <c r="N845" s="18" t="s">
        <v>327</v>
      </c>
    </row>
    <row r="846" spans="1:14" ht="13">
      <c r="A846" s="18" t="s">
        <v>272</v>
      </c>
      <c r="B846" s="18" t="s">
        <v>260</v>
      </c>
      <c r="C846" s="18" t="s">
        <v>757</v>
      </c>
      <c r="D846" s="18" t="s">
        <v>324</v>
      </c>
      <c r="E846" s="27" t="s">
        <v>758</v>
      </c>
      <c r="F846" s="18" t="s">
        <v>139</v>
      </c>
      <c r="G846" s="18" t="s">
        <v>611</v>
      </c>
      <c r="H846" s="37">
        <v>1998</v>
      </c>
      <c r="I846" s="37">
        <v>85</v>
      </c>
      <c r="J846" s="40" t="s">
        <v>402</v>
      </c>
      <c r="K846" s="18" t="s">
        <v>402</v>
      </c>
      <c r="L846" s="38" t="s">
        <v>612</v>
      </c>
      <c r="M846" s="21" t="s">
        <v>326</v>
      </c>
      <c r="N846" s="18" t="s">
        <v>327</v>
      </c>
    </row>
    <row r="847" spans="1:14" ht="13">
      <c r="A847" s="18" t="s">
        <v>272</v>
      </c>
      <c r="B847" s="18" t="s">
        <v>260</v>
      </c>
      <c r="C847" s="18" t="s">
        <v>757</v>
      </c>
      <c r="D847" s="18" t="s">
        <v>324</v>
      </c>
      <c r="E847" s="27" t="s">
        <v>758</v>
      </c>
      <c r="F847" s="18" t="s">
        <v>139</v>
      </c>
      <c r="G847" s="18" t="s">
        <v>611</v>
      </c>
      <c r="H847" s="37">
        <v>1999</v>
      </c>
      <c r="I847" s="37">
        <v>82</v>
      </c>
      <c r="J847" s="40" t="s">
        <v>402</v>
      </c>
      <c r="K847" s="18" t="s">
        <v>402</v>
      </c>
      <c r="L847" s="38" t="s">
        <v>612</v>
      </c>
      <c r="M847" s="21" t="s">
        <v>326</v>
      </c>
      <c r="N847" s="18" t="s">
        <v>327</v>
      </c>
    </row>
    <row r="848" spans="1:14" ht="13">
      <c r="A848" s="18" t="s">
        <v>272</v>
      </c>
      <c r="B848" s="18" t="s">
        <v>260</v>
      </c>
      <c r="C848" s="18" t="s">
        <v>757</v>
      </c>
      <c r="D848" s="18" t="s">
        <v>324</v>
      </c>
      <c r="E848" s="27" t="s">
        <v>758</v>
      </c>
      <c r="F848" s="18" t="s">
        <v>139</v>
      </c>
      <c r="G848" s="18" t="s">
        <v>611</v>
      </c>
      <c r="H848" s="37">
        <v>2000</v>
      </c>
      <c r="I848" s="37">
        <v>78</v>
      </c>
      <c r="J848" s="40" t="s">
        <v>402</v>
      </c>
      <c r="K848" s="18" t="s">
        <v>402</v>
      </c>
      <c r="L848" s="38" t="s">
        <v>612</v>
      </c>
      <c r="M848" s="21" t="s">
        <v>326</v>
      </c>
      <c r="N848" s="18" t="s">
        <v>327</v>
      </c>
    </row>
    <row r="849" spans="1:14" ht="13">
      <c r="A849" s="18" t="s">
        <v>272</v>
      </c>
      <c r="B849" s="18" t="s">
        <v>260</v>
      </c>
      <c r="C849" s="18" t="s">
        <v>757</v>
      </c>
      <c r="D849" s="18" t="s">
        <v>324</v>
      </c>
      <c r="E849" s="27" t="s">
        <v>758</v>
      </c>
      <c r="F849" s="18" t="s">
        <v>139</v>
      </c>
      <c r="G849" s="18" t="s">
        <v>611</v>
      </c>
      <c r="H849" s="37">
        <v>2001</v>
      </c>
      <c r="I849" s="37">
        <v>79</v>
      </c>
      <c r="J849" s="40" t="s">
        <v>402</v>
      </c>
      <c r="K849" s="18" t="s">
        <v>402</v>
      </c>
      <c r="L849" s="38" t="s">
        <v>612</v>
      </c>
      <c r="M849" s="21" t="s">
        <v>326</v>
      </c>
      <c r="N849" s="18" t="s">
        <v>327</v>
      </c>
    </row>
    <row r="850" spans="1:14" ht="13">
      <c r="A850" s="18" t="s">
        <v>272</v>
      </c>
      <c r="B850" s="18" t="s">
        <v>260</v>
      </c>
      <c r="C850" s="18" t="s">
        <v>757</v>
      </c>
      <c r="D850" s="18" t="s">
        <v>324</v>
      </c>
      <c r="E850" s="27" t="s">
        <v>758</v>
      </c>
      <c r="F850" s="18" t="s">
        <v>139</v>
      </c>
      <c r="G850" s="18" t="s">
        <v>611</v>
      </c>
      <c r="H850" s="37">
        <v>2002</v>
      </c>
      <c r="I850" s="37">
        <v>82</v>
      </c>
      <c r="J850" s="40" t="s">
        <v>402</v>
      </c>
      <c r="K850" s="18" t="s">
        <v>402</v>
      </c>
      <c r="L850" s="38" t="s">
        <v>612</v>
      </c>
      <c r="M850" s="21" t="s">
        <v>326</v>
      </c>
      <c r="N850" s="18" t="s">
        <v>327</v>
      </c>
    </row>
    <row r="851" spans="1:14" ht="13">
      <c r="A851" s="18" t="s">
        <v>272</v>
      </c>
      <c r="B851" s="18" t="s">
        <v>260</v>
      </c>
      <c r="C851" s="18" t="s">
        <v>757</v>
      </c>
      <c r="D851" s="18" t="s">
        <v>324</v>
      </c>
      <c r="E851" s="27" t="s">
        <v>758</v>
      </c>
      <c r="F851" s="18" t="s">
        <v>139</v>
      </c>
      <c r="G851" s="18" t="s">
        <v>611</v>
      </c>
      <c r="H851" s="37">
        <v>2003</v>
      </c>
      <c r="I851" s="37">
        <v>83</v>
      </c>
      <c r="J851" s="40" t="s">
        <v>402</v>
      </c>
      <c r="K851" s="18" t="s">
        <v>402</v>
      </c>
      <c r="L851" s="38" t="s">
        <v>612</v>
      </c>
      <c r="M851" s="21" t="s">
        <v>326</v>
      </c>
      <c r="N851" s="18" t="s">
        <v>327</v>
      </c>
    </row>
    <row r="852" spans="1:14" ht="13">
      <c r="A852" s="18" t="s">
        <v>272</v>
      </c>
      <c r="B852" s="18" t="s">
        <v>260</v>
      </c>
      <c r="C852" s="18" t="s">
        <v>757</v>
      </c>
      <c r="D852" s="18" t="s">
        <v>324</v>
      </c>
      <c r="E852" s="27" t="s">
        <v>758</v>
      </c>
      <c r="F852" s="18" t="s">
        <v>139</v>
      </c>
      <c r="G852" s="18" t="s">
        <v>611</v>
      </c>
      <c r="H852" s="37">
        <v>2004</v>
      </c>
      <c r="I852" s="37">
        <v>88</v>
      </c>
      <c r="J852" s="40" t="s">
        <v>402</v>
      </c>
      <c r="K852" s="18" t="s">
        <v>402</v>
      </c>
      <c r="L852" s="38" t="s">
        <v>612</v>
      </c>
      <c r="M852" s="21" t="s">
        <v>326</v>
      </c>
      <c r="N852" s="18" t="s">
        <v>327</v>
      </c>
    </row>
    <row r="853" spans="1:14" ht="13">
      <c r="A853" s="18" t="s">
        <v>272</v>
      </c>
      <c r="B853" s="18" t="s">
        <v>260</v>
      </c>
      <c r="C853" s="18" t="s">
        <v>757</v>
      </c>
      <c r="D853" s="18" t="s">
        <v>324</v>
      </c>
      <c r="E853" s="27" t="s">
        <v>758</v>
      </c>
      <c r="F853" s="18" t="s">
        <v>139</v>
      </c>
      <c r="G853" s="18" t="s">
        <v>611</v>
      </c>
      <c r="H853" s="37">
        <v>2005</v>
      </c>
      <c r="I853" s="37">
        <v>89</v>
      </c>
      <c r="J853" s="40" t="s">
        <v>402</v>
      </c>
      <c r="K853" s="18" t="s">
        <v>402</v>
      </c>
      <c r="L853" s="38" t="s">
        <v>612</v>
      </c>
      <c r="M853" s="21" t="s">
        <v>326</v>
      </c>
      <c r="N853" s="18" t="s">
        <v>327</v>
      </c>
    </row>
    <row r="854" spans="1:14" ht="13">
      <c r="A854" s="18" t="s">
        <v>272</v>
      </c>
      <c r="B854" s="18" t="s">
        <v>260</v>
      </c>
      <c r="C854" s="18" t="s">
        <v>757</v>
      </c>
      <c r="D854" s="18" t="s">
        <v>324</v>
      </c>
      <c r="E854" s="27" t="s">
        <v>758</v>
      </c>
      <c r="F854" s="18" t="s">
        <v>139</v>
      </c>
      <c r="G854" s="18" t="s">
        <v>611</v>
      </c>
      <c r="H854" s="37">
        <v>2006</v>
      </c>
      <c r="I854" s="37">
        <v>86</v>
      </c>
      <c r="J854" s="40" t="s">
        <v>402</v>
      </c>
      <c r="K854" s="18" t="s">
        <v>402</v>
      </c>
      <c r="L854" s="38" t="s">
        <v>612</v>
      </c>
      <c r="M854" s="21" t="s">
        <v>326</v>
      </c>
      <c r="N854" s="18" t="s">
        <v>327</v>
      </c>
    </row>
    <row r="855" spans="1:14" ht="13">
      <c r="A855" s="18" t="s">
        <v>272</v>
      </c>
      <c r="B855" s="18" t="s">
        <v>260</v>
      </c>
      <c r="C855" s="18" t="s">
        <v>757</v>
      </c>
      <c r="D855" s="18" t="s">
        <v>324</v>
      </c>
      <c r="E855" s="27" t="s">
        <v>758</v>
      </c>
      <c r="F855" s="18" t="s">
        <v>139</v>
      </c>
      <c r="G855" s="18" t="s">
        <v>611</v>
      </c>
      <c r="H855" s="37">
        <v>2007</v>
      </c>
      <c r="I855" s="37">
        <v>85</v>
      </c>
      <c r="J855" s="40" t="s">
        <v>402</v>
      </c>
      <c r="K855" s="18" t="s">
        <v>402</v>
      </c>
      <c r="L855" s="38" t="s">
        <v>612</v>
      </c>
      <c r="M855" s="21" t="s">
        <v>326</v>
      </c>
      <c r="N855" s="18" t="s">
        <v>327</v>
      </c>
    </row>
    <row r="856" spans="1:14" ht="13">
      <c r="A856" s="18" t="s">
        <v>272</v>
      </c>
      <c r="B856" s="18" t="s">
        <v>260</v>
      </c>
      <c r="C856" s="18" t="s">
        <v>757</v>
      </c>
      <c r="D856" s="18" t="s">
        <v>324</v>
      </c>
      <c r="E856" s="27" t="s">
        <v>758</v>
      </c>
      <c r="F856" s="18" t="s">
        <v>139</v>
      </c>
      <c r="G856" s="18" t="s">
        <v>611</v>
      </c>
      <c r="H856" s="37">
        <v>2008</v>
      </c>
      <c r="I856" s="37">
        <v>85</v>
      </c>
      <c r="J856" s="40" t="s">
        <v>402</v>
      </c>
      <c r="K856" s="18" t="s">
        <v>402</v>
      </c>
      <c r="L856" s="38" t="s">
        <v>612</v>
      </c>
      <c r="M856" s="21" t="s">
        <v>326</v>
      </c>
      <c r="N856" s="18" t="s">
        <v>327</v>
      </c>
    </row>
    <row r="857" spans="1:14" ht="13">
      <c r="A857" s="18" t="s">
        <v>272</v>
      </c>
      <c r="B857" s="18" t="s">
        <v>260</v>
      </c>
      <c r="C857" s="18" t="s">
        <v>757</v>
      </c>
      <c r="D857" s="18" t="s">
        <v>324</v>
      </c>
      <c r="E857" s="27" t="s">
        <v>758</v>
      </c>
      <c r="F857" s="18" t="s">
        <v>139</v>
      </c>
      <c r="G857" s="18" t="s">
        <v>611</v>
      </c>
      <c r="H857" s="37">
        <v>2009</v>
      </c>
      <c r="I857" s="37">
        <v>86</v>
      </c>
      <c r="J857" s="40" t="s">
        <v>402</v>
      </c>
      <c r="K857" s="18" t="s">
        <v>402</v>
      </c>
      <c r="L857" s="38" t="s">
        <v>612</v>
      </c>
      <c r="M857" s="21" t="s">
        <v>326</v>
      </c>
      <c r="N857" s="18" t="s">
        <v>327</v>
      </c>
    </row>
    <row r="858" spans="1:14" ht="13">
      <c r="A858" s="18" t="s">
        <v>272</v>
      </c>
      <c r="B858" s="18" t="s">
        <v>260</v>
      </c>
      <c r="C858" s="18" t="s">
        <v>757</v>
      </c>
      <c r="D858" s="18" t="s">
        <v>324</v>
      </c>
      <c r="E858" s="27" t="s">
        <v>758</v>
      </c>
      <c r="F858" s="18" t="s">
        <v>139</v>
      </c>
      <c r="G858" s="18" t="s">
        <v>611</v>
      </c>
      <c r="H858" s="37">
        <v>2010</v>
      </c>
      <c r="I858" s="37">
        <v>87</v>
      </c>
      <c r="J858" s="40" t="s">
        <v>402</v>
      </c>
      <c r="K858" s="18" t="s">
        <v>402</v>
      </c>
      <c r="L858" s="38" t="s">
        <v>612</v>
      </c>
      <c r="M858" s="21" t="s">
        <v>326</v>
      </c>
      <c r="N858" s="18" t="s">
        <v>327</v>
      </c>
    </row>
    <row r="859" spans="1:14" ht="13">
      <c r="A859" s="18" t="s">
        <v>272</v>
      </c>
      <c r="B859" s="18" t="s">
        <v>260</v>
      </c>
      <c r="C859" s="18" t="s">
        <v>757</v>
      </c>
      <c r="D859" s="18" t="s">
        <v>324</v>
      </c>
      <c r="E859" s="27" t="s">
        <v>758</v>
      </c>
      <c r="F859" s="18" t="s">
        <v>139</v>
      </c>
      <c r="G859" s="18" t="s">
        <v>611</v>
      </c>
      <c r="H859" s="37">
        <v>2011</v>
      </c>
      <c r="I859" s="37">
        <v>84</v>
      </c>
      <c r="J859" s="40" t="s">
        <v>402</v>
      </c>
      <c r="K859" s="18" t="s">
        <v>402</v>
      </c>
      <c r="L859" s="38" t="s">
        <v>612</v>
      </c>
      <c r="M859" s="21" t="s">
        <v>326</v>
      </c>
      <c r="N859" s="18" t="s">
        <v>327</v>
      </c>
    </row>
    <row r="860" spans="1:14" ht="13">
      <c r="A860" s="18" t="s">
        <v>272</v>
      </c>
      <c r="B860" s="18" t="s">
        <v>260</v>
      </c>
      <c r="C860" s="18" t="s">
        <v>757</v>
      </c>
      <c r="D860" s="18" t="s">
        <v>324</v>
      </c>
      <c r="E860" s="27" t="s">
        <v>758</v>
      </c>
      <c r="F860" s="18" t="s">
        <v>139</v>
      </c>
      <c r="G860" s="18" t="s">
        <v>611</v>
      </c>
      <c r="H860" s="37">
        <v>2012</v>
      </c>
      <c r="I860" s="37">
        <v>82</v>
      </c>
      <c r="J860" s="40" t="s">
        <v>402</v>
      </c>
      <c r="K860" s="18" t="s">
        <v>402</v>
      </c>
      <c r="L860" s="38" t="s">
        <v>612</v>
      </c>
      <c r="M860" s="21" t="s">
        <v>326</v>
      </c>
      <c r="N860" s="18" t="s">
        <v>327</v>
      </c>
    </row>
    <row r="861" spans="1:14" ht="13">
      <c r="A861" s="18" t="s">
        <v>272</v>
      </c>
      <c r="B861" s="18" t="s">
        <v>260</v>
      </c>
      <c r="C861" s="18" t="s">
        <v>757</v>
      </c>
      <c r="D861" s="18" t="s">
        <v>324</v>
      </c>
      <c r="E861" s="27" t="s">
        <v>758</v>
      </c>
      <c r="F861" s="18" t="s">
        <v>139</v>
      </c>
      <c r="G861" s="18" t="s">
        <v>611</v>
      </c>
      <c r="H861" s="37">
        <v>2013</v>
      </c>
      <c r="I861" s="37">
        <v>78</v>
      </c>
      <c r="J861" s="40" t="s">
        <v>402</v>
      </c>
      <c r="K861" s="18" t="s">
        <v>402</v>
      </c>
      <c r="L861" s="38" t="s">
        <v>612</v>
      </c>
      <c r="M861" s="21" t="s">
        <v>326</v>
      </c>
      <c r="N861" s="18" t="s">
        <v>327</v>
      </c>
    </row>
    <row r="862" spans="1:14" ht="13">
      <c r="A862" s="18" t="s">
        <v>272</v>
      </c>
      <c r="B862" s="18" t="s">
        <v>260</v>
      </c>
      <c r="C862" s="18" t="s">
        <v>757</v>
      </c>
      <c r="D862" s="18" t="s">
        <v>324</v>
      </c>
      <c r="E862" s="27" t="s">
        <v>758</v>
      </c>
      <c r="F862" s="18" t="s">
        <v>139</v>
      </c>
      <c r="G862" s="18" t="s">
        <v>611</v>
      </c>
      <c r="H862" s="37">
        <v>2014</v>
      </c>
      <c r="I862" s="37">
        <v>81</v>
      </c>
      <c r="J862" s="40" t="s">
        <v>402</v>
      </c>
      <c r="K862" s="18" t="s">
        <v>402</v>
      </c>
      <c r="L862" s="38" t="s">
        <v>612</v>
      </c>
      <c r="M862" s="21" t="s">
        <v>326</v>
      </c>
      <c r="N862" s="18" t="s">
        <v>327</v>
      </c>
    </row>
    <row r="863" spans="1:14" ht="13">
      <c r="A863" s="18" t="s">
        <v>272</v>
      </c>
      <c r="B863" s="18" t="s">
        <v>260</v>
      </c>
      <c r="C863" s="18" t="s">
        <v>757</v>
      </c>
      <c r="D863" s="18" t="s">
        <v>324</v>
      </c>
      <c r="E863" s="27" t="s">
        <v>758</v>
      </c>
      <c r="F863" s="18" t="s">
        <v>139</v>
      </c>
      <c r="G863" s="18" t="s">
        <v>611</v>
      </c>
      <c r="H863" s="37">
        <v>2015</v>
      </c>
      <c r="I863" s="37">
        <v>83</v>
      </c>
      <c r="J863" s="40" t="s">
        <v>402</v>
      </c>
      <c r="K863" s="18" t="s">
        <v>402</v>
      </c>
      <c r="L863" s="38" t="s">
        <v>612</v>
      </c>
      <c r="M863" s="21" t="s">
        <v>326</v>
      </c>
      <c r="N863" s="18" t="s">
        <v>327</v>
      </c>
    </row>
    <row r="864" spans="1:14" ht="13">
      <c r="A864" s="18" t="s">
        <v>272</v>
      </c>
      <c r="B864" s="18" t="s">
        <v>260</v>
      </c>
      <c r="C864" s="18" t="s">
        <v>757</v>
      </c>
      <c r="D864" s="18" t="s">
        <v>324</v>
      </c>
      <c r="E864" s="27" t="s">
        <v>758</v>
      </c>
      <c r="F864" s="18" t="s">
        <v>139</v>
      </c>
      <c r="G864" s="18" t="s">
        <v>611</v>
      </c>
      <c r="H864" s="37">
        <v>2016</v>
      </c>
      <c r="I864" s="37">
        <v>77</v>
      </c>
      <c r="J864" s="40" t="s">
        <v>402</v>
      </c>
      <c r="K864" s="18" t="s">
        <v>402</v>
      </c>
      <c r="L864" s="38" t="s">
        <v>612</v>
      </c>
      <c r="M864" s="21" t="s">
        <v>326</v>
      </c>
      <c r="N864" s="18" t="s">
        <v>327</v>
      </c>
    </row>
    <row r="865" spans="1:34" ht="13">
      <c r="A865" s="18" t="s">
        <v>272</v>
      </c>
      <c r="B865" s="18" t="s">
        <v>260</v>
      </c>
      <c r="C865" s="18" t="s">
        <v>757</v>
      </c>
      <c r="D865" s="18" t="s">
        <v>324</v>
      </c>
      <c r="E865" s="27" t="s">
        <v>758</v>
      </c>
      <c r="F865" s="18" t="s">
        <v>139</v>
      </c>
      <c r="G865" s="18" t="s">
        <v>611</v>
      </c>
      <c r="H865" s="37">
        <v>2017</v>
      </c>
      <c r="I865" s="37">
        <v>75</v>
      </c>
      <c r="J865" s="40" t="s">
        <v>402</v>
      </c>
      <c r="K865" s="18" t="s">
        <v>402</v>
      </c>
      <c r="L865" s="38" t="s">
        <v>612</v>
      </c>
      <c r="M865" s="21" t="s">
        <v>326</v>
      </c>
      <c r="N865" s="18" t="s">
        <v>327</v>
      </c>
    </row>
    <row r="866" spans="1:34" ht="13">
      <c r="A866" s="18" t="s">
        <v>272</v>
      </c>
      <c r="B866" s="18" t="s">
        <v>260</v>
      </c>
      <c r="C866" s="18" t="s">
        <v>757</v>
      </c>
      <c r="D866" s="18" t="s">
        <v>324</v>
      </c>
      <c r="E866" s="27" t="s">
        <v>758</v>
      </c>
      <c r="F866" s="18" t="s">
        <v>139</v>
      </c>
      <c r="G866" s="18" t="s">
        <v>611</v>
      </c>
      <c r="H866" s="37">
        <v>2018</v>
      </c>
      <c r="I866" s="37">
        <v>73</v>
      </c>
      <c r="J866" s="40" t="s">
        <v>402</v>
      </c>
      <c r="K866" s="18" t="s">
        <v>402</v>
      </c>
      <c r="L866" s="38" t="s">
        <v>612</v>
      </c>
      <c r="M866" s="21" t="s">
        <v>326</v>
      </c>
      <c r="N866" s="18" t="s">
        <v>327</v>
      </c>
    </row>
    <row r="867" spans="1:34" ht="13">
      <c r="A867" s="18" t="s">
        <v>272</v>
      </c>
      <c r="B867" s="18" t="s">
        <v>260</v>
      </c>
      <c r="C867" s="18" t="s">
        <v>757</v>
      </c>
      <c r="D867" s="18" t="s">
        <v>324</v>
      </c>
      <c r="E867" s="27" t="s">
        <v>758</v>
      </c>
      <c r="F867" s="18" t="s">
        <v>139</v>
      </c>
      <c r="G867" s="18" t="s">
        <v>611</v>
      </c>
      <c r="H867" s="37">
        <v>2019</v>
      </c>
      <c r="I867" s="37">
        <v>72</v>
      </c>
      <c r="J867" s="40" t="s">
        <v>402</v>
      </c>
      <c r="K867" s="18" t="s">
        <v>402</v>
      </c>
      <c r="L867" s="38" t="s">
        <v>612</v>
      </c>
      <c r="M867" s="21" t="s">
        <v>326</v>
      </c>
      <c r="N867" s="18" t="s">
        <v>327</v>
      </c>
    </row>
    <row r="868" spans="1:34" ht="13">
      <c r="A868" s="18" t="s">
        <v>272</v>
      </c>
      <c r="B868" s="18" t="s">
        <v>260</v>
      </c>
      <c r="C868" s="18" t="s">
        <v>757</v>
      </c>
      <c r="D868" s="18" t="s">
        <v>324</v>
      </c>
      <c r="E868" s="27" t="s">
        <v>758</v>
      </c>
      <c r="F868" s="18" t="s">
        <v>139</v>
      </c>
      <c r="G868" s="18" t="s">
        <v>611</v>
      </c>
      <c r="H868" s="37">
        <v>2020</v>
      </c>
      <c r="I868" s="37">
        <v>74</v>
      </c>
      <c r="J868" s="40" t="s">
        <v>402</v>
      </c>
      <c r="K868" s="18" t="s">
        <v>402</v>
      </c>
      <c r="L868" s="38" t="s">
        <v>612</v>
      </c>
      <c r="M868" s="21" t="s">
        <v>326</v>
      </c>
      <c r="N868" s="18" t="s">
        <v>327</v>
      </c>
    </row>
    <row r="869" spans="1:34" ht="13">
      <c r="A869" s="18" t="s">
        <v>272</v>
      </c>
      <c r="B869" s="18" t="s">
        <v>260</v>
      </c>
      <c r="C869" s="18" t="s">
        <v>757</v>
      </c>
      <c r="D869" s="18" t="s">
        <v>324</v>
      </c>
      <c r="E869" s="27" t="s">
        <v>758</v>
      </c>
      <c r="F869" s="18" t="s">
        <v>139</v>
      </c>
      <c r="G869" s="18" t="s">
        <v>611</v>
      </c>
      <c r="H869" s="37">
        <v>2021</v>
      </c>
      <c r="I869" s="37">
        <v>73</v>
      </c>
      <c r="J869" s="40" t="s">
        <v>402</v>
      </c>
      <c r="K869" s="18" t="s">
        <v>402</v>
      </c>
      <c r="L869" s="38" t="s">
        <v>612</v>
      </c>
      <c r="M869" s="21" t="s">
        <v>326</v>
      </c>
      <c r="N869" s="18" t="s">
        <v>327</v>
      </c>
    </row>
    <row r="870" spans="1:34" ht="16">
      <c r="A870" s="42" t="s">
        <v>266</v>
      </c>
      <c r="B870" s="42" t="s">
        <v>260</v>
      </c>
      <c r="C870" s="42" t="s">
        <v>407</v>
      </c>
      <c r="D870" s="42" t="s">
        <v>561</v>
      </c>
      <c r="E870" s="18" t="s">
        <v>760</v>
      </c>
      <c r="F870" s="27" t="s">
        <v>636</v>
      </c>
      <c r="G870" s="42" t="s">
        <v>761</v>
      </c>
      <c r="H870" s="43">
        <v>1991</v>
      </c>
      <c r="I870" s="38">
        <v>23739</v>
      </c>
      <c r="J870" s="38">
        <v>4472</v>
      </c>
      <c r="K870" s="38">
        <v>122477</v>
      </c>
      <c r="L870" s="38" t="s">
        <v>734</v>
      </c>
      <c r="M870" s="57" t="s">
        <v>762</v>
      </c>
      <c r="N870" s="45"/>
      <c r="O870" s="27"/>
      <c r="P870" s="27"/>
      <c r="Q870" s="27"/>
      <c r="R870" s="27"/>
      <c r="S870" s="27"/>
      <c r="T870" s="27"/>
      <c r="U870" s="27"/>
      <c r="V870" s="27"/>
      <c r="W870" s="27"/>
      <c r="X870" s="27"/>
      <c r="Y870" s="27"/>
      <c r="Z870" s="27"/>
      <c r="AA870" s="27"/>
      <c r="AB870" s="27"/>
      <c r="AC870" s="27"/>
      <c r="AD870" s="27"/>
      <c r="AE870" s="27"/>
      <c r="AF870" s="27"/>
      <c r="AG870" s="27"/>
      <c r="AH870" s="27"/>
    </row>
    <row r="871" spans="1:34" ht="16">
      <c r="A871" s="42" t="s">
        <v>266</v>
      </c>
      <c r="B871" s="42" t="s">
        <v>260</v>
      </c>
      <c r="C871" s="42" t="s">
        <v>407</v>
      </c>
      <c r="D871" s="42" t="s">
        <v>561</v>
      </c>
      <c r="E871" s="18" t="s">
        <v>760</v>
      </c>
      <c r="F871" s="27" t="s">
        <v>636</v>
      </c>
      <c r="G871" s="42" t="s">
        <v>761</v>
      </c>
      <c r="H871" s="43">
        <v>1993</v>
      </c>
      <c r="I871" s="38">
        <v>12729</v>
      </c>
      <c r="J871" s="38">
        <v>2408</v>
      </c>
      <c r="K871" s="38">
        <v>75000</v>
      </c>
      <c r="L871" s="38" t="s">
        <v>734</v>
      </c>
      <c r="M871" s="57" t="s">
        <v>762</v>
      </c>
      <c r="N871" s="45"/>
      <c r="O871" s="27"/>
      <c r="P871" s="27"/>
      <c r="Q871" s="27"/>
      <c r="R871" s="27"/>
      <c r="S871" s="27"/>
      <c r="T871" s="27"/>
      <c r="U871" s="27"/>
      <c r="V871" s="27"/>
      <c r="W871" s="27"/>
      <c r="X871" s="27"/>
      <c r="Y871" s="27"/>
      <c r="Z871" s="27"/>
      <c r="AA871" s="27"/>
      <c r="AB871" s="27"/>
      <c r="AC871" s="27"/>
      <c r="AD871" s="27"/>
      <c r="AE871" s="27"/>
      <c r="AF871" s="27"/>
      <c r="AG871" s="27"/>
      <c r="AH871" s="27"/>
    </row>
    <row r="872" spans="1:34" ht="16">
      <c r="A872" s="42" t="s">
        <v>266</v>
      </c>
      <c r="B872" s="42" t="s">
        <v>260</v>
      </c>
      <c r="C872" s="42" t="s">
        <v>407</v>
      </c>
      <c r="D872" s="42" t="s">
        <v>561</v>
      </c>
      <c r="E872" s="18" t="s">
        <v>760</v>
      </c>
      <c r="F872" s="27" t="s">
        <v>636</v>
      </c>
      <c r="G872" s="42" t="s">
        <v>761</v>
      </c>
      <c r="H872" s="43">
        <v>1996</v>
      </c>
      <c r="I872" s="38">
        <v>70183</v>
      </c>
      <c r="J872" s="38">
        <v>19266</v>
      </c>
      <c r="K872" s="38" t="s">
        <v>402</v>
      </c>
      <c r="L872" s="38" t="s">
        <v>734</v>
      </c>
      <c r="M872" s="57" t="s">
        <v>762</v>
      </c>
      <c r="N872" s="45"/>
      <c r="O872" s="27"/>
      <c r="P872" s="27"/>
      <c r="Q872" s="27"/>
      <c r="R872" s="27"/>
      <c r="S872" s="27"/>
      <c r="T872" s="27"/>
      <c r="U872" s="27"/>
      <c r="V872" s="27"/>
      <c r="W872" s="27"/>
      <c r="X872" s="27"/>
      <c r="Y872" s="27"/>
      <c r="Z872" s="27"/>
      <c r="AA872" s="27"/>
      <c r="AB872" s="27"/>
      <c r="AC872" s="27"/>
      <c r="AD872" s="27"/>
      <c r="AE872" s="27"/>
      <c r="AF872" s="27"/>
      <c r="AG872" s="27"/>
      <c r="AH872" s="27"/>
    </row>
    <row r="873" spans="1:34" ht="16">
      <c r="A873" s="42" t="s">
        <v>266</v>
      </c>
      <c r="B873" s="42" t="s">
        <v>260</v>
      </c>
      <c r="C873" s="42" t="s">
        <v>407</v>
      </c>
      <c r="D873" s="42" t="s">
        <v>561</v>
      </c>
      <c r="E873" s="18" t="s">
        <v>760</v>
      </c>
      <c r="F873" s="27" t="s">
        <v>636</v>
      </c>
      <c r="G873" s="42" t="s">
        <v>761</v>
      </c>
      <c r="H873" s="43">
        <v>2001</v>
      </c>
      <c r="I873" s="38">
        <v>34060</v>
      </c>
      <c r="J873" s="38">
        <v>5849</v>
      </c>
      <c r="K873" s="38" t="s">
        <v>402</v>
      </c>
      <c r="L873" s="38" t="s">
        <v>734</v>
      </c>
      <c r="M873" s="57" t="s">
        <v>762</v>
      </c>
      <c r="N873" s="45"/>
      <c r="O873" s="27"/>
      <c r="P873" s="27"/>
      <c r="Q873" s="27"/>
      <c r="R873" s="27"/>
      <c r="S873" s="27"/>
      <c r="T873" s="27"/>
      <c r="U873" s="27"/>
      <c r="V873" s="27"/>
      <c r="W873" s="27"/>
      <c r="X873" s="27"/>
      <c r="Y873" s="27"/>
      <c r="Z873" s="27"/>
      <c r="AA873" s="27"/>
      <c r="AB873" s="27"/>
      <c r="AC873" s="27"/>
      <c r="AD873" s="27"/>
      <c r="AE873" s="27"/>
      <c r="AF873" s="27"/>
      <c r="AG873" s="27"/>
      <c r="AH873" s="27"/>
    </row>
    <row r="874" spans="1:34" ht="16">
      <c r="A874" s="42" t="s">
        <v>266</v>
      </c>
      <c r="B874" s="42" t="s">
        <v>260</v>
      </c>
      <c r="C874" s="42" t="s">
        <v>407</v>
      </c>
      <c r="D874" s="42" t="s">
        <v>561</v>
      </c>
      <c r="E874" s="18" t="s">
        <v>760</v>
      </c>
      <c r="F874" s="27" t="s">
        <v>636</v>
      </c>
      <c r="G874" s="42" t="s">
        <v>761</v>
      </c>
      <c r="H874" s="43">
        <v>2005</v>
      </c>
      <c r="I874" s="38">
        <v>15138</v>
      </c>
      <c r="J874" s="38">
        <v>3096</v>
      </c>
      <c r="K874" s="38">
        <v>77604</v>
      </c>
      <c r="L874" s="38" t="s">
        <v>734</v>
      </c>
      <c r="M874" s="57" t="s">
        <v>762</v>
      </c>
      <c r="N874" s="45"/>
      <c r="O874" s="27"/>
      <c r="P874" s="27"/>
      <c r="Q874" s="27"/>
      <c r="R874" s="27"/>
      <c r="S874" s="27"/>
      <c r="T874" s="27"/>
      <c r="U874" s="27"/>
      <c r="V874" s="27"/>
      <c r="W874" s="27"/>
      <c r="X874" s="27"/>
      <c r="Y874" s="27"/>
      <c r="Z874" s="27"/>
      <c r="AA874" s="27"/>
      <c r="AB874" s="27"/>
      <c r="AC874" s="27"/>
      <c r="AD874" s="27"/>
      <c r="AE874" s="27"/>
      <c r="AF874" s="27"/>
      <c r="AG874" s="27"/>
      <c r="AH874" s="27"/>
    </row>
    <row r="875" spans="1:34" ht="16">
      <c r="A875" s="42" t="s">
        <v>266</v>
      </c>
      <c r="B875" s="42" t="s">
        <v>260</v>
      </c>
      <c r="C875" s="42" t="s">
        <v>407</v>
      </c>
      <c r="D875" s="42" t="s">
        <v>561</v>
      </c>
      <c r="E875" s="18" t="s">
        <v>760</v>
      </c>
      <c r="F875" s="27" t="s">
        <v>636</v>
      </c>
      <c r="G875" s="42" t="s">
        <v>761</v>
      </c>
      <c r="H875" s="43">
        <v>2008</v>
      </c>
      <c r="I875" s="38">
        <v>113876</v>
      </c>
      <c r="J875" s="38">
        <v>25803</v>
      </c>
      <c r="K875" s="38" t="s">
        <v>402</v>
      </c>
      <c r="L875" s="38" t="s">
        <v>734</v>
      </c>
      <c r="M875" s="57" t="s">
        <v>762</v>
      </c>
      <c r="N875" s="45"/>
      <c r="O875" s="27"/>
      <c r="P875" s="27"/>
      <c r="Q875" s="27"/>
      <c r="R875" s="27"/>
      <c r="S875" s="27"/>
      <c r="T875" s="27"/>
      <c r="U875" s="27"/>
      <c r="V875" s="27"/>
      <c r="W875" s="27"/>
      <c r="X875" s="27"/>
      <c r="Y875" s="27"/>
      <c r="Z875" s="27"/>
      <c r="AA875" s="27"/>
      <c r="AB875" s="27"/>
      <c r="AC875" s="27"/>
      <c r="AD875" s="27"/>
      <c r="AE875" s="27"/>
      <c r="AF875" s="27"/>
      <c r="AG875" s="27"/>
      <c r="AH875" s="27"/>
    </row>
    <row r="876" spans="1:34" ht="16">
      <c r="A876" s="42" t="s">
        <v>266</v>
      </c>
      <c r="B876" s="42" t="s">
        <v>260</v>
      </c>
      <c r="C876" s="42" t="s">
        <v>407</v>
      </c>
      <c r="D876" s="42" t="s">
        <v>561</v>
      </c>
      <c r="E876" s="18" t="s">
        <v>760</v>
      </c>
      <c r="F876" s="27" t="s">
        <v>636</v>
      </c>
      <c r="G876" s="42" t="s">
        <v>761</v>
      </c>
      <c r="H876" s="43">
        <v>2014</v>
      </c>
      <c r="I876" s="38">
        <v>89794</v>
      </c>
      <c r="J876" s="38">
        <v>31307</v>
      </c>
      <c r="K876" s="38" t="s">
        <v>402</v>
      </c>
      <c r="L876" s="38" t="s">
        <v>734</v>
      </c>
      <c r="M876" s="57" t="s">
        <v>762</v>
      </c>
      <c r="N876" s="45"/>
      <c r="O876" s="27"/>
      <c r="P876" s="27"/>
      <c r="Q876" s="27"/>
      <c r="R876" s="27"/>
      <c r="S876" s="27"/>
      <c r="T876" s="27"/>
      <c r="U876" s="27"/>
      <c r="V876" s="27"/>
      <c r="W876" s="27"/>
      <c r="X876" s="27"/>
      <c r="Y876" s="27"/>
      <c r="Z876" s="27"/>
      <c r="AA876" s="27"/>
      <c r="AB876" s="27"/>
      <c r="AC876" s="27"/>
      <c r="AD876" s="27"/>
      <c r="AE876" s="27"/>
      <c r="AF876" s="27"/>
      <c r="AG876" s="27"/>
      <c r="AH876" s="27"/>
    </row>
    <row r="877" spans="1:34" ht="13">
      <c r="A877" s="42" t="s">
        <v>266</v>
      </c>
      <c r="B877" s="18" t="s">
        <v>260</v>
      </c>
      <c r="C877" s="42" t="s">
        <v>407</v>
      </c>
      <c r="D877" s="18" t="s">
        <v>561</v>
      </c>
      <c r="E877" s="18" t="s">
        <v>760</v>
      </c>
      <c r="F877" s="18" t="s">
        <v>621</v>
      </c>
      <c r="G877" s="18" t="s">
        <v>622</v>
      </c>
      <c r="H877" s="18">
        <v>1996</v>
      </c>
      <c r="I877" s="26">
        <v>57623</v>
      </c>
      <c r="J877" s="26">
        <v>37370</v>
      </c>
      <c r="K877" s="26">
        <v>88851</v>
      </c>
      <c r="L877" s="41" t="s">
        <v>623</v>
      </c>
      <c r="M877" s="57" t="s">
        <v>762</v>
      </c>
    </row>
    <row r="878" spans="1:34" ht="13">
      <c r="A878" s="42" t="s">
        <v>266</v>
      </c>
      <c r="B878" s="18" t="s">
        <v>260</v>
      </c>
      <c r="C878" s="42" t="s">
        <v>407</v>
      </c>
      <c r="D878" s="18" t="s">
        <v>561</v>
      </c>
      <c r="E878" s="18" t="s">
        <v>760</v>
      </c>
      <c r="F878" s="18" t="s">
        <v>621</v>
      </c>
      <c r="G878" s="18" t="s">
        <v>622</v>
      </c>
      <c r="H878" s="18">
        <v>2001</v>
      </c>
      <c r="I878" s="26">
        <v>53044</v>
      </c>
      <c r="J878" s="26">
        <v>35381</v>
      </c>
      <c r="K878" s="26">
        <v>79524</v>
      </c>
      <c r="L878" s="41" t="s">
        <v>623</v>
      </c>
      <c r="M878" s="57" t="s">
        <v>762</v>
      </c>
    </row>
    <row r="879" spans="1:34" ht="13">
      <c r="A879" s="42" t="s">
        <v>266</v>
      </c>
      <c r="B879" s="18" t="s">
        <v>260</v>
      </c>
      <c r="C879" s="42" t="s">
        <v>407</v>
      </c>
      <c r="D879" s="18" t="s">
        <v>561</v>
      </c>
      <c r="E879" s="18" t="s">
        <v>760</v>
      </c>
      <c r="F879" s="18" t="s">
        <v>621</v>
      </c>
      <c r="G879" s="18" t="s">
        <v>622</v>
      </c>
      <c r="H879" s="18">
        <v>2005</v>
      </c>
      <c r="I879" s="26">
        <v>52356</v>
      </c>
      <c r="J879" s="26">
        <v>34170</v>
      </c>
      <c r="K879" s="26">
        <v>80221</v>
      </c>
      <c r="L879" s="41" t="s">
        <v>623</v>
      </c>
      <c r="M879" s="57" t="s">
        <v>762</v>
      </c>
    </row>
    <row r="880" spans="1:34" ht="13">
      <c r="A880" s="42" t="s">
        <v>266</v>
      </c>
      <c r="B880" s="18" t="s">
        <v>260</v>
      </c>
      <c r="C880" s="42" t="s">
        <v>407</v>
      </c>
      <c r="D880" s="18" t="s">
        <v>561</v>
      </c>
      <c r="E880" s="18" t="s">
        <v>760</v>
      </c>
      <c r="F880" s="18" t="s">
        <v>621</v>
      </c>
      <c r="G880" s="18" t="s">
        <v>622</v>
      </c>
      <c r="H880" s="18">
        <v>2008</v>
      </c>
      <c r="I880" s="26">
        <v>58624</v>
      </c>
      <c r="J880" s="26">
        <v>40799</v>
      </c>
      <c r="K880" s="26">
        <v>84236</v>
      </c>
      <c r="L880" s="41" t="s">
        <v>623</v>
      </c>
      <c r="M880" s="57" t="s">
        <v>762</v>
      </c>
    </row>
    <row r="881" spans="1:14" ht="13">
      <c r="A881" s="42" t="s">
        <v>266</v>
      </c>
      <c r="B881" s="18" t="s">
        <v>260</v>
      </c>
      <c r="C881" s="42" t="s">
        <v>407</v>
      </c>
      <c r="D881" s="18" t="s">
        <v>561</v>
      </c>
      <c r="E881" s="18" t="s">
        <v>760</v>
      </c>
      <c r="F881" s="18" t="s">
        <v>621</v>
      </c>
      <c r="G881" s="18" t="s">
        <v>622</v>
      </c>
      <c r="H881" s="18">
        <v>2014</v>
      </c>
      <c r="I881" s="26">
        <v>58794</v>
      </c>
      <c r="J881" s="26">
        <v>40380</v>
      </c>
      <c r="K881" s="26">
        <v>85605</v>
      </c>
      <c r="L881" s="41" t="s">
        <v>623</v>
      </c>
      <c r="M881" s="57" t="s">
        <v>762</v>
      </c>
    </row>
    <row r="882" spans="1:14" ht="13">
      <c r="A882" s="42" t="s">
        <v>266</v>
      </c>
      <c r="B882" s="18" t="s">
        <v>260</v>
      </c>
      <c r="C882" s="42" t="s">
        <v>407</v>
      </c>
      <c r="D882" s="18" t="s">
        <v>561</v>
      </c>
      <c r="E882" s="18" t="s">
        <v>760</v>
      </c>
      <c r="F882" s="18" t="s">
        <v>621</v>
      </c>
      <c r="G882" s="18" t="s">
        <v>622</v>
      </c>
      <c r="H882" s="18">
        <v>2018</v>
      </c>
      <c r="I882" s="26">
        <v>83379</v>
      </c>
      <c r="J882" s="26">
        <v>54823</v>
      </c>
      <c r="K882" s="26">
        <v>126809</v>
      </c>
      <c r="L882" s="41" t="s">
        <v>623</v>
      </c>
      <c r="M882" s="57" t="s">
        <v>762</v>
      </c>
      <c r="N882" s="18"/>
    </row>
    <row r="883" spans="1:14" ht="13">
      <c r="A883" s="18" t="s">
        <v>763</v>
      </c>
      <c r="B883" s="18" t="s">
        <v>260</v>
      </c>
      <c r="C883" s="18" t="s">
        <v>371</v>
      </c>
      <c r="D883" s="18" t="s">
        <v>372</v>
      </c>
      <c r="E883" s="18" t="s">
        <v>764</v>
      </c>
      <c r="F883" s="18" t="s">
        <v>636</v>
      </c>
      <c r="G883" s="18" t="s">
        <v>611</v>
      </c>
      <c r="H883" s="18">
        <v>1991</v>
      </c>
      <c r="I883" s="40">
        <v>1702</v>
      </c>
      <c r="J883" s="40">
        <v>769</v>
      </c>
      <c r="K883" s="18">
        <v>4034</v>
      </c>
      <c r="L883" s="38" t="s">
        <v>612</v>
      </c>
      <c r="M883" s="32" t="s">
        <v>374</v>
      </c>
      <c r="N883" s="58" t="s">
        <v>765</v>
      </c>
    </row>
    <row r="884" spans="1:14" ht="13">
      <c r="A884" s="18" t="s">
        <v>763</v>
      </c>
      <c r="B884" s="18" t="s">
        <v>260</v>
      </c>
      <c r="C884" s="18" t="s">
        <v>371</v>
      </c>
      <c r="D884" s="18" t="s">
        <v>372</v>
      </c>
      <c r="E884" s="18" t="s">
        <v>764</v>
      </c>
      <c r="F884" s="18" t="s">
        <v>636</v>
      </c>
      <c r="G884" s="18" t="s">
        <v>611</v>
      </c>
      <c r="H884" s="18">
        <v>1993</v>
      </c>
      <c r="I884" s="40">
        <v>2438</v>
      </c>
      <c r="J884" s="40">
        <v>1058</v>
      </c>
      <c r="K884" s="18">
        <v>6015</v>
      </c>
      <c r="L884" s="38" t="s">
        <v>612</v>
      </c>
      <c r="M884" s="32" t="s">
        <v>374</v>
      </c>
      <c r="N884" s="58" t="s">
        <v>766</v>
      </c>
    </row>
    <row r="885" spans="1:14" ht="13">
      <c r="A885" s="18" t="s">
        <v>763</v>
      </c>
      <c r="B885" s="18" t="s">
        <v>260</v>
      </c>
      <c r="C885" s="18" t="s">
        <v>371</v>
      </c>
      <c r="D885" s="18" t="s">
        <v>372</v>
      </c>
      <c r="E885" s="18" t="s">
        <v>764</v>
      </c>
      <c r="F885" s="18" t="s">
        <v>636</v>
      </c>
      <c r="G885" s="18" t="s">
        <v>611</v>
      </c>
      <c r="H885" s="18">
        <v>1996</v>
      </c>
      <c r="I885" s="40">
        <v>2657</v>
      </c>
      <c r="J885" s="40">
        <v>1158</v>
      </c>
      <c r="K885" s="18">
        <v>6252</v>
      </c>
      <c r="L885" s="38" t="s">
        <v>612</v>
      </c>
      <c r="M885" s="32" t="s">
        <v>374</v>
      </c>
      <c r="N885" s="58" t="s">
        <v>767</v>
      </c>
    </row>
    <row r="886" spans="1:14" ht="13">
      <c r="A886" s="18" t="s">
        <v>763</v>
      </c>
      <c r="B886" s="18" t="s">
        <v>260</v>
      </c>
      <c r="C886" s="18" t="s">
        <v>371</v>
      </c>
      <c r="D886" s="18" t="s">
        <v>372</v>
      </c>
      <c r="E886" s="18" t="s">
        <v>764</v>
      </c>
      <c r="F886" s="18" t="s">
        <v>636</v>
      </c>
      <c r="G886" s="18" t="s">
        <v>611</v>
      </c>
      <c r="H886" s="18">
        <v>2001</v>
      </c>
      <c r="I886" s="40">
        <v>1078</v>
      </c>
      <c r="J886" s="40">
        <v>265</v>
      </c>
      <c r="K886" s="18">
        <v>3069</v>
      </c>
      <c r="L886" s="38" t="s">
        <v>612</v>
      </c>
      <c r="M886" s="32" t="s">
        <v>374</v>
      </c>
      <c r="N886" s="58" t="s">
        <v>768</v>
      </c>
    </row>
    <row r="887" spans="1:14" ht="13">
      <c r="A887" s="18" t="s">
        <v>763</v>
      </c>
      <c r="B887" s="18" t="s">
        <v>260</v>
      </c>
      <c r="C887" s="18" t="s">
        <v>371</v>
      </c>
      <c r="D887" s="18" t="s">
        <v>372</v>
      </c>
      <c r="E887" s="18" t="s">
        <v>764</v>
      </c>
      <c r="F887" s="18" t="s">
        <v>636</v>
      </c>
      <c r="G887" s="18" t="s">
        <v>611</v>
      </c>
      <c r="H887" s="18">
        <v>2005</v>
      </c>
      <c r="I887" s="40">
        <v>1227</v>
      </c>
      <c r="J887" s="40">
        <v>399</v>
      </c>
      <c r="K887" s="18">
        <v>3322</v>
      </c>
      <c r="L887" s="38" t="s">
        <v>612</v>
      </c>
      <c r="M887" s="32" t="s">
        <v>374</v>
      </c>
      <c r="N887" s="58" t="s">
        <v>769</v>
      </c>
    </row>
    <row r="888" spans="1:14" ht="13">
      <c r="A888" s="18" t="s">
        <v>763</v>
      </c>
      <c r="B888" s="18" t="s">
        <v>260</v>
      </c>
      <c r="C888" s="18" t="s">
        <v>371</v>
      </c>
      <c r="D888" s="18" t="s">
        <v>372</v>
      </c>
      <c r="E888" s="18" t="s">
        <v>764</v>
      </c>
      <c r="F888" s="18" t="s">
        <v>636</v>
      </c>
      <c r="G888" s="18" t="s">
        <v>611</v>
      </c>
      <c r="H888" s="18">
        <v>2008</v>
      </c>
      <c r="I888" s="40">
        <v>1148</v>
      </c>
      <c r="J888" s="40">
        <v>329</v>
      </c>
      <c r="K888" s="18">
        <v>3183</v>
      </c>
      <c r="L888" s="38" t="s">
        <v>612</v>
      </c>
      <c r="M888" s="32" t="s">
        <v>374</v>
      </c>
      <c r="N888" s="58" t="s">
        <v>770</v>
      </c>
    </row>
    <row r="889" spans="1:14" ht="13">
      <c r="A889" s="18" t="s">
        <v>763</v>
      </c>
      <c r="B889" s="18" t="s">
        <v>260</v>
      </c>
      <c r="C889" s="18" t="s">
        <v>371</v>
      </c>
      <c r="D889" s="18" t="s">
        <v>372</v>
      </c>
      <c r="E889" s="18" t="s">
        <v>764</v>
      </c>
      <c r="F889" s="18" t="s">
        <v>636</v>
      </c>
      <c r="G889" s="18" t="s">
        <v>611</v>
      </c>
      <c r="H889" s="18">
        <v>2014</v>
      </c>
      <c r="I889" s="40">
        <v>3044</v>
      </c>
      <c r="J889" s="40">
        <v>1042</v>
      </c>
      <c r="K889" s="18">
        <v>7999</v>
      </c>
      <c r="L889" s="38" t="s">
        <v>612</v>
      </c>
      <c r="M889" s="32" t="s">
        <v>374</v>
      </c>
      <c r="N889" s="58" t="s">
        <v>771</v>
      </c>
    </row>
    <row r="890" spans="1:14" ht="13">
      <c r="A890" s="18" t="s">
        <v>266</v>
      </c>
      <c r="B890" s="18" t="s">
        <v>260</v>
      </c>
      <c r="C890" s="18" t="s">
        <v>371</v>
      </c>
      <c r="D890" s="18" t="s">
        <v>577</v>
      </c>
      <c r="E890" s="18" t="s">
        <v>772</v>
      </c>
      <c r="F890" s="18" t="s">
        <v>636</v>
      </c>
      <c r="G890" s="18" t="s">
        <v>611</v>
      </c>
      <c r="H890" s="18">
        <v>1991</v>
      </c>
      <c r="I890" s="59">
        <v>385</v>
      </c>
      <c r="J890" s="59">
        <v>52</v>
      </c>
      <c r="K890" s="60">
        <v>1971</v>
      </c>
      <c r="L890" s="41" t="s">
        <v>734</v>
      </c>
      <c r="M890" s="24" t="s">
        <v>773</v>
      </c>
      <c r="N890" s="18"/>
    </row>
    <row r="891" spans="1:14" ht="13">
      <c r="A891" s="18" t="s">
        <v>266</v>
      </c>
      <c r="B891" s="18" t="s">
        <v>260</v>
      </c>
      <c r="C891" s="18" t="s">
        <v>371</v>
      </c>
      <c r="D891" s="18" t="s">
        <v>577</v>
      </c>
      <c r="E891" s="18" t="s">
        <v>772</v>
      </c>
      <c r="F891" s="18" t="s">
        <v>636</v>
      </c>
      <c r="G891" s="18" t="s">
        <v>611</v>
      </c>
      <c r="H891" s="18">
        <v>1996</v>
      </c>
      <c r="I891" s="59">
        <v>1414</v>
      </c>
      <c r="J891" s="59">
        <v>263</v>
      </c>
      <c r="K891" s="60">
        <v>7734</v>
      </c>
      <c r="L891" s="41" t="s">
        <v>734</v>
      </c>
      <c r="M891" s="24" t="s">
        <v>773</v>
      </c>
      <c r="N891" s="18"/>
    </row>
    <row r="892" spans="1:14" ht="13">
      <c r="A892" s="18" t="s">
        <v>266</v>
      </c>
      <c r="B892" s="18" t="s">
        <v>260</v>
      </c>
      <c r="C892" s="18" t="s">
        <v>371</v>
      </c>
      <c r="D892" s="18" t="s">
        <v>577</v>
      </c>
      <c r="E892" s="18" t="s">
        <v>772</v>
      </c>
      <c r="F892" s="18" t="s">
        <v>636</v>
      </c>
      <c r="G892" s="18" t="s">
        <v>611</v>
      </c>
      <c r="H892" s="18">
        <v>2001</v>
      </c>
      <c r="I892" s="59">
        <v>959</v>
      </c>
      <c r="J892" s="59">
        <v>191</v>
      </c>
      <c r="K892" s="60">
        <v>4643</v>
      </c>
      <c r="L892" s="41" t="s">
        <v>734</v>
      </c>
      <c r="M892" s="24" t="s">
        <v>773</v>
      </c>
      <c r="N892" s="18"/>
    </row>
    <row r="893" spans="1:14" ht="13">
      <c r="A893" s="18" t="s">
        <v>266</v>
      </c>
      <c r="B893" s="18" t="s">
        <v>260</v>
      </c>
      <c r="C893" s="18" t="s">
        <v>371</v>
      </c>
      <c r="D893" s="18" t="s">
        <v>577</v>
      </c>
      <c r="E893" s="18" t="s">
        <v>772</v>
      </c>
      <c r="F893" s="18" t="s">
        <v>636</v>
      </c>
      <c r="G893" s="18" t="s">
        <v>611</v>
      </c>
      <c r="H893" s="18">
        <v>2005</v>
      </c>
      <c r="I893" s="59">
        <v>1347</v>
      </c>
      <c r="J893" s="59">
        <v>145</v>
      </c>
      <c r="K893" s="60">
        <v>12708</v>
      </c>
      <c r="L893" s="41" t="s">
        <v>734</v>
      </c>
      <c r="M893" s="24" t="s">
        <v>773</v>
      </c>
      <c r="N893" s="18"/>
    </row>
    <row r="894" spans="1:14" ht="13">
      <c r="A894" s="18" t="s">
        <v>266</v>
      </c>
      <c r="B894" s="18" t="s">
        <v>260</v>
      </c>
      <c r="C894" s="18" t="s">
        <v>371</v>
      </c>
      <c r="D894" s="18" t="s">
        <v>577</v>
      </c>
      <c r="E894" s="18" t="s">
        <v>772</v>
      </c>
      <c r="F894" s="18" t="s">
        <v>636</v>
      </c>
      <c r="G894" s="18" t="s">
        <v>611</v>
      </c>
      <c r="H894" s="18">
        <v>2008</v>
      </c>
      <c r="I894" s="59">
        <v>609</v>
      </c>
      <c r="J894" s="59">
        <v>97</v>
      </c>
      <c r="K894" s="60">
        <v>4242</v>
      </c>
      <c r="L894" s="41" t="s">
        <v>734</v>
      </c>
      <c r="M894" s="24" t="s">
        <v>773</v>
      </c>
      <c r="N894" s="18"/>
    </row>
    <row r="895" spans="1:14" ht="13">
      <c r="A895" s="18" t="s">
        <v>266</v>
      </c>
      <c r="B895" s="18" t="s">
        <v>260</v>
      </c>
      <c r="C895" s="18" t="s">
        <v>371</v>
      </c>
      <c r="D895" s="18" t="s">
        <v>577</v>
      </c>
      <c r="E895" s="18" t="s">
        <v>772</v>
      </c>
      <c r="F895" s="18" t="s">
        <v>636</v>
      </c>
      <c r="G895" s="18" t="s">
        <v>611</v>
      </c>
      <c r="H895" s="18">
        <v>2014</v>
      </c>
      <c r="I895" s="59">
        <v>692</v>
      </c>
      <c r="J895" s="59">
        <v>155</v>
      </c>
      <c r="K895" s="60">
        <v>3404</v>
      </c>
      <c r="L895" s="41" t="s">
        <v>734</v>
      </c>
      <c r="M895" s="24" t="s">
        <v>773</v>
      </c>
      <c r="N895" s="18"/>
    </row>
    <row r="896" spans="1:14" ht="13">
      <c r="A896" s="18" t="s">
        <v>266</v>
      </c>
      <c r="B896" s="18" t="s">
        <v>260</v>
      </c>
      <c r="C896" s="18" t="s">
        <v>371</v>
      </c>
      <c r="D896" s="18" t="s">
        <v>577</v>
      </c>
      <c r="E896" s="18" t="s">
        <v>772</v>
      </c>
      <c r="F896" s="18" t="s">
        <v>621</v>
      </c>
      <c r="G896" s="18" t="s">
        <v>611</v>
      </c>
      <c r="H896" s="18">
        <v>1996</v>
      </c>
      <c r="I896" s="59">
        <v>847</v>
      </c>
      <c r="J896" s="40">
        <v>214</v>
      </c>
      <c r="K896" s="26">
        <v>3358</v>
      </c>
      <c r="L896" s="41" t="s">
        <v>623</v>
      </c>
      <c r="M896" s="24" t="s">
        <v>773</v>
      </c>
    </row>
    <row r="897" spans="1:14" ht="13">
      <c r="A897" s="18" t="s">
        <v>266</v>
      </c>
      <c r="B897" s="18" t="s">
        <v>260</v>
      </c>
      <c r="C897" s="18" t="s">
        <v>371</v>
      </c>
      <c r="D897" s="18" t="s">
        <v>577</v>
      </c>
      <c r="E897" s="18" t="s">
        <v>772</v>
      </c>
      <c r="F897" s="18" t="s">
        <v>621</v>
      </c>
      <c r="G897" s="18" t="s">
        <v>622</v>
      </c>
      <c r="H897" s="18">
        <v>2001</v>
      </c>
      <c r="I897" s="40">
        <v>812</v>
      </c>
      <c r="J897" s="40">
        <v>206</v>
      </c>
      <c r="K897" s="26">
        <v>3200</v>
      </c>
      <c r="L897" s="41" t="s">
        <v>623</v>
      </c>
      <c r="M897" s="24" t="s">
        <v>773</v>
      </c>
    </row>
    <row r="898" spans="1:14" ht="13">
      <c r="A898" s="18" t="s">
        <v>266</v>
      </c>
      <c r="B898" s="18" t="s">
        <v>260</v>
      </c>
      <c r="C898" s="18" t="s">
        <v>371</v>
      </c>
      <c r="D898" s="18" t="s">
        <v>577</v>
      </c>
      <c r="E898" s="18" t="s">
        <v>772</v>
      </c>
      <c r="F898" s="18" t="s">
        <v>621</v>
      </c>
      <c r="G898" s="18" t="s">
        <v>622</v>
      </c>
      <c r="H898" s="18">
        <v>2005</v>
      </c>
      <c r="I898" s="40">
        <v>819</v>
      </c>
      <c r="J898" s="40">
        <v>208</v>
      </c>
      <c r="K898" s="26">
        <v>3227</v>
      </c>
      <c r="L898" s="41" t="s">
        <v>623</v>
      </c>
      <c r="M898" s="24" t="s">
        <v>773</v>
      </c>
    </row>
    <row r="899" spans="1:14" ht="13">
      <c r="A899" s="18" t="s">
        <v>266</v>
      </c>
      <c r="B899" s="18" t="s">
        <v>260</v>
      </c>
      <c r="C899" s="18" t="s">
        <v>371</v>
      </c>
      <c r="D899" s="18" t="s">
        <v>577</v>
      </c>
      <c r="E899" s="18" t="s">
        <v>772</v>
      </c>
      <c r="F899" s="18" t="s">
        <v>621</v>
      </c>
      <c r="G899" s="18" t="s">
        <v>622</v>
      </c>
      <c r="H899" s="18">
        <v>2008</v>
      </c>
      <c r="I899" s="40">
        <v>804</v>
      </c>
      <c r="J899" s="40">
        <v>204</v>
      </c>
      <c r="K899" s="26">
        <v>3170</v>
      </c>
      <c r="L899" s="41" t="s">
        <v>623</v>
      </c>
      <c r="M899" s="24" t="s">
        <v>773</v>
      </c>
    </row>
    <row r="900" spans="1:14" ht="13">
      <c r="A900" s="18" t="s">
        <v>266</v>
      </c>
      <c r="B900" s="18" t="s">
        <v>260</v>
      </c>
      <c r="C900" s="18" t="s">
        <v>371</v>
      </c>
      <c r="D900" s="18" t="s">
        <v>577</v>
      </c>
      <c r="E900" s="18" t="s">
        <v>772</v>
      </c>
      <c r="F900" s="18" t="s">
        <v>621</v>
      </c>
      <c r="G900" s="18" t="s">
        <v>622</v>
      </c>
      <c r="H900" s="18">
        <v>2014</v>
      </c>
      <c r="I900" s="40">
        <v>1062</v>
      </c>
      <c r="J900" s="40">
        <v>270</v>
      </c>
      <c r="K900" s="26">
        <v>4184</v>
      </c>
      <c r="L900" s="41" t="s">
        <v>623</v>
      </c>
      <c r="M900" s="24" t="s">
        <v>773</v>
      </c>
    </row>
    <row r="901" spans="1:14" ht="13">
      <c r="A901" s="18" t="s">
        <v>266</v>
      </c>
      <c r="B901" s="18" t="s">
        <v>260</v>
      </c>
      <c r="C901" s="18" t="s">
        <v>371</v>
      </c>
      <c r="D901" s="18" t="s">
        <v>577</v>
      </c>
      <c r="E901" s="18" t="s">
        <v>772</v>
      </c>
      <c r="F901" s="18" t="s">
        <v>621</v>
      </c>
      <c r="G901" s="18" t="s">
        <v>622</v>
      </c>
      <c r="H901" s="18">
        <v>2018</v>
      </c>
      <c r="I901" s="40">
        <v>915</v>
      </c>
      <c r="J901" s="40">
        <v>233</v>
      </c>
      <c r="K901" s="26">
        <v>3590</v>
      </c>
      <c r="L901" s="41" t="s">
        <v>623</v>
      </c>
      <c r="M901" s="24" t="s">
        <v>773</v>
      </c>
    </row>
    <row r="902" spans="1:14" ht="13">
      <c r="A902" s="18" t="s">
        <v>272</v>
      </c>
      <c r="B902" s="18" t="s">
        <v>260</v>
      </c>
      <c r="C902" s="18" t="s">
        <v>774</v>
      </c>
      <c r="D902" s="18" t="s">
        <v>301</v>
      </c>
      <c r="E902" s="18" t="s">
        <v>775</v>
      </c>
      <c r="F902" s="18" t="s">
        <v>751</v>
      </c>
      <c r="G902" s="18" t="s">
        <v>776</v>
      </c>
      <c r="H902" s="37">
        <v>1990</v>
      </c>
      <c r="I902" s="37">
        <v>117.460317460317</v>
      </c>
      <c r="J902" s="37">
        <v>112.69841269841299</v>
      </c>
      <c r="K902" s="37">
        <v>121.428571428571</v>
      </c>
      <c r="L902" s="38" t="s">
        <v>637</v>
      </c>
      <c r="M902" s="21" t="s">
        <v>303</v>
      </c>
      <c r="N902" s="18" t="s">
        <v>304</v>
      </c>
    </row>
    <row r="903" spans="1:14" ht="13">
      <c r="A903" s="18" t="s">
        <v>272</v>
      </c>
      <c r="B903" s="18" t="s">
        <v>260</v>
      </c>
      <c r="C903" s="18" t="s">
        <v>774</v>
      </c>
      <c r="D903" s="18" t="s">
        <v>301</v>
      </c>
      <c r="E903" s="18" t="s">
        <v>775</v>
      </c>
      <c r="F903" s="18" t="s">
        <v>751</v>
      </c>
      <c r="G903" s="18" t="s">
        <v>776</v>
      </c>
      <c r="H903" s="37">
        <v>1991.0370370370399</v>
      </c>
      <c r="I903" s="37">
        <v>121.428571428571</v>
      </c>
      <c r="J903" s="37">
        <v>115.873015873016</v>
      </c>
      <c r="K903" s="37">
        <v>126.19047619047601</v>
      </c>
      <c r="L903" s="38" t="s">
        <v>637</v>
      </c>
      <c r="M903" s="21" t="s">
        <v>303</v>
      </c>
      <c r="N903" s="18" t="s">
        <v>304</v>
      </c>
    </row>
    <row r="904" spans="1:14" ht="13">
      <c r="A904" s="18" t="s">
        <v>272</v>
      </c>
      <c r="B904" s="18" t="s">
        <v>260</v>
      </c>
      <c r="C904" s="18" t="s">
        <v>774</v>
      </c>
      <c r="D904" s="18" t="s">
        <v>301</v>
      </c>
      <c r="E904" s="18" t="s">
        <v>775</v>
      </c>
      <c r="F904" s="18" t="s">
        <v>751</v>
      </c>
      <c r="G904" s="18" t="s">
        <v>776</v>
      </c>
      <c r="H904" s="37">
        <v>1992.0370370370399</v>
      </c>
      <c r="I904" s="37">
        <v>123.80952380952399</v>
      </c>
      <c r="J904" s="37">
        <v>119.04761904761899</v>
      </c>
      <c r="K904" s="37">
        <v>127.777777777778</v>
      </c>
      <c r="L904" s="38" t="s">
        <v>637</v>
      </c>
      <c r="M904" s="21" t="s">
        <v>303</v>
      </c>
      <c r="N904" s="18" t="s">
        <v>304</v>
      </c>
    </row>
    <row r="905" spans="1:14" ht="13">
      <c r="A905" s="18" t="s">
        <v>272</v>
      </c>
      <c r="B905" s="18" t="s">
        <v>260</v>
      </c>
      <c r="C905" s="18" t="s">
        <v>774</v>
      </c>
      <c r="D905" s="18" t="s">
        <v>301</v>
      </c>
      <c r="E905" s="18" t="s">
        <v>775</v>
      </c>
      <c r="F905" s="18" t="s">
        <v>751</v>
      </c>
      <c r="G905" s="18" t="s">
        <v>776</v>
      </c>
      <c r="H905" s="37">
        <v>1993</v>
      </c>
      <c r="I905" s="37">
        <v>119.04761904761899</v>
      </c>
      <c r="J905" s="37">
        <v>115.079365079365</v>
      </c>
      <c r="K905" s="37">
        <v>123.80952380952399</v>
      </c>
      <c r="L905" s="38" t="s">
        <v>637</v>
      </c>
      <c r="M905" s="21" t="s">
        <v>303</v>
      </c>
      <c r="N905" s="18" t="s">
        <v>304</v>
      </c>
    </row>
    <row r="906" spans="1:14" ht="13">
      <c r="A906" s="18" t="s">
        <v>272</v>
      </c>
      <c r="B906" s="18" t="s">
        <v>260</v>
      </c>
      <c r="C906" s="18" t="s">
        <v>774</v>
      </c>
      <c r="D906" s="18" t="s">
        <v>301</v>
      </c>
      <c r="E906" s="18" t="s">
        <v>775</v>
      </c>
      <c r="F906" s="18" t="s">
        <v>751</v>
      </c>
      <c r="G906" s="18" t="s">
        <v>776</v>
      </c>
      <c r="H906" s="37">
        <v>1994.0370370370399</v>
      </c>
      <c r="I906" s="37">
        <v>123.80952380952399</v>
      </c>
      <c r="J906" s="37">
        <v>119.84126984127001</v>
      </c>
      <c r="K906" s="37">
        <v>128.57142857142901</v>
      </c>
      <c r="L906" s="38" t="s">
        <v>637</v>
      </c>
      <c r="M906" s="21" t="s">
        <v>303</v>
      </c>
      <c r="N906" s="18" t="s">
        <v>304</v>
      </c>
    </row>
    <row r="907" spans="1:14" ht="13">
      <c r="A907" s="18" t="s">
        <v>272</v>
      </c>
      <c r="B907" s="18" t="s">
        <v>260</v>
      </c>
      <c r="C907" s="18" t="s">
        <v>774</v>
      </c>
      <c r="D907" s="18" t="s">
        <v>301</v>
      </c>
      <c r="E907" s="18" t="s">
        <v>775</v>
      </c>
      <c r="F907" s="18" t="s">
        <v>751</v>
      </c>
      <c r="G907" s="18" t="s">
        <v>776</v>
      </c>
      <c r="H907" s="37">
        <v>1995.0370370370399</v>
      </c>
      <c r="I907" s="37">
        <v>126.19047619047601</v>
      </c>
      <c r="J907" s="37">
        <v>122.222222222222</v>
      </c>
      <c r="K907" s="37">
        <v>130.15873015873001</v>
      </c>
      <c r="L907" s="38" t="s">
        <v>637</v>
      </c>
      <c r="M907" s="21" t="s">
        <v>303</v>
      </c>
      <c r="N907" s="18" t="s">
        <v>304</v>
      </c>
    </row>
    <row r="908" spans="1:14" ht="13">
      <c r="A908" s="18" t="s">
        <v>272</v>
      </c>
      <c r="B908" s="18" t="s">
        <v>260</v>
      </c>
      <c r="C908" s="18" t="s">
        <v>774</v>
      </c>
      <c r="D908" s="18" t="s">
        <v>301</v>
      </c>
      <c r="E908" s="18" t="s">
        <v>775</v>
      </c>
      <c r="F908" s="18" t="s">
        <v>751</v>
      </c>
      <c r="G908" s="18" t="s">
        <v>776</v>
      </c>
      <c r="H908" s="37">
        <v>1996</v>
      </c>
      <c r="I908" s="37">
        <v>134.12698412698401</v>
      </c>
      <c r="J908" s="37">
        <v>129.365079365079</v>
      </c>
      <c r="K908" s="37">
        <v>138.09523809523799</v>
      </c>
      <c r="L908" s="38" t="s">
        <v>637</v>
      </c>
      <c r="M908" s="21" t="s">
        <v>303</v>
      </c>
      <c r="N908" s="18" t="s">
        <v>304</v>
      </c>
    </row>
    <row r="909" spans="1:14" ht="13">
      <c r="A909" s="18" t="s">
        <v>272</v>
      </c>
      <c r="B909" s="18" t="s">
        <v>260</v>
      </c>
      <c r="C909" s="18" t="s">
        <v>774</v>
      </c>
      <c r="D909" s="18" t="s">
        <v>301</v>
      </c>
      <c r="E909" s="18" t="s">
        <v>775</v>
      </c>
      <c r="F909" s="18" t="s">
        <v>751</v>
      </c>
      <c r="G909" s="18" t="s">
        <v>776</v>
      </c>
      <c r="H909" s="37">
        <v>1997</v>
      </c>
      <c r="I909" s="37">
        <v>137.30158730158701</v>
      </c>
      <c r="J909" s="37">
        <v>131.746031746032</v>
      </c>
      <c r="K909" s="37">
        <v>141.26984126984101</v>
      </c>
      <c r="L909" s="38" t="s">
        <v>637</v>
      </c>
      <c r="M909" s="21" t="s">
        <v>303</v>
      </c>
      <c r="N909" s="18" t="s">
        <v>304</v>
      </c>
    </row>
    <row r="910" spans="1:14" ht="13">
      <c r="A910" s="18" t="s">
        <v>272</v>
      </c>
      <c r="B910" s="18" t="s">
        <v>260</v>
      </c>
      <c r="C910" s="18" t="s">
        <v>774</v>
      </c>
      <c r="D910" s="18" t="s">
        <v>301</v>
      </c>
      <c r="E910" s="18" t="s">
        <v>775</v>
      </c>
      <c r="F910" s="18" t="s">
        <v>751</v>
      </c>
      <c r="G910" s="18" t="s">
        <v>776</v>
      </c>
      <c r="H910" s="37">
        <v>1998</v>
      </c>
      <c r="I910" s="37">
        <v>134.12698412698401</v>
      </c>
      <c r="J910" s="37">
        <v>128.57142857142901</v>
      </c>
      <c r="K910" s="37">
        <v>138.09523809523799</v>
      </c>
      <c r="L910" s="38" t="s">
        <v>637</v>
      </c>
      <c r="M910" s="21" t="s">
        <v>303</v>
      </c>
      <c r="N910" s="18" t="s">
        <v>304</v>
      </c>
    </row>
    <row r="911" spans="1:14" ht="13">
      <c r="A911" s="18" t="s">
        <v>272</v>
      </c>
      <c r="B911" s="18" t="s">
        <v>260</v>
      </c>
      <c r="C911" s="18" t="s">
        <v>774</v>
      </c>
      <c r="D911" s="18" t="s">
        <v>301</v>
      </c>
      <c r="E911" s="18" t="s">
        <v>775</v>
      </c>
      <c r="F911" s="18" t="s">
        <v>751</v>
      </c>
      <c r="G911" s="18" t="s">
        <v>776</v>
      </c>
      <c r="H911" s="37">
        <v>1999.0370370370399</v>
      </c>
      <c r="I911" s="37">
        <v>130.95238095238099</v>
      </c>
      <c r="J911" s="37">
        <v>126.984126984127</v>
      </c>
      <c r="K911" s="37">
        <v>134.920634920635</v>
      </c>
      <c r="L911" s="38" t="s">
        <v>637</v>
      </c>
      <c r="M911" s="21" t="s">
        <v>303</v>
      </c>
      <c r="N911" s="18" t="s">
        <v>304</v>
      </c>
    </row>
    <row r="912" spans="1:14" ht="13">
      <c r="A912" s="18" t="s">
        <v>272</v>
      </c>
      <c r="B912" s="18" t="s">
        <v>260</v>
      </c>
      <c r="C912" s="18" t="s">
        <v>774</v>
      </c>
      <c r="D912" s="18" t="s">
        <v>301</v>
      </c>
      <c r="E912" s="18" t="s">
        <v>775</v>
      </c>
      <c r="F912" s="18" t="s">
        <v>751</v>
      </c>
      <c r="G912" s="18" t="s">
        <v>776</v>
      </c>
      <c r="H912" s="37">
        <v>2000</v>
      </c>
      <c r="I912" s="37">
        <v>126.984126984127</v>
      </c>
      <c r="J912" s="37">
        <v>123.80952380952399</v>
      </c>
      <c r="K912" s="37">
        <v>130.95238095238099</v>
      </c>
      <c r="L912" s="38" t="s">
        <v>637</v>
      </c>
      <c r="M912" s="21" t="s">
        <v>303</v>
      </c>
      <c r="N912" s="18" t="s">
        <v>304</v>
      </c>
    </row>
    <row r="913" spans="1:14" ht="13">
      <c r="A913" s="18" t="s">
        <v>272</v>
      </c>
      <c r="B913" s="18" t="s">
        <v>260</v>
      </c>
      <c r="C913" s="18" t="s">
        <v>774</v>
      </c>
      <c r="D913" s="18" t="s">
        <v>301</v>
      </c>
      <c r="E913" s="18" t="s">
        <v>775</v>
      </c>
      <c r="F913" s="18" t="s">
        <v>751</v>
      </c>
      <c r="G913" s="18" t="s">
        <v>776</v>
      </c>
      <c r="H913" s="37">
        <v>2001</v>
      </c>
      <c r="I913" s="37">
        <v>140.47619047619</v>
      </c>
      <c r="J913" s="37">
        <v>135.71428571428601</v>
      </c>
      <c r="K913" s="37">
        <v>142.857142857143</v>
      </c>
      <c r="L913" s="38" t="s">
        <v>637</v>
      </c>
      <c r="M913" s="21" t="s">
        <v>303</v>
      </c>
      <c r="N913" s="18" t="s">
        <v>304</v>
      </c>
    </row>
    <row r="914" spans="1:14" ht="13">
      <c r="A914" s="18" t="s">
        <v>272</v>
      </c>
      <c r="B914" s="18" t="s">
        <v>260</v>
      </c>
      <c r="C914" s="18" t="s">
        <v>774</v>
      </c>
      <c r="D914" s="18" t="s">
        <v>301</v>
      </c>
      <c r="E914" s="18" t="s">
        <v>775</v>
      </c>
      <c r="F914" s="18" t="s">
        <v>751</v>
      </c>
      <c r="G914" s="18" t="s">
        <v>776</v>
      </c>
      <c r="H914" s="37">
        <v>2002.0370370370399</v>
      </c>
      <c r="I914" s="37">
        <v>146.031746031746</v>
      </c>
      <c r="J914" s="37">
        <v>142.06349206349199</v>
      </c>
      <c r="K914" s="37">
        <v>150</v>
      </c>
      <c r="L914" s="38" t="s">
        <v>637</v>
      </c>
      <c r="M914" s="21" t="s">
        <v>303</v>
      </c>
      <c r="N914" s="18" t="s">
        <v>304</v>
      </c>
    </row>
    <row r="915" spans="1:14" ht="13">
      <c r="A915" s="18" t="s">
        <v>272</v>
      </c>
      <c r="B915" s="18" t="s">
        <v>260</v>
      </c>
      <c r="C915" s="18" t="s">
        <v>774</v>
      </c>
      <c r="D915" s="18" t="s">
        <v>301</v>
      </c>
      <c r="E915" s="18" t="s">
        <v>775</v>
      </c>
      <c r="F915" s="18" t="s">
        <v>751</v>
      </c>
      <c r="G915" s="18" t="s">
        <v>776</v>
      </c>
      <c r="H915" s="37">
        <v>2003.0370370370399</v>
      </c>
      <c r="I915" s="37">
        <v>148.41269841269801</v>
      </c>
      <c r="J915" s="37">
        <v>143.65079365079399</v>
      </c>
      <c r="K915" s="37">
        <v>152.38095238095201</v>
      </c>
      <c r="L915" s="38" t="s">
        <v>637</v>
      </c>
      <c r="M915" s="21" t="s">
        <v>303</v>
      </c>
      <c r="N915" s="18" t="s">
        <v>304</v>
      </c>
    </row>
    <row r="916" spans="1:14" ht="13">
      <c r="A916" s="18" t="s">
        <v>272</v>
      </c>
      <c r="B916" s="18" t="s">
        <v>260</v>
      </c>
      <c r="C916" s="18" t="s">
        <v>774</v>
      </c>
      <c r="D916" s="18" t="s">
        <v>301</v>
      </c>
      <c r="E916" s="18" t="s">
        <v>775</v>
      </c>
      <c r="F916" s="18" t="s">
        <v>751</v>
      </c>
      <c r="G916" s="18" t="s">
        <v>776</v>
      </c>
      <c r="H916" s="37">
        <v>2004</v>
      </c>
      <c r="I916" s="37">
        <v>150</v>
      </c>
      <c r="J916" s="37">
        <v>145.23809523809501</v>
      </c>
      <c r="K916" s="37">
        <v>153.968253968254</v>
      </c>
      <c r="L916" s="38" t="s">
        <v>637</v>
      </c>
      <c r="M916" s="21" t="s">
        <v>303</v>
      </c>
      <c r="N916" s="18" t="s">
        <v>304</v>
      </c>
    </row>
    <row r="917" spans="1:14" ht="13">
      <c r="A917" s="18" t="s">
        <v>272</v>
      </c>
      <c r="B917" s="18" t="s">
        <v>260</v>
      </c>
      <c r="C917" s="18" t="s">
        <v>774</v>
      </c>
      <c r="D917" s="18" t="s">
        <v>301</v>
      </c>
      <c r="E917" s="18" t="s">
        <v>775</v>
      </c>
      <c r="F917" s="18" t="s">
        <v>751</v>
      </c>
      <c r="G917" s="18" t="s">
        <v>776</v>
      </c>
      <c r="H917" s="37">
        <v>2005</v>
      </c>
      <c r="I917" s="37">
        <v>162.69841269841299</v>
      </c>
      <c r="J917" s="37">
        <v>157.93650793650801</v>
      </c>
      <c r="K917" s="37">
        <v>166.666666666667</v>
      </c>
      <c r="L917" s="38" t="s">
        <v>637</v>
      </c>
      <c r="M917" s="21" t="s">
        <v>303</v>
      </c>
      <c r="N917" s="18" t="s">
        <v>304</v>
      </c>
    </row>
    <row r="918" spans="1:14" ht="13">
      <c r="A918" s="18" t="s">
        <v>272</v>
      </c>
      <c r="B918" s="18" t="s">
        <v>260</v>
      </c>
      <c r="C918" s="18" t="s">
        <v>774</v>
      </c>
      <c r="D918" s="18" t="s">
        <v>301</v>
      </c>
      <c r="E918" s="18" t="s">
        <v>775</v>
      </c>
      <c r="F918" s="18" t="s">
        <v>751</v>
      </c>
      <c r="G918" s="18" t="s">
        <v>776</v>
      </c>
      <c r="H918" s="37">
        <v>2006</v>
      </c>
      <c r="I918" s="37">
        <v>161.90476190476201</v>
      </c>
      <c r="J918" s="37">
        <v>157.142857142857</v>
      </c>
      <c r="K918" s="37">
        <v>166.666666666667</v>
      </c>
      <c r="L918" s="38" t="s">
        <v>637</v>
      </c>
      <c r="M918" s="21" t="s">
        <v>303</v>
      </c>
      <c r="N918" s="18" t="s">
        <v>304</v>
      </c>
    </row>
    <row r="919" spans="1:14" ht="13">
      <c r="A919" s="18" t="s">
        <v>272</v>
      </c>
      <c r="B919" s="18" t="s">
        <v>260</v>
      </c>
      <c r="C919" s="18" t="s">
        <v>774</v>
      </c>
      <c r="D919" s="18" t="s">
        <v>301</v>
      </c>
      <c r="E919" s="18" t="s">
        <v>775</v>
      </c>
      <c r="F919" s="18" t="s">
        <v>751</v>
      </c>
      <c r="G919" s="18" t="s">
        <v>776</v>
      </c>
      <c r="H919" s="37">
        <v>2007</v>
      </c>
      <c r="I919" s="37">
        <v>161.90476190476201</v>
      </c>
      <c r="J919" s="37">
        <v>157.93650793650801</v>
      </c>
      <c r="K919" s="37">
        <v>166.666666666667</v>
      </c>
      <c r="L919" s="38" t="s">
        <v>637</v>
      </c>
      <c r="M919" s="21" t="s">
        <v>303</v>
      </c>
      <c r="N919" s="18" t="s">
        <v>304</v>
      </c>
    </row>
    <row r="920" spans="1:14" ht="13">
      <c r="A920" s="18" t="s">
        <v>272</v>
      </c>
      <c r="B920" s="18" t="s">
        <v>260</v>
      </c>
      <c r="C920" s="18" t="s">
        <v>774</v>
      </c>
      <c r="D920" s="18" t="s">
        <v>301</v>
      </c>
      <c r="E920" s="18" t="s">
        <v>775</v>
      </c>
      <c r="F920" s="18" t="s">
        <v>751</v>
      </c>
      <c r="G920" s="18" t="s">
        <v>776</v>
      </c>
      <c r="H920" s="37">
        <v>2008.0370370370399</v>
      </c>
      <c r="I920" s="37">
        <v>169.84126984126999</v>
      </c>
      <c r="J920" s="37">
        <v>165.079365079365</v>
      </c>
      <c r="K920" s="37">
        <v>173.80952380952399</v>
      </c>
      <c r="L920" s="38" t="s">
        <v>637</v>
      </c>
      <c r="M920" s="21" t="s">
        <v>303</v>
      </c>
      <c r="N920" s="18" t="s">
        <v>304</v>
      </c>
    </row>
    <row r="921" spans="1:14" ht="13">
      <c r="A921" s="18" t="s">
        <v>272</v>
      </c>
      <c r="B921" s="18" t="s">
        <v>260</v>
      </c>
      <c r="C921" s="18" t="s">
        <v>774</v>
      </c>
      <c r="D921" s="18" t="s">
        <v>301</v>
      </c>
      <c r="E921" s="18" t="s">
        <v>775</v>
      </c>
      <c r="F921" s="18" t="s">
        <v>751</v>
      </c>
      <c r="G921" s="18" t="s">
        <v>776</v>
      </c>
      <c r="H921" s="37">
        <v>2009</v>
      </c>
      <c r="I921" s="37">
        <v>188.09523809523799</v>
      </c>
      <c r="J921" s="37">
        <v>182.53968253968199</v>
      </c>
      <c r="K921" s="37">
        <v>191.26984126984101</v>
      </c>
      <c r="L921" s="38" t="s">
        <v>637</v>
      </c>
      <c r="M921" s="21" t="s">
        <v>303</v>
      </c>
      <c r="N921" s="18" t="s">
        <v>304</v>
      </c>
    </row>
    <row r="922" spans="1:14" ht="13">
      <c r="A922" s="18" t="s">
        <v>272</v>
      </c>
      <c r="B922" s="18" t="s">
        <v>260</v>
      </c>
      <c r="C922" s="18" t="s">
        <v>774</v>
      </c>
      <c r="D922" s="18" t="s">
        <v>301</v>
      </c>
      <c r="E922" s="18" t="s">
        <v>775</v>
      </c>
      <c r="F922" s="18" t="s">
        <v>751</v>
      </c>
      <c r="G922" s="18" t="s">
        <v>776</v>
      </c>
      <c r="H922" s="37">
        <v>2010</v>
      </c>
      <c r="I922" s="37">
        <v>196.031746031746</v>
      </c>
      <c r="J922" s="37">
        <v>190.47619047619</v>
      </c>
      <c r="K922" s="37">
        <v>200</v>
      </c>
      <c r="L922" s="38" t="s">
        <v>637</v>
      </c>
      <c r="M922" s="21" t="s">
        <v>303</v>
      </c>
      <c r="N922" s="18" t="s">
        <v>304</v>
      </c>
    </row>
    <row r="923" spans="1:14" ht="13">
      <c r="A923" s="18" t="s">
        <v>272</v>
      </c>
      <c r="B923" s="18" t="s">
        <v>260</v>
      </c>
      <c r="C923" s="18" t="s">
        <v>774</v>
      </c>
      <c r="D923" s="18" t="s">
        <v>301</v>
      </c>
      <c r="E923" s="18" t="s">
        <v>775</v>
      </c>
      <c r="F923" s="18" t="s">
        <v>751</v>
      </c>
      <c r="G923" s="18" t="s">
        <v>776</v>
      </c>
      <c r="H923" s="37">
        <v>2011</v>
      </c>
      <c r="I923" s="37">
        <v>200</v>
      </c>
      <c r="J923" s="37">
        <v>194.444444444444</v>
      </c>
      <c r="K923" s="37">
        <v>203.968253968254</v>
      </c>
      <c r="L923" s="38" t="s">
        <v>637</v>
      </c>
      <c r="M923" s="21" t="s">
        <v>303</v>
      </c>
      <c r="N923" s="18" t="s">
        <v>304</v>
      </c>
    </row>
    <row r="924" spans="1:14" ht="13">
      <c r="A924" s="18" t="s">
        <v>272</v>
      </c>
      <c r="B924" s="18" t="s">
        <v>260</v>
      </c>
      <c r="C924" s="18" t="s">
        <v>774</v>
      </c>
      <c r="D924" s="18" t="s">
        <v>301</v>
      </c>
      <c r="E924" s="18" t="s">
        <v>775</v>
      </c>
      <c r="F924" s="18" t="s">
        <v>751</v>
      </c>
      <c r="G924" s="18" t="s">
        <v>776</v>
      </c>
      <c r="H924" s="37">
        <v>2012</v>
      </c>
      <c r="I924" s="37">
        <v>193.65079365079399</v>
      </c>
      <c r="J924" s="37">
        <v>187.30158730158701</v>
      </c>
      <c r="K924" s="37">
        <v>199.20634920634899</v>
      </c>
      <c r="L924" s="38" t="s">
        <v>637</v>
      </c>
      <c r="M924" s="21" t="s">
        <v>303</v>
      </c>
      <c r="N924" s="18" t="s">
        <v>304</v>
      </c>
    </row>
    <row r="925" spans="1:14" ht="13">
      <c r="A925" s="18" t="s">
        <v>272</v>
      </c>
      <c r="B925" s="18" t="s">
        <v>260</v>
      </c>
      <c r="C925" s="18" t="s">
        <v>774</v>
      </c>
      <c r="D925" s="18" t="s">
        <v>301</v>
      </c>
      <c r="E925" s="18" t="s">
        <v>775</v>
      </c>
      <c r="F925" s="18" t="s">
        <v>751</v>
      </c>
      <c r="G925" s="18" t="s">
        <v>776</v>
      </c>
      <c r="H925" s="37">
        <v>2013.0370370370399</v>
      </c>
      <c r="I925" s="37">
        <v>199.20634920634899</v>
      </c>
      <c r="J925" s="37">
        <v>192.06349206349199</v>
      </c>
      <c r="K925" s="37">
        <v>203.968253968254</v>
      </c>
      <c r="L925" s="38" t="s">
        <v>637</v>
      </c>
      <c r="M925" s="21" t="s">
        <v>303</v>
      </c>
      <c r="N925" s="18" t="s">
        <v>304</v>
      </c>
    </row>
    <row r="926" spans="1:14" ht="13">
      <c r="A926" s="18" t="s">
        <v>272</v>
      </c>
      <c r="B926" s="18" t="s">
        <v>260</v>
      </c>
      <c r="C926" s="18" t="s">
        <v>774</v>
      </c>
      <c r="D926" s="18" t="s">
        <v>301</v>
      </c>
      <c r="E926" s="18" t="s">
        <v>775</v>
      </c>
      <c r="F926" s="18" t="s">
        <v>751</v>
      </c>
      <c r="G926" s="18" t="s">
        <v>776</v>
      </c>
      <c r="H926" s="37">
        <v>2014</v>
      </c>
      <c r="I926" s="37">
        <v>192.06349206349199</v>
      </c>
      <c r="J926" s="37">
        <v>185.71428571428601</v>
      </c>
      <c r="K926" s="37">
        <v>198.41269841269801</v>
      </c>
      <c r="L926" s="38" t="s">
        <v>637</v>
      </c>
      <c r="M926" s="21" t="s">
        <v>303</v>
      </c>
      <c r="N926" s="18" t="s">
        <v>304</v>
      </c>
    </row>
    <row r="927" spans="1:14" ht="13">
      <c r="A927" s="18" t="s">
        <v>272</v>
      </c>
      <c r="B927" s="18" t="s">
        <v>260</v>
      </c>
      <c r="C927" s="18" t="s">
        <v>774</v>
      </c>
      <c r="D927" s="18" t="s">
        <v>301</v>
      </c>
      <c r="E927" s="18" t="s">
        <v>775</v>
      </c>
      <c r="F927" s="18" t="s">
        <v>751</v>
      </c>
      <c r="G927" s="18" t="s">
        <v>776</v>
      </c>
      <c r="H927" s="37">
        <v>2015</v>
      </c>
      <c r="I927" s="37">
        <v>192.06349206349199</v>
      </c>
      <c r="J927" s="37">
        <v>185.71428571428601</v>
      </c>
      <c r="K927" s="37">
        <v>199.20634920634899</v>
      </c>
      <c r="L927" s="38" t="s">
        <v>637</v>
      </c>
      <c r="M927" s="21" t="s">
        <v>303</v>
      </c>
      <c r="N927" s="18" t="s">
        <v>304</v>
      </c>
    </row>
    <row r="928" spans="1:14" ht="13">
      <c r="A928" s="18" t="s">
        <v>272</v>
      </c>
      <c r="B928" s="18" t="s">
        <v>260</v>
      </c>
      <c r="C928" s="18" t="s">
        <v>774</v>
      </c>
      <c r="D928" s="18" t="s">
        <v>301</v>
      </c>
      <c r="E928" s="18" t="s">
        <v>775</v>
      </c>
      <c r="F928" s="18" t="s">
        <v>751</v>
      </c>
      <c r="G928" s="18" t="s">
        <v>776</v>
      </c>
      <c r="H928" s="37">
        <v>2016.0370370370399</v>
      </c>
      <c r="I928" s="37">
        <v>184.920634920635</v>
      </c>
      <c r="J928" s="37">
        <v>178.57142857142901</v>
      </c>
      <c r="K928" s="37">
        <v>191.26984126984101</v>
      </c>
      <c r="L928" s="38" t="s">
        <v>637</v>
      </c>
      <c r="M928" s="21" t="s">
        <v>303</v>
      </c>
      <c r="N928" s="18" t="s">
        <v>304</v>
      </c>
    </row>
    <row r="929" spans="1:14" ht="13">
      <c r="A929" s="18" t="s">
        <v>272</v>
      </c>
      <c r="B929" s="18" t="s">
        <v>260</v>
      </c>
      <c r="C929" s="18" t="s">
        <v>774</v>
      </c>
      <c r="D929" s="18" t="s">
        <v>301</v>
      </c>
      <c r="E929" s="18" t="s">
        <v>775</v>
      </c>
      <c r="F929" s="18" t="s">
        <v>751</v>
      </c>
      <c r="G929" s="18" t="s">
        <v>776</v>
      </c>
      <c r="H929" s="37">
        <v>2017</v>
      </c>
      <c r="I929" s="37">
        <v>177.777777777778</v>
      </c>
      <c r="J929" s="37">
        <v>171.42857142857099</v>
      </c>
      <c r="K929" s="37">
        <v>182.53968253968199</v>
      </c>
      <c r="L929" s="38" t="s">
        <v>637</v>
      </c>
      <c r="M929" s="21" t="s">
        <v>303</v>
      </c>
      <c r="N929" s="18" t="s">
        <v>304</v>
      </c>
    </row>
    <row r="930" spans="1:14" ht="13">
      <c r="A930" s="18" t="s">
        <v>272</v>
      </c>
      <c r="B930" s="18" t="s">
        <v>260</v>
      </c>
      <c r="C930" s="18" t="s">
        <v>774</v>
      </c>
      <c r="D930" s="18" t="s">
        <v>301</v>
      </c>
      <c r="E930" s="18" t="s">
        <v>775</v>
      </c>
      <c r="F930" s="18" t="s">
        <v>751</v>
      </c>
      <c r="G930" s="18" t="s">
        <v>776</v>
      </c>
      <c r="H930" s="37">
        <v>2018.0370370370399</v>
      </c>
      <c r="I930" s="37">
        <v>157.142857142857</v>
      </c>
      <c r="J930" s="37">
        <v>150.79365079365101</v>
      </c>
      <c r="K930" s="37">
        <v>161.90476190476201</v>
      </c>
      <c r="L930" s="38" t="s">
        <v>637</v>
      </c>
      <c r="M930" s="21" t="s">
        <v>303</v>
      </c>
      <c r="N930" s="18" t="s">
        <v>304</v>
      </c>
    </row>
    <row r="931" spans="1:14" ht="13">
      <c r="A931" s="18" t="s">
        <v>272</v>
      </c>
      <c r="B931" s="18" t="s">
        <v>260</v>
      </c>
      <c r="C931" s="18" t="s">
        <v>774</v>
      </c>
      <c r="D931" s="18" t="s">
        <v>301</v>
      </c>
      <c r="E931" s="18" t="s">
        <v>775</v>
      </c>
      <c r="F931" s="18" t="s">
        <v>751</v>
      </c>
      <c r="G931" s="18" t="s">
        <v>776</v>
      </c>
      <c r="H931" s="37">
        <v>2019</v>
      </c>
      <c r="I931" s="37">
        <v>150.79365079365101</v>
      </c>
      <c r="J931" s="37">
        <v>145.23809523809501</v>
      </c>
      <c r="K931" s="37">
        <v>155.555555555556</v>
      </c>
      <c r="L931" s="38" t="s">
        <v>637</v>
      </c>
      <c r="M931" s="21" t="s">
        <v>303</v>
      </c>
      <c r="N931" s="18" t="s">
        <v>304</v>
      </c>
    </row>
    <row r="932" spans="1:14" ht="13">
      <c r="A932" s="18" t="s">
        <v>272</v>
      </c>
      <c r="B932" s="18" t="s">
        <v>260</v>
      </c>
      <c r="C932" s="18" t="s">
        <v>774</v>
      </c>
      <c r="D932" s="18" t="s">
        <v>301</v>
      </c>
      <c r="E932" s="18" t="s">
        <v>775</v>
      </c>
      <c r="F932" s="18" t="s">
        <v>751</v>
      </c>
      <c r="G932" s="18" t="s">
        <v>776</v>
      </c>
      <c r="H932" s="37">
        <v>2020</v>
      </c>
      <c r="I932" s="37">
        <v>138.09523809523799</v>
      </c>
      <c r="J932" s="37">
        <v>129.365079365079</v>
      </c>
      <c r="K932" s="37">
        <v>145.23809523809501</v>
      </c>
      <c r="L932" s="38" t="s">
        <v>637</v>
      </c>
      <c r="M932" s="21" t="s">
        <v>303</v>
      </c>
      <c r="N932" s="18" t="s">
        <v>304</v>
      </c>
    </row>
    <row r="933" spans="1:14" ht="13">
      <c r="A933" s="18" t="s">
        <v>272</v>
      </c>
      <c r="B933" s="18" t="s">
        <v>260</v>
      </c>
      <c r="C933" s="18" t="s">
        <v>774</v>
      </c>
      <c r="D933" s="18" t="s">
        <v>301</v>
      </c>
      <c r="E933" s="18" t="s">
        <v>775</v>
      </c>
      <c r="F933" s="18" t="s">
        <v>751</v>
      </c>
      <c r="G933" s="18" t="s">
        <v>777</v>
      </c>
      <c r="H933" s="37">
        <v>1990</v>
      </c>
      <c r="I933" s="37">
        <v>145.23809523809501</v>
      </c>
      <c r="J933" s="37">
        <v>139.68253968254001</v>
      </c>
      <c r="K933" s="37">
        <v>148.41269841269801</v>
      </c>
      <c r="L933" s="38" t="s">
        <v>637</v>
      </c>
      <c r="M933" s="21" t="s">
        <v>303</v>
      </c>
      <c r="N933" s="18" t="s">
        <v>304</v>
      </c>
    </row>
    <row r="934" spans="1:14" ht="13">
      <c r="A934" s="18" t="s">
        <v>272</v>
      </c>
      <c r="B934" s="18" t="s">
        <v>260</v>
      </c>
      <c r="C934" s="18" t="s">
        <v>774</v>
      </c>
      <c r="D934" s="18" t="s">
        <v>301</v>
      </c>
      <c r="E934" s="18" t="s">
        <v>775</v>
      </c>
      <c r="F934" s="18" t="s">
        <v>751</v>
      </c>
      <c r="G934" s="18" t="s">
        <v>777</v>
      </c>
      <c r="H934" s="37">
        <v>1991.0370370370399</v>
      </c>
      <c r="I934" s="37">
        <v>149.20634920634899</v>
      </c>
      <c r="J934" s="37">
        <v>144.444444444444</v>
      </c>
      <c r="K934" s="37">
        <v>153.17460317460299</v>
      </c>
      <c r="L934" s="38" t="s">
        <v>637</v>
      </c>
      <c r="M934" s="21" t="s">
        <v>303</v>
      </c>
      <c r="N934" s="18" t="s">
        <v>304</v>
      </c>
    </row>
    <row r="935" spans="1:14" ht="13">
      <c r="A935" s="18" t="s">
        <v>272</v>
      </c>
      <c r="B935" s="18" t="s">
        <v>260</v>
      </c>
      <c r="C935" s="18" t="s">
        <v>774</v>
      </c>
      <c r="D935" s="18" t="s">
        <v>301</v>
      </c>
      <c r="E935" s="18" t="s">
        <v>775</v>
      </c>
      <c r="F935" s="18" t="s">
        <v>751</v>
      </c>
      <c r="G935" s="18" t="s">
        <v>777</v>
      </c>
      <c r="H935" s="37">
        <v>1992.0370370370399</v>
      </c>
      <c r="I935" s="37">
        <v>155.555555555556</v>
      </c>
      <c r="J935" s="37">
        <v>151.58730158730199</v>
      </c>
      <c r="K935" s="37">
        <v>160.31746031745999</v>
      </c>
      <c r="L935" s="38" t="s">
        <v>637</v>
      </c>
      <c r="M935" s="21" t="s">
        <v>303</v>
      </c>
      <c r="N935" s="18" t="s">
        <v>304</v>
      </c>
    </row>
    <row r="936" spans="1:14" ht="13">
      <c r="A936" s="18" t="s">
        <v>272</v>
      </c>
      <c r="B936" s="18" t="s">
        <v>260</v>
      </c>
      <c r="C936" s="18" t="s">
        <v>774</v>
      </c>
      <c r="D936" s="18" t="s">
        <v>301</v>
      </c>
      <c r="E936" s="18" t="s">
        <v>775</v>
      </c>
      <c r="F936" s="18" t="s">
        <v>751</v>
      </c>
      <c r="G936" s="18" t="s">
        <v>777</v>
      </c>
      <c r="H936" s="37">
        <v>1993.0370370370399</v>
      </c>
      <c r="I936" s="37">
        <v>157.93650793650801</v>
      </c>
      <c r="J936" s="37">
        <v>152.38095238095201</v>
      </c>
      <c r="K936" s="37">
        <v>161.90476190476201</v>
      </c>
      <c r="L936" s="38" t="s">
        <v>637</v>
      </c>
      <c r="M936" s="21" t="s">
        <v>303</v>
      </c>
      <c r="N936" s="18" t="s">
        <v>304</v>
      </c>
    </row>
    <row r="937" spans="1:14" ht="13">
      <c r="A937" s="18" t="s">
        <v>272</v>
      </c>
      <c r="B937" s="18" t="s">
        <v>260</v>
      </c>
      <c r="C937" s="18" t="s">
        <v>774</v>
      </c>
      <c r="D937" s="18" t="s">
        <v>301</v>
      </c>
      <c r="E937" s="18" t="s">
        <v>775</v>
      </c>
      <c r="F937" s="18" t="s">
        <v>751</v>
      </c>
      <c r="G937" s="18" t="s">
        <v>777</v>
      </c>
      <c r="H937" s="37">
        <v>1994.0370370370399</v>
      </c>
      <c r="I937" s="37">
        <v>161.90476190476201</v>
      </c>
      <c r="J937" s="37">
        <v>156.34920634920601</v>
      </c>
      <c r="K937" s="37">
        <v>165.87301587301599</v>
      </c>
      <c r="L937" s="38" t="s">
        <v>637</v>
      </c>
      <c r="M937" s="21" t="s">
        <v>303</v>
      </c>
      <c r="N937" s="18" t="s">
        <v>304</v>
      </c>
    </row>
    <row r="938" spans="1:14" ht="13">
      <c r="A938" s="18" t="s">
        <v>272</v>
      </c>
      <c r="B938" s="18" t="s">
        <v>260</v>
      </c>
      <c r="C938" s="18" t="s">
        <v>774</v>
      </c>
      <c r="D938" s="18" t="s">
        <v>301</v>
      </c>
      <c r="E938" s="18" t="s">
        <v>775</v>
      </c>
      <c r="F938" s="18" t="s">
        <v>751</v>
      </c>
      <c r="G938" s="18" t="s">
        <v>777</v>
      </c>
      <c r="H938" s="37">
        <v>1995</v>
      </c>
      <c r="I938" s="37">
        <v>165.87301587301599</v>
      </c>
      <c r="J938" s="37">
        <v>161.90476190476201</v>
      </c>
      <c r="K938" s="37">
        <v>169.84126984126999</v>
      </c>
      <c r="L938" s="38" t="s">
        <v>637</v>
      </c>
      <c r="M938" s="21" t="s">
        <v>303</v>
      </c>
      <c r="N938" s="18" t="s">
        <v>304</v>
      </c>
    </row>
    <row r="939" spans="1:14" ht="13">
      <c r="A939" s="18" t="s">
        <v>272</v>
      </c>
      <c r="B939" s="18" t="s">
        <v>260</v>
      </c>
      <c r="C939" s="18" t="s">
        <v>774</v>
      </c>
      <c r="D939" s="18" t="s">
        <v>301</v>
      </c>
      <c r="E939" s="18" t="s">
        <v>775</v>
      </c>
      <c r="F939" s="18" t="s">
        <v>751</v>
      </c>
      <c r="G939" s="18" t="s">
        <v>777</v>
      </c>
      <c r="H939" s="37">
        <v>1996.0370370370399</v>
      </c>
      <c r="I939" s="37">
        <v>169.04761904761901</v>
      </c>
      <c r="J939" s="37">
        <v>164.28571428571399</v>
      </c>
      <c r="K939" s="37">
        <v>174.60317460317501</v>
      </c>
      <c r="L939" s="38" t="s">
        <v>637</v>
      </c>
      <c r="M939" s="21" t="s">
        <v>303</v>
      </c>
      <c r="N939" s="18" t="s">
        <v>304</v>
      </c>
    </row>
    <row r="940" spans="1:14" ht="13">
      <c r="A940" s="18" t="s">
        <v>272</v>
      </c>
      <c r="B940" s="18" t="s">
        <v>260</v>
      </c>
      <c r="C940" s="18" t="s">
        <v>774</v>
      </c>
      <c r="D940" s="18" t="s">
        <v>301</v>
      </c>
      <c r="E940" s="18" t="s">
        <v>775</v>
      </c>
      <c r="F940" s="18" t="s">
        <v>751</v>
      </c>
      <c r="G940" s="18" t="s">
        <v>777</v>
      </c>
      <c r="H940" s="37">
        <v>1997.0370370370399</v>
      </c>
      <c r="I940" s="37">
        <v>177.777777777778</v>
      </c>
      <c r="J940" s="37">
        <v>171.42857142857099</v>
      </c>
      <c r="K940" s="37">
        <v>180.95238095238099</v>
      </c>
      <c r="L940" s="38" t="s">
        <v>637</v>
      </c>
      <c r="M940" s="21" t="s">
        <v>303</v>
      </c>
      <c r="N940" s="18" t="s">
        <v>304</v>
      </c>
    </row>
    <row r="941" spans="1:14" ht="13">
      <c r="A941" s="18" t="s">
        <v>272</v>
      </c>
      <c r="B941" s="18" t="s">
        <v>260</v>
      </c>
      <c r="C941" s="18" t="s">
        <v>774</v>
      </c>
      <c r="D941" s="18" t="s">
        <v>301</v>
      </c>
      <c r="E941" s="18" t="s">
        <v>775</v>
      </c>
      <c r="F941" s="18" t="s">
        <v>751</v>
      </c>
      <c r="G941" s="18" t="s">
        <v>777</v>
      </c>
      <c r="H941" s="37">
        <v>1998</v>
      </c>
      <c r="I941" s="37">
        <v>179.365079365079</v>
      </c>
      <c r="J941" s="37">
        <v>173.01587301587301</v>
      </c>
      <c r="K941" s="37">
        <v>183.333333333333</v>
      </c>
      <c r="L941" s="38" t="s">
        <v>637</v>
      </c>
      <c r="M941" s="21" t="s">
        <v>303</v>
      </c>
      <c r="N941" s="18" t="s">
        <v>304</v>
      </c>
    </row>
    <row r="942" spans="1:14" ht="13">
      <c r="A942" s="18" t="s">
        <v>272</v>
      </c>
      <c r="B942" s="18" t="s">
        <v>260</v>
      </c>
      <c r="C942" s="18" t="s">
        <v>774</v>
      </c>
      <c r="D942" s="18" t="s">
        <v>301</v>
      </c>
      <c r="E942" s="18" t="s">
        <v>775</v>
      </c>
      <c r="F942" s="18" t="s">
        <v>751</v>
      </c>
      <c r="G942" s="18" t="s">
        <v>777</v>
      </c>
      <c r="H942" s="37">
        <v>1999.0370370370399</v>
      </c>
      <c r="I942" s="37">
        <v>179.365079365079</v>
      </c>
      <c r="J942" s="37">
        <v>175.39682539682499</v>
      </c>
      <c r="K942" s="37">
        <v>184.920634920635</v>
      </c>
      <c r="L942" s="38" t="s">
        <v>637</v>
      </c>
      <c r="M942" s="21" t="s">
        <v>303</v>
      </c>
      <c r="N942" s="18" t="s">
        <v>304</v>
      </c>
    </row>
    <row r="943" spans="1:14" ht="13">
      <c r="A943" s="18" t="s">
        <v>272</v>
      </c>
      <c r="B943" s="18" t="s">
        <v>260</v>
      </c>
      <c r="C943" s="18" t="s">
        <v>774</v>
      </c>
      <c r="D943" s="18" t="s">
        <v>301</v>
      </c>
      <c r="E943" s="18" t="s">
        <v>775</v>
      </c>
      <c r="F943" s="18" t="s">
        <v>751</v>
      </c>
      <c r="G943" s="18" t="s">
        <v>777</v>
      </c>
      <c r="H943" s="37">
        <v>2000</v>
      </c>
      <c r="I943" s="37">
        <v>181.746031746032</v>
      </c>
      <c r="J943" s="37">
        <v>176.19047619047601</v>
      </c>
      <c r="K943" s="37">
        <v>184.920634920635</v>
      </c>
      <c r="L943" s="38" t="s">
        <v>637</v>
      </c>
      <c r="M943" s="21" t="s">
        <v>303</v>
      </c>
      <c r="N943" s="18" t="s">
        <v>304</v>
      </c>
    </row>
    <row r="944" spans="1:14" ht="13">
      <c r="A944" s="18" t="s">
        <v>272</v>
      </c>
      <c r="B944" s="18" t="s">
        <v>260</v>
      </c>
      <c r="C944" s="18" t="s">
        <v>774</v>
      </c>
      <c r="D944" s="18" t="s">
        <v>301</v>
      </c>
      <c r="E944" s="18" t="s">
        <v>775</v>
      </c>
      <c r="F944" s="18" t="s">
        <v>751</v>
      </c>
      <c r="G944" s="18" t="s">
        <v>777</v>
      </c>
      <c r="H944" s="37">
        <v>2001</v>
      </c>
      <c r="I944" s="37">
        <v>192.06349206349199</v>
      </c>
      <c r="J944" s="37">
        <v>187.30158730158701</v>
      </c>
      <c r="K944" s="37">
        <v>196.031746031746</v>
      </c>
      <c r="L944" s="38" t="s">
        <v>637</v>
      </c>
      <c r="M944" s="21" t="s">
        <v>303</v>
      </c>
      <c r="N944" s="18" t="s">
        <v>304</v>
      </c>
    </row>
    <row r="945" spans="1:14" ht="13">
      <c r="A945" s="18" t="s">
        <v>272</v>
      </c>
      <c r="B945" s="18" t="s">
        <v>260</v>
      </c>
      <c r="C945" s="18" t="s">
        <v>774</v>
      </c>
      <c r="D945" s="18" t="s">
        <v>301</v>
      </c>
      <c r="E945" s="18" t="s">
        <v>775</v>
      </c>
      <c r="F945" s="18" t="s">
        <v>751</v>
      </c>
      <c r="G945" s="18" t="s">
        <v>777</v>
      </c>
      <c r="H945" s="37">
        <v>2002</v>
      </c>
      <c r="I945" s="37">
        <v>199.20634920634899</v>
      </c>
      <c r="J945" s="37">
        <v>192.857142857143</v>
      </c>
      <c r="K945" s="37">
        <v>202.38095238095201</v>
      </c>
      <c r="L945" s="38" t="s">
        <v>637</v>
      </c>
      <c r="M945" s="21" t="s">
        <v>303</v>
      </c>
      <c r="N945" s="18" t="s">
        <v>304</v>
      </c>
    </row>
    <row r="946" spans="1:14" ht="13">
      <c r="A946" s="18" t="s">
        <v>272</v>
      </c>
      <c r="B946" s="18" t="s">
        <v>260</v>
      </c>
      <c r="C946" s="18" t="s">
        <v>774</v>
      </c>
      <c r="D946" s="18" t="s">
        <v>301</v>
      </c>
      <c r="E946" s="18" t="s">
        <v>775</v>
      </c>
      <c r="F946" s="18" t="s">
        <v>751</v>
      </c>
      <c r="G946" s="18" t="s">
        <v>777</v>
      </c>
      <c r="H946" s="37">
        <v>2003.0370370370399</v>
      </c>
      <c r="I946" s="37">
        <v>211.111111111111</v>
      </c>
      <c r="J946" s="37">
        <v>205.555555555556</v>
      </c>
      <c r="K946" s="37">
        <v>215.079365079365</v>
      </c>
      <c r="L946" s="38" t="s">
        <v>637</v>
      </c>
      <c r="M946" s="21" t="s">
        <v>303</v>
      </c>
      <c r="N946" s="18" t="s">
        <v>304</v>
      </c>
    </row>
    <row r="947" spans="1:14" ht="13">
      <c r="A947" s="18" t="s">
        <v>272</v>
      </c>
      <c r="B947" s="18" t="s">
        <v>260</v>
      </c>
      <c r="C947" s="18" t="s">
        <v>774</v>
      </c>
      <c r="D947" s="18" t="s">
        <v>301</v>
      </c>
      <c r="E947" s="18" t="s">
        <v>775</v>
      </c>
      <c r="F947" s="18" t="s">
        <v>751</v>
      </c>
      <c r="G947" s="18" t="s">
        <v>777</v>
      </c>
      <c r="H947" s="37">
        <v>2004</v>
      </c>
      <c r="I947" s="37">
        <v>218.253968253968</v>
      </c>
      <c r="J947" s="37">
        <v>212.69841269841299</v>
      </c>
      <c r="K947" s="37">
        <v>222.222222222222</v>
      </c>
      <c r="L947" s="38" t="s">
        <v>637</v>
      </c>
      <c r="M947" s="21" t="s">
        <v>303</v>
      </c>
      <c r="N947" s="18" t="s">
        <v>304</v>
      </c>
    </row>
    <row r="948" spans="1:14" ht="13">
      <c r="A948" s="18" t="s">
        <v>272</v>
      </c>
      <c r="B948" s="18" t="s">
        <v>260</v>
      </c>
      <c r="C948" s="18" t="s">
        <v>774</v>
      </c>
      <c r="D948" s="18" t="s">
        <v>301</v>
      </c>
      <c r="E948" s="18" t="s">
        <v>775</v>
      </c>
      <c r="F948" s="18" t="s">
        <v>751</v>
      </c>
      <c r="G948" s="18" t="s">
        <v>777</v>
      </c>
      <c r="H948" s="37">
        <v>2005</v>
      </c>
      <c r="I948" s="37">
        <v>229.365079365079</v>
      </c>
      <c r="J948" s="37">
        <v>223.80952380952399</v>
      </c>
      <c r="K948" s="37">
        <v>234.12698412698401</v>
      </c>
      <c r="L948" s="38" t="s">
        <v>637</v>
      </c>
      <c r="M948" s="21" t="s">
        <v>303</v>
      </c>
      <c r="N948" s="18" t="s">
        <v>304</v>
      </c>
    </row>
    <row r="949" spans="1:14" ht="13">
      <c r="A949" s="18" t="s">
        <v>272</v>
      </c>
      <c r="B949" s="18" t="s">
        <v>260</v>
      </c>
      <c r="C949" s="18" t="s">
        <v>774</v>
      </c>
      <c r="D949" s="18" t="s">
        <v>301</v>
      </c>
      <c r="E949" s="18" t="s">
        <v>775</v>
      </c>
      <c r="F949" s="18" t="s">
        <v>751</v>
      </c>
      <c r="G949" s="18" t="s">
        <v>777</v>
      </c>
      <c r="H949" s="37">
        <v>2006.0370370370399</v>
      </c>
      <c r="I949" s="37">
        <v>240.47619047619</v>
      </c>
      <c r="J949" s="37">
        <v>234.920634920635</v>
      </c>
      <c r="K949" s="37">
        <v>245.23809523809501</v>
      </c>
      <c r="L949" s="38" t="s">
        <v>637</v>
      </c>
      <c r="M949" s="21" t="s">
        <v>303</v>
      </c>
      <c r="N949" s="18" t="s">
        <v>304</v>
      </c>
    </row>
    <row r="950" spans="1:14" ht="13">
      <c r="A950" s="18" t="s">
        <v>272</v>
      </c>
      <c r="B950" s="18" t="s">
        <v>260</v>
      </c>
      <c r="C950" s="18" t="s">
        <v>774</v>
      </c>
      <c r="D950" s="18" t="s">
        <v>301</v>
      </c>
      <c r="E950" s="18" t="s">
        <v>775</v>
      </c>
      <c r="F950" s="18" t="s">
        <v>751</v>
      </c>
      <c r="G950" s="18" t="s">
        <v>777</v>
      </c>
      <c r="H950" s="37">
        <v>2007.0370370370399</v>
      </c>
      <c r="I950" s="37">
        <v>250</v>
      </c>
      <c r="J950" s="37">
        <v>245.23809523809501</v>
      </c>
      <c r="K950" s="37">
        <v>254.76190476190499</v>
      </c>
      <c r="L950" s="38" t="s">
        <v>637</v>
      </c>
      <c r="M950" s="21" t="s">
        <v>303</v>
      </c>
      <c r="N950" s="18" t="s">
        <v>304</v>
      </c>
    </row>
    <row r="951" spans="1:14" ht="13">
      <c r="A951" s="18" t="s">
        <v>272</v>
      </c>
      <c r="B951" s="18" t="s">
        <v>260</v>
      </c>
      <c r="C951" s="18" t="s">
        <v>774</v>
      </c>
      <c r="D951" s="18" t="s">
        <v>301</v>
      </c>
      <c r="E951" s="18" t="s">
        <v>775</v>
      </c>
      <c r="F951" s="18" t="s">
        <v>751</v>
      </c>
      <c r="G951" s="18" t="s">
        <v>777</v>
      </c>
      <c r="H951" s="37">
        <v>2008.0370370370399</v>
      </c>
      <c r="I951" s="37">
        <v>261.11111111111097</v>
      </c>
      <c r="J951" s="37">
        <v>256.34920634920599</v>
      </c>
      <c r="K951" s="37">
        <v>265.87301587301602</v>
      </c>
      <c r="L951" s="38" t="s">
        <v>637</v>
      </c>
      <c r="M951" s="21" t="s">
        <v>303</v>
      </c>
      <c r="N951" s="18" t="s">
        <v>304</v>
      </c>
    </row>
    <row r="952" spans="1:14" ht="13">
      <c r="A952" s="18" t="s">
        <v>272</v>
      </c>
      <c r="B952" s="18" t="s">
        <v>260</v>
      </c>
      <c r="C952" s="18" t="s">
        <v>774</v>
      </c>
      <c r="D952" s="18" t="s">
        <v>301</v>
      </c>
      <c r="E952" s="18" t="s">
        <v>775</v>
      </c>
      <c r="F952" s="18" t="s">
        <v>751</v>
      </c>
      <c r="G952" s="18" t="s">
        <v>777</v>
      </c>
      <c r="H952" s="37">
        <v>2009.0370370370399</v>
      </c>
      <c r="I952" s="37">
        <v>273.01587301587301</v>
      </c>
      <c r="J952" s="37">
        <v>269.84126984126999</v>
      </c>
      <c r="K952" s="37">
        <v>278.57142857142901</v>
      </c>
      <c r="L952" s="38" t="s">
        <v>637</v>
      </c>
      <c r="M952" s="21" t="s">
        <v>303</v>
      </c>
      <c r="N952" s="18" t="s">
        <v>304</v>
      </c>
    </row>
    <row r="953" spans="1:14" ht="13">
      <c r="A953" s="18" t="s">
        <v>272</v>
      </c>
      <c r="B953" s="18" t="s">
        <v>260</v>
      </c>
      <c r="C953" s="18" t="s">
        <v>774</v>
      </c>
      <c r="D953" s="18" t="s">
        <v>301</v>
      </c>
      <c r="E953" s="18" t="s">
        <v>775</v>
      </c>
      <c r="F953" s="18" t="s">
        <v>751</v>
      </c>
      <c r="G953" s="18" t="s">
        <v>777</v>
      </c>
      <c r="H953" s="37">
        <v>2010</v>
      </c>
      <c r="I953" s="37">
        <v>280.95238095238102</v>
      </c>
      <c r="J953" s="37">
        <v>274.60317460317498</v>
      </c>
      <c r="K953" s="37">
        <v>284.920634920635</v>
      </c>
      <c r="L953" s="38" t="s">
        <v>637</v>
      </c>
      <c r="M953" s="21" t="s">
        <v>303</v>
      </c>
      <c r="N953" s="18" t="s">
        <v>304</v>
      </c>
    </row>
    <row r="954" spans="1:14" ht="13">
      <c r="A954" s="18" t="s">
        <v>272</v>
      </c>
      <c r="B954" s="18" t="s">
        <v>260</v>
      </c>
      <c r="C954" s="18" t="s">
        <v>774</v>
      </c>
      <c r="D954" s="18" t="s">
        <v>301</v>
      </c>
      <c r="E954" s="18" t="s">
        <v>775</v>
      </c>
      <c r="F954" s="18" t="s">
        <v>751</v>
      </c>
      <c r="G954" s="18" t="s">
        <v>777</v>
      </c>
      <c r="H954" s="37">
        <v>2011.0370370370399</v>
      </c>
      <c r="I954" s="37">
        <v>280.95238095238102</v>
      </c>
      <c r="J954" s="37">
        <v>275.39682539682502</v>
      </c>
      <c r="K954" s="37">
        <v>286.50793650793599</v>
      </c>
      <c r="L954" s="38" t="s">
        <v>637</v>
      </c>
      <c r="M954" s="21" t="s">
        <v>303</v>
      </c>
      <c r="N954" s="18" t="s">
        <v>304</v>
      </c>
    </row>
    <row r="955" spans="1:14" ht="13">
      <c r="A955" s="18" t="s">
        <v>272</v>
      </c>
      <c r="B955" s="18" t="s">
        <v>260</v>
      </c>
      <c r="C955" s="18" t="s">
        <v>774</v>
      </c>
      <c r="D955" s="18" t="s">
        <v>301</v>
      </c>
      <c r="E955" s="18" t="s">
        <v>775</v>
      </c>
      <c r="F955" s="18" t="s">
        <v>751</v>
      </c>
      <c r="G955" s="18" t="s">
        <v>777</v>
      </c>
      <c r="H955" s="37">
        <v>2012</v>
      </c>
      <c r="I955" s="37">
        <v>278.57142857142901</v>
      </c>
      <c r="J955" s="37">
        <v>272.222222222222</v>
      </c>
      <c r="K955" s="37">
        <v>284.12698412698398</v>
      </c>
      <c r="L955" s="38" t="s">
        <v>637</v>
      </c>
      <c r="M955" s="21" t="s">
        <v>303</v>
      </c>
      <c r="N955" s="18" t="s">
        <v>304</v>
      </c>
    </row>
    <row r="956" spans="1:14" ht="13">
      <c r="A956" s="18" t="s">
        <v>272</v>
      </c>
      <c r="B956" s="18" t="s">
        <v>260</v>
      </c>
      <c r="C956" s="18" t="s">
        <v>774</v>
      </c>
      <c r="D956" s="18" t="s">
        <v>301</v>
      </c>
      <c r="E956" s="18" t="s">
        <v>775</v>
      </c>
      <c r="F956" s="18" t="s">
        <v>751</v>
      </c>
      <c r="G956" s="18" t="s">
        <v>777</v>
      </c>
      <c r="H956" s="37">
        <v>2013</v>
      </c>
      <c r="I956" s="37">
        <v>279.365079365079</v>
      </c>
      <c r="J956" s="37">
        <v>272.222222222222</v>
      </c>
      <c r="K956" s="37">
        <v>284.920634920635</v>
      </c>
      <c r="L956" s="38" t="s">
        <v>637</v>
      </c>
      <c r="M956" s="21" t="s">
        <v>303</v>
      </c>
      <c r="N956" s="18" t="s">
        <v>304</v>
      </c>
    </row>
    <row r="957" spans="1:14" ht="13">
      <c r="A957" s="18" t="s">
        <v>272</v>
      </c>
      <c r="B957" s="18" t="s">
        <v>260</v>
      </c>
      <c r="C957" s="18" t="s">
        <v>774</v>
      </c>
      <c r="D957" s="18" t="s">
        <v>301</v>
      </c>
      <c r="E957" s="18" t="s">
        <v>775</v>
      </c>
      <c r="F957" s="18" t="s">
        <v>751</v>
      </c>
      <c r="G957" s="18" t="s">
        <v>777</v>
      </c>
      <c r="H957" s="37">
        <v>2014.0370370370399</v>
      </c>
      <c r="I957" s="37">
        <v>280.15873015873001</v>
      </c>
      <c r="J957" s="37">
        <v>273.80952380952402</v>
      </c>
      <c r="K957" s="37">
        <v>287.30158730158701</v>
      </c>
      <c r="L957" s="38" t="s">
        <v>637</v>
      </c>
      <c r="M957" s="21" t="s">
        <v>303</v>
      </c>
      <c r="N957" s="18" t="s">
        <v>304</v>
      </c>
    </row>
    <row r="958" spans="1:14" ht="13">
      <c r="A958" s="18" t="s">
        <v>272</v>
      </c>
      <c r="B958" s="18" t="s">
        <v>260</v>
      </c>
      <c r="C958" s="18" t="s">
        <v>774</v>
      </c>
      <c r="D958" s="18" t="s">
        <v>301</v>
      </c>
      <c r="E958" s="18" t="s">
        <v>775</v>
      </c>
      <c r="F958" s="18" t="s">
        <v>751</v>
      </c>
      <c r="G958" s="18" t="s">
        <v>777</v>
      </c>
      <c r="H958" s="37">
        <v>2015</v>
      </c>
      <c r="I958" s="37">
        <v>275.39682539682502</v>
      </c>
      <c r="J958" s="37">
        <v>265.87301587301602</v>
      </c>
      <c r="K958" s="37">
        <v>283.33333333333297</v>
      </c>
      <c r="L958" s="38" t="s">
        <v>637</v>
      </c>
      <c r="M958" s="21" t="s">
        <v>303</v>
      </c>
      <c r="N958" s="18" t="s">
        <v>304</v>
      </c>
    </row>
    <row r="959" spans="1:14" ht="13">
      <c r="A959" s="18" t="s">
        <v>272</v>
      </c>
      <c r="B959" s="18" t="s">
        <v>260</v>
      </c>
      <c r="C959" s="18" t="s">
        <v>774</v>
      </c>
      <c r="D959" s="18" t="s">
        <v>301</v>
      </c>
      <c r="E959" s="18" t="s">
        <v>775</v>
      </c>
      <c r="F959" s="18" t="s">
        <v>751</v>
      </c>
      <c r="G959" s="18" t="s">
        <v>777</v>
      </c>
      <c r="H959" s="37">
        <v>2016.0370370370399</v>
      </c>
      <c r="I959" s="37">
        <v>265.87301587301602</v>
      </c>
      <c r="J959" s="37">
        <v>259.52380952380901</v>
      </c>
      <c r="K959" s="37">
        <v>273.01587301587301</v>
      </c>
      <c r="L959" s="38" t="s">
        <v>637</v>
      </c>
      <c r="M959" s="21" t="s">
        <v>303</v>
      </c>
      <c r="N959" s="18" t="s">
        <v>304</v>
      </c>
    </row>
    <row r="960" spans="1:14" ht="13">
      <c r="A960" s="18" t="s">
        <v>272</v>
      </c>
      <c r="B960" s="18" t="s">
        <v>260</v>
      </c>
      <c r="C960" s="18" t="s">
        <v>774</v>
      </c>
      <c r="D960" s="18" t="s">
        <v>301</v>
      </c>
      <c r="E960" s="18" t="s">
        <v>775</v>
      </c>
      <c r="F960" s="18" t="s">
        <v>751</v>
      </c>
      <c r="G960" s="18" t="s">
        <v>777</v>
      </c>
      <c r="H960" s="37">
        <v>2017</v>
      </c>
      <c r="I960" s="37">
        <v>250</v>
      </c>
      <c r="J960" s="37">
        <v>244.444444444444</v>
      </c>
      <c r="K960" s="37">
        <v>255.555555555556</v>
      </c>
      <c r="L960" s="38" t="s">
        <v>637</v>
      </c>
      <c r="M960" s="21" t="s">
        <v>303</v>
      </c>
      <c r="N960" s="18" t="s">
        <v>304</v>
      </c>
    </row>
    <row r="961" spans="1:14" ht="13">
      <c r="A961" s="18" t="s">
        <v>272</v>
      </c>
      <c r="B961" s="18" t="s">
        <v>260</v>
      </c>
      <c r="C961" s="18" t="s">
        <v>774</v>
      </c>
      <c r="D961" s="18" t="s">
        <v>301</v>
      </c>
      <c r="E961" s="18" t="s">
        <v>775</v>
      </c>
      <c r="F961" s="18" t="s">
        <v>751</v>
      </c>
      <c r="G961" s="18" t="s">
        <v>777</v>
      </c>
      <c r="H961" s="37">
        <v>2018.0370370370399</v>
      </c>
      <c r="I961" s="37">
        <v>227.777777777778</v>
      </c>
      <c r="J961" s="37">
        <v>222.222222222222</v>
      </c>
      <c r="K961" s="37">
        <v>233.333333333333</v>
      </c>
      <c r="L961" s="38" t="s">
        <v>637</v>
      </c>
      <c r="M961" s="21" t="s">
        <v>303</v>
      </c>
      <c r="N961" s="18" t="s">
        <v>304</v>
      </c>
    </row>
    <row r="962" spans="1:14" ht="13">
      <c r="A962" s="18" t="s">
        <v>272</v>
      </c>
      <c r="B962" s="18" t="s">
        <v>260</v>
      </c>
      <c r="C962" s="18" t="s">
        <v>774</v>
      </c>
      <c r="D962" s="18" t="s">
        <v>301</v>
      </c>
      <c r="E962" s="18" t="s">
        <v>775</v>
      </c>
      <c r="F962" s="18" t="s">
        <v>751</v>
      </c>
      <c r="G962" s="18" t="s">
        <v>777</v>
      </c>
      <c r="H962" s="37">
        <v>2019.0370370370399</v>
      </c>
      <c r="I962" s="37">
        <v>215.079365079365</v>
      </c>
      <c r="J962" s="37">
        <v>209.52380952380901</v>
      </c>
      <c r="K962" s="37">
        <v>219.84126984126999</v>
      </c>
      <c r="L962" s="38" t="s">
        <v>637</v>
      </c>
      <c r="M962" s="21" t="s">
        <v>303</v>
      </c>
      <c r="N962" s="18" t="s">
        <v>304</v>
      </c>
    </row>
    <row r="963" spans="1:14" ht="13">
      <c r="A963" s="18" t="s">
        <v>272</v>
      </c>
      <c r="B963" s="18" t="s">
        <v>260</v>
      </c>
      <c r="C963" s="18" t="s">
        <v>774</v>
      </c>
      <c r="D963" s="18" t="s">
        <v>301</v>
      </c>
      <c r="E963" s="18" t="s">
        <v>775</v>
      </c>
      <c r="F963" s="18" t="s">
        <v>751</v>
      </c>
      <c r="G963" s="18" t="s">
        <v>777</v>
      </c>
      <c r="H963" s="37">
        <v>2020</v>
      </c>
      <c r="I963" s="37">
        <v>199.20634920634899</v>
      </c>
      <c r="J963" s="37">
        <v>188.888888888889</v>
      </c>
      <c r="K963" s="37">
        <v>208.73015873015899</v>
      </c>
      <c r="L963" s="38" t="s">
        <v>637</v>
      </c>
      <c r="M963" s="21" t="s">
        <v>303</v>
      </c>
      <c r="N963" s="18" t="s">
        <v>304</v>
      </c>
    </row>
    <row r="964" spans="1:14" ht="13">
      <c r="A964" s="18" t="s">
        <v>272</v>
      </c>
      <c r="B964" s="18" t="s">
        <v>260</v>
      </c>
      <c r="C964" s="18" t="s">
        <v>774</v>
      </c>
      <c r="D964" s="18" t="s">
        <v>301</v>
      </c>
      <c r="E964" s="18" t="s">
        <v>775</v>
      </c>
      <c r="F964" s="18" t="s">
        <v>751</v>
      </c>
      <c r="G964" s="18" t="s">
        <v>622</v>
      </c>
      <c r="H964" s="18">
        <v>1990</v>
      </c>
      <c r="I964" s="40">
        <v>262</v>
      </c>
      <c r="J964" s="40">
        <v>258</v>
      </c>
      <c r="K964" s="18">
        <v>266</v>
      </c>
      <c r="L964" s="38" t="s">
        <v>637</v>
      </c>
      <c r="M964" s="21" t="s">
        <v>303</v>
      </c>
      <c r="N964" s="18" t="s">
        <v>304</v>
      </c>
    </row>
    <row r="965" spans="1:14" ht="13">
      <c r="A965" s="18" t="s">
        <v>272</v>
      </c>
      <c r="B965" s="18" t="s">
        <v>260</v>
      </c>
      <c r="C965" s="18" t="s">
        <v>774</v>
      </c>
      <c r="D965" s="18" t="s">
        <v>301</v>
      </c>
      <c r="E965" s="18" t="s">
        <v>775</v>
      </c>
      <c r="F965" s="18" t="s">
        <v>751</v>
      </c>
      <c r="G965" s="18" t="s">
        <v>622</v>
      </c>
      <c r="H965" s="18">
        <v>1991</v>
      </c>
      <c r="I965" s="40">
        <v>270</v>
      </c>
      <c r="J965" s="40">
        <v>266</v>
      </c>
      <c r="K965" s="18">
        <v>275</v>
      </c>
      <c r="L965" s="38" t="s">
        <v>637</v>
      </c>
      <c r="M965" s="21" t="s">
        <v>303</v>
      </c>
      <c r="N965" s="18" t="s">
        <v>304</v>
      </c>
    </row>
    <row r="966" spans="1:14" ht="13">
      <c r="A966" s="18" t="s">
        <v>272</v>
      </c>
      <c r="B966" s="18" t="s">
        <v>260</v>
      </c>
      <c r="C966" s="18" t="s">
        <v>774</v>
      </c>
      <c r="D966" s="18" t="s">
        <v>301</v>
      </c>
      <c r="E966" s="18" t="s">
        <v>775</v>
      </c>
      <c r="F966" s="18" t="s">
        <v>751</v>
      </c>
      <c r="G966" s="18" t="s">
        <v>622</v>
      </c>
      <c r="H966" s="18">
        <v>1992</v>
      </c>
      <c r="I966" s="40">
        <v>281</v>
      </c>
      <c r="J966" s="40">
        <v>277</v>
      </c>
      <c r="K966" s="18">
        <v>285</v>
      </c>
      <c r="L966" s="38" t="s">
        <v>637</v>
      </c>
      <c r="M966" s="21" t="s">
        <v>303</v>
      </c>
      <c r="N966" s="18" t="s">
        <v>304</v>
      </c>
    </row>
    <row r="967" spans="1:14" ht="13">
      <c r="A967" s="18" t="s">
        <v>272</v>
      </c>
      <c r="B967" s="18" t="s">
        <v>260</v>
      </c>
      <c r="C967" s="18" t="s">
        <v>774</v>
      </c>
      <c r="D967" s="18" t="s">
        <v>301</v>
      </c>
      <c r="E967" s="18" t="s">
        <v>775</v>
      </c>
      <c r="F967" s="18" t="s">
        <v>751</v>
      </c>
      <c r="G967" s="18" t="s">
        <v>622</v>
      </c>
      <c r="H967" s="18">
        <v>1993</v>
      </c>
      <c r="I967" s="40">
        <v>276</v>
      </c>
      <c r="J967" s="40">
        <v>273</v>
      </c>
      <c r="K967" s="18">
        <v>281</v>
      </c>
      <c r="L967" s="38" t="s">
        <v>637</v>
      </c>
      <c r="M967" s="21" t="s">
        <v>303</v>
      </c>
      <c r="N967" s="18" t="s">
        <v>304</v>
      </c>
    </row>
    <row r="968" spans="1:14" ht="13">
      <c r="A968" s="18" t="s">
        <v>272</v>
      </c>
      <c r="B968" s="18" t="s">
        <v>260</v>
      </c>
      <c r="C968" s="18" t="s">
        <v>774</v>
      </c>
      <c r="D968" s="18" t="s">
        <v>301</v>
      </c>
      <c r="E968" s="18" t="s">
        <v>775</v>
      </c>
      <c r="F968" s="18" t="s">
        <v>751</v>
      </c>
      <c r="G968" s="18" t="s">
        <v>622</v>
      </c>
      <c r="H968" s="18">
        <v>1994</v>
      </c>
      <c r="I968" s="40">
        <v>286</v>
      </c>
      <c r="J968" s="40">
        <v>282</v>
      </c>
      <c r="K968" s="18">
        <v>289</v>
      </c>
      <c r="L968" s="38" t="s">
        <v>637</v>
      </c>
      <c r="M968" s="21" t="s">
        <v>303</v>
      </c>
      <c r="N968" s="18" t="s">
        <v>304</v>
      </c>
    </row>
    <row r="969" spans="1:14" ht="13">
      <c r="A969" s="18" t="s">
        <v>272</v>
      </c>
      <c r="B969" s="18" t="s">
        <v>260</v>
      </c>
      <c r="C969" s="18" t="s">
        <v>774</v>
      </c>
      <c r="D969" s="18" t="s">
        <v>301</v>
      </c>
      <c r="E969" s="18" t="s">
        <v>775</v>
      </c>
      <c r="F969" s="18" t="s">
        <v>751</v>
      </c>
      <c r="G969" s="18" t="s">
        <v>622</v>
      </c>
      <c r="H969" s="18">
        <v>1995</v>
      </c>
      <c r="I969" s="40">
        <v>292</v>
      </c>
      <c r="J969" s="40">
        <v>289</v>
      </c>
      <c r="K969" s="18">
        <v>295</v>
      </c>
      <c r="L969" s="38" t="s">
        <v>637</v>
      </c>
      <c r="M969" s="21" t="s">
        <v>303</v>
      </c>
      <c r="N969" s="18" t="s">
        <v>304</v>
      </c>
    </row>
    <row r="970" spans="1:14" ht="13">
      <c r="A970" s="18" t="s">
        <v>272</v>
      </c>
      <c r="B970" s="18" t="s">
        <v>260</v>
      </c>
      <c r="C970" s="18" t="s">
        <v>774</v>
      </c>
      <c r="D970" s="18" t="s">
        <v>301</v>
      </c>
      <c r="E970" s="18" t="s">
        <v>775</v>
      </c>
      <c r="F970" s="18" t="s">
        <v>751</v>
      </c>
      <c r="G970" s="18" t="s">
        <v>622</v>
      </c>
      <c r="H970" s="18">
        <v>1996</v>
      </c>
      <c r="I970" s="40">
        <v>303</v>
      </c>
      <c r="J970" s="40">
        <v>299</v>
      </c>
      <c r="K970" s="18">
        <v>306</v>
      </c>
      <c r="L970" s="38" t="s">
        <v>637</v>
      </c>
      <c r="M970" s="21" t="s">
        <v>303</v>
      </c>
      <c r="N970" s="18" t="s">
        <v>304</v>
      </c>
    </row>
    <row r="971" spans="1:14" ht="13">
      <c r="A971" s="18" t="s">
        <v>272</v>
      </c>
      <c r="B971" s="18" t="s">
        <v>260</v>
      </c>
      <c r="C971" s="18" t="s">
        <v>774</v>
      </c>
      <c r="D971" s="18" t="s">
        <v>301</v>
      </c>
      <c r="E971" s="18" t="s">
        <v>775</v>
      </c>
      <c r="F971" s="18" t="s">
        <v>751</v>
      </c>
      <c r="G971" s="18" t="s">
        <v>622</v>
      </c>
      <c r="H971" s="18">
        <v>1997</v>
      </c>
      <c r="I971" s="40">
        <v>313</v>
      </c>
      <c r="J971" s="40">
        <v>310</v>
      </c>
      <c r="K971" s="18">
        <v>317</v>
      </c>
      <c r="L971" s="38" t="s">
        <v>637</v>
      </c>
      <c r="M971" s="21" t="s">
        <v>303</v>
      </c>
      <c r="N971" s="18" t="s">
        <v>304</v>
      </c>
    </row>
    <row r="972" spans="1:14" ht="13">
      <c r="A972" s="18" t="s">
        <v>272</v>
      </c>
      <c r="B972" s="18" t="s">
        <v>260</v>
      </c>
      <c r="C972" s="18" t="s">
        <v>774</v>
      </c>
      <c r="D972" s="18" t="s">
        <v>301</v>
      </c>
      <c r="E972" s="18" t="s">
        <v>775</v>
      </c>
      <c r="F972" s="18" t="s">
        <v>751</v>
      </c>
      <c r="G972" s="18" t="s">
        <v>622</v>
      </c>
      <c r="H972" s="18">
        <v>1998</v>
      </c>
      <c r="I972" s="40">
        <v>312</v>
      </c>
      <c r="J972" s="40">
        <v>308</v>
      </c>
      <c r="K972" s="18">
        <v>315</v>
      </c>
      <c r="L972" s="38" t="s">
        <v>637</v>
      </c>
      <c r="M972" s="21" t="s">
        <v>303</v>
      </c>
      <c r="N972" s="18" t="s">
        <v>304</v>
      </c>
    </row>
    <row r="973" spans="1:14" ht="13">
      <c r="A973" s="18" t="s">
        <v>272</v>
      </c>
      <c r="B973" s="18" t="s">
        <v>260</v>
      </c>
      <c r="C973" s="18" t="s">
        <v>774</v>
      </c>
      <c r="D973" s="18" t="s">
        <v>301</v>
      </c>
      <c r="E973" s="18" t="s">
        <v>775</v>
      </c>
      <c r="F973" s="18" t="s">
        <v>751</v>
      </c>
      <c r="G973" s="18" t="s">
        <v>622</v>
      </c>
      <c r="H973" s="18">
        <v>1999</v>
      </c>
      <c r="I973" s="40">
        <v>311</v>
      </c>
      <c r="J973" s="40">
        <v>307</v>
      </c>
      <c r="K973" s="18">
        <v>315</v>
      </c>
      <c r="L973" s="38" t="s">
        <v>637</v>
      </c>
      <c r="M973" s="21" t="s">
        <v>303</v>
      </c>
      <c r="N973" s="18" t="s">
        <v>304</v>
      </c>
    </row>
    <row r="974" spans="1:14" ht="13">
      <c r="A974" s="18" t="s">
        <v>272</v>
      </c>
      <c r="B974" s="18" t="s">
        <v>260</v>
      </c>
      <c r="C974" s="18" t="s">
        <v>774</v>
      </c>
      <c r="D974" s="18" t="s">
        <v>301</v>
      </c>
      <c r="E974" s="18" t="s">
        <v>775</v>
      </c>
      <c r="F974" s="18" t="s">
        <v>751</v>
      </c>
      <c r="G974" s="18" t="s">
        <v>622</v>
      </c>
      <c r="H974" s="18">
        <v>2000</v>
      </c>
      <c r="I974" s="40">
        <v>308</v>
      </c>
      <c r="J974" s="40">
        <v>304</v>
      </c>
      <c r="K974" s="18">
        <v>312</v>
      </c>
      <c r="L974" s="38" t="s">
        <v>637</v>
      </c>
      <c r="M974" s="21" t="s">
        <v>303</v>
      </c>
      <c r="N974" s="18" t="s">
        <v>304</v>
      </c>
    </row>
    <row r="975" spans="1:14" ht="13">
      <c r="A975" s="18" t="s">
        <v>272</v>
      </c>
      <c r="B975" s="18" t="s">
        <v>260</v>
      </c>
      <c r="C975" s="18" t="s">
        <v>774</v>
      </c>
      <c r="D975" s="18" t="s">
        <v>301</v>
      </c>
      <c r="E975" s="18" t="s">
        <v>775</v>
      </c>
      <c r="F975" s="18" t="s">
        <v>751</v>
      </c>
      <c r="G975" s="18" t="s">
        <v>622</v>
      </c>
      <c r="H975" s="18">
        <v>2001</v>
      </c>
      <c r="I975" s="40">
        <v>333</v>
      </c>
      <c r="J975" s="40">
        <v>329</v>
      </c>
      <c r="K975" s="18">
        <v>335</v>
      </c>
      <c r="L975" s="38" t="s">
        <v>637</v>
      </c>
      <c r="M975" s="21" t="s">
        <v>303</v>
      </c>
      <c r="N975" s="18" t="s">
        <v>304</v>
      </c>
    </row>
    <row r="976" spans="1:14" ht="13">
      <c r="A976" s="18" t="s">
        <v>272</v>
      </c>
      <c r="B976" s="18" t="s">
        <v>260</v>
      </c>
      <c r="C976" s="18" t="s">
        <v>774</v>
      </c>
      <c r="D976" s="18" t="s">
        <v>301</v>
      </c>
      <c r="E976" s="18" t="s">
        <v>775</v>
      </c>
      <c r="F976" s="18" t="s">
        <v>751</v>
      </c>
      <c r="G976" s="18" t="s">
        <v>622</v>
      </c>
      <c r="H976" s="18">
        <v>2002</v>
      </c>
      <c r="I976" s="40">
        <v>346</v>
      </c>
      <c r="J976" s="40">
        <v>342</v>
      </c>
      <c r="K976" s="18">
        <v>349</v>
      </c>
      <c r="L976" s="38" t="s">
        <v>637</v>
      </c>
      <c r="M976" s="21" t="s">
        <v>303</v>
      </c>
      <c r="N976" s="18" t="s">
        <v>304</v>
      </c>
    </row>
    <row r="977" spans="1:14" ht="13">
      <c r="A977" s="18" t="s">
        <v>272</v>
      </c>
      <c r="B977" s="18" t="s">
        <v>260</v>
      </c>
      <c r="C977" s="18" t="s">
        <v>774</v>
      </c>
      <c r="D977" s="18" t="s">
        <v>301</v>
      </c>
      <c r="E977" s="18" t="s">
        <v>775</v>
      </c>
      <c r="F977" s="18" t="s">
        <v>751</v>
      </c>
      <c r="G977" s="18" t="s">
        <v>622</v>
      </c>
      <c r="H977" s="18">
        <v>2003</v>
      </c>
      <c r="I977" s="40">
        <v>359</v>
      </c>
      <c r="J977" s="40">
        <v>355</v>
      </c>
      <c r="K977" s="18">
        <v>362</v>
      </c>
      <c r="L977" s="38" t="s">
        <v>637</v>
      </c>
      <c r="M977" s="21" t="s">
        <v>303</v>
      </c>
      <c r="N977" s="18" t="s">
        <v>304</v>
      </c>
    </row>
    <row r="978" spans="1:14" ht="13">
      <c r="A978" s="18" t="s">
        <v>272</v>
      </c>
      <c r="B978" s="18" t="s">
        <v>260</v>
      </c>
      <c r="C978" s="18" t="s">
        <v>774</v>
      </c>
      <c r="D978" s="18" t="s">
        <v>301</v>
      </c>
      <c r="E978" s="18" t="s">
        <v>775</v>
      </c>
      <c r="F978" s="18" t="s">
        <v>751</v>
      </c>
      <c r="G978" s="18" t="s">
        <v>622</v>
      </c>
      <c r="H978" s="18">
        <v>2004</v>
      </c>
      <c r="I978" s="40">
        <v>368</v>
      </c>
      <c r="J978" s="40">
        <v>363</v>
      </c>
      <c r="K978" s="18">
        <v>370</v>
      </c>
      <c r="L978" s="38" t="s">
        <v>637</v>
      </c>
      <c r="M978" s="21" t="s">
        <v>303</v>
      </c>
      <c r="N978" s="18" t="s">
        <v>304</v>
      </c>
    </row>
    <row r="979" spans="1:14" ht="13">
      <c r="A979" s="18" t="s">
        <v>272</v>
      </c>
      <c r="B979" s="18" t="s">
        <v>260</v>
      </c>
      <c r="C979" s="18" t="s">
        <v>774</v>
      </c>
      <c r="D979" s="18" t="s">
        <v>301</v>
      </c>
      <c r="E979" s="18" t="s">
        <v>775</v>
      </c>
      <c r="F979" s="18" t="s">
        <v>751</v>
      </c>
      <c r="G979" s="18" t="s">
        <v>622</v>
      </c>
      <c r="H979" s="18">
        <v>2005</v>
      </c>
      <c r="I979" s="40">
        <v>391</v>
      </c>
      <c r="J979" s="40">
        <v>387</v>
      </c>
      <c r="K979" s="18">
        <v>395</v>
      </c>
      <c r="L979" s="38" t="s">
        <v>637</v>
      </c>
      <c r="M979" s="21" t="s">
        <v>303</v>
      </c>
      <c r="N979" s="18" t="s">
        <v>304</v>
      </c>
    </row>
    <row r="980" spans="1:14" ht="13">
      <c r="A980" s="18" t="s">
        <v>272</v>
      </c>
      <c r="B980" s="18" t="s">
        <v>260</v>
      </c>
      <c r="C980" s="18" t="s">
        <v>774</v>
      </c>
      <c r="D980" s="18" t="s">
        <v>301</v>
      </c>
      <c r="E980" s="18" t="s">
        <v>775</v>
      </c>
      <c r="F980" s="18" t="s">
        <v>751</v>
      </c>
      <c r="G980" s="18" t="s">
        <v>622</v>
      </c>
      <c r="H980" s="18">
        <v>2006</v>
      </c>
      <c r="I980" s="40">
        <v>403</v>
      </c>
      <c r="J980" s="40">
        <v>399</v>
      </c>
      <c r="K980" s="18">
        <v>406</v>
      </c>
      <c r="L980" s="38" t="s">
        <v>637</v>
      </c>
      <c r="M980" s="21" t="s">
        <v>303</v>
      </c>
      <c r="N980" s="18" t="s">
        <v>304</v>
      </c>
    </row>
    <row r="981" spans="1:14" ht="13">
      <c r="A981" s="18" t="s">
        <v>272</v>
      </c>
      <c r="B981" s="18" t="s">
        <v>260</v>
      </c>
      <c r="C981" s="18" t="s">
        <v>774</v>
      </c>
      <c r="D981" s="18" t="s">
        <v>301</v>
      </c>
      <c r="E981" s="18" t="s">
        <v>775</v>
      </c>
      <c r="F981" s="18" t="s">
        <v>751</v>
      </c>
      <c r="G981" s="18" t="s">
        <v>622</v>
      </c>
      <c r="H981" s="18">
        <v>2007</v>
      </c>
      <c r="I981" s="40">
        <v>412</v>
      </c>
      <c r="J981" s="40">
        <v>408</v>
      </c>
      <c r="K981" s="18">
        <v>415</v>
      </c>
      <c r="L981" s="38" t="s">
        <v>637</v>
      </c>
      <c r="M981" s="21" t="s">
        <v>303</v>
      </c>
      <c r="N981" s="18" t="s">
        <v>304</v>
      </c>
    </row>
    <row r="982" spans="1:14" ht="13">
      <c r="A982" s="18" t="s">
        <v>272</v>
      </c>
      <c r="B982" s="18" t="s">
        <v>260</v>
      </c>
      <c r="C982" s="18" t="s">
        <v>774</v>
      </c>
      <c r="D982" s="18" t="s">
        <v>301</v>
      </c>
      <c r="E982" s="18" t="s">
        <v>775</v>
      </c>
      <c r="F982" s="18" t="s">
        <v>751</v>
      </c>
      <c r="G982" s="18" t="s">
        <v>622</v>
      </c>
      <c r="H982" s="18">
        <v>2008</v>
      </c>
      <c r="I982" s="40">
        <v>432</v>
      </c>
      <c r="J982" s="40">
        <v>429</v>
      </c>
      <c r="K982" s="18">
        <v>434</v>
      </c>
      <c r="L982" s="38" t="s">
        <v>637</v>
      </c>
      <c r="M982" s="21" t="s">
        <v>303</v>
      </c>
      <c r="N982" s="18" t="s">
        <v>304</v>
      </c>
    </row>
    <row r="983" spans="1:14" ht="13">
      <c r="A983" s="18" t="s">
        <v>272</v>
      </c>
      <c r="B983" s="18" t="s">
        <v>260</v>
      </c>
      <c r="C983" s="18" t="s">
        <v>774</v>
      </c>
      <c r="D983" s="18" t="s">
        <v>301</v>
      </c>
      <c r="E983" s="18" t="s">
        <v>775</v>
      </c>
      <c r="F983" s="18" t="s">
        <v>751</v>
      </c>
      <c r="G983" s="18" t="s">
        <v>622</v>
      </c>
      <c r="H983" s="18">
        <v>2009</v>
      </c>
      <c r="I983" s="40">
        <v>461</v>
      </c>
      <c r="J983" s="40">
        <v>460</v>
      </c>
      <c r="K983" s="18">
        <v>463</v>
      </c>
      <c r="L983" s="38" t="s">
        <v>637</v>
      </c>
      <c r="M983" s="21" t="s">
        <v>303</v>
      </c>
      <c r="N983" s="18" t="s">
        <v>304</v>
      </c>
    </row>
    <row r="984" spans="1:14" ht="13">
      <c r="A984" s="18" t="s">
        <v>272</v>
      </c>
      <c r="B984" s="18" t="s">
        <v>260</v>
      </c>
      <c r="C984" s="18" t="s">
        <v>774</v>
      </c>
      <c r="D984" s="18" t="s">
        <v>301</v>
      </c>
      <c r="E984" s="18" t="s">
        <v>775</v>
      </c>
      <c r="F984" s="18" t="s">
        <v>751</v>
      </c>
      <c r="G984" s="18" t="s">
        <v>622</v>
      </c>
      <c r="H984" s="18">
        <v>2010</v>
      </c>
      <c r="I984" s="40">
        <v>475</v>
      </c>
      <c r="J984" s="40">
        <v>472</v>
      </c>
      <c r="K984" s="18">
        <v>479</v>
      </c>
      <c r="L984" s="38" t="s">
        <v>637</v>
      </c>
      <c r="M984" s="21" t="s">
        <v>303</v>
      </c>
      <c r="N984" s="18" t="s">
        <v>304</v>
      </c>
    </row>
    <row r="985" spans="1:14" ht="13">
      <c r="A985" s="18" t="s">
        <v>272</v>
      </c>
      <c r="B985" s="18" t="s">
        <v>260</v>
      </c>
      <c r="C985" s="18" t="s">
        <v>774</v>
      </c>
      <c r="D985" s="18" t="s">
        <v>301</v>
      </c>
      <c r="E985" s="18" t="s">
        <v>775</v>
      </c>
      <c r="F985" s="18" t="s">
        <v>751</v>
      </c>
      <c r="G985" s="18" t="s">
        <v>622</v>
      </c>
      <c r="H985" s="18">
        <v>2011</v>
      </c>
      <c r="I985" s="40">
        <v>481</v>
      </c>
      <c r="J985" s="40">
        <v>478</v>
      </c>
      <c r="K985" s="18">
        <v>486</v>
      </c>
      <c r="L985" s="38" t="s">
        <v>637</v>
      </c>
      <c r="M985" s="21" t="s">
        <v>303</v>
      </c>
      <c r="N985" s="18" t="s">
        <v>304</v>
      </c>
    </row>
    <row r="986" spans="1:14" ht="13">
      <c r="A986" s="18" t="s">
        <v>272</v>
      </c>
      <c r="B986" s="18" t="s">
        <v>260</v>
      </c>
      <c r="C986" s="18" t="s">
        <v>774</v>
      </c>
      <c r="D986" s="18" t="s">
        <v>301</v>
      </c>
      <c r="E986" s="18" t="s">
        <v>775</v>
      </c>
      <c r="F986" s="18" t="s">
        <v>751</v>
      </c>
      <c r="G986" s="18" t="s">
        <v>622</v>
      </c>
      <c r="H986" s="18">
        <v>2012</v>
      </c>
      <c r="I986" s="40">
        <v>473</v>
      </c>
      <c r="J986" s="40">
        <v>467</v>
      </c>
      <c r="K986" s="18">
        <v>477</v>
      </c>
      <c r="L986" s="38" t="s">
        <v>637</v>
      </c>
      <c r="M986" s="21" t="s">
        <v>303</v>
      </c>
      <c r="N986" s="18" t="s">
        <v>304</v>
      </c>
    </row>
    <row r="987" spans="1:14" ht="13">
      <c r="A987" s="18" t="s">
        <v>272</v>
      </c>
      <c r="B987" s="18" t="s">
        <v>260</v>
      </c>
      <c r="C987" s="18" t="s">
        <v>774</v>
      </c>
      <c r="D987" s="18" t="s">
        <v>301</v>
      </c>
      <c r="E987" s="18" t="s">
        <v>775</v>
      </c>
      <c r="F987" s="18" t="s">
        <v>751</v>
      </c>
      <c r="G987" s="18" t="s">
        <v>622</v>
      </c>
      <c r="H987" s="18">
        <v>2013</v>
      </c>
      <c r="I987" s="40">
        <v>478</v>
      </c>
      <c r="J987" s="40">
        <v>471</v>
      </c>
      <c r="K987" s="18">
        <v>484</v>
      </c>
      <c r="L987" s="38" t="s">
        <v>637</v>
      </c>
      <c r="M987" s="21" t="s">
        <v>303</v>
      </c>
      <c r="N987" s="18" t="s">
        <v>304</v>
      </c>
    </row>
    <row r="988" spans="1:14" ht="13">
      <c r="A988" s="18" t="s">
        <v>272</v>
      </c>
      <c r="B988" s="18" t="s">
        <v>260</v>
      </c>
      <c r="C988" s="18" t="s">
        <v>774</v>
      </c>
      <c r="D988" s="18" t="s">
        <v>301</v>
      </c>
      <c r="E988" s="18" t="s">
        <v>775</v>
      </c>
      <c r="F988" s="18" t="s">
        <v>751</v>
      </c>
      <c r="G988" s="18" t="s">
        <v>622</v>
      </c>
      <c r="H988" s="18">
        <v>2014</v>
      </c>
      <c r="I988" s="40">
        <v>473</v>
      </c>
      <c r="J988" s="40">
        <v>467</v>
      </c>
      <c r="K988" s="18">
        <v>478</v>
      </c>
      <c r="L988" s="38" t="s">
        <v>637</v>
      </c>
      <c r="M988" s="21" t="s">
        <v>303</v>
      </c>
      <c r="N988" s="18" t="s">
        <v>304</v>
      </c>
    </row>
    <row r="989" spans="1:14" ht="13">
      <c r="A989" s="18" t="s">
        <v>272</v>
      </c>
      <c r="B989" s="18" t="s">
        <v>260</v>
      </c>
      <c r="C989" s="18" t="s">
        <v>774</v>
      </c>
      <c r="D989" s="18" t="s">
        <v>301</v>
      </c>
      <c r="E989" s="18" t="s">
        <v>775</v>
      </c>
      <c r="F989" s="18" t="s">
        <v>751</v>
      </c>
      <c r="G989" s="18" t="s">
        <v>622</v>
      </c>
      <c r="H989" s="18">
        <v>2015</v>
      </c>
      <c r="I989" s="40">
        <v>469</v>
      </c>
      <c r="J989" s="40">
        <v>460</v>
      </c>
      <c r="K989" s="18">
        <v>476</v>
      </c>
      <c r="L989" s="38" t="s">
        <v>637</v>
      </c>
      <c r="M989" s="21" t="s">
        <v>303</v>
      </c>
      <c r="N989" s="18" t="s">
        <v>304</v>
      </c>
    </row>
    <row r="990" spans="1:14" ht="13">
      <c r="A990" s="18" t="s">
        <v>272</v>
      </c>
      <c r="B990" s="18" t="s">
        <v>260</v>
      </c>
      <c r="C990" s="18" t="s">
        <v>774</v>
      </c>
      <c r="D990" s="18" t="s">
        <v>301</v>
      </c>
      <c r="E990" s="18" t="s">
        <v>775</v>
      </c>
      <c r="F990" s="18" t="s">
        <v>751</v>
      </c>
      <c r="G990" s="18" t="s">
        <v>622</v>
      </c>
      <c r="H990" s="18">
        <v>2016</v>
      </c>
      <c r="I990" s="40">
        <v>452</v>
      </c>
      <c r="J990" s="40">
        <v>445</v>
      </c>
      <c r="K990" s="18">
        <v>460</v>
      </c>
      <c r="L990" s="38" t="s">
        <v>637</v>
      </c>
      <c r="M990" s="21" t="s">
        <v>303</v>
      </c>
      <c r="N990" s="18" t="s">
        <v>304</v>
      </c>
    </row>
    <row r="991" spans="1:14" ht="13">
      <c r="A991" s="18" t="s">
        <v>272</v>
      </c>
      <c r="B991" s="18" t="s">
        <v>260</v>
      </c>
      <c r="C991" s="18" t="s">
        <v>774</v>
      </c>
      <c r="D991" s="18" t="s">
        <v>301</v>
      </c>
      <c r="E991" s="18" t="s">
        <v>775</v>
      </c>
      <c r="F991" s="18" t="s">
        <v>751</v>
      </c>
      <c r="G991" s="18" t="s">
        <v>622</v>
      </c>
      <c r="H991" s="18">
        <v>2017</v>
      </c>
      <c r="I991" s="40">
        <v>429</v>
      </c>
      <c r="J991" s="40">
        <v>422</v>
      </c>
      <c r="K991" s="18">
        <v>434</v>
      </c>
      <c r="L991" s="38" t="s">
        <v>637</v>
      </c>
      <c r="M991" s="21" t="s">
        <v>303</v>
      </c>
      <c r="N991" s="18" t="s">
        <v>304</v>
      </c>
    </row>
    <row r="992" spans="1:14" ht="13">
      <c r="A992" s="18" t="s">
        <v>272</v>
      </c>
      <c r="B992" s="18" t="s">
        <v>260</v>
      </c>
      <c r="C992" s="18" t="s">
        <v>774</v>
      </c>
      <c r="D992" s="18" t="s">
        <v>301</v>
      </c>
      <c r="E992" s="18" t="s">
        <v>775</v>
      </c>
      <c r="F992" s="18" t="s">
        <v>751</v>
      </c>
      <c r="G992" s="18" t="s">
        <v>622</v>
      </c>
      <c r="H992" s="18">
        <v>2018</v>
      </c>
      <c r="I992" s="40">
        <v>385</v>
      </c>
      <c r="J992" s="40">
        <v>379</v>
      </c>
      <c r="K992" s="18">
        <v>389</v>
      </c>
      <c r="L992" s="38" t="s">
        <v>637</v>
      </c>
      <c r="M992" s="21" t="s">
        <v>303</v>
      </c>
      <c r="N992" s="18" t="s">
        <v>304</v>
      </c>
    </row>
    <row r="993" spans="1:14" ht="13">
      <c r="A993" s="18" t="s">
        <v>272</v>
      </c>
      <c r="B993" s="18" t="s">
        <v>260</v>
      </c>
      <c r="C993" s="18" t="s">
        <v>774</v>
      </c>
      <c r="D993" s="18" t="s">
        <v>301</v>
      </c>
      <c r="E993" s="18" t="s">
        <v>775</v>
      </c>
      <c r="F993" s="18" t="s">
        <v>751</v>
      </c>
      <c r="G993" s="18" t="s">
        <v>622</v>
      </c>
      <c r="H993" s="18">
        <v>2019</v>
      </c>
      <c r="I993" s="40">
        <v>366</v>
      </c>
      <c r="J993" s="40">
        <v>361</v>
      </c>
      <c r="K993" s="18">
        <v>370</v>
      </c>
      <c r="L993" s="38" t="s">
        <v>637</v>
      </c>
      <c r="M993" s="21" t="s">
        <v>303</v>
      </c>
      <c r="N993" s="18" t="s">
        <v>304</v>
      </c>
    </row>
    <row r="994" spans="1:14" ht="13">
      <c r="A994" s="18" t="s">
        <v>272</v>
      </c>
      <c r="B994" s="18" t="s">
        <v>260</v>
      </c>
      <c r="C994" s="18" t="s">
        <v>774</v>
      </c>
      <c r="D994" s="18" t="s">
        <v>301</v>
      </c>
      <c r="E994" s="18" t="s">
        <v>775</v>
      </c>
      <c r="F994" s="18" t="s">
        <v>751</v>
      </c>
      <c r="G994" s="18" t="s">
        <v>622</v>
      </c>
      <c r="H994" s="18">
        <v>2020</v>
      </c>
      <c r="I994" s="40">
        <v>339</v>
      </c>
      <c r="J994" s="40">
        <v>325</v>
      </c>
      <c r="K994" s="18">
        <v>349</v>
      </c>
      <c r="L994" s="38" t="s">
        <v>637</v>
      </c>
      <c r="M994" s="21" t="s">
        <v>303</v>
      </c>
      <c r="N994" s="18" t="s">
        <v>304</v>
      </c>
    </row>
    <row r="995" spans="1:14" ht="13">
      <c r="A995" s="18" t="s">
        <v>266</v>
      </c>
      <c r="B995" s="18" t="s">
        <v>260</v>
      </c>
      <c r="C995" s="18" t="s">
        <v>778</v>
      </c>
      <c r="D995" s="18" t="s">
        <v>329</v>
      </c>
      <c r="E995" s="18" t="s">
        <v>779</v>
      </c>
      <c r="F995" s="18" t="s">
        <v>780</v>
      </c>
      <c r="G995" s="18" t="s">
        <v>781</v>
      </c>
      <c r="H995" s="37">
        <v>1957.9256023231601</v>
      </c>
      <c r="I995" s="37" t="s">
        <v>402</v>
      </c>
      <c r="J995" s="61" t="s">
        <v>402</v>
      </c>
      <c r="K995" s="41" t="s">
        <v>402</v>
      </c>
      <c r="L995" s="37" t="s">
        <v>612</v>
      </c>
      <c r="M995" s="21" t="s">
        <v>332</v>
      </c>
      <c r="N995" s="18" t="s">
        <v>333</v>
      </c>
    </row>
    <row r="996" spans="1:14" ht="13">
      <c r="A996" s="18" t="s">
        <v>266</v>
      </c>
      <c r="B996" s="18" t="s">
        <v>260</v>
      </c>
      <c r="C996" s="18" t="s">
        <v>778</v>
      </c>
      <c r="D996" s="18" t="s">
        <v>329</v>
      </c>
      <c r="E996" s="18" t="s">
        <v>779</v>
      </c>
      <c r="F996" s="18" t="s">
        <v>780</v>
      </c>
      <c r="G996" s="18" t="s">
        <v>781</v>
      </c>
      <c r="H996" s="37">
        <v>1959</v>
      </c>
      <c r="I996" s="37" t="s">
        <v>402</v>
      </c>
      <c r="J996" s="61" t="s">
        <v>402</v>
      </c>
      <c r="K996" s="41" t="s">
        <v>402</v>
      </c>
      <c r="L996" s="37" t="s">
        <v>612</v>
      </c>
      <c r="M996" s="21" t="s">
        <v>332</v>
      </c>
      <c r="N996" s="18" t="s">
        <v>333</v>
      </c>
    </row>
    <row r="997" spans="1:14" ht="13">
      <c r="A997" s="18" t="s">
        <v>266</v>
      </c>
      <c r="B997" s="18" t="s">
        <v>260</v>
      </c>
      <c r="C997" s="18" t="s">
        <v>778</v>
      </c>
      <c r="D997" s="18" t="s">
        <v>329</v>
      </c>
      <c r="E997" s="18" t="s">
        <v>779</v>
      </c>
      <c r="F997" s="18" t="s">
        <v>780</v>
      </c>
      <c r="G997" s="18" t="s">
        <v>781</v>
      </c>
      <c r="H997" s="37">
        <v>1960</v>
      </c>
      <c r="I997" s="37" t="s">
        <v>402</v>
      </c>
      <c r="J997" s="61" t="s">
        <v>402</v>
      </c>
      <c r="K997" s="41" t="s">
        <v>402</v>
      </c>
      <c r="L997" s="37" t="s">
        <v>612</v>
      </c>
      <c r="M997" s="21" t="s">
        <v>332</v>
      </c>
      <c r="N997" s="18" t="s">
        <v>333</v>
      </c>
    </row>
    <row r="998" spans="1:14" ht="13">
      <c r="A998" s="18" t="s">
        <v>266</v>
      </c>
      <c r="B998" s="18" t="s">
        <v>260</v>
      </c>
      <c r="C998" s="18" t="s">
        <v>778</v>
      </c>
      <c r="D998" s="18" t="s">
        <v>329</v>
      </c>
      <c r="E998" s="18" t="s">
        <v>779</v>
      </c>
      <c r="F998" s="18" t="s">
        <v>780</v>
      </c>
      <c r="G998" s="18" t="s">
        <v>781</v>
      </c>
      <c r="H998" s="37">
        <v>1961</v>
      </c>
      <c r="I998" s="37">
        <v>12</v>
      </c>
      <c r="J998" s="61" t="s">
        <v>402</v>
      </c>
      <c r="K998" s="41" t="s">
        <v>402</v>
      </c>
      <c r="L998" s="37" t="s">
        <v>612</v>
      </c>
      <c r="M998" s="21" t="s">
        <v>332</v>
      </c>
      <c r="N998" s="18" t="s">
        <v>333</v>
      </c>
    </row>
    <row r="999" spans="1:14" ht="13">
      <c r="A999" s="18" t="s">
        <v>266</v>
      </c>
      <c r="B999" s="18" t="s">
        <v>260</v>
      </c>
      <c r="C999" s="18" t="s">
        <v>778</v>
      </c>
      <c r="D999" s="18" t="s">
        <v>329</v>
      </c>
      <c r="E999" s="18" t="s">
        <v>779</v>
      </c>
      <c r="F999" s="18" t="s">
        <v>780</v>
      </c>
      <c r="G999" s="18" t="s">
        <v>781</v>
      </c>
      <c r="H999" s="37">
        <v>1961.97513471765</v>
      </c>
      <c r="I999" s="37">
        <v>23</v>
      </c>
      <c r="J999" s="61" t="s">
        <v>402</v>
      </c>
      <c r="K999" s="41" t="s">
        <v>402</v>
      </c>
      <c r="L999" s="37" t="s">
        <v>612</v>
      </c>
      <c r="M999" s="21" t="s">
        <v>332</v>
      </c>
      <c r="N999" s="18" t="s">
        <v>333</v>
      </c>
    </row>
    <row r="1000" spans="1:14" ht="13">
      <c r="A1000" s="18" t="s">
        <v>266</v>
      </c>
      <c r="B1000" s="18" t="s">
        <v>260</v>
      </c>
      <c r="C1000" s="18" t="s">
        <v>778</v>
      </c>
      <c r="D1000" s="18" t="s">
        <v>329</v>
      </c>
      <c r="E1000" s="18" t="s">
        <v>779</v>
      </c>
      <c r="F1000" s="18" t="s">
        <v>780</v>
      </c>
      <c r="G1000" s="18" t="s">
        <v>781</v>
      </c>
      <c r="H1000" s="37">
        <v>1962.8751324310699</v>
      </c>
      <c r="I1000" s="37">
        <v>32</v>
      </c>
      <c r="J1000" s="61" t="s">
        <v>402</v>
      </c>
      <c r="K1000" s="41" t="s">
        <v>402</v>
      </c>
      <c r="L1000" s="37" t="s">
        <v>612</v>
      </c>
      <c r="M1000" s="21" t="s">
        <v>332</v>
      </c>
      <c r="N1000" s="18" t="s">
        <v>333</v>
      </c>
    </row>
    <row r="1001" spans="1:14" ht="13">
      <c r="A1001" s="18" t="s">
        <v>266</v>
      </c>
      <c r="B1001" s="18" t="s">
        <v>260</v>
      </c>
      <c r="C1001" s="18" t="s">
        <v>778</v>
      </c>
      <c r="D1001" s="18" t="s">
        <v>329</v>
      </c>
      <c r="E1001" s="18" t="s">
        <v>779</v>
      </c>
      <c r="F1001" s="18" t="s">
        <v>780</v>
      </c>
      <c r="G1001" s="18" t="s">
        <v>781</v>
      </c>
      <c r="H1001" s="37">
        <v>1963.7001303350301</v>
      </c>
      <c r="I1001" s="37">
        <v>60</v>
      </c>
      <c r="J1001" s="61" t="s">
        <v>402</v>
      </c>
      <c r="K1001" s="41" t="s">
        <v>402</v>
      </c>
      <c r="L1001" s="37" t="s">
        <v>612</v>
      </c>
      <c r="M1001" s="21" t="s">
        <v>332</v>
      </c>
      <c r="N1001" s="18" t="s">
        <v>333</v>
      </c>
    </row>
    <row r="1002" spans="1:14" ht="13">
      <c r="A1002" s="18" t="s">
        <v>266</v>
      </c>
      <c r="B1002" s="18" t="s">
        <v>260</v>
      </c>
      <c r="C1002" s="18" t="s">
        <v>778</v>
      </c>
      <c r="D1002" s="18" t="s">
        <v>329</v>
      </c>
      <c r="E1002" s="18" t="s">
        <v>779</v>
      </c>
      <c r="F1002" s="18" t="s">
        <v>780</v>
      </c>
      <c r="G1002" s="18" t="s">
        <v>781</v>
      </c>
      <c r="H1002" s="37">
        <v>1964.9001272862599</v>
      </c>
      <c r="I1002" s="37">
        <v>75</v>
      </c>
      <c r="J1002" s="61" t="s">
        <v>402</v>
      </c>
      <c r="K1002" s="41" t="s">
        <v>402</v>
      </c>
      <c r="L1002" s="37" t="s">
        <v>612</v>
      </c>
      <c r="M1002" s="21" t="s">
        <v>332</v>
      </c>
      <c r="N1002" s="18" t="s">
        <v>333</v>
      </c>
    </row>
    <row r="1003" spans="1:14" ht="13">
      <c r="A1003" s="18" t="s">
        <v>266</v>
      </c>
      <c r="B1003" s="18" t="s">
        <v>260</v>
      </c>
      <c r="C1003" s="18" t="s">
        <v>778</v>
      </c>
      <c r="D1003" s="18" t="s">
        <v>329</v>
      </c>
      <c r="E1003" s="18" t="s">
        <v>779</v>
      </c>
      <c r="F1003" s="18" t="s">
        <v>780</v>
      </c>
      <c r="G1003" s="18" t="s">
        <v>781</v>
      </c>
      <c r="H1003" s="37">
        <v>1965.8751248091301</v>
      </c>
      <c r="I1003" s="37">
        <v>100</v>
      </c>
      <c r="J1003" s="61" t="s">
        <v>402</v>
      </c>
      <c r="K1003" s="41" t="s">
        <v>402</v>
      </c>
      <c r="L1003" s="37" t="s">
        <v>612</v>
      </c>
      <c r="M1003" s="21" t="s">
        <v>332</v>
      </c>
      <c r="N1003" s="18" t="s">
        <v>333</v>
      </c>
    </row>
    <row r="1004" spans="1:14" ht="13">
      <c r="A1004" s="18" t="s">
        <v>266</v>
      </c>
      <c r="B1004" s="18" t="s">
        <v>260</v>
      </c>
      <c r="C1004" s="18" t="s">
        <v>778</v>
      </c>
      <c r="D1004" s="18" t="s">
        <v>329</v>
      </c>
      <c r="E1004" s="18" t="s">
        <v>779</v>
      </c>
      <c r="F1004" s="18" t="s">
        <v>780</v>
      </c>
      <c r="G1004" s="18" t="s">
        <v>781</v>
      </c>
      <c r="H1004" s="37">
        <v>1966.85012233201</v>
      </c>
      <c r="I1004" s="37">
        <v>143</v>
      </c>
      <c r="J1004" s="61" t="s">
        <v>402</v>
      </c>
      <c r="K1004" s="41" t="s">
        <v>402</v>
      </c>
      <c r="L1004" s="37" t="s">
        <v>612</v>
      </c>
      <c r="M1004" s="21" t="s">
        <v>332</v>
      </c>
      <c r="N1004" s="18" t="s">
        <v>333</v>
      </c>
    </row>
    <row r="1005" spans="1:14" ht="13">
      <c r="A1005" s="18" t="s">
        <v>266</v>
      </c>
      <c r="B1005" s="18" t="s">
        <v>260</v>
      </c>
      <c r="C1005" s="18" t="s">
        <v>778</v>
      </c>
      <c r="D1005" s="18" t="s">
        <v>329</v>
      </c>
      <c r="E1005" s="18" t="s">
        <v>779</v>
      </c>
      <c r="F1005" s="18" t="s">
        <v>780</v>
      </c>
      <c r="G1005" s="18" t="s">
        <v>781</v>
      </c>
      <c r="H1005" s="37">
        <v>1967.8251198548801</v>
      </c>
      <c r="I1005" s="37">
        <v>187</v>
      </c>
      <c r="J1005" s="61" t="s">
        <v>402</v>
      </c>
      <c r="K1005" s="41" t="s">
        <v>402</v>
      </c>
      <c r="L1005" s="37" t="s">
        <v>612</v>
      </c>
      <c r="M1005" s="21" t="s">
        <v>332</v>
      </c>
      <c r="N1005" s="18" t="s">
        <v>333</v>
      </c>
    </row>
    <row r="1006" spans="1:14" ht="13">
      <c r="A1006" s="18" t="s">
        <v>266</v>
      </c>
      <c r="B1006" s="18" t="s">
        <v>260</v>
      </c>
      <c r="C1006" s="18" t="s">
        <v>778</v>
      </c>
      <c r="D1006" s="18" t="s">
        <v>329</v>
      </c>
      <c r="E1006" s="18" t="s">
        <v>779</v>
      </c>
      <c r="F1006" s="18" t="s">
        <v>780</v>
      </c>
      <c r="G1006" s="18" t="s">
        <v>781</v>
      </c>
      <c r="H1006" s="37">
        <v>1968.95026943529</v>
      </c>
      <c r="I1006" s="37">
        <v>238</v>
      </c>
      <c r="J1006" s="61" t="s">
        <v>402</v>
      </c>
      <c r="K1006" s="41" t="s">
        <v>402</v>
      </c>
      <c r="L1006" s="37" t="s">
        <v>612</v>
      </c>
      <c r="M1006" s="21" t="s">
        <v>332</v>
      </c>
      <c r="N1006" s="18" t="s">
        <v>333</v>
      </c>
    </row>
    <row r="1007" spans="1:14" ht="13">
      <c r="A1007" s="18" t="s">
        <v>266</v>
      </c>
      <c r="B1007" s="18" t="s">
        <v>260</v>
      </c>
      <c r="C1007" s="18" t="s">
        <v>778</v>
      </c>
      <c r="D1007" s="18" t="s">
        <v>329</v>
      </c>
      <c r="E1007" s="18" t="s">
        <v>779</v>
      </c>
      <c r="F1007" s="18" t="s">
        <v>780</v>
      </c>
      <c r="G1007" s="18" t="s">
        <v>781</v>
      </c>
      <c r="H1007" s="37">
        <v>1969.8503052583701</v>
      </c>
      <c r="I1007" s="37">
        <v>307</v>
      </c>
      <c r="J1007" s="61" t="s">
        <v>402</v>
      </c>
      <c r="K1007" s="41" t="s">
        <v>402</v>
      </c>
      <c r="L1007" s="37" t="s">
        <v>612</v>
      </c>
      <c r="M1007" s="21" t="s">
        <v>332</v>
      </c>
      <c r="N1007" s="18" t="s">
        <v>333</v>
      </c>
    </row>
    <row r="1008" spans="1:14" ht="13">
      <c r="A1008" s="18" t="s">
        <v>266</v>
      </c>
      <c r="B1008" s="18" t="s">
        <v>260</v>
      </c>
      <c r="C1008" s="18" t="s">
        <v>778</v>
      </c>
      <c r="D1008" s="18" t="s">
        <v>329</v>
      </c>
      <c r="E1008" s="18" t="s">
        <v>779</v>
      </c>
      <c r="F1008" s="18" t="s">
        <v>780</v>
      </c>
      <c r="G1008" s="18" t="s">
        <v>781</v>
      </c>
      <c r="H1008" s="37">
        <v>1970.9754167291201</v>
      </c>
      <c r="I1008" s="37">
        <v>326</v>
      </c>
      <c r="J1008" s="61" t="s">
        <v>402</v>
      </c>
      <c r="K1008" s="41" t="s">
        <v>402</v>
      </c>
      <c r="L1008" s="37" t="s">
        <v>612</v>
      </c>
      <c r="M1008" s="21" t="s">
        <v>332</v>
      </c>
      <c r="N1008" s="18" t="s">
        <v>333</v>
      </c>
    </row>
    <row r="1009" spans="1:14" ht="13">
      <c r="A1009" s="18" t="s">
        <v>266</v>
      </c>
      <c r="B1009" s="18" t="s">
        <v>260</v>
      </c>
      <c r="C1009" s="18" t="s">
        <v>778</v>
      </c>
      <c r="D1009" s="18" t="s">
        <v>329</v>
      </c>
      <c r="E1009" s="18" t="s">
        <v>779</v>
      </c>
      <c r="F1009" s="18" t="s">
        <v>780</v>
      </c>
      <c r="G1009" s="18" t="s">
        <v>781</v>
      </c>
      <c r="H1009" s="37">
        <v>1971.950414252</v>
      </c>
      <c r="I1009" s="37">
        <v>391</v>
      </c>
      <c r="J1009" s="61" t="s">
        <v>402</v>
      </c>
      <c r="K1009" s="41" t="s">
        <v>402</v>
      </c>
      <c r="L1009" s="37" t="s">
        <v>612</v>
      </c>
      <c r="M1009" s="21" t="s">
        <v>332</v>
      </c>
      <c r="N1009" s="18" t="s">
        <v>333</v>
      </c>
    </row>
    <row r="1010" spans="1:14" ht="13">
      <c r="A1010" s="18" t="s">
        <v>266</v>
      </c>
      <c r="B1010" s="18" t="s">
        <v>260</v>
      </c>
      <c r="C1010" s="18" t="s">
        <v>778</v>
      </c>
      <c r="D1010" s="18" t="s">
        <v>329</v>
      </c>
      <c r="E1010" s="18" t="s">
        <v>779</v>
      </c>
      <c r="F1010" s="18" t="s">
        <v>780</v>
      </c>
      <c r="G1010" s="18" t="s">
        <v>781</v>
      </c>
      <c r="H1010" s="37">
        <v>1972.9254117748701</v>
      </c>
      <c r="I1010" s="37">
        <v>437</v>
      </c>
      <c r="J1010" s="61" t="s">
        <v>402</v>
      </c>
      <c r="K1010" s="41" t="s">
        <v>402</v>
      </c>
      <c r="L1010" s="37" t="s">
        <v>612</v>
      </c>
      <c r="M1010" s="21" t="s">
        <v>332</v>
      </c>
      <c r="N1010" s="18" t="s">
        <v>333</v>
      </c>
    </row>
    <row r="1011" spans="1:14" ht="13">
      <c r="A1011" s="18" t="s">
        <v>266</v>
      </c>
      <c r="B1011" s="18" t="s">
        <v>260</v>
      </c>
      <c r="C1011" s="18" t="s">
        <v>778</v>
      </c>
      <c r="D1011" s="18" t="s">
        <v>329</v>
      </c>
      <c r="E1011" s="18" t="s">
        <v>779</v>
      </c>
      <c r="F1011" s="18" t="s">
        <v>780</v>
      </c>
      <c r="G1011" s="18" t="s">
        <v>781</v>
      </c>
      <c r="H1011" s="37">
        <v>1973.90056173638</v>
      </c>
      <c r="I1011" s="37">
        <v>512</v>
      </c>
      <c r="J1011" s="61" t="s">
        <v>402</v>
      </c>
      <c r="K1011" s="41" t="s">
        <v>402</v>
      </c>
      <c r="L1011" s="37" t="s">
        <v>612</v>
      </c>
      <c r="M1011" s="21" t="s">
        <v>332</v>
      </c>
      <c r="N1011" s="18" t="s">
        <v>333</v>
      </c>
    </row>
    <row r="1012" spans="1:14" ht="13">
      <c r="A1012" s="18" t="s">
        <v>266</v>
      </c>
      <c r="B1012" s="18" t="s">
        <v>260</v>
      </c>
      <c r="C1012" s="18" t="s">
        <v>778</v>
      </c>
      <c r="D1012" s="18" t="s">
        <v>329</v>
      </c>
      <c r="E1012" s="18" t="s">
        <v>779</v>
      </c>
      <c r="F1012" s="18" t="s">
        <v>780</v>
      </c>
      <c r="G1012" s="18" t="s">
        <v>781</v>
      </c>
      <c r="H1012" s="37">
        <v>1974.8005594497999</v>
      </c>
      <c r="I1012" s="37">
        <v>657</v>
      </c>
      <c r="J1012" s="61" t="s">
        <v>402</v>
      </c>
      <c r="K1012" s="41" t="s">
        <v>402</v>
      </c>
      <c r="L1012" s="37" t="s">
        <v>612</v>
      </c>
      <c r="M1012" s="21" t="s">
        <v>332</v>
      </c>
      <c r="N1012" s="18" t="s">
        <v>333</v>
      </c>
    </row>
    <row r="1013" spans="1:14" ht="13">
      <c r="A1013" s="18" t="s">
        <v>266</v>
      </c>
      <c r="B1013" s="18" t="s">
        <v>260</v>
      </c>
      <c r="C1013" s="18" t="s">
        <v>778</v>
      </c>
      <c r="D1013" s="18" t="s">
        <v>329</v>
      </c>
      <c r="E1013" s="18" t="s">
        <v>779</v>
      </c>
      <c r="F1013" s="18" t="s">
        <v>780</v>
      </c>
      <c r="G1013" s="18" t="s">
        <v>781</v>
      </c>
      <c r="H1013" s="37">
        <v>1975.9258614688499</v>
      </c>
      <c r="I1013" s="37">
        <v>815</v>
      </c>
      <c r="J1013" s="61" t="s">
        <v>402</v>
      </c>
      <c r="K1013" s="41" t="s">
        <v>402</v>
      </c>
      <c r="L1013" s="37" t="s">
        <v>612</v>
      </c>
      <c r="M1013" s="21" t="s">
        <v>332</v>
      </c>
      <c r="N1013" s="18" t="s">
        <v>333</v>
      </c>
    </row>
    <row r="1014" spans="1:14" ht="13">
      <c r="A1014" s="18" t="s">
        <v>266</v>
      </c>
      <c r="B1014" s="18" t="s">
        <v>260</v>
      </c>
      <c r="C1014" s="18" t="s">
        <v>778</v>
      </c>
      <c r="D1014" s="18" t="s">
        <v>329</v>
      </c>
      <c r="E1014" s="18" t="s">
        <v>779</v>
      </c>
      <c r="F1014" s="18" t="s">
        <v>780</v>
      </c>
      <c r="G1014" s="18" t="s">
        <v>781</v>
      </c>
      <c r="H1014" s="37">
        <v>1976.9011638689899</v>
      </c>
      <c r="I1014" s="37">
        <v>995</v>
      </c>
      <c r="J1014" s="61" t="s">
        <v>402</v>
      </c>
      <c r="K1014" s="41" t="s">
        <v>402</v>
      </c>
      <c r="L1014" s="37" t="s">
        <v>612</v>
      </c>
      <c r="M1014" s="21" t="s">
        <v>332</v>
      </c>
      <c r="N1014" s="18" t="s">
        <v>333</v>
      </c>
    </row>
    <row r="1015" spans="1:14" ht="13">
      <c r="A1015" s="18" t="s">
        <v>266</v>
      </c>
      <c r="B1015" s="18" t="s">
        <v>260</v>
      </c>
      <c r="C1015" s="18" t="s">
        <v>778</v>
      </c>
      <c r="D1015" s="18" t="s">
        <v>329</v>
      </c>
      <c r="E1015" s="18" t="s">
        <v>779</v>
      </c>
      <c r="F1015" s="18" t="s">
        <v>780</v>
      </c>
      <c r="G1015" s="18" t="s">
        <v>781</v>
      </c>
      <c r="H1015" s="37">
        <v>1977.9514660785901</v>
      </c>
      <c r="I1015" s="37">
        <v>1131</v>
      </c>
      <c r="J1015" s="61" t="s">
        <v>402</v>
      </c>
      <c r="K1015" s="41" t="s">
        <v>402</v>
      </c>
      <c r="L1015" s="37" t="s">
        <v>612</v>
      </c>
      <c r="M1015" s="21" t="s">
        <v>332</v>
      </c>
      <c r="N1015" s="18" t="s">
        <v>333</v>
      </c>
    </row>
    <row r="1016" spans="1:14" ht="13">
      <c r="A1016" s="18" t="s">
        <v>266</v>
      </c>
      <c r="B1016" s="18" t="s">
        <v>260</v>
      </c>
      <c r="C1016" s="18" t="s">
        <v>778</v>
      </c>
      <c r="D1016" s="18" t="s">
        <v>329</v>
      </c>
      <c r="E1016" s="18" t="s">
        <v>779</v>
      </c>
      <c r="F1016" s="18" t="s">
        <v>780</v>
      </c>
      <c r="G1016" s="18" t="s">
        <v>781</v>
      </c>
      <c r="H1016" s="37">
        <v>1978.9267684787401</v>
      </c>
      <c r="I1016" s="37">
        <v>1330</v>
      </c>
      <c r="J1016" s="61" t="s">
        <v>402</v>
      </c>
      <c r="K1016" s="41" t="s">
        <v>402</v>
      </c>
      <c r="L1016" s="37" t="s">
        <v>612</v>
      </c>
      <c r="M1016" s="21" t="s">
        <v>332</v>
      </c>
      <c r="N1016" s="18" t="s">
        <v>333</v>
      </c>
    </row>
    <row r="1017" spans="1:14" ht="13">
      <c r="A1017" s="18" t="s">
        <v>266</v>
      </c>
      <c r="B1017" s="18" t="s">
        <v>260</v>
      </c>
      <c r="C1017" s="18" t="s">
        <v>778</v>
      </c>
      <c r="D1017" s="18" t="s">
        <v>329</v>
      </c>
      <c r="E1017" s="18" t="s">
        <v>779</v>
      </c>
      <c r="F1017" s="18" t="s">
        <v>780</v>
      </c>
      <c r="G1017" s="18" t="s">
        <v>781</v>
      </c>
      <c r="H1017" s="37">
        <v>1979.9773755656099</v>
      </c>
      <c r="I1017" s="37">
        <v>1600</v>
      </c>
      <c r="J1017" s="61" t="s">
        <v>402</v>
      </c>
      <c r="K1017" s="41" t="s">
        <v>402</v>
      </c>
      <c r="L1017" s="37" t="s">
        <v>612</v>
      </c>
      <c r="M1017" s="21" t="s">
        <v>332</v>
      </c>
      <c r="N1017" s="18" t="s">
        <v>333</v>
      </c>
    </row>
    <row r="1018" spans="1:14" ht="13">
      <c r="A1018" s="18" t="s">
        <v>266</v>
      </c>
      <c r="B1018" s="18" t="s">
        <v>260</v>
      </c>
      <c r="C1018" s="18" t="s">
        <v>778</v>
      </c>
      <c r="D1018" s="18" t="s">
        <v>329</v>
      </c>
      <c r="E1018" s="18" t="s">
        <v>779</v>
      </c>
      <c r="F1018" s="18" t="s">
        <v>780</v>
      </c>
      <c r="G1018" s="18" t="s">
        <v>781</v>
      </c>
      <c r="H1018" s="37">
        <v>1980.95237308848</v>
      </c>
      <c r="I1018" s="37">
        <v>1609</v>
      </c>
      <c r="J1018" s="61" t="s">
        <v>402</v>
      </c>
      <c r="K1018" s="41" t="s">
        <v>402</v>
      </c>
      <c r="L1018" s="37" t="s">
        <v>612</v>
      </c>
      <c r="M1018" s="21" t="s">
        <v>332</v>
      </c>
      <c r="N1018" s="18" t="s">
        <v>333</v>
      </c>
    </row>
    <row r="1019" spans="1:14" ht="13">
      <c r="A1019" s="18" t="s">
        <v>266</v>
      </c>
      <c r="B1019" s="18" t="s">
        <v>260</v>
      </c>
      <c r="C1019" s="18" t="s">
        <v>778</v>
      </c>
      <c r="D1019" s="18" t="s">
        <v>329</v>
      </c>
      <c r="E1019" s="18" t="s">
        <v>779</v>
      </c>
      <c r="F1019" s="18" t="s">
        <v>780</v>
      </c>
      <c r="G1019" s="18" t="s">
        <v>781</v>
      </c>
      <c r="H1019" s="37">
        <v>1981.9278279272701</v>
      </c>
      <c r="I1019" s="37">
        <v>1897</v>
      </c>
      <c r="J1019" s="61" t="s">
        <v>402</v>
      </c>
      <c r="K1019" s="41" t="s">
        <v>402</v>
      </c>
      <c r="L1019" s="37" t="s">
        <v>612</v>
      </c>
      <c r="M1019" s="21" t="s">
        <v>332</v>
      </c>
      <c r="N1019" s="18" t="s">
        <v>333</v>
      </c>
    </row>
    <row r="1020" spans="1:14" ht="13">
      <c r="A1020" s="18" t="s">
        <v>266</v>
      </c>
      <c r="B1020" s="18" t="s">
        <v>260</v>
      </c>
      <c r="C1020" s="18" t="s">
        <v>778</v>
      </c>
      <c r="D1020" s="18" t="s">
        <v>329</v>
      </c>
      <c r="E1020" s="18" t="s">
        <v>779</v>
      </c>
      <c r="F1020" s="18" t="s">
        <v>780</v>
      </c>
      <c r="G1020" s="18" t="s">
        <v>781</v>
      </c>
      <c r="H1020" s="37">
        <v>1982.9031303274101</v>
      </c>
      <c r="I1020" s="37">
        <v>2123</v>
      </c>
      <c r="J1020" s="61" t="s">
        <v>402</v>
      </c>
      <c r="K1020" s="41" t="s">
        <v>402</v>
      </c>
      <c r="L1020" s="37" t="s">
        <v>612</v>
      </c>
      <c r="M1020" s="21" t="s">
        <v>332</v>
      </c>
      <c r="N1020" s="18" t="s">
        <v>333</v>
      </c>
    </row>
    <row r="1021" spans="1:14" ht="13">
      <c r="A1021" s="18" t="s">
        <v>266</v>
      </c>
      <c r="B1021" s="18" t="s">
        <v>260</v>
      </c>
      <c r="C1021" s="18" t="s">
        <v>778</v>
      </c>
      <c r="D1021" s="18" t="s">
        <v>329</v>
      </c>
      <c r="E1021" s="18" t="s">
        <v>779</v>
      </c>
      <c r="F1021" s="18" t="s">
        <v>780</v>
      </c>
      <c r="G1021" s="18" t="s">
        <v>781</v>
      </c>
      <c r="H1021" s="37">
        <v>1983.95328009837</v>
      </c>
      <c r="I1021" s="37">
        <v>2338</v>
      </c>
      <c r="J1021" s="61" t="s">
        <v>402</v>
      </c>
      <c r="K1021" s="41" t="s">
        <v>402</v>
      </c>
      <c r="L1021" s="37" t="s">
        <v>612</v>
      </c>
      <c r="M1021" s="21" t="s">
        <v>332</v>
      </c>
      <c r="N1021" s="18" t="s">
        <v>333</v>
      </c>
    </row>
    <row r="1022" spans="1:14" ht="13">
      <c r="A1022" s="18" t="s">
        <v>266</v>
      </c>
      <c r="B1022" s="18" t="s">
        <v>260</v>
      </c>
      <c r="C1022" s="18" t="s">
        <v>778</v>
      </c>
      <c r="D1022" s="18" t="s">
        <v>329</v>
      </c>
      <c r="E1022" s="18" t="s">
        <v>779</v>
      </c>
      <c r="F1022" s="18" t="s">
        <v>780</v>
      </c>
      <c r="G1022" s="18" t="s">
        <v>781</v>
      </c>
      <c r="H1022" s="37">
        <v>1985.00282011479</v>
      </c>
      <c r="I1022" s="37">
        <v>1940</v>
      </c>
      <c r="J1022" s="61" t="s">
        <v>402</v>
      </c>
      <c r="K1022" s="41" t="s">
        <v>402</v>
      </c>
      <c r="L1022" s="37" t="s">
        <v>612</v>
      </c>
      <c r="M1022" s="21" t="s">
        <v>332</v>
      </c>
      <c r="N1022" s="18" t="s">
        <v>333</v>
      </c>
    </row>
    <row r="1023" spans="1:14" ht="13">
      <c r="A1023" s="18" t="s">
        <v>266</v>
      </c>
      <c r="B1023" s="18" t="s">
        <v>260</v>
      </c>
      <c r="C1023" s="18" t="s">
        <v>778</v>
      </c>
      <c r="D1023" s="18" t="s">
        <v>329</v>
      </c>
      <c r="E1023" s="18" t="s">
        <v>779</v>
      </c>
      <c r="F1023" s="18" t="s">
        <v>780</v>
      </c>
      <c r="G1023" s="18" t="s">
        <v>781</v>
      </c>
      <c r="H1023" s="37">
        <v>1985.90312270548</v>
      </c>
      <c r="I1023" s="37">
        <v>2183</v>
      </c>
      <c r="J1023" s="61" t="s">
        <v>402</v>
      </c>
      <c r="K1023" s="41" t="s">
        <v>402</v>
      </c>
      <c r="L1023" s="37" t="s">
        <v>612</v>
      </c>
      <c r="M1023" s="21" t="s">
        <v>332</v>
      </c>
      <c r="N1023" s="18" t="s">
        <v>333</v>
      </c>
    </row>
    <row r="1024" spans="1:14" ht="13">
      <c r="A1024" s="18" t="s">
        <v>266</v>
      </c>
      <c r="B1024" s="18" t="s">
        <v>260</v>
      </c>
      <c r="C1024" s="18" t="s">
        <v>778</v>
      </c>
      <c r="D1024" s="18" t="s">
        <v>329</v>
      </c>
      <c r="E1024" s="18" t="s">
        <v>779</v>
      </c>
      <c r="F1024" s="18" t="s">
        <v>780</v>
      </c>
      <c r="G1024" s="18" t="s">
        <v>781</v>
      </c>
      <c r="H1024" s="37">
        <v>1986.87781535108</v>
      </c>
      <c r="I1024" s="37">
        <v>1976</v>
      </c>
      <c r="J1024" s="61" t="s">
        <v>402</v>
      </c>
      <c r="K1024" s="41" t="s">
        <v>402</v>
      </c>
      <c r="L1024" s="37" t="s">
        <v>612</v>
      </c>
      <c r="M1024" s="21" t="s">
        <v>332</v>
      </c>
      <c r="N1024" s="18" t="s">
        <v>333</v>
      </c>
    </row>
    <row r="1025" spans="1:14" ht="13">
      <c r="A1025" s="18" t="s">
        <v>266</v>
      </c>
      <c r="B1025" s="18" t="s">
        <v>260</v>
      </c>
      <c r="C1025" s="18" t="s">
        <v>778</v>
      </c>
      <c r="D1025" s="18" t="s">
        <v>329</v>
      </c>
      <c r="E1025" s="18" t="s">
        <v>779</v>
      </c>
      <c r="F1025" s="18" t="s">
        <v>780</v>
      </c>
      <c r="G1025" s="18" t="s">
        <v>781</v>
      </c>
      <c r="H1025" s="37">
        <v>1987.92826999931</v>
      </c>
      <c r="I1025" s="37">
        <v>2178</v>
      </c>
      <c r="J1025" s="61" t="s">
        <v>402</v>
      </c>
      <c r="K1025" s="41" t="s">
        <v>402</v>
      </c>
      <c r="L1025" s="37" t="s">
        <v>612</v>
      </c>
      <c r="M1025" s="21" t="s">
        <v>332</v>
      </c>
      <c r="N1025" s="18" t="s">
        <v>333</v>
      </c>
    </row>
    <row r="1026" spans="1:14" ht="13">
      <c r="A1026" s="18" t="s">
        <v>266</v>
      </c>
      <c r="B1026" s="18" t="s">
        <v>260</v>
      </c>
      <c r="C1026" s="18" t="s">
        <v>778</v>
      </c>
      <c r="D1026" s="18" t="s">
        <v>329</v>
      </c>
      <c r="E1026" s="18" t="s">
        <v>779</v>
      </c>
      <c r="F1026" s="18" t="s">
        <v>780</v>
      </c>
      <c r="G1026" s="18" t="s">
        <v>781</v>
      </c>
      <c r="H1026" s="37">
        <v>1988.9787246475501</v>
      </c>
      <c r="I1026" s="37">
        <v>2396</v>
      </c>
      <c r="J1026" s="61" t="s">
        <v>402</v>
      </c>
      <c r="K1026" s="41" t="s">
        <v>402</v>
      </c>
      <c r="L1026" s="37" t="s">
        <v>612</v>
      </c>
      <c r="M1026" s="21" t="s">
        <v>332</v>
      </c>
      <c r="N1026" s="18" t="s">
        <v>333</v>
      </c>
    </row>
    <row r="1027" spans="1:14" ht="13">
      <c r="A1027" s="18" t="s">
        <v>266</v>
      </c>
      <c r="B1027" s="18" t="s">
        <v>260</v>
      </c>
      <c r="C1027" s="18" t="s">
        <v>778</v>
      </c>
      <c r="D1027" s="18" t="s">
        <v>329</v>
      </c>
      <c r="E1027" s="18" t="s">
        <v>779</v>
      </c>
      <c r="F1027" s="18" t="s">
        <v>780</v>
      </c>
      <c r="G1027" s="18" t="s">
        <v>781</v>
      </c>
      <c r="H1027" s="37">
        <v>1989.87887479961</v>
      </c>
      <c r="I1027" s="37">
        <v>2517</v>
      </c>
      <c r="J1027" s="61" t="s">
        <v>402</v>
      </c>
      <c r="K1027" s="41" t="s">
        <v>402</v>
      </c>
      <c r="L1027" s="37" t="s">
        <v>612</v>
      </c>
      <c r="M1027" s="21" t="s">
        <v>332</v>
      </c>
      <c r="N1027" s="18" t="s">
        <v>333</v>
      </c>
    </row>
    <row r="1028" spans="1:14" ht="13">
      <c r="A1028" s="18" t="s">
        <v>266</v>
      </c>
      <c r="B1028" s="18" t="s">
        <v>260</v>
      </c>
      <c r="C1028" s="18" t="s">
        <v>778</v>
      </c>
      <c r="D1028" s="18" t="s">
        <v>329</v>
      </c>
      <c r="E1028" s="18" t="s">
        <v>779</v>
      </c>
      <c r="F1028" s="18" t="s">
        <v>780</v>
      </c>
      <c r="G1028" s="18" t="s">
        <v>781</v>
      </c>
      <c r="H1028" s="37">
        <v>1990.92932944784</v>
      </c>
      <c r="I1028" s="37">
        <v>2896</v>
      </c>
      <c r="J1028" s="61" t="s">
        <v>402</v>
      </c>
      <c r="K1028" s="41" t="s">
        <v>402</v>
      </c>
      <c r="L1028" s="37" t="s">
        <v>612</v>
      </c>
      <c r="M1028" s="21" t="s">
        <v>332</v>
      </c>
      <c r="N1028" s="18" t="s">
        <v>333</v>
      </c>
    </row>
    <row r="1029" spans="1:14" ht="13">
      <c r="A1029" s="18" t="s">
        <v>266</v>
      </c>
      <c r="B1029" s="18" t="s">
        <v>260</v>
      </c>
      <c r="C1029" s="18" t="s">
        <v>778</v>
      </c>
      <c r="D1029" s="18" t="s">
        <v>329</v>
      </c>
      <c r="E1029" s="18" t="s">
        <v>779</v>
      </c>
      <c r="F1029" s="18" t="s">
        <v>780</v>
      </c>
      <c r="G1029" s="18" t="s">
        <v>781</v>
      </c>
      <c r="H1029" s="37">
        <v>1991.9800889733499</v>
      </c>
      <c r="I1029" s="37">
        <v>3224</v>
      </c>
      <c r="J1029" s="61" t="s">
        <v>402</v>
      </c>
      <c r="K1029" s="41" t="s">
        <v>402</v>
      </c>
      <c r="L1029" s="37" t="s">
        <v>612</v>
      </c>
      <c r="M1029" s="21" t="s">
        <v>332</v>
      </c>
      <c r="N1029" s="18" t="s">
        <v>333</v>
      </c>
    </row>
    <row r="1030" spans="1:14" ht="13">
      <c r="A1030" s="18" t="s">
        <v>266</v>
      </c>
      <c r="B1030" s="18" t="s">
        <v>260</v>
      </c>
      <c r="C1030" s="18" t="s">
        <v>778</v>
      </c>
      <c r="D1030" s="18" t="s">
        <v>329</v>
      </c>
      <c r="E1030" s="18" t="s">
        <v>779</v>
      </c>
      <c r="F1030" s="18" t="s">
        <v>780</v>
      </c>
      <c r="G1030" s="18" t="s">
        <v>781</v>
      </c>
      <c r="H1030" s="37">
        <v>1993.02993386704</v>
      </c>
      <c r="I1030" s="37">
        <v>3116</v>
      </c>
      <c r="J1030" s="61" t="s">
        <v>402</v>
      </c>
      <c r="K1030" s="41" t="s">
        <v>402</v>
      </c>
      <c r="L1030" s="37" t="s">
        <v>612</v>
      </c>
      <c r="M1030" s="21" t="s">
        <v>332</v>
      </c>
      <c r="N1030" s="18" t="s">
        <v>333</v>
      </c>
    </row>
    <row r="1031" spans="1:14" ht="13">
      <c r="A1031" s="18" t="s">
        <v>266</v>
      </c>
      <c r="B1031" s="18" t="s">
        <v>260</v>
      </c>
      <c r="C1031" s="18" t="s">
        <v>778</v>
      </c>
      <c r="D1031" s="18" t="s">
        <v>329</v>
      </c>
      <c r="E1031" s="18" t="s">
        <v>779</v>
      </c>
      <c r="F1031" s="18" t="s">
        <v>780</v>
      </c>
      <c r="G1031" s="18" t="s">
        <v>781</v>
      </c>
      <c r="H1031" s="37">
        <v>1993.8556939641901</v>
      </c>
      <c r="I1031" s="37">
        <v>3555</v>
      </c>
      <c r="J1031" s="61" t="s">
        <v>402</v>
      </c>
      <c r="K1031" s="41" t="s">
        <v>402</v>
      </c>
      <c r="L1031" s="37" t="s">
        <v>612</v>
      </c>
      <c r="M1031" s="21" t="s">
        <v>332</v>
      </c>
      <c r="N1031" s="18" t="s">
        <v>333</v>
      </c>
    </row>
    <row r="1032" spans="1:14" ht="13">
      <c r="A1032" s="18" t="s">
        <v>266</v>
      </c>
      <c r="B1032" s="18" t="s">
        <v>260</v>
      </c>
      <c r="C1032" s="18" t="s">
        <v>778</v>
      </c>
      <c r="D1032" s="18" t="s">
        <v>329</v>
      </c>
      <c r="E1032" s="18" t="s">
        <v>779</v>
      </c>
      <c r="F1032" s="18" t="s">
        <v>780</v>
      </c>
      <c r="G1032" s="18" t="s">
        <v>781</v>
      </c>
      <c r="H1032" s="37">
        <v>1994.9064534897</v>
      </c>
      <c r="I1032" s="37">
        <v>4062</v>
      </c>
      <c r="J1032" s="61" t="s">
        <v>402</v>
      </c>
      <c r="K1032" s="41" t="s">
        <v>402</v>
      </c>
      <c r="L1032" s="37" t="s">
        <v>612</v>
      </c>
      <c r="M1032" s="21" t="s">
        <v>332</v>
      </c>
      <c r="N1032" s="18" t="s">
        <v>333</v>
      </c>
    </row>
    <row r="1033" spans="1:14" ht="13">
      <c r="A1033" s="18" t="s">
        <v>266</v>
      </c>
      <c r="B1033" s="18" t="s">
        <v>260</v>
      </c>
      <c r="C1033" s="18" t="s">
        <v>778</v>
      </c>
      <c r="D1033" s="18" t="s">
        <v>329</v>
      </c>
      <c r="E1033" s="18" t="s">
        <v>779</v>
      </c>
      <c r="F1033" s="18" t="s">
        <v>780</v>
      </c>
      <c r="G1033" s="18" t="s">
        <v>781</v>
      </c>
      <c r="H1033" s="37">
        <v>1995.8823656443999</v>
      </c>
      <c r="I1033" s="37">
        <v>4586</v>
      </c>
      <c r="J1033" s="61" t="s">
        <v>402</v>
      </c>
      <c r="K1033" s="41" t="s">
        <v>402</v>
      </c>
      <c r="L1033" s="37" t="s">
        <v>612</v>
      </c>
      <c r="M1033" s="21" t="s">
        <v>332</v>
      </c>
      <c r="N1033" s="18" t="s">
        <v>333</v>
      </c>
    </row>
    <row r="1034" spans="1:14" ht="13">
      <c r="A1034" s="18" t="s">
        <v>266</v>
      </c>
      <c r="B1034" s="18" t="s">
        <v>260</v>
      </c>
      <c r="C1034" s="18" t="s">
        <v>778</v>
      </c>
      <c r="D1034" s="18" t="s">
        <v>329</v>
      </c>
      <c r="E1034" s="18" t="s">
        <v>779</v>
      </c>
      <c r="F1034" s="18" t="s">
        <v>780</v>
      </c>
      <c r="G1034" s="18" t="s">
        <v>781</v>
      </c>
      <c r="H1034" s="37">
        <v>1996.7828206737299</v>
      </c>
      <c r="I1034" s="37">
        <v>5052</v>
      </c>
      <c r="J1034" s="61" t="s">
        <v>402</v>
      </c>
      <c r="K1034" s="41" t="s">
        <v>402</v>
      </c>
      <c r="L1034" s="37" t="s">
        <v>612</v>
      </c>
      <c r="M1034" s="21" t="s">
        <v>332</v>
      </c>
      <c r="N1034" s="18" t="s">
        <v>333</v>
      </c>
    </row>
    <row r="1035" spans="1:14" ht="13">
      <c r="A1035" s="18" t="s">
        <v>266</v>
      </c>
      <c r="B1035" s="18" t="s">
        <v>260</v>
      </c>
      <c r="C1035" s="18" t="s">
        <v>778</v>
      </c>
      <c r="D1035" s="18" t="s">
        <v>329</v>
      </c>
      <c r="E1035" s="18" t="s">
        <v>779</v>
      </c>
      <c r="F1035" s="18" t="s">
        <v>780</v>
      </c>
      <c r="G1035" s="18" t="s">
        <v>781</v>
      </c>
      <c r="H1035" s="37">
        <v>1997.8329704446901</v>
      </c>
      <c r="I1035" s="37">
        <v>4978</v>
      </c>
      <c r="J1035" s="61" t="s">
        <v>402</v>
      </c>
      <c r="K1035" s="41" t="s">
        <v>402</v>
      </c>
      <c r="L1035" s="37" t="s">
        <v>612</v>
      </c>
      <c r="M1035" s="21" t="s">
        <v>332</v>
      </c>
      <c r="N1035" s="18" t="s">
        <v>333</v>
      </c>
    </row>
    <row r="1036" spans="1:14" ht="13">
      <c r="A1036" s="18" t="s">
        <v>266</v>
      </c>
      <c r="B1036" s="18" t="s">
        <v>260</v>
      </c>
      <c r="C1036" s="18" t="s">
        <v>778</v>
      </c>
      <c r="D1036" s="18" t="s">
        <v>329</v>
      </c>
      <c r="E1036" s="18" t="s">
        <v>779</v>
      </c>
      <c r="F1036" s="18" t="s">
        <v>780</v>
      </c>
      <c r="G1036" s="18" t="s">
        <v>781</v>
      </c>
      <c r="H1036" s="37">
        <v>1998.8835775315599</v>
      </c>
      <c r="I1036" s="37">
        <v>5524</v>
      </c>
      <c r="J1036" s="61" t="s">
        <v>402</v>
      </c>
      <c r="K1036" s="41" t="s">
        <v>402</v>
      </c>
      <c r="L1036" s="37" t="s">
        <v>612</v>
      </c>
      <c r="M1036" s="21" t="s">
        <v>332</v>
      </c>
      <c r="N1036" s="18" t="s">
        <v>333</v>
      </c>
    </row>
    <row r="1037" spans="1:14" ht="13">
      <c r="A1037" s="18" t="s">
        <v>266</v>
      </c>
      <c r="B1037" s="18" t="s">
        <v>260</v>
      </c>
      <c r="C1037" s="18" t="s">
        <v>778</v>
      </c>
      <c r="D1037" s="18" t="s">
        <v>329</v>
      </c>
      <c r="E1037" s="18" t="s">
        <v>779</v>
      </c>
      <c r="F1037" s="18" t="s">
        <v>780</v>
      </c>
      <c r="G1037" s="18" t="s">
        <v>781</v>
      </c>
      <c r="H1037" s="37">
        <v>1999.8581177385199</v>
      </c>
      <c r="I1037" s="37">
        <v>5036</v>
      </c>
      <c r="J1037" s="61" t="s">
        <v>402</v>
      </c>
      <c r="K1037" s="41" t="s">
        <v>402</v>
      </c>
      <c r="L1037" s="37" t="s">
        <v>612</v>
      </c>
      <c r="M1037" s="21" t="s">
        <v>332</v>
      </c>
      <c r="N1037" s="18" t="s">
        <v>333</v>
      </c>
    </row>
    <row r="1038" spans="1:14" ht="13">
      <c r="A1038" s="18" t="s">
        <v>266</v>
      </c>
      <c r="B1038" s="18" t="s">
        <v>260</v>
      </c>
      <c r="C1038" s="18" t="s">
        <v>778</v>
      </c>
      <c r="D1038" s="18" t="s">
        <v>329</v>
      </c>
      <c r="E1038" s="18" t="s">
        <v>779</v>
      </c>
      <c r="F1038" s="18" t="s">
        <v>780</v>
      </c>
      <c r="G1038" s="18" t="s">
        <v>781</v>
      </c>
      <c r="H1038" s="37">
        <v>2000.7584203292199</v>
      </c>
      <c r="I1038" s="37">
        <v>5238</v>
      </c>
      <c r="J1038" s="61" t="s">
        <v>402</v>
      </c>
      <c r="K1038" s="41" t="s">
        <v>402</v>
      </c>
      <c r="L1038" s="37" t="s">
        <v>612</v>
      </c>
      <c r="M1038" s="21" t="s">
        <v>332</v>
      </c>
      <c r="N1038" s="18" t="s">
        <v>333</v>
      </c>
    </row>
    <row r="1039" spans="1:14" ht="13">
      <c r="A1039" s="18" t="s">
        <v>266</v>
      </c>
      <c r="B1039" s="18" t="s">
        <v>260</v>
      </c>
      <c r="C1039" s="18" t="s">
        <v>778</v>
      </c>
      <c r="D1039" s="18" t="s">
        <v>329</v>
      </c>
      <c r="E1039" s="18" t="s">
        <v>779</v>
      </c>
      <c r="F1039" s="18" t="s">
        <v>780</v>
      </c>
      <c r="G1039" s="18" t="s">
        <v>781</v>
      </c>
      <c r="H1039" s="37">
        <v>2001.9588745963599</v>
      </c>
      <c r="I1039" s="37">
        <v>5567</v>
      </c>
      <c r="J1039" s="61" t="s">
        <v>402</v>
      </c>
      <c r="K1039" s="41" t="s">
        <v>402</v>
      </c>
      <c r="L1039" s="37" t="s">
        <v>612</v>
      </c>
      <c r="M1039" s="21" t="s">
        <v>332</v>
      </c>
      <c r="N1039" s="18" t="s">
        <v>333</v>
      </c>
    </row>
    <row r="1040" spans="1:14" ht="13">
      <c r="A1040" s="18" t="s">
        <v>266</v>
      </c>
      <c r="B1040" s="18" t="s">
        <v>260</v>
      </c>
      <c r="C1040" s="18" t="s">
        <v>778</v>
      </c>
      <c r="D1040" s="18" t="s">
        <v>329</v>
      </c>
      <c r="E1040" s="18" t="s">
        <v>779</v>
      </c>
      <c r="F1040" s="18" t="s">
        <v>780</v>
      </c>
      <c r="G1040" s="18" t="s">
        <v>781</v>
      </c>
      <c r="H1040" s="37">
        <v>2002.9349391896901</v>
      </c>
      <c r="I1040" s="37">
        <v>6192</v>
      </c>
      <c r="J1040" s="61" t="s">
        <v>402</v>
      </c>
      <c r="K1040" s="41" t="s">
        <v>402</v>
      </c>
      <c r="L1040" s="37" t="s">
        <v>612</v>
      </c>
      <c r="M1040" s="21" t="s">
        <v>332</v>
      </c>
      <c r="N1040" s="18" t="s">
        <v>333</v>
      </c>
    </row>
    <row r="1041" spans="1:14" ht="13">
      <c r="A1041" s="18" t="s">
        <v>266</v>
      </c>
      <c r="B1041" s="18" t="s">
        <v>260</v>
      </c>
      <c r="C1041" s="18" t="s">
        <v>778</v>
      </c>
      <c r="D1041" s="18" t="s">
        <v>329</v>
      </c>
      <c r="E1041" s="18" t="s">
        <v>779</v>
      </c>
      <c r="F1041" s="18" t="s">
        <v>780</v>
      </c>
      <c r="G1041" s="18" t="s">
        <v>781</v>
      </c>
      <c r="H1041" s="37">
        <v>2004.06069852465</v>
      </c>
      <c r="I1041" s="37">
        <v>6662</v>
      </c>
      <c r="J1041" s="61" t="s">
        <v>402</v>
      </c>
      <c r="K1041" s="41" t="s">
        <v>402</v>
      </c>
      <c r="L1041" s="37" t="s">
        <v>612</v>
      </c>
      <c r="M1041" s="21" t="s">
        <v>332</v>
      </c>
      <c r="N1041" s="18" t="s">
        <v>333</v>
      </c>
    </row>
    <row r="1042" spans="1:14" ht="13">
      <c r="A1042" s="18" t="s">
        <v>266</v>
      </c>
      <c r="B1042" s="18" t="s">
        <v>260</v>
      </c>
      <c r="C1042" s="18" t="s">
        <v>778</v>
      </c>
      <c r="D1042" s="18" t="s">
        <v>329</v>
      </c>
      <c r="E1042" s="18" t="s">
        <v>779</v>
      </c>
      <c r="F1042" s="18" t="s">
        <v>780</v>
      </c>
      <c r="G1042" s="18" t="s">
        <v>781</v>
      </c>
      <c r="H1042" s="37">
        <v>2004.9616108698899</v>
      </c>
      <c r="I1042" s="37">
        <v>7171</v>
      </c>
      <c r="J1042" s="61" t="s">
        <v>402</v>
      </c>
      <c r="K1042" s="41" t="s">
        <v>402</v>
      </c>
      <c r="L1042" s="37" t="s">
        <v>612</v>
      </c>
      <c r="M1042" s="21" t="s">
        <v>332</v>
      </c>
      <c r="N1042" s="18" t="s">
        <v>333</v>
      </c>
    </row>
    <row r="1043" spans="1:14" ht="13">
      <c r="A1043" s="18" t="s">
        <v>266</v>
      </c>
      <c r="B1043" s="18" t="s">
        <v>260</v>
      </c>
      <c r="C1043" s="18" t="s">
        <v>778</v>
      </c>
      <c r="D1043" s="18" t="s">
        <v>329</v>
      </c>
      <c r="E1043" s="18" t="s">
        <v>779</v>
      </c>
      <c r="F1043" s="18" t="s">
        <v>780</v>
      </c>
      <c r="G1043" s="18" t="s">
        <v>781</v>
      </c>
      <c r="H1043" s="37">
        <v>2005.9370657086699</v>
      </c>
      <c r="I1043" s="37">
        <v>7580</v>
      </c>
      <c r="J1043" s="61" t="s">
        <v>402</v>
      </c>
      <c r="K1043" s="41" t="s">
        <v>402</v>
      </c>
      <c r="L1043" s="37" t="s">
        <v>612</v>
      </c>
      <c r="M1043" s="21" t="s">
        <v>332</v>
      </c>
      <c r="N1043" s="18" t="s">
        <v>333</v>
      </c>
    </row>
    <row r="1044" spans="1:14" ht="13">
      <c r="A1044" s="18" t="s">
        <v>266</v>
      </c>
      <c r="B1044" s="18" t="s">
        <v>260</v>
      </c>
      <c r="C1044" s="18" t="s">
        <v>778</v>
      </c>
      <c r="D1044" s="18" t="s">
        <v>329</v>
      </c>
      <c r="E1044" s="18" t="s">
        <v>779</v>
      </c>
      <c r="F1044" s="18" t="s">
        <v>780</v>
      </c>
      <c r="G1044" s="18" t="s">
        <v>781</v>
      </c>
      <c r="H1044" s="37">
        <v>2006.8373682993699</v>
      </c>
      <c r="I1044" s="37">
        <v>7673</v>
      </c>
      <c r="J1044" s="61" t="s">
        <v>402</v>
      </c>
      <c r="K1044" s="41" t="s">
        <v>402</v>
      </c>
      <c r="L1044" s="37" t="s">
        <v>612</v>
      </c>
      <c r="M1044" s="21" t="s">
        <v>332</v>
      </c>
      <c r="N1044" s="18" t="s">
        <v>333</v>
      </c>
    </row>
    <row r="1045" spans="1:14" ht="13">
      <c r="A1045" s="18" t="s">
        <v>266</v>
      </c>
      <c r="B1045" s="18" t="s">
        <v>260</v>
      </c>
      <c r="C1045" s="18" t="s">
        <v>778</v>
      </c>
      <c r="D1045" s="18" t="s">
        <v>329</v>
      </c>
      <c r="E1045" s="18" t="s">
        <v>779</v>
      </c>
      <c r="F1045" s="18" t="s">
        <v>780</v>
      </c>
      <c r="G1045" s="18" t="s">
        <v>781</v>
      </c>
      <c r="H1045" s="37">
        <v>2007.88706075442</v>
      </c>
      <c r="I1045" s="37">
        <v>7392</v>
      </c>
      <c r="J1045" s="61" t="s">
        <v>402</v>
      </c>
      <c r="K1045" s="41" t="s">
        <v>402</v>
      </c>
      <c r="L1045" s="37" t="s">
        <v>612</v>
      </c>
      <c r="M1045" s="21" t="s">
        <v>332</v>
      </c>
      <c r="N1045" s="18" t="s">
        <v>333</v>
      </c>
    </row>
    <row r="1046" spans="1:14" ht="13">
      <c r="A1046" s="18" t="s">
        <v>266</v>
      </c>
      <c r="B1046" s="18" t="s">
        <v>260</v>
      </c>
      <c r="C1046" s="18" t="s">
        <v>778</v>
      </c>
      <c r="D1046" s="18" t="s">
        <v>329</v>
      </c>
      <c r="E1046" s="18" t="s">
        <v>779</v>
      </c>
      <c r="F1046" s="18" t="s">
        <v>780</v>
      </c>
      <c r="G1046" s="18" t="s">
        <v>781</v>
      </c>
      <c r="H1046" s="37">
        <v>2009.01114326437</v>
      </c>
      <c r="I1046" s="37">
        <v>7015</v>
      </c>
      <c r="J1046" s="61" t="s">
        <v>402</v>
      </c>
      <c r="K1046" s="41" t="s">
        <v>402</v>
      </c>
      <c r="L1046" s="37" t="s">
        <v>612</v>
      </c>
      <c r="M1046" s="21" t="s">
        <v>332</v>
      </c>
      <c r="N1046" s="18" t="s">
        <v>333</v>
      </c>
    </row>
    <row r="1047" spans="1:14" ht="13">
      <c r="A1047" s="18" t="s">
        <v>266</v>
      </c>
      <c r="B1047" s="18" t="s">
        <v>260</v>
      </c>
      <c r="C1047" s="18" t="s">
        <v>778</v>
      </c>
      <c r="D1047" s="18" t="s">
        <v>329</v>
      </c>
      <c r="E1047" s="18" t="s">
        <v>779</v>
      </c>
      <c r="F1047" s="18" t="s">
        <v>780</v>
      </c>
      <c r="G1047" s="18" t="s">
        <v>781</v>
      </c>
      <c r="H1047" s="37">
        <v>2009.83705580016</v>
      </c>
      <c r="I1047" s="37">
        <v>7540</v>
      </c>
      <c r="J1047" s="61" t="s">
        <v>402</v>
      </c>
      <c r="K1047" s="41" t="s">
        <v>402</v>
      </c>
      <c r="L1047" s="37" t="s">
        <v>612</v>
      </c>
      <c r="M1047" s="21" t="s">
        <v>332</v>
      </c>
      <c r="N1047" s="18" t="s">
        <v>333</v>
      </c>
    </row>
    <row r="1048" spans="1:14" ht="13">
      <c r="A1048" s="18" t="s">
        <v>266</v>
      </c>
      <c r="B1048" s="18" t="s">
        <v>260</v>
      </c>
      <c r="C1048" s="18" t="s">
        <v>731</v>
      </c>
      <c r="D1048" s="18" t="s">
        <v>329</v>
      </c>
      <c r="E1048" s="18" t="s">
        <v>782</v>
      </c>
      <c r="F1048" s="18" t="s">
        <v>780</v>
      </c>
      <c r="G1048" s="18" t="s">
        <v>781</v>
      </c>
      <c r="H1048" s="37">
        <v>1958.00029725534</v>
      </c>
      <c r="I1048" s="37">
        <v>84</v>
      </c>
      <c r="J1048" s="61" t="s">
        <v>402</v>
      </c>
      <c r="K1048" s="41" t="s">
        <v>402</v>
      </c>
      <c r="L1048" s="37" t="s">
        <v>612</v>
      </c>
      <c r="M1048" s="21" t="s">
        <v>332</v>
      </c>
      <c r="N1048" s="18" t="s">
        <v>333</v>
      </c>
    </row>
    <row r="1049" spans="1:14" ht="13">
      <c r="A1049" s="18" t="s">
        <v>266</v>
      </c>
      <c r="B1049" s="18" t="s">
        <v>260</v>
      </c>
      <c r="C1049" s="18" t="s">
        <v>731</v>
      </c>
      <c r="D1049" s="18" t="s">
        <v>329</v>
      </c>
      <c r="E1049" s="18" t="s">
        <v>782</v>
      </c>
      <c r="F1049" s="18" t="s">
        <v>780</v>
      </c>
      <c r="G1049" s="18" t="s">
        <v>781</v>
      </c>
      <c r="H1049" s="37">
        <v>1959</v>
      </c>
      <c r="I1049" s="37" t="s">
        <v>402</v>
      </c>
      <c r="J1049" s="61" t="s">
        <v>402</v>
      </c>
      <c r="K1049" s="41" t="s">
        <v>402</v>
      </c>
      <c r="L1049" s="37" t="s">
        <v>612</v>
      </c>
      <c r="M1049" s="21" t="s">
        <v>332</v>
      </c>
      <c r="N1049" s="18" t="s">
        <v>333</v>
      </c>
    </row>
    <row r="1050" spans="1:14" ht="13">
      <c r="A1050" s="18" t="s">
        <v>266</v>
      </c>
      <c r="B1050" s="18" t="s">
        <v>260</v>
      </c>
      <c r="C1050" s="18" t="s">
        <v>731</v>
      </c>
      <c r="D1050" s="18" t="s">
        <v>329</v>
      </c>
      <c r="E1050" s="18" t="s">
        <v>782</v>
      </c>
      <c r="F1050" s="18" t="s">
        <v>780</v>
      </c>
      <c r="G1050" s="18" t="s">
        <v>781</v>
      </c>
      <c r="H1050" s="37">
        <v>1960</v>
      </c>
      <c r="I1050" s="37" t="s">
        <v>402</v>
      </c>
      <c r="J1050" s="61" t="s">
        <v>402</v>
      </c>
      <c r="K1050" s="41" t="s">
        <v>402</v>
      </c>
      <c r="L1050" s="37" t="s">
        <v>612</v>
      </c>
      <c r="M1050" s="21" t="s">
        <v>332</v>
      </c>
      <c r="N1050" s="18" t="s">
        <v>333</v>
      </c>
    </row>
    <row r="1051" spans="1:14" ht="13">
      <c r="A1051" s="18" t="s">
        <v>266</v>
      </c>
      <c r="B1051" s="18" t="s">
        <v>260</v>
      </c>
      <c r="C1051" s="18" t="s">
        <v>731</v>
      </c>
      <c r="D1051" s="18" t="s">
        <v>329</v>
      </c>
      <c r="E1051" s="18" t="s">
        <v>782</v>
      </c>
      <c r="F1051" s="18" t="s">
        <v>780</v>
      </c>
      <c r="G1051" s="18" t="s">
        <v>781</v>
      </c>
      <c r="H1051" s="37">
        <v>1961</v>
      </c>
      <c r="I1051" s="37" t="s">
        <v>402</v>
      </c>
      <c r="J1051" s="61" t="s">
        <v>402</v>
      </c>
      <c r="K1051" s="41" t="s">
        <v>402</v>
      </c>
      <c r="L1051" s="37" t="s">
        <v>612</v>
      </c>
      <c r="M1051" s="21" t="s">
        <v>332</v>
      </c>
      <c r="N1051" s="18" t="s">
        <v>333</v>
      </c>
    </row>
    <row r="1052" spans="1:14" ht="13">
      <c r="A1052" s="18" t="s">
        <v>266</v>
      </c>
      <c r="B1052" s="18" t="s">
        <v>260</v>
      </c>
      <c r="C1052" s="18" t="s">
        <v>731</v>
      </c>
      <c r="D1052" s="18" t="s">
        <v>329</v>
      </c>
      <c r="E1052" s="18" t="s">
        <v>782</v>
      </c>
      <c r="F1052" s="18" t="s">
        <v>780</v>
      </c>
      <c r="G1052" s="18" t="s">
        <v>781</v>
      </c>
      <c r="H1052" s="37">
        <v>1962</v>
      </c>
      <c r="I1052" s="37" t="s">
        <v>402</v>
      </c>
      <c r="J1052" s="61" t="s">
        <v>402</v>
      </c>
      <c r="K1052" s="41" t="s">
        <v>402</v>
      </c>
      <c r="L1052" s="37" t="s">
        <v>612</v>
      </c>
      <c r="M1052" s="21" t="s">
        <v>332</v>
      </c>
      <c r="N1052" s="18" t="s">
        <v>333</v>
      </c>
    </row>
    <row r="1053" spans="1:14" ht="13">
      <c r="A1053" s="18" t="s">
        <v>266</v>
      </c>
      <c r="B1053" s="18" t="s">
        <v>260</v>
      </c>
      <c r="C1053" s="18" t="s">
        <v>731</v>
      </c>
      <c r="D1053" s="18" t="s">
        <v>329</v>
      </c>
      <c r="E1053" s="18" t="s">
        <v>782</v>
      </c>
      <c r="F1053" s="18" t="s">
        <v>780</v>
      </c>
      <c r="G1053" s="18" t="s">
        <v>781</v>
      </c>
      <c r="H1053" s="37">
        <v>1963</v>
      </c>
      <c r="I1053" s="37" t="s">
        <v>402</v>
      </c>
      <c r="J1053" s="61" t="s">
        <v>402</v>
      </c>
      <c r="K1053" s="41" t="s">
        <v>402</v>
      </c>
      <c r="L1053" s="37" t="s">
        <v>612</v>
      </c>
      <c r="M1053" s="21" t="s">
        <v>332</v>
      </c>
      <c r="N1053" s="18" t="s">
        <v>333</v>
      </c>
    </row>
    <row r="1054" spans="1:14" ht="13">
      <c r="A1054" s="18" t="s">
        <v>266</v>
      </c>
      <c r="B1054" s="18" t="s">
        <v>260</v>
      </c>
      <c r="C1054" s="18" t="s">
        <v>731</v>
      </c>
      <c r="D1054" s="18" t="s">
        <v>329</v>
      </c>
      <c r="E1054" s="18" t="s">
        <v>782</v>
      </c>
      <c r="F1054" s="18" t="s">
        <v>780</v>
      </c>
      <c r="G1054" s="18" t="s">
        <v>781</v>
      </c>
      <c r="H1054" s="37">
        <v>1963.85150190167</v>
      </c>
      <c r="I1054" s="37">
        <v>972</v>
      </c>
      <c r="J1054" s="61" t="s">
        <v>402</v>
      </c>
      <c r="K1054" s="41" t="s">
        <v>402</v>
      </c>
      <c r="L1054" s="37" t="s">
        <v>612</v>
      </c>
      <c r="M1054" s="21" t="s">
        <v>332</v>
      </c>
      <c r="N1054" s="18" t="s">
        <v>333</v>
      </c>
    </row>
    <row r="1055" spans="1:14" ht="13">
      <c r="A1055" s="18" t="s">
        <v>266</v>
      </c>
      <c r="B1055" s="18" t="s">
        <v>260</v>
      </c>
      <c r="C1055" s="18" t="s">
        <v>731</v>
      </c>
      <c r="D1055" s="18" t="s">
        <v>329</v>
      </c>
      <c r="E1055" s="18" t="s">
        <v>782</v>
      </c>
      <c r="F1055" s="18" t="s">
        <v>780</v>
      </c>
      <c r="G1055" s="18" t="s">
        <v>781</v>
      </c>
      <c r="H1055" s="37">
        <v>1965</v>
      </c>
      <c r="I1055" s="37" t="s">
        <v>402</v>
      </c>
      <c r="J1055" s="61" t="s">
        <v>402</v>
      </c>
      <c r="K1055" s="41" t="s">
        <v>402</v>
      </c>
      <c r="L1055" s="37" t="s">
        <v>612</v>
      </c>
      <c r="M1055" s="21" t="s">
        <v>332</v>
      </c>
      <c r="N1055" s="18" t="s">
        <v>333</v>
      </c>
    </row>
    <row r="1056" spans="1:14" ht="13">
      <c r="A1056" s="18" t="s">
        <v>266</v>
      </c>
      <c r="B1056" s="18" t="s">
        <v>260</v>
      </c>
      <c r="C1056" s="18" t="s">
        <v>731</v>
      </c>
      <c r="D1056" s="18" t="s">
        <v>329</v>
      </c>
      <c r="E1056" s="18" t="s">
        <v>782</v>
      </c>
      <c r="F1056" s="18" t="s">
        <v>780</v>
      </c>
      <c r="G1056" s="18" t="s">
        <v>781</v>
      </c>
      <c r="H1056" s="37">
        <v>1966</v>
      </c>
      <c r="I1056" s="37" t="s">
        <v>402</v>
      </c>
      <c r="J1056" s="61" t="s">
        <v>402</v>
      </c>
      <c r="K1056" s="41" t="s">
        <v>402</v>
      </c>
      <c r="L1056" s="37" t="s">
        <v>612</v>
      </c>
      <c r="M1056" s="21" t="s">
        <v>332</v>
      </c>
      <c r="N1056" s="18" t="s">
        <v>333</v>
      </c>
    </row>
    <row r="1057" spans="1:14" ht="13">
      <c r="A1057" s="18" t="s">
        <v>266</v>
      </c>
      <c r="B1057" s="18" t="s">
        <v>260</v>
      </c>
      <c r="C1057" s="18" t="s">
        <v>731</v>
      </c>
      <c r="D1057" s="18" t="s">
        <v>329</v>
      </c>
      <c r="E1057" s="18" t="s">
        <v>782</v>
      </c>
      <c r="F1057" s="18" t="s">
        <v>780</v>
      </c>
      <c r="G1057" s="18" t="s">
        <v>781</v>
      </c>
      <c r="H1057" s="37">
        <v>1967</v>
      </c>
      <c r="I1057" s="37" t="s">
        <v>402</v>
      </c>
      <c r="J1057" s="61" t="s">
        <v>402</v>
      </c>
      <c r="K1057" s="41" t="s">
        <v>402</v>
      </c>
      <c r="L1057" s="37" t="s">
        <v>612</v>
      </c>
      <c r="M1057" s="21" t="s">
        <v>332</v>
      </c>
      <c r="N1057" s="18" t="s">
        <v>333</v>
      </c>
    </row>
    <row r="1058" spans="1:14" ht="13">
      <c r="A1058" s="18" t="s">
        <v>266</v>
      </c>
      <c r="B1058" s="18" t="s">
        <v>260</v>
      </c>
      <c r="C1058" s="18" t="s">
        <v>731</v>
      </c>
      <c r="D1058" s="18" t="s">
        <v>329</v>
      </c>
      <c r="E1058" s="18" t="s">
        <v>782</v>
      </c>
      <c r="F1058" s="18" t="s">
        <v>780</v>
      </c>
      <c r="G1058" s="18" t="s">
        <v>781</v>
      </c>
      <c r="H1058" s="37">
        <v>1967.9778633692499</v>
      </c>
      <c r="I1058" s="37">
        <v>1823</v>
      </c>
      <c r="J1058" s="61" t="s">
        <v>402</v>
      </c>
      <c r="K1058" s="41" t="s">
        <v>402</v>
      </c>
      <c r="L1058" s="37" t="s">
        <v>612</v>
      </c>
      <c r="M1058" s="21" t="s">
        <v>332</v>
      </c>
      <c r="N1058" s="18" t="s">
        <v>333</v>
      </c>
    </row>
    <row r="1059" spans="1:14" ht="13">
      <c r="A1059" s="18" t="s">
        <v>266</v>
      </c>
      <c r="B1059" s="18" t="s">
        <v>260</v>
      </c>
      <c r="C1059" s="18" t="s">
        <v>731</v>
      </c>
      <c r="D1059" s="18" t="s">
        <v>329</v>
      </c>
      <c r="E1059" s="18" t="s">
        <v>782</v>
      </c>
      <c r="F1059" s="18" t="s">
        <v>780</v>
      </c>
      <c r="G1059" s="18" t="s">
        <v>781</v>
      </c>
      <c r="H1059" s="37">
        <v>1969</v>
      </c>
      <c r="I1059" s="37"/>
      <c r="J1059" s="61" t="s">
        <v>402</v>
      </c>
      <c r="K1059" s="41" t="s">
        <v>402</v>
      </c>
      <c r="L1059" s="37" t="s">
        <v>612</v>
      </c>
      <c r="M1059" s="21" t="s">
        <v>332</v>
      </c>
      <c r="N1059" s="18" t="s">
        <v>333</v>
      </c>
    </row>
    <row r="1060" spans="1:14" ht="13">
      <c r="A1060" s="18" t="s">
        <v>266</v>
      </c>
      <c r="B1060" s="18" t="s">
        <v>260</v>
      </c>
      <c r="C1060" s="18" t="s">
        <v>731</v>
      </c>
      <c r="D1060" s="18" t="s">
        <v>329</v>
      </c>
      <c r="E1060" s="18" t="s">
        <v>782</v>
      </c>
      <c r="F1060" s="18" t="s">
        <v>780</v>
      </c>
      <c r="G1060" s="18" t="s">
        <v>781</v>
      </c>
      <c r="H1060" s="37">
        <v>1970</v>
      </c>
      <c r="I1060" s="37"/>
      <c r="J1060" s="61" t="s">
        <v>402</v>
      </c>
      <c r="K1060" s="41" t="s">
        <v>402</v>
      </c>
      <c r="L1060" s="37" t="s">
        <v>612</v>
      </c>
      <c r="M1060" s="21" t="s">
        <v>332</v>
      </c>
      <c r="N1060" s="18" t="s">
        <v>333</v>
      </c>
    </row>
    <row r="1061" spans="1:14" ht="13">
      <c r="A1061" s="18" t="s">
        <v>266</v>
      </c>
      <c r="B1061" s="18" t="s">
        <v>260</v>
      </c>
      <c r="C1061" s="18" t="s">
        <v>731</v>
      </c>
      <c r="D1061" s="18" t="s">
        <v>329</v>
      </c>
      <c r="E1061" s="18" t="s">
        <v>782</v>
      </c>
      <c r="F1061" s="18" t="s">
        <v>780</v>
      </c>
      <c r="G1061" s="18" t="s">
        <v>781</v>
      </c>
      <c r="H1061" s="37">
        <v>1971</v>
      </c>
      <c r="I1061" s="37"/>
      <c r="J1061" s="61" t="s">
        <v>402</v>
      </c>
      <c r="K1061" s="41" t="s">
        <v>402</v>
      </c>
      <c r="L1061" s="37" t="s">
        <v>612</v>
      </c>
      <c r="M1061" s="21" t="s">
        <v>332</v>
      </c>
      <c r="N1061" s="18" t="s">
        <v>333</v>
      </c>
    </row>
    <row r="1062" spans="1:14" ht="13">
      <c r="A1062" s="18" t="s">
        <v>266</v>
      </c>
      <c r="B1062" s="18" t="s">
        <v>260</v>
      </c>
      <c r="C1062" s="18" t="s">
        <v>731</v>
      </c>
      <c r="D1062" s="18" t="s">
        <v>329</v>
      </c>
      <c r="E1062" s="18" t="s">
        <v>782</v>
      </c>
      <c r="F1062" s="18" t="s">
        <v>780</v>
      </c>
      <c r="G1062" s="18" t="s">
        <v>781</v>
      </c>
      <c r="H1062" s="37">
        <v>1972.02983478192</v>
      </c>
      <c r="I1062" s="37">
        <v>2938</v>
      </c>
      <c r="J1062" s="61" t="s">
        <v>402</v>
      </c>
      <c r="K1062" s="41" t="s">
        <v>402</v>
      </c>
      <c r="L1062" s="37" t="s">
        <v>612</v>
      </c>
      <c r="M1062" s="21" t="s">
        <v>332</v>
      </c>
      <c r="N1062" s="18" t="s">
        <v>333</v>
      </c>
    </row>
    <row r="1063" spans="1:14" ht="13">
      <c r="A1063" s="18" t="s">
        <v>266</v>
      </c>
      <c r="B1063" s="18" t="s">
        <v>260</v>
      </c>
      <c r="C1063" s="18" t="s">
        <v>731</v>
      </c>
      <c r="D1063" s="18" t="s">
        <v>329</v>
      </c>
      <c r="E1063" s="18" t="s">
        <v>782</v>
      </c>
      <c r="F1063" s="18" t="s">
        <v>780</v>
      </c>
      <c r="G1063" s="18" t="s">
        <v>781</v>
      </c>
      <c r="H1063" s="37">
        <v>1973</v>
      </c>
      <c r="I1063" s="37" t="s">
        <v>402</v>
      </c>
      <c r="J1063" s="61" t="s">
        <v>402</v>
      </c>
      <c r="K1063" s="41" t="s">
        <v>402</v>
      </c>
      <c r="L1063" s="37" t="s">
        <v>612</v>
      </c>
      <c r="M1063" s="21" t="s">
        <v>332</v>
      </c>
      <c r="N1063" s="18" t="s">
        <v>333</v>
      </c>
    </row>
    <row r="1064" spans="1:14" ht="13">
      <c r="A1064" s="18" t="s">
        <v>266</v>
      </c>
      <c r="B1064" s="18" t="s">
        <v>260</v>
      </c>
      <c r="C1064" s="18" t="s">
        <v>731</v>
      </c>
      <c r="D1064" s="18" t="s">
        <v>329</v>
      </c>
      <c r="E1064" s="18" t="s">
        <v>782</v>
      </c>
      <c r="F1064" s="18" t="s">
        <v>780</v>
      </c>
      <c r="G1064" s="18" t="s">
        <v>781</v>
      </c>
      <c r="H1064" s="37">
        <v>1974</v>
      </c>
      <c r="I1064" s="37" t="s">
        <v>402</v>
      </c>
      <c r="J1064" s="61" t="s">
        <v>402</v>
      </c>
      <c r="K1064" s="41" t="s">
        <v>402</v>
      </c>
      <c r="L1064" s="37" t="s">
        <v>612</v>
      </c>
      <c r="M1064" s="21" t="s">
        <v>332</v>
      </c>
      <c r="N1064" s="18" t="s">
        <v>333</v>
      </c>
    </row>
    <row r="1065" spans="1:14" ht="13">
      <c r="A1065" s="18" t="s">
        <v>266</v>
      </c>
      <c r="B1065" s="18" t="s">
        <v>260</v>
      </c>
      <c r="C1065" s="18" t="s">
        <v>731</v>
      </c>
      <c r="D1065" s="18" t="s">
        <v>329</v>
      </c>
      <c r="E1065" s="18" t="s">
        <v>782</v>
      </c>
      <c r="F1065" s="18" t="s">
        <v>780</v>
      </c>
      <c r="G1065" s="18" t="s">
        <v>781</v>
      </c>
      <c r="H1065" s="37">
        <v>1975</v>
      </c>
      <c r="I1065" s="37" t="s">
        <v>402</v>
      </c>
      <c r="J1065" s="61" t="s">
        <v>402</v>
      </c>
      <c r="K1065" s="41" t="s">
        <v>402</v>
      </c>
      <c r="L1065" s="37" t="s">
        <v>612</v>
      </c>
      <c r="M1065" s="21" t="s">
        <v>332</v>
      </c>
      <c r="N1065" s="18" t="s">
        <v>333</v>
      </c>
    </row>
    <row r="1066" spans="1:14" ht="13">
      <c r="A1066" s="18" t="s">
        <v>266</v>
      </c>
      <c r="B1066" s="18" t="s">
        <v>260</v>
      </c>
      <c r="C1066" s="18" t="s">
        <v>731</v>
      </c>
      <c r="D1066" s="18" t="s">
        <v>329</v>
      </c>
      <c r="E1066" s="18" t="s">
        <v>782</v>
      </c>
      <c r="F1066" s="18" t="s">
        <v>780</v>
      </c>
      <c r="G1066" s="18" t="s">
        <v>781</v>
      </c>
      <c r="H1066" s="37">
        <v>1976</v>
      </c>
      <c r="I1066" s="37" t="s">
        <v>402</v>
      </c>
      <c r="J1066" s="61" t="s">
        <v>402</v>
      </c>
      <c r="K1066" s="41" t="s">
        <v>402</v>
      </c>
      <c r="L1066" s="37" t="s">
        <v>612</v>
      </c>
      <c r="M1066" s="21" t="s">
        <v>332</v>
      </c>
      <c r="N1066" s="18" t="s">
        <v>333</v>
      </c>
    </row>
    <row r="1067" spans="1:14" ht="13">
      <c r="A1067" s="18" t="s">
        <v>266</v>
      </c>
      <c r="B1067" s="18" t="s">
        <v>260</v>
      </c>
      <c r="C1067" s="18" t="s">
        <v>731</v>
      </c>
      <c r="D1067" s="18" t="s">
        <v>329</v>
      </c>
      <c r="E1067" s="18" t="s">
        <v>782</v>
      </c>
      <c r="F1067" s="18" t="s">
        <v>780</v>
      </c>
      <c r="G1067" s="18" t="s">
        <v>781</v>
      </c>
      <c r="H1067" s="37">
        <v>1976.90909067812</v>
      </c>
      <c r="I1067" s="37">
        <v>5528</v>
      </c>
      <c r="J1067" s="61" t="s">
        <v>402</v>
      </c>
      <c r="K1067" s="41" t="s">
        <v>402</v>
      </c>
      <c r="L1067" s="37" t="s">
        <v>612</v>
      </c>
      <c r="M1067" s="21" t="s">
        <v>332</v>
      </c>
      <c r="N1067" s="18" t="s">
        <v>333</v>
      </c>
    </row>
    <row r="1068" spans="1:14" ht="13">
      <c r="A1068" s="18" t="s">
        <v>266</v>
      </c>
      <c r="B1068" s="18" t="s">
        <v>260</v>
      </c>
      <c r="C1068" s="18" t="s">
        <v>731</v>
      </c>
      <c r="D1068" s="18" t="s">
        <v>329</v>
      </c>
      <c r="E1068" s="18" t="s">
        <v>782</v>
      </c>
      <c r="F1068" s="18" t="s">
        <v>780</v>
      </c>
      <c r="G1068" s="18" t="s">
        <v>781</v>
      </c>
      <c r="H1068" s="37">
        <v>1978</v>
      </c>
      <c r="I1068" s="37" t="s">
        <v>402</v>
      </c>
      <c r="J1068" s="61" t="s">
        <v>402</v>
      </c>
      <c r="K1068" s="41" t="s">
        <v>402</v>
      </c>
      <c r="L1068" s="37" t="s">
        <v>612</v>
      </c>
      <c r="M1068" s="21" t="s">
        <v>332</v>
      </c>
      <c r="N1068" s="18" t="s">
        <v>333</v>
      </c>
    </row>
    <row r="1069" spans="1:14" ht="13">
      <c r="A1069" s="18" t="s">
        <v>266</v>
      </c>
      <c r="B1069" s="18" t="s">
        <v>260</v>
      </c>
      <c r="C1069" s="18" t="s">
        <v>731</v>
      </c>
      <c r="D1069" s="18" t="s">
        <v>329</v>
      </c>
      <c r="E1069" s="18" t="s">
        <v>782</v>
      </c>
      <c r="F1069" s="18" t="s">
        <v>780</v>
      </c>
      <c r="G1069" s="18" t="s">
        <v>781</v>
      </c>
      <c r="H1069" s="37">
        <v>1979</v>
      </c>
      <c r="I1069" s="37" t="s">
        <v>402</v>
      </c>
      <c r="J1069" s="61" t="s">
        <v>402</v>
      </c>
      <c r="K1069" s="41" t="s">
        <v>402</v>
      </c>
      <c r="L1069" s="37" t="s">
        <v>612</v>
      </c>
      <c r="M1069" s="21" t="s">
        <v>332</v>
      </c>
      <c r="N1069" s="18" t="s">
        <v>333</v>
      </c>
    </row>
    <row r="1070" spans="1:14" ht="13">
      <c r="A1070" s="18" t="s">
        <v>266</v>
      </c>
      <c r="B1070" s="18" t="s">
        <v>260</v>
      </c>
      <c r="C1070" s="18" t="s">
        <v>731</v>
      </c>
      <c r="D1070" s="27" t="s">
        <v>329</v>
      </c>
      <c r="E1070" s="27" t="s">
        <v>782</v>
      </c>
      <c r="F1070" s="18" t="s">
        <v>780</v>
      </c>
      <c r="G1070" s="18" t="s">
        <v>781</v>
      </c>
      <c r="H1070" s="37">
        <v>1979.9875889543</v>
      </c>
      <c r="I1070" s="37">
        <v>7762</v>
      </c>
      <c r="J1070" s="61" t="s">
        <v>402</v>
      </c>
      <c r="K1070" s="41" t="s">
        <v>402</v>
      </c>
      <c r="L1070" s="37" t="s">
        <v>612</v>
      </c>
      <c r="M1070" s="21" t="s">
        <v>332</v>
      </c>
      <c r="N1070" s="18" t="s">
        <v>333</v>
      </c>
    </row>
    <row r="1071" spans="1:14" ht="13">
      <c r="A1071" s="18" t="s">
        <v>266</v>
      </c>
      <c r="B1071" s="18" t="s">
        <v>260</v>
      </c>
      <c r="C1071" s="18" t="s">
        <v>731</v>
      </c>
      <c r="D1071" s="27" t="s">
        <v>329</v>
      </c>
      <c r="E1071" s="27" t="s">
        <v>782</v>
      </c>
      <c r="F1071" s="18" t="s">
        <v>780</v>
      </c>
      <c r="G1071" s="18" t="s">
        <v>781</v>
      </c>
      <c r="H1071" s="37">
        <v>1981.0395679889</v>
      </c>
      <c r="I1071" s="37">
        <v>8818</v>
      </c>
      <c r="J1071" s="61" t="s">
        <v>402</v>
      </c>
      <c r="K1071" s="41" t="s">
        <v>402</v>
      </c>
      <c r="L1071" s="37" t="s">
        <v>612</v>
      </c>
      <c r="M1071" s="21" t="s">
        <v>332</v>
      </c>
      <c r="N1071" s="18" t="s">
        <v>333</v>
      </c>
    </row>
    <row r="1072" spans="1:14" ht="13">
      <c r="A1072" s="18" t="s">
        <v>266</v>
      </c>
      <c r="B1072" s="18" t="s">
        <v>260</v>
      </c>
      <c r="C1072" s="18" t="s">
        <v>731</v>
      </c>
      <c r="D1072" s="27" t="s">
        <v>329</v>
      </c>
      <c r="E1072" s="27" t="s">
        <v>782</v>
      </c>
      <c r="F1072" s="18" t="s">
        <v>780</v>
      </c>
      <c r="G1072" s="18" t="s">
        <v>781</v>
      </c>
      <c r="H1072" s="37">
        <v>1982.0162423367799</v>
      </c>
      <c r="I1072" s="37">
        <v>9692</v>
      </c>
      <c r="J1072" s="61" t="s">
        <v>402</v>
      </c>
      <c r="K1072" s="41" t="s">
        <v>402</v>
      </c>
      <c r="L1072" s="37" t="s">
        <v>612</v>
      </c>
      <c r="M1072" s="21" t="s">
        <v>332</v>
      </c>
      <c r="N1072" s="18" t="s">
        <v>333</v>
      </c>
    </row>
    <row r="1073" spans="1:14" ht="13">
      <c r="A1073" s="18" t="s">
        <v>266</v>
      </c>
      <c r="B1073" s="18" t="s">
        <v>260</v>
      </c>
      <c r="C1073" s="18" t="s">
        <v>731</v>
      </c>
      <c r="D1073" s="27" t="s">
        <v>329</v>
      </c>
      <c r="E1073" s="27" t="s">
        <v>782</v>
      </c>
      <c r="F1073" s="18" t="s">
        <v>780</v>
      </c>
      <c r="G1073" s="18" t="s">
        <v>781</v>
      </c>
      <c r="H1073" s="37">
        <v>1982.91700224339</v>
      </c>
      <c r="I1073" s="37">
        <v>10332</v>
      </c>
      <c r="J1073" s="61" t="s">
        <v>402</v>
      </c>
      <c r="K1073" s="41" t="s">
        <v>402</v>
      </c>
      <c r="L1073" s="37" t="s">
        <v>612</v>
      </c>
      <c r="M1073" s="21" t="s">
        <v>332</v>
      </c>
      <c r="N1073" s="18" t="s">
        <v>333</v>
      </c>
    </row>
    <row r="1074" spans="1:14" ht="13">
      <c r="A1074" s="18" t="s">
        <v>266</v>
      </c>
      <c r="B1074" s="18" t="s">
        <v>260</v>
      </c>
      <c r="C1074" s="18" t="s">
        <v>731</v>
      </c>
      <c r="D1074" s="27" t="s">
        <v>329</v>
      </c>
      <c r="E1074" s="27" t="s">
        <v>782</v>
      </c>
      <c r="F1074" s="18" t="s">
        <v>780</v>
      </c>
      <c r="G1074" s="18" t="s">
        <v>781</v>
      </c>
      <c r="H1074" s="37">
        <v>1983.89398146854</v>
      </c>
      <c r="I1074" s="37">
        <v>11499</v>
      </c>
      <c r="J1074" s="61" t="s">
        <v>402</v>
      </c>
      <c r="K1074" s="41" t="s">
        <v>402</v>
      </c>
      <c r="L1074" s="37" t="s">
        <v>612</v>
      </c>
      <c r="M1074" s="21" t="s">
        <v>332</v>
      </c>
      <c r="N1074" s="18" t="s">
        <v>333</v>
      </c>
    </row>
    <row r="1075" spans="1:14" ht="13">
      <c r="A1075" s="18" t="s">
        <v>266</v>
      </c>
      <c r="B1075" s="18" t="s">
        <v>260</v>
      </c>
      <c r="C1075" s="18" t="s">
        <v>731</v>
      </c>
      <c r="D1075" s="27" t="s">
        <v>329</v>
      </c>
      <c r="E1075" s="27" t="s">
        <v>782</v>
      </c>
      <c r="F1075" s="18" t="s">
        <v>780</v>
      </c>
      <c r="G1075" s="18" t="s">
        <v>781</v>
      </c>
      <c r="H1075" s="37">
        <v>1985.02202738306</v>
      </c>
      <c r="I1075" s="37">
        <v>13139</v>
      </c>
      <c r="J1075" s="61" t="s">
        <v>402</v>
      </c>
      <c r="K1075" s="41" t="s">
        <v>402</v>
      </c>
      <c r="L1075" s="37" t="s">
        <v>612</v>
      </c>
      <c r="M1075" s="21" t="s">
        <v>332</v>
      </c>
      <c r="N1075" s="18" t="s">
        <v>333</v>
      </c>
    </row>
    <row r="1076" spans="1:14" ht="13">
      <c r="A1076" s="18" t="s">
        <v>266</v>
      </c>
      <c r="B1076" s="18" t="s">
        <v>260</v>
      </c>
      <c r="C1076" s="18" t="s">
        <v>731</v>
      </c>
      <c r="D1076" s="27" t="s">
        <v>329</v>
      </c>
      <c r="E1076" s="27" t="s">
        <v>782</v>
      </c>
      <c r="F1076" s="18" t="s">
        <v>780</v>
      </c>
      <c r="G1076" s="18" t="s">
        <v>781</v>
      </c>
      <c r="H1076" s="37">
        <v>1985.9208055873801</v>
      </c>
      <c r="I1076" s="37">
        <v>12507</v>
      </c>
      <c r="J1076" s="61" t="s">
        <v>402</v>
      </c>
      <c r="K1076" s="41" t="s">
        <v>402</v>
      </c>
      <c r="L1076" s="37" t="s">
        <v>612</v>
      </c>
      <c r="M1076" s="21" t="s">
        <v>332</v>
      </c>
      <c r="N1076" s="18" t="s">
        <v>333</v>
      </c>
    </row>
    <row r="1077" spans="1:14" ht="13">
      <c r="A1077" s="18" t="s">
        <v>266</v>
      </c>
      <c r="B1077" s="18" t="s">
        <v>260</v>
      </c>
      <c r="C1077" s="18" t="s">
        <v>731</v>
      </c>
      <c r="D1077" s="27" t="s">
        <v>329</v>
      </c>
      <c r="E1077" s="27" t="s">
        <v>782</v>
      </c>
      <c r="F1077" s="18" t="s">
        <v>780</v>
      </c>
      <c r="G1077" s="18" t="s">
        <v>781</v>
      </c>
      <c r="H1077" s="37">
        <v>1986.89656530344</v>
      </c>
      <c r="I1077" s="37">
        <v>13033</v>
      </c>
      <c r="J1077" s="61" t="s">
        <v>402</v>
      </c>
      <c r="K1077" s="41" t="s">
        <v>402</v>
      </c>
      <c r="L1077" s="37" t="s">
        <v>612</v>
      </c>
      <c r="M1077" s="21" t="s">
        <v>332</v>
      </c>
      <c r="N1077" s="18" t="s">
        <v>333</v>
      </c>
    </row>
    <row r="1078" spans="1:14" ht="13">
      <c r="A1078" s="18" t="s">
        <v>266</v>
      </c>
      <c r="B1078" s="18" t="s">
        <v>260</v>
      </c>
      <c r="C1078" s="18" t="s">
        <v>731</v>
      </c>
      <c r="D1078" s="27" t="s">
        <v>329</v>
      </c>
      <c r="E1078" s="27" t="s">
        <v>782</v>
      </c>
      <c r="F1078" s="18" t="s">
        <v>780</v>
      </c>
      <c r="G1078" s="18" t="s">
        <v>781</v>
      </c>
      <c r="H1078" s="37">
        <v>1988.0243063406899</v>
      </c>
      <c r="I1078" s="37">
        <v>14724</v>
      </c>
      <c r="J1078" s="61" t="s">
        <v>402</v>
      </c>
      <c r="K1078" s="41" t="s">
        <v>402</v>
      </c>
      <c r="L1078" s="37" t="s">
        <v>612</v>
      </c>
      <c r="M1078" s="21" t="s">
        <v>332</v>
      </c>
      <c r="N1078" s="18" t="s">
        <v>333</v>
      </c>
    </row>
    <row r="1079" spans="1:14" ht="13">
      <c r="A1079" s="18" t="s">
        <v>266</v>
      </c>
      <c r="B1079" s="18" t="s">
        <v>260</v>
      </c>
      <c r="C1079" s="18" t="s">
        <v>731</v>
      </c>
      <c r="D1079" s="27" t="s">
        <v>329</v>
      </c>
      <c r="E1079" s="27" t="s">
        <v>782</v>
      </c>
      <c r="F1079" s="18" t="s">
        <v>780</v>
      </c>
      <c r="G1079" s="18" t="s">
        <v>781</v>
      </c>
      <c r="H1079" s="37">
        <v>1989.0029623908499</v>
      </c>
      <c r="I1079" s="37">
        <v>16833</v>
      </c>
      <c r="J1079" s="61" t="s">
        <v>402</v>
      </c>
      <c r="K1079" s="41" t="s">
        <v>402</v>
      </c>
      <c r="L1079" s="37" t="s">
        <v>612</v>
      </c>
      <c r="M1079" s="21" t="s">
        <v>332</v>
      </c>
      <c r="N1079" s="18" t="s">
        <v>333</v>
      </c>
    </row>
    <row r="1080" spans="1:14" ht="13">
      <c r="A1080" s="18" t="s">
        <v>266</v>
      </c>
      <c r="B1080" s="18" t="s">
        <v>260</v>
      </c>
      <c r="C1080" s="18" t="s">
        <v>731</v>
      </c>
      <c r="D1080" s="27" t="s">
        <v>329</v>
      </c>
      <c r="E1080" s="27" t="s">
        <v>782</v>
      </c>
      <c r="F1080" s="18" t="s">
        <v>780</v>
      </c>
      <c r="G1080" s="18" t="s">
        <v>781</v>
      </c>
      <c r="H1080" s="37">
        <v>1989.90356985882</v>
      </c>
      <c r="I1080" s="37">
        <v>17287</v>
      </c>
      <c r="J1080" s="61" t="s">
        <v>402</v>
      </c>
      <c r="K1080" s="41" t="s">
        <v>402</v>
      </c>
      <c r="L1080" s="37" t="s">
        <v>612</v>
      </c>
      <c r="M1080" s="21" t="s">
        <v>332</v>
      </c>
      <c r="N1080" s="18" t="s">
        <v>333</v>
      </c>
    </row>
    <row r="1081" spans="1:14" ht="13">
      <c r="A1081" s="18" t="s">
        <v>266</v>
      </c>
      <c r="B1081" s="18" t="s">
        <v>260</v>
      </c>
      <c r="C1081" s="18" t="s">
        <v>731</v>
      </c>
      <c r="D1081" s="27" t="s">
        <v>329</v>
      </c>
      <c r="E1081" s="27" t="s">
        <v>782</v>
      </c>
      <c r="F1081" s="18" t="s">
        <v>780</v>
      </c>
      <c r="G1081" s="18" t="s">
        <v>781</v>
      </c>
      <c r="H1081" s="37">
        <v>1991.0308535801501</v>
      </c>
      <c r="I1081" s="37">
        <v>18511</v>
      </c>
      <c r="J1081" s="61" t="s">
        <v>402</v>
      </c>
      <c r="K1081" s="41" t="s">
        <v>402</v>
      </c>
      <c r="L1081" s="37" t="s">
        <v>612</v>
      </c>
      <c r="M1081" s="21" t="s">
        <v>332</v>
      </c>
      <c r="N1081" s="18" t="s">
        <v>333</v>
      </c>
    </row>
    <row r="1082" spans="1:14" ht="13">
      <c r="A1082" s="18" t="s">
        <v>266</v>
      </c>
      <c r="B1082" s="18" t="s">
        <v>260</v>
      </c>
      <c r="C1082" s="18" t="s">
        <v>731</v>
      </c>
      <c r="D1082" s="27" t="s">
        <v>329</v>
      </c>
      <c r="E1082" s="27" t="s">
        <v>782</v>
      </c>
      <c r="F1082" s="18" t="s">
        <v>780</v>
      </c>
      <c r="G1082" s="18" t="s">
        <v>781</v>
      </c>
      <c r="H1082" s="37">
        <v>1992.0081376825799</v>
      </c>
      <c r="I1082" s="37">
        <v>19833</v>
      </c>
      <c r="J1082" s="61" t="s">
        <v>402</v>
      </c>
      <c r="K1082" s="41" t="s">
        <v>402</v>
      </c>
      <c r="L1082" s="37" t="s">
        <v>612</v>
      </c>
      <c r="M1082" s="21" t="s">
        <v>332</v>
      </c>
      <c r="N1082" s="18" t="s">
        <v>333</v>
      </c>
    </row>
    <row r="1083" spans="1:14" ht="13">
      <c r="A1083" s="18" t="s">
        <v>266</v>
      </c>
      <c r="B1083" s="18" t="s">
        <v>260</v>
      </c>
      <c r="C1083" s="18" t="s">
        <v>731</v>
      </c>
      <c r="D1083" s="27" t="s">
        <v>329</v>
      </c>
      <c r="E1083" s="27" t="s">
        <v>782</v>
      </c>
      <c r="F1083" s="18" t="s">
        <v>780</v>
      </c>
      <c r="G1083" s="18" t="s">
        <v>781</v>
      </c>
      <c r="H1083" s="37">
        <v>1992.98313520545</v>
      </c>
      <c r="I1083" s="37">
        <v>19938</v>
      </c>
      <c r="J1083" s="61" t="s">
        <v>402</v>
      </c>
      <c r="K1083" s="41" t="s">
        <v>402</v>
      </c>
      <c r="L1083" s="37" t="s">
        <v>612</v>
      </c>
      <c r="M1083" s="21" t="s">
        <v>332</v>
      </c>
      <c r="N1083" s="18" t="s">
        <v>333</v>
      </c>
    </row>
    <row r="1084" spans="1:14" ht="13">
      <c r="A1084" s="18" t="s">
        <v>266</v>
      </c>
      <c r="B1084" s="18" t="s">
        <v>260</v>
      </c>
      <c r="C1084" s="18" t="s">
        <v>731</v>
      </c>
      <c r="D1084" s="27" t="s">
        <v>329</v>
      </c>
      <c r="E1084" s="27" t="s">
        <v>782</v>
      </c>
      <c r="F1084" s="18" t="s">
        <v>780</v>
      </c>
      <c r="G1084" s="18" t="s">
        <v>781</v>
      </c>
      <c r="H1084" s="37">
        <v>1994.0363337491499</v>
      </c>
      <c r="I1084" s="37">
        <v>21777</v>
      </c>
      <c r="J1084" s="61" t="s">
        <v>402</v>
      </c>
      <c r="K1084" s="41" t="s">
        <v>402</v>
      </c>
      <c r="L1084" s="37" t="s">
        <v>612</v>
      </c>
      <c r="M1084" s="21" t="s">
        <v>332</v>
      </c>
      <c r="N1084" s="18" t="s">
        <v>333</v>
      </c>
    </row>
    <row r="1085" spans="1:14" ht="13">
      <c r="A1085" s="18" t="s">
        <v>266</v>
      </c>
      <c r="B1085" s="18" t="s">
        <v>260</v>
      </c>
      <c r="C1085" s="18" t="s">
        <v>731</v>
      </c>
      <c r="D1085" s="27" t="s">
        <v>329</v>
      </c>
      <c r="E1085" s="27" t="s">
        <v>782</v>
      </c>
      <c r="F1085" s="18" t="s">
        <v>780</v>
      </c>
      <c r="G1085" s="18" t="s">
        <v>781</v>
      </c>
      <c r="H1085" s="37">
        <v>1995.01133127202</v>
      </c>
      <c r="I1085" s="37">
        <v>21833</v>
      </c>
      <c r="J1085" s="61" t="s">
        <v>402</v>
      </c>
      <c r="K1085" s="41" t="s">
        <v>402</v>
      </c>
      <c r="L1085" s="37" t="s">
        <v>612</v>
      </c>
      <c r="M1085" s="21" t="s">
        <v>332</v>
      </c>
      <c r="N1085" s="18" t="s">
        <v>333</v>
      </c>
    </row>
    <row r="1086" spans="1:14" ht="13">
      <c r="A1086" s="18" t="s">
        <v>266</v>
      </c>
      <c r="B1086" s="18" t="s">
        <v>260</v>
      </c>
      <c r="C1086" s="18" t="s">
        <v>731</v>
      </c>
      <c r="D1086" s="27" t="s">
        <v>329</v>
      </c>
      <c r="E1086" s="27" t="s">
        <v>782</v>
      </c>
      <c r="F1086" s="18" t="s">
        <v>780</v>
      </c>
      <c r="G1086" s="18" t="s">
        <v>781</v>
      </c>
      <c r="H1086" s="37">
        <v>1995.9854141630699</v>
      </c>
      <c r="I1086" s="37">
        <v>21337</v>
      </c>
      <c r="J1086" s="61" t="s">
        <v>402</v>
      </c>
      <c r="K1086" s="41" t="s">
        <v>402</v>
      </c>
      <c r="L1086" s="37" t="s">
        <v>612</v>
      </c>
      <c r="M1086" s="21" t="s">
        <v>332</v>
      </c>
      <c r="N1086" s="18" t="s">
        <v>333</v>
      </c>
    </row>
    <row r="1087" spans="1:14" ht="13">
      <c r="A1087" s="18" t="s">
        <v>266</v>
      </c>
      <c r="B1087" s="18" t="s">
        <v>260</v>
      </c>
      <c r="C1087" s="18" t="s">
        <v>731</v>
      </c>
      <c r="D1087" s="27" t="s">
        <v>329</v>
      </c>
      <c r="E1087" s="27" t="s">
        <v>782</v>
      </c>
      <c r="F1087" s="18" t="s">
        <v>780</v>
      </c>
      <c r="G1087" s="18" t="s">
        <v>781</v>
      </c>
      <c r="H1087" s="37">
        <v>1997</v>
      </c>
      <c r="I1087" s="37" t="s">
        <v>402</v>
      </c>
      <c r="J1087" s="61" t="s">
        <v>402</v>
      </c>
      <c r="K1087" s="41" t="s">
        <v>402</v>
      </c>
      <c r="L1087" s="37" t="s">
        <v>612</v>
      </c>
      <c r="M1087" s="21" t="s">
        <v>332</v>
      </c>
      <c r="N1087" s="18" t="s">
        <v>333</v>
      </c>
    </row>
    <row r="1088" spans="1:14" ht="13">
      <c r="A1088" s="18" t="s">
        <v>266</v>
      </c>
      <c r="B1088" s="18" t="s">
        <v>260</v>
      </c>
      <c r="C1088" s="18" t="s">
        <v>731</v>
      </c>
      <c r="D1088" s="27" t="s">
        <v>329</v>
      </c>
      <c r="E1088" s="27" t="s">
        <v>782</v>
      </c>
      <c r="F1088" s="18" t="s">
        <v>780</v>
      </c>
      <c r="G1088" s="18" t="s">
        <v>781</v>
      </c>
      <c r="H1088" s="37">
        <v>1998.01254315919</v>
      </c>
      <c r="I1088" s="37">
        <v>22631</v>
      </c>
      <c r="J1088" s="61" t="s">
        <v>402</v>
      </c>
      <c r="K1088" s="41" t="s">
        <v>402</v>
      </c>
      <c r="L1088" s="37" t="s">
        <v>612</v>
      </c>
      <c r="M1088" s="21" t="s">
        <v>332</v>
      </c>
      <c r="N1088" s="18" t="s">
        <v>333</v>
      </c>
    </row>
    <row r="1089" spans="1:15" ht="13">
      <c r="A1089" s="18" t="s">
        <v>266</v>
      </c>
      <c r="B1089" s="18" t="s">
        <v>260</v>
      </c>
      <c r="C1089" s="18" t="s">
        <v>731</v>
      </c>
      <c r="D1089" s="27" t="s">
        <v>329</v>
      </c>
      <c r="E1089" s="27" t="s">
        <v>782</v>
      </c>
      <c r="F1089" s="18" t="s">
        <v>780</v>
      </c>
      <c r="G1089" s="18" t="s">
        <v>781</v>
      </c>
      <c r="H1089" s="37">
        <v>1999</v>
      </c>
      <c r="I1089" s="37" t="s">
        <v>402</v>
      </c>
      <c r="J1089" s="61" t="s">
        <v>402</v>
      </c>
      <c r="K1089" s="41" t="s">
        <v>402</v>
      </c>
      <c r="L1089" s="37" t="s">
        <v>612</v>
      </c>
      <c r="M1089" s="21" t="s">
        <v>332</v>
      </c>
      <c r="N1089" s="18" t="s">
        <v>333</v>
      </c>
    </row>
    <row r="1090" spans="1:15" ht="13">
      <c r="A1090" s="18" t="s">
        <v>266</v>
      </c>
      <c r="B1090" s="18" t="s">
        <v>260</v>
      </c>
      <c r="C1090" s="18" t="s">
        <v>731</v>
      </c>
      <c r="D1090" s="27" t="s">
        <v>329</v>
      </c>
      <c r="E1090" s="27" t="s">
        <v>782</v>
      </c>
      <c r="F1090" s="18" t="s">
        <v>780</v>
      </c>
      <c r="G1090" s="18" t="s">
        <v>781</v>
      </c>
      <c r="H1090" s="37">
        <v>1999.9651296617601</v>
      </c>
      <c r="I1090" s="37">
        <v>24160</v>
      </c>
      <c r="J1090" s="61" t="s">
        <v>402</v>
      </c>
      <c r="K1090" s="41" t="s">
        <v>402</v>
      </c>
      <c r="L1090" s="37" t="s">
        <v>612</v>
      </c>
      <c r="M1090" s="21" t="s">
        <v>332</v>
      </c>
      <c r="N1090" s="18" t="s">
        <v>333</v>
      </c>
    </row>
    <row r="1091" spans="1:15" ht="13">
      <c r="A1091" s="18" t="s">
        <v>266</v>
      </c>
      <c r="B1091" s="18" t="s">
        <v>260</v>
      </c>
      <c r="C1091" s="18" t="s">
        <v>731</v>
      </c>
      <c r="D1091" s="27" t="s">
        <v>329</v>
      </c>
      <c r="E1091" s="27" t="s">
        <v>782</v>
      </c>
      <c r="F1091" s="18" t="s">
        <v>780</v>
      </c>
      <c r="G1091" s="18" t="s">
        <v>781</v>
      </c>
      <c r="H1091" s="37">
        <v>2001.0155843099999</v>
      </c>
      <c r="I1091" s="37">
        <v>24410</v>
      </c>
      <c r="J1091" s="61" t="s">
        <v>402</v>
      </c>
      <c r="K1091" s="41" t="s">
        <v>402</v>
      </c>
      <c r="L1091" s="37" t="s">
        <v>612</v>
      </c>
      <c r="M1091" s="21" t="s">
        <v>332</v>
      </c>
      <c r="N1091" s="18" t="s">
        <v>333</v>
      </c>
    </row>
    <row r="1092" spans="1:15" ht="13">
      <c r="A1092" s="18" t="s">
        <v>266</v>
      </c>
      <c r="B1092" s="18" t="s">
        <v>260</v>
      </c>
      <c r="C1092" s="18" t="s">
        <v>731</v>
      </c>
      <c r="D1092" s="27" t="s">
        <v>329</v>
      </c>
      <c r="E1092" s="27" t="s">
        <v>782</v>
      </c>
      <c r="F1092" s="18" t="s">
        <v>780</v>
      </c>
      <c r="G1092" s="18" t="s">
        <v>781</v>
      </c>
      <c r="H1092" s="37">
        <v>2002</v>
      </c>
      <c r="I1092" s="37" t="s">
        <v>402</v>
      </c>
      <c r="J1092" s="61" t="s">
        <v>402</v>
      </c>
      <c r="K1092" s="41" t="s">
        <v>402</v>
      </c>
      <c r="L1092" s="37" t="s">
        <v>612</v>
      </c>
      <c r="M1092" s="21" t="s">
        <v>332</v>
      </c>
      <c r="N1092" s="18" t="s">
        <v>333</v>
      </c>
    </row>
    <row r="1093" spans="1:15" ht="13">
      <c r="A1093" s="18" t="s">
        <v>266</v>
      </c>
      <c r="B1093" s="18" t="s">
        <v>260</v>
      </c>
      <c r="C1093" s="18" t="s">
        <v>731</v>
      </c>
      <c r="D1093" s="27" t="s">
        <v>329</v>
      </c>
      <c r="E1093" s="27" t="s">
        <v>782</v>
      </c>
      <c r="F1093" s="18" t="s">
        <v>780</v>
      </c>
      <c r="G1093" s="18" t="s">
        <v>781</v>
      </c>
      <c r="H1093" s="37">
        <v>2003</v>
      </c>
      <c r="I1093" s="37" t="s">
        <v>402</v>
      </c>
      <c r="J1093" s="61" t="s">
        <v>402</v>
      </c>
      <c r="K1093" s="41" t="s">
        <v>402</v>
      </c>
      <c r="L1093" s="37" t="s">
        <v>612</v>
      </c>
      <c r="M1093" s="21" t="s">
        <v>332</v>
      </c>
      <c r="N1093" s="18" t="s">
        <v>333</v>
      </c>
    </row>
    <row r="1094" spans="1:15" ht="13">
      <c r="A1094" s="18" t="s">
        <v>266</v>
      </c>
      <c r="B1094" s="18" t="s">
        <v>260</v>
      </c>
      <c r="C1094" s="18" t="s">
        <v>731</v>
      </c>
      <c r="D1094" s="27" t="s">
        <v>329</v>
      </c>
      <c r="E1094" s="27" t="s">
        <v>782</v>
      </c>
      <c r="F1094" s="18" t="s">
        <v>780</v>
      </c>
      <c r="G1094" s="18" t="s">
        <v>781</v>
      </c>
      <c r="H1094" s="37">
        <v>2004</v>
      </c>
      <c r="I1094" s="37" t="s">
        <v>402</v>
      </c>
      <c r="J1094" s="61" t="s">
        <v>402</v>
      </c>
      <c r="K1094" s="41" t="s">
        <v>402</v>
      </c>
      <c r="L1094" s="37" t="s">
        <v>612</v>
      </c>
      <c r="M1094" s="21" t="s">
        <v>332</v>
      </c>
      <c r="N1094" s="18" t="s">
        <v>333</v>
      </c>
    </row>
    <row r="1095" spans="1:15" ht="13">
      <c r="A1095" s="18" t="s">
        <v>266</v>
      </c>
      <c r="B1095" s="18" t="s">
        <v>260</v>
      </c>
      <c r="C1095" s="18" t="s">
        <v>731</v>
      </c>
      <c r="D1095" s="27" t="s">
        <v>329</v>
      </c>
      <c r="E1095" s="27" t="s">
        <v>782</v>
      </c>
      <c r="F1095" s="18" t="s">
        <v>780</v>
      </c>
      <c r="G1095" s="18" t="s">
        <v>781</v>
      </c>
      <c r="H1095" s="37">
        <v>2005.0753300931699</v>
      </c>
      <c r="I1095" s="37">
        <v>30207</v>
      </c>
      <c r="J1095" s="61" t="s">
        <v>402</v>
      </c>
      <c r="K1095" s="41" t="s">
        <v>402</v>
      </c>
      <c r="L1095" s="37" t="s">
        <v>612</v>
      </c>
      <c r="M1095" s="21" t="s">
        <v>332</v>
      </c>
      <c r="N1095" s="18" t="s">
        <v>333</v>
      </c>
    </row>
    <row r="1096" spans="1:15" ht="13">
      <c r="A1096" s="18" t="s">
        <v>266</v>
      </c>
      <c r="B1096" s="18" t="s">
        <v>260</v>
      </c>
      <c r="C1096" s="18" t="s">
        <v>731</v>
      </c>
      <c r="D1096" s="27" t="s">
        <v>329</v>
      </c>
      <c r="E1096" s="27" t="s">
        <v>782</v>
      </c>
      <c r="F1096" s="18" t="s">
        <v>780</v>
      </c>
      <c r="G1096" s="18" t="s">
        <v>781</v>
      </c>
      <c r="H1096" s="37">
        <v>2006</v>
      </c>
      <c r="I1096" s="37" t="s">
        <v>402</v>
      </c>
      <c r="J1096" s="61" t="s">
        <v>402</v>
      </c>
      <c r="K1096" s="41" t="s">
        <v>402</v>
      </c>
      <c r="L1096" s="37" t="s">
        <v>612</v>
      </c>
      <c r="M1096" s="21" t="s">
        <v>332</v>
      </c>
      <c r="N1096" s="18" t="s">
        <v>333</v>
      </c>
    </row>
    <row r="1097" spans="1:15" ht="13">
      <c r="A1097" s="18" t="s">
        <v>266</v>
      </c>
      <c r="B1097" s="18" t="s">
        <v>260</v>
      </c>
      <c r="C1097" s="18" t="s">
        <v>731</v>
      </c>
      <c r="D1097" s="27" t="s">
        <v>329</v>
      </c>
      <c r="E1097" s="27" t="s">
        <v>782</v>
      </c>
      <c r="F1097" s="18" t="s">
        <v>780</v>
      </c>
      <c r="G1097" s="18" t="s">
        <v>781</v>
      </c>
      <c r="H1097" s="37">
        <v>2007</v>
      </c>
      <c r="I1097" s="37" t="s">
        <v>402</v>
      </c>
      <c r="J1097" s="61" t="s">
        <v>402</v>
      </c>
      <c r="K1097" s="41" t="s">
        <v>402</v>
      </c>
      <c r="L1097" s="37" t="s">
        <v>612</v>
      </c>
      <c r="M1097" s="21" t="s">
        <v>332</v>
      </c>
      <c r="N1097" s="18" t="s">
        <v>333</v>
      </c>
    </row>
    <row r="1098" spans="1:15" ht="13">
      <c r="A1098" s="18" t="s">
        <v>266</v>
      </c>
      <c r="B1098" s="18" t="s">
        <v>260</v>
      </c>
      <c r="C1098" s="18" t="s">
        <v>731</v>
      </c>
      <c r="D1098" s="27" t="s">
        <v>329</v>
      </c>
      <c r="E1098" s="27" t="s">
        <v>782</v>
      </c>
      <c r="F1098" s="18" t="s">
        <v>780</v>
      </c>
      <c r="G1098" s="18" t="s">
        <v>781</v>
      </c>
      <c r="H1098" s="37">
        <v>2008</v>
      </c>
      <c r="I1098" s="37" t="s">
        <v>402</v>
      </c>
      <c r="J1098" s="61" t="s">
        <v>402</v>
      </c>
      <c r="K1098" s="41" t="s">
        <v>402</v>
      </c>
      <c r="L1098" s="37" t="s">
        <v>612</v>
      </c>
      <c r="M1098" s="21" t="s">
        <v>332</v>
      </c>
      <c r="N1098" s="18" t="s">
        <v>333</v>
      </c>
    </row>
    <row r="1099" spans="1:15" ht="13">
      <c r="A1099" s="18" t="s">
        <v>266</v>
      </c>
      <c r="B1099" s="18" t="s">
        <v>260</v>
      </c>
      <c r="C1099" s="18" t="s">
        <v>731</v>
      </c>
      <c r="D1099" s="27" t="s">
        <v>329</v>
      </c>
      <c r="E1099" s="27" t="s">
        <v>782</v>
      </c>
      <c r="F1099" s="18" t="s">
        <v>780</v>
      </c>
      <c r="G1099" s="18" t="s">
        <v>781</v>
      </c>
      <c r="H1099" s="37">
        <v>2009</v>
      </c>
      <c r="I1099" s="37" t="s">
        <v>402</v>
      </c>
      <c r="J1099" s="61" t="s">
        <v>402</v>
      </c>
      <c r="K1099" s="41" t="s">
        <v>402</v>
      </c>
      <c r="L1099" s="37" t="s">
        <v>612</v>
      </c>
      <c r="M1099" s="21" t="s">
        <v>332</v>
      </c>
      <c r="N1099" s="18" t="s">
        <v>333</v>
      </c>
    </row>
    <row r="1100" spans="1:15" ht="13">
      <c r="A1100" s="18" t="s">
        <v>266</v>
      </c>
      <c r="B1100" s="18" t="s">
        <v>260</v>
      </c>
      <c r="C1100" s="18" t="s">
        <v>731</v>
      </c>
      <c r="D1100" s="27" t="s">
        <v>329</v>
      </c>
      <c r="E1100" s="27" t="s">
        <v>782</v>
      </c>
      <c r="F1100" s="18" t="s">
        <v>780</v>
      </c>
      <c r="G1100" s="18" t="s">
        <v>781</v>
      </c>
      <c r="H1100" s="37">
        <v>2010.03004311473</v>
      </c>
      <c r="I1100" s="37">
        <v>33144</v>
      </c>
      <c r="J1100" s="61" t="s">
        <v>402</v>
      </c>
      <c r="K1100" s="41" t="s">
        <v>402</v>
      </c>
      <c r="L1100" s="37" t="s">
        <v>612</v>
      </c>
      <c r="M1100" s="21" t="s">
        <v>332</v>
      </c>
      <c r="N1100" s="18" t="s">
        <v>333</v>
      </c>
    </row>
    <row r="1101" spans="1:15" ht="13">
      <c r="A1101" s="18" t="s">
        <v>266</v>
      </c>
      <c r="B1101" s="18" t="s">
        <v>260</v>
      </c>
      <c r="C1101" s="18" t="s">
        <v>783</v>
      </c>
      <c r="D1101" s="27" t="s">
        <v>329</v>
      </c>
      <c r="E1101" s="18" t="s">
        <v>784</v>
      </c>
      <c r="F1101" s="18" t="s">
        <v>780</v>
      </c>
      <c r="G1101" s="18" t="s">
        <v>781</v>
      </c>
      <c r="H1101" s="37">
        <v>1958</v>
      </c>
      <c r="I1101" s="37">
        <v>132</v>
      </c>
      <c r="J1101" s="61" t="s">
        <v>402</v>
      </c>
      <c r="K1101" s="41" t="s">
        <v>402</v>
      </c>
      <c r="L1101" s="37" t="s">
        <v>612</v>
      </c>
      <c r="M1101" s="21" t="s">
        <v>332</v>
      </c>
      <c r="N1101" s="18" t="s">
        <v>333</v>
      </c>
      <c r="O1101" s="18" t="s">
        <v>785</v>
      </c>
    </row>
    <row r="1102" spans="1:15" ht="13">
      <c r="A1102" s="18" t="s">
        <v>266</v>
      </c>
      <c r="B1102" s="18" t="s">
        <v>260</v>
      </c>
      <c r="C1102" s="18" t="s">
        <v>783</v>
      </c>
      <c r="D1102" s="27" t="s">
        <v>329</v>
      </c>
      <c r="E1102" s="18" t="s">
        <v>784</v>
      </c>
      <c r="F1102" s="18" t="s">
        <v>780</v>
      </c>
      <c r="G1102" s="18" t="s">
        <v>781</v>
      </c>
      <c r="H1102" s="37">
        <v>1964</v>
      </c>
      <c r="I1102" s="37">
        <v>1032</v>
      </c>
      <c r="J1102" s="61" t="s">
        <v>402</v>
      </c>
      <c r="K1102" s="41" t="s">
        <v>402</v>
      </c>
      <c r="L1102" s="37" t="s">
        <v>612</v>
      </c>
      <c r="M1102" s="21" t="s">
        <v>332</v>
      </c>
      <c r="N1102" s="18" t="s">
        <v>333</v>
      </c>
      <c r="O1102" s="18" t="s">
        <v>785</v>
      </c>
    </row>
    <row r="1103" spans="1:15" ht="13">
      <c r="A1103" s="18" t="s">
        <v>266</v>
      </c>
      <c r="B1103" s="18" t="s">
        <v>260</v>
      </c>
      <c r="C1103" s="18" t="s">
        <v>783</v>
      </c>
      <c r="D1103" s="27" t="s">
        <v>329</v>
      </c>
      <c r="E1103" s="18" t="s">
        <v>784</v>
      </c>
      <c r="F1103" s="18" t="s">
        <v>780</v>
      </c>
      <c r="G1103" s="18" t="s">
        <v>781</v>
      </c>
      <c r="H1103" s="37">
        <v>1968</v>
      </c>
      <c r="I1103" s="37">
        <v>2010</v>
      </c>
      <c r="J1103" s="61" t="s">
        <v>402</v>
      </c>
      <c r="K1103" s="41" t="s">
        <v>402</v>
      </c>
      <c r="L1103" s="37" t="s">
        <v>612</v>
      </c>
      <c r="M1103" s="21" t="s">
        <v>332</v>
      </c>
      <c r="N1103" s="18" t="s">
        <v>333</v>
      </c>
      <c r="O1103" s="18" t="s">
        <v>785</v>
      </c>
    </row>
    <row r="1104" spans="1:15" ht="13">
      <c r="A1104" s="18" t="s">
        <v>266</v>
      </c>
      <c r="B1104" s="18" t="s">
        <v>260</v>
      </c>
      <c r="C1104" s="18" t="s">
        <v>783</v>
      </c>
      <c r="D1104" s="27" t="s">
        <v>329</v>
      </c>
      <c r="E1104" s="18" t="s">
        <v>784</v>
      </c>
      <c r="F1104" s="18" t="s">
        <v>780</v>
      </c>
      <c r="G1104" s="18" t="s">
        <v>781</v>
      </c>
      <c r="H1104" s="37">
        <v>1971.95559716566</v>
      </c>
      <c r="I1104" s="37">
        <v>3329</v>
      </c>
      <c r="J1104" s="61" t="s">
        <v>402</v>
      </c>
      <c r="K1104" s="41" t="s">
        <v>402</v>
      </c>
      <c r="L1104" s="37" t="s">
        <v>612</v>
      </c>
      <c r="M1104" s="21" t="s">
        <v>332</v>
      </c>
      <c r="N1104" s="18" t="s">
        <v>333</v>
      </c>
      <c r="O1104" s="18" t="s">
        <v>785</v>
      </c>
    </row>
    <row r="1105" spans="1:15" ht="13">
      <c r="A1105" s="18" t="s">
        <v>266</v>
      </c>
      <c r="B1105" s="18" t="s">
        <v>260</v>
      </c>
      <c r="C1105" s="18" t="s">
        <v>783</v>
      </c>
      <c r="D1105" s="27" t="s">
        <v>329</v>
      </c>
      <c r="E1105" s="18" t="s">
        <v>784</v>
      </c>
      <c r="F1105" s="18" t="s">
        <v>780</v>
      </c>
      <c r="G1105" s="18" t="s">
        <v>781</v>
      </c>
      <c r="H1105" s="37">
        <v>1976.91076750313</v>
      </c>
      <c r="I1105" s="37">
        <v>6523</v>
      </c>
      <c r="J1105" s="61" t="s">
        <v>402</v>
      </c>
      <c r="K1105" s="41" t="s">
        <v>402</v>
      </c>
      <c r="L1105" s="37" t="s">
        <v>612</v>
      </c>
      <c r="M1105" s="21" t="s">
        <v>332</v>
      </c>
      <c r="N1105" s="18" t="s">
        <v>333</v>
      </c>
      <c r="O1105" s="18" t="s">
        <v>785</v>
      </c>
    </row>
    <row r="1106" spans="1:15" ht="13">
      <c r="A1106" s="18" t="s">
        <v>266</v>
      </c>
      <c r="B1106" s="18" t="s">
        <v>260</v>
      </c>
      <c r="C1106" s="18" t="s">
        <v>783</v>
      </c>
      <c r="D1106" s="18" t="s">
        <v>329</v>
      </c>
      <c r="E1106" s="18" t="s">
        <v>784</v>
      </c>
      <c r="F1106" s="18" t="s">
        <v>780</v>
      </c>
      <c r="G1106" s="18" t="s">
        <v>781</v>
      </c>
      <c r="H1106" s="37">
        <v>1979.9154854789499</v>
      </c>
      <c r="I1106" s="37">
        <v>9262</v>
      </c>
      <c r="J1106" s="61" t="s">
        <v>402</v>
      </c>
      <c r="K1106" s="41" t="s">
        <v>402</v>
      </c>
      <c r="L1106" s="37" t="s">
        <v>612</v>
      </c>
      <c r="M1106" s="21" t="s">
        <v>332</v>
      </c>
      <c r="N1106" s="18" t="s">
        <v>333</v>
      </c>
      <c r="O1106" s="18" t="s">
        <v>785</v>
      </c>
    </row>
    <row r="1107" spans="1:15" ht="13">
      <c r="A1107" s="18" t="s">
        <v>266</v>
      </c>
      <c r="B1107" s="18" t="s">
        <v>260</v>
      </c>
      <c r="C1107" s="18" t="s">
        <v>783</v>
      </c>
      <c r="D1107" s="18" t="s">
        <v>329</v>
      </c>
      <c r="E1107" s="18" t="s">
        <v>784</v>
      </c>
      <c r="F1107" s="18" t="s">
        <v>780</v>
      </c>
      <c r="G1107" s="18" t="s">
        <v>781</v>
      </c>
      <c r="H1107" s="37">
        <v>1980.9673120749201</v>
      </c>
      <c r="I1107" s="37">
        <v>10427</v>
      </c>
      <c r="J1107" s="61" t="s">
        <v>402</v>
      </c>
      <c r="K1107" s="41" t="s">
        <v>402</v>
      </c>
      <c r="L1107" s="37" t="s">
        <v>612</v>
      </c>
      <c r="M1107" s="21" t="s">
        <v>332</v>
      </c>
      <c r="N1107" s="18" t="s">
        <v>333</v>
      </c>
      <c r="O1107" s="18" t="s">
        <v>785</v>
      </c>
    </row>
    <row r="1108" spans="1:15" ht="13">
      <c r="A1108" s="18" t="s">
        <v>266</v>
      </c>
      <c r="B1108" s="18" t="s">
        <v>260</v>
      </c>
      <c r="C1108" s="18" t="s">
        <v>783</v>
      </c>
      <c r="D1108" s="18" t="s">
        <v>329</v>
      </c>
      <c r="E1108" s="18" t="s">
        <v>784</v>
      </c>
      <c r="F1108" s="18" t="s">
        <v>780</v>
      </c>
      <c r="G1108" s="18" t="s">
        <v>781</v>
      </c>
      <c r="H1108" s="37">
        <v>1982.0192911095201</v>
      </c>
      <c r="I1108" s="37">
        <v>11589</v>
      </c>
      <c r="J1108" s="61" t="s">
        <v>402</v>
      </c>
      <c r="K1108" s="41" t="s">
        <v>402</v>
      </c>
      <c r="L1108" s="37" t="s">
        <v>612</v>
      </c>
      <c r="M1108" s="21" t="s">
        <v>332</v>
      </c>
      <c r="N1108" s="18" t="s">
        <v>333</v>
      </c>
      <c r="O1108" s="18" t="s">
        <v>785</v>
      </c>
    </row>
    <row r="1109" spans="1:15" ht="13">
      <c r="A1109" s="18" t="s">
        <v>266</v>
      </c>
      <c r="B1109" s="18" t="s">
        <v>260</v>
      </c>
      <c r="C1109" s="18" t="s">
        <v>783</v>
      </c>
      <c r="D1109" s="18" t="s">
        <v>329</v>
      </c>
      <c r="E1109" s="18" t="s">
        <v>784</v>
      </c>
      <c r="F1109" s="18" t="s">
        <v>780</v>
      </c>
      <c r="G1109" s="18" t="s">
        <v>781</v>
      </c>
      <c r="H1109" s="37">
        <v>1982.9205083320401</v>
      </c>
      <c r="I1109" s="37">
        <v>12355</v>
      </c>
      <c r="J1109" s="61" t="s">
        <v>402</v>
      </c>
      <c r="K1109" s="41" t="s">
        <v>402</v>
      </c>
      <c r="L1109" s="37" t="s">
        <v>612</v>
      </c>
      <c r="M1109" s="21" t="s">
        <v>332</v>
      </c>
      <c r="N1109" s="18" t="s">
        <v>333</v>
      </c>
      <c r="O1109" s="18" t="s">
        <v>785</v>
      </c>
    </row>
    <row r="1110" spans="1:15" ht="13">
      <c r="A1110" s="18" t="s">
        <v>266</v>
      </c>
      <c r="B1110" s="18" t="s">
        <v>260</v>
      </c>
      <c r="C1110" s="18" t="s">
        <v>783</v>
      </c>
      <c r="D1110" s="18" t="s">
        <v>329</v>
      </c>
      <c r="E1110" s="18" t="s">
        <v>784</v>
      </c>
      <c r="F1110" s="18" t="s">
        <v>780</v>
      </c>
      <c r="G1110" s="18" t="s">
        <v>781</v>
      </c>
      <c r="H1110" s="37">
        <v>1983.89809731174</v>
      </c>
      <c r="I1110" s="37">
        <v>13837</v>
      </c>
      <c r="J1110" s="61" t="s">
        <v>402</v>
      </c>
      <c r="K1110" s="41" t="s">
        <v>402</v>
      </c>
      <c r="L1110" s="37" t="s">
        <v>612</v>
      </c>
      <c r="M1110" s="21" t="s">
        <v>332</v>
      </c>
      <c r="N1110" s="18" t="s">
        <v>333</v>
      </c>
      <c r="O1110" s="18" t="s">
        <v>785</v>
      </c>
    </row>
    <row r="1111" spans="1:15" ht="13">
      <c r="A1111" s="18" t="s">
        <v>266</v>
      </c>
      <c r="B1111" s="18" t="s">
        <v>260</v>
      </c>
      <c r="C1111" s="18" t="s">
        <v>783</v>
      </c>
      <c r="D1111" s="18" t="s">
        <v>329</v>
      </c>
      <c r="E1111" s="18" t="s">
        <v>784</v>
      </c>
      <c r="F1111" s="18" t="s">
        <v>780</v>
      </c>
      <c r="G1111" s="18" t="s">
        <v>781</v>
      </c>
      <c r="H1111" s="37">
        <v>1984.95007634635</v>
      </c>
      <c r="I1111" s="37">
        <v>15079</v>
      </c>
      <c r="J1111" s="61" t="s">
        <v>402</v>
      </c>
      <c r="K1111" s="41" t="s">
        <v>402</v>
      </c>
      <c r="L1111" s="37" t="s">
        <v>612</v>
      </c>
      <c r="M1111" s="21" t="s">
        <v>332</v>
      </c>
      <c r="N1111" s="18" t="s">
        <v>333</v>
      </c>
      <c r="O1111" s="18" t="s">
        <v>785</v>
      </c>
    </row>
    <row r="1112" spans="1:15" ht="13">
      <c r="A1112" s="18" t="s">
        <v>266</v>
      </c>
      <c r="B1112" s="18" t="s">
        <v>260</v>
      </c>
      <c r="C1112" s="18" t="s">
        <v>783</v>
      </c>
      <c r="D1112" s="18" t="s">
        <v>329</v>
      </c>
      <c r="E1112" s="18" t="s">
        <v>784</v>
      </c>
      <c r="F1112" s="18" t="s">
        <v>780</v>
      </c>
      <c r="G1112" s="18" t="s">
        <v>781</v>
      </c>
      <c r="H1112" s="37">
        <v>1985.92461655331</v>
      </c>
      <c r="I1112" s="37">
        <v>14690</v>
      </c>
      <c r="J1112" s="61" t="s">
        <v>402</v>
      </c>
      <c r="K1112" s="41" t="s">
        <v>402</v>
      </c>
      <c r="L1112" s="37" t="s">
        <v>612</v>
      </c>
      <c r="M1112" s="21" t="s">
        <v>332</v>
      </c>
      <c r="N1112" s="18" t="s">
        <v>333</v>
      </c>
      <c r="O1112" s="18" t="s">
        <v>785</v>
      </c>
    </row>
    <row r="1113" spans="1:15" ht="13">
      <c r="A1113" s="18" t="s">
        <v>266</v>
      </c>
      <c r="B1113" s="18" t="s">
        <v>260</v>
      </c>
      <c r="C1113" s="18" t="s">
        <v>783</v>
      </c>
      <c r="D1113" s="18" t="s">
        <v>329</v>
      </c>
      <c r="E1113" s="18" t="s">
        <v>784</v>
      </c>
      <c r="F1113" s="18" t="s">
        <v>780</v>
      </c>
      <c r="G1113" s="18" t="s">
        <v>781</v>
      </c>
      <c r="H1113" s="37">
        <v>1986.97491876291</v>
      </c>
      <c r="I1113" s="37">
        <v>15009</v>
      </c>
      <c r="J1113" s="61" t="s">
        <v>402</v>
      </c>
      <c r="K1113" s="41" t="s">
        <v>402</v>
      </c>
      <c r="L1113" s="37" t="s">
        <v>612</v>
      </c>
      <c r="M1113" s="21" t="s">
        <v>332</v>
      </c>
      <c r="N1113" s="18" t="s">
        <v>333</v>
      </c>
      <c r="O1113" s="18" t="s">
        <v>785</v>
      </c>
    </row>
    <row r="1114" spans="1:15" ht="13">
      <c r="A1114" s="18" t="s">
        <v>266</v>
      </c>
      <c r="B1114" s="18" t="s">
        <v>260</v>
      </c>
      <c r="C1114" s="18" t="s">
        <v>783</v>
      </c>
      <c r="D1114" s="18" t="s">
        <v>329</v>
      </c>
      <c r="E1114" s="18" t="s">
        <v>784</v>
      </c>
      <c r="F1114" s="18" t="s">
        <v>780</v>
      </c>
      <c r="G1114" s="18" t="s">
        <v>781</v>
      </c>
      <c r="H1114" s="37">
        <v>1987.9531174971601</v>
      </c>
      <c r="I1114" s="37">
        <v>16902</v>
      </c>
      <c r="J1114" s="61" t="s">
        <v>402</v>
      </c>
      <c r="K1114" s="41" t="s">
        <v>402</v>
      </c>
      <c r="L1114" s="37" t="s">
        <v>612</v>
      </c>
      <c r="M1114" s="21" t="s">
        <v>332</v>
      </c>
      <c r="N1114" s="18" t="s">
        <v>333</v>
      </c>
      <c r="O1114" s="18" t="s">
        <v>785</v>
      </c>
    </row>
    <row r="1115" spans="1:15" ht="13">
      <c r="A1115" s="18" t="s">
        <v>266</v>
      </c>
      <c r="B1115" s="18" t="s">
        <v>260</v>
      </c>
      <c r="C1115" s="18" t="s">
        <v>783</v>
      </c>
      <c r="D1115" s="18" t="s">
        <v>329</v>
      </c>
      <c r="E1115" s="18" t="s">
        <v>784</v>
      </c>
      <c r="F1115" s="18" t="s">
        <v>780</v>
      </c>
      <c r="G1115" s="18" t="s">
        <v>781</v>
      </c>
      <c r="H1115" s="37">
        <v>1989.0070782340499</v>
      </c>
      <c r="I1115" s="37">
        <v>19229</v>
      </c>
      <c r="J1115" s="61" t="s">
        <v>402</v>
      </c>
      <c r="K1115" s="41" t="s">
        <v>402</v>
      </c>
      <c r="L1115" s="37" t="s">
        <v>612</v>
      </c>
      <c r="M1115" s="21" t="s">
        <v>332</v>
      </c>
      <c r="N1115" s="18" t="s">
        <v>333</v>
      </c>
      <c r="O1115" s="18" t="s">
        <v>785</v>
      </c>
    </row>
    <row r="1116" spans="1:15" ht="13">
      <c r="A1116" s="18" t="s">
        <v>266</v>
      </c>
      <c r="B1116" s="18" t="s">
        <v>260</v>
      </c>
      <c r="C1116" s="18" t="s">
        <v>783</v>
      </c>
      <c r="D1116" s="18" t="s">
        <v>329</v>
      </c>
      <c r="E1116" s="18" t="s">
        <v>784</v>
      </c>
      <c r="F1116" s="18" t="s">
        <v>780</v>
      </c>
      <c r="G1116" s="18" t="s">
        <v>781</v>
      </c>
      <c r="H1116" s="37">
        <v>1989.9079905792901</v>
      </c>
      <c r="I1116" s="37">
        <v>19804</v>
      </c>
      <c r="J1116" s="61" t="s">
        <v>402</v>
      </c>
      <c r="K1116" s="41" t="s">
        <v>402</v>
      </c>
      <c r="L1116" s="37" t="s">
        <v>612</v>
      </c>
      <c r="M1116" s="21" t="s">
        <v>332</v>
      </c>
      <c r="N1116" s="18" t="s">
        <v>333</v>
      </c>
      <c r="O1116" s="18" t="s">
        <v>785</v>
      </c>
    </row>
    <row r="1117" spans="1:15" ht="13">
      <c r="A1117" s="18" t="s">
        <v>266</v>
      </c>
      <c r="B1117" s="18" t="s">
        <v>260</v>
      </c>
      <c r="C1117" s="18" t="s">
        <v>783</v>
      </c>
      <c r="D1117" s="18" t="s">
        <v>329</v>
      </c>
      <c r="E1117" s="18" t="s">
        <v>784</v>
      </c>
      <c r="F1117" s="18" t="s">
        <v>780</v>
      </c>
      <c r="G1117" s="18" t="s">
        <v>781</v>
      </c>
      <c r="H1117" s="37">
        <v>1991.0355791779</v>
      </c>
      <c r="I1117" s="37">
        <v>21407</v>
      </c>
      <c r="J1117" s="61" t="s">
        <v>402</v>
      </c>
      <c r="K1117" s="41" t="s">
        <v>402</v>
      </c>
      <c r="L1117" s="37" t="s">
        <v>612</v>
      </c>
      <c r="M1117" s="21" t="s">
        <v>332</v>
      </c>
      <c r="N1117" s="18" t="s">
        <v>333</v>
      </c>
      <c r="O1117" s="18" t="s">
        <v>785</v>
      </c>
    </row>
    <row r="1118" spans="1:15" ht="13">
      <c r="A1118" s="18" t="s">
        <v>266</v>
      </c>
      <c r="B1118" s="18" t="s">
        <v>260</v>
      </c>
      <c r="C1118" s="18" t="s">
        <v>783</v>
      </c>
      <c r="D1118" s="18" t="s">
        <v>329</v>
      </c>
      <c r="E1118" s="18" t="s">
        <v>784</v>
      </c>
      <c r="F1118" s="18" t="s">
        <v>780</v>
      </c>
      <c r="G1118" s="18" t="s">
        <v>781</v>
      </c>
      <c r="H1118" s="37">
        <v>1991.93847322542</v>
      </c>
      <c r="I1118" s="37">
        <v>23057</v>
      </c>
      <c r="J1118" s="61" t="s">
        <v>402</v>
      </c>
      <c r="K1118" s="41" t="s">
        <v>402</v>
      </c>
      <c r="L1118" s="37" t="s">
        <v>612</v>
      </c>
      <c r="M1118" s="21" t="s">
        <v>332</v>
      </c>
      <c r="N1118" s="18" t="s">
        <v>333</v>
      </c>
      <c r="O1118" s="18" t="s">
        <v>785</v>
      </c>
    </row>
    <row r="1119" spans="1:15" ht="13">
      <c r="A1119" s="18" t="s">
        <v>266</v>
      </c>
      <c r="B1119" s="18" t="s">
        <v>260</v>
      </c>
      <c r="C1119" s="18" t="s">
        <v>783</v>
      </c>
      <c r="D1119" s="18" t="s">
        <v>329</v>
      </c>
      <c r="E1119" s="18" t="s">
        <v>784</v>
      </c>
      <c r="F1119" s="18" t="s">
        <v>780</v>
      </c>
      <c r="G1119" s="18" t="s">
        <v>781</v>
      </c>
      <c r="H1119" s="37">
        <v>1992.9884705577499</v>
      </c>
      <c r="I1119" s="37">
        <v>23054</v>
      </c>
      <c r="J1119" s="61" t="s">
        <v>402</v>
      </c>
      <c r="K1119" s="41" t="s">
        <v>402</v>
      </c>
      <c r="L1119" s="37" t="s">
        <v>612</v>
      </c>
      <c r="M1119" s="21" t="s">
        <v>332</v>
      </c>
      <c r="N1119" s="18" t="s">
        <v>333</v>
      </c>
      <c r="O1119" s="18" t="s">
        <v>785</v>
      </c>
    </row>
    <row r="1120" spans="1:15" ht="13">
      <c r="A1120" s="18" t="s">
        <v>266</v>
      </c>
      <c r="B1120" s="18" t="s">
        <v>260</v>
      </c>
      <c r="C1120" s="18" t="s">
        <v>783</v>
      </c>
      <c r="D1120" s="18" t="s">
        <v>329</v>
      </c>
      <c r="E1120" s="18" t="s">
        <v>784</v>
      </c>
      <c r="F1120" s="18" t="s">
        <v>780</v>
      </c>
      <c r="G1120" s="18" t="s">
        <v>781</v>
      </c>
      <c r="H1120" s="37">
        <v>1993.9669741692701</v>
      </c>
      <c r="I1120" s="37">
        <v>25332</v>
      </c>
      <c r="J1120" s="61" t="s">
        <v>402</v>
      </c>
      <c r="K1120" s="41" t="s">
        <v>402</v>
      </c>
      <c r="L1120" s="37" t="s">
        <v>612</v>
      </c>
      <c r="M1120" s="21" t="s">
        <v>332</v>
      </c>
      <c r="N1120" s="18" t="s">
        <v>333</v>
      </c>
      <c r="O1120" s="18" t="s">
        <v>785</v>
      </c>
    </row>
    <row r="1121" spans="1:15" ht="13">
      <c r="A1121" s="18" t="s">
        <v>266</v>
      </c>
      <c r="B1121" s="18" t="s">
        <v>260</v>
      </c>
      <c r="C1121" s="18" t="s">
        <v>783</v>
      </c>
      <c r="D1121" s="18" t="s">
        <v>329</v>
      </c>
      <c r="E1121" s="18" t="s">
        <v>784</v>
      </c>
      <c r="F1121" s="18" t="s">
        <v>780</v>
      </c>
      <c r="G1121" s="18" t="s">
        <v>781</v>
      </c>
      <c r="H1121" s="37">
        <v>1995.01803857206</v>
      </c>
      <c r="I1121" s="37">
        <v>25895</v>
      </c>
      <c r="J1121" s="61" t="s">
        <v>402</v>
      </c>
      <c r="K1121" s="41" t="s">
        <v>402</v>
      </c>
      <c r="L1121" s="37" t="s">
        <v>612</v>
      </c>
      <c r="M1121" s="21" t="s">
        <v>332</v>
      </c>
      <c r="N1121" s="18" t="s">
        <v>333</v>
      </c>
      <c r="O1121" s="18" t="s">
        <v>785</v>
      </c>
    </row>
    <row r="1122" spans="1:15" ht="13">
      <c r="A1122" s="18" t="s">
        <v>266</v>
      </c>
      <c r="B1122" s="18" t="s">
        <v>260</v>
      </c>
      <c r="C1122" s="18" t="s">
        <v>783</v>
      </c>
      <c r="D1122" s="18" t="s">
        <v>329</v>
      </c>
      <c r="E1122" s="18" t="s">
        <v>784</v>
      </c>
      <c r="F1122" s="18" t="s">
        <v>780</v>
      </c>
      <c r="G1122" s="18" t="s">
        <v>781</v>
      </c>
      <c r="H1122" s="37">
        <v>1995.99318853357</v>
      </c>
      <c r="I1122" s="37">
        <v>25923</v>
      </c>
      <c r="J1122" s="61" t="s">
        <v>402</v>
      </c>
      <c r="K1122" s="41" t="s">
        <v>402</v>
      </c>
      <c r="L1122" s="37" t="s">
        <v>612</v>
      </c>
      <c r="M1122" s="21" t="s">
        <v>332</v>
      </c>
      <c r="N1122" s="18" t="s">
        <v>333</v>
      </c>
      <c r="O1122" s="18" t="s">
        <v>785</v>
      </c>
    </row>
    <row r="1123" spans="1:15" ht="13">
      <c r="A1123" s="18" t="s">
        <v>266</v>
      </c>
      <c r="B1123" s="18" t="s">
        <v>260</v>
      </c>
      <c r="C1123" s="18" t="s">
        <v>783</v>
      </c>
      <c r="D1123" s="18" t="s">
        <v>329</v>
      </c>
      <c r="E1123" s="18" t="s">
        <v>784</v>
      </c>
      <c r="F1123" s="18" t="s">
        <v>780</v>
      </c>
      <c r="G1123" s="18" t="s">
        <v>781</v>
      </c>
      <c r="H1123" s="37">
        <v>1998.0210797228699</v>
      </c>
      <c r="I1123" s="37">
        <v>27609</v>
      </c>
      <c r="J1123" s="61" t="s">
        <v>402</v>
      </c>
      <c r="K1123" s="41" t="s">
        <v>402</v>
      </c>
      <c r="L1123" s="37" t="s">
        <v>612</v>
      </c>
      <c r="M1123" s="21" t="s">
        <v>332</v>
      </c>
      <c r="N1123" s="18" t="s">
        <v>333</v>
      </c>
      <c r="O1123" s="18" t="s">
        <v>785</v>
      </c>
    </row>
    <row r="1124" spans="1:15" ht="13">
      <c r="A1124" s="18" t="s">
        <v>266</v>
      </c>
      <c r="B1124" s="18" t="s">
        <v>260</v>
      </c>
      <c r="C1124" s="18" t="s">
        <v>783</v>
      </c>
      <c r="D1124" s="18" t="s">
        <v>329</v>
      </c>
      <c r="E1124" s="18" t="s">
        <v>784</v>
      </c>
      <c r="F1124" s="18" t="s">
        <v>780</v>
      </c>
      <c r="G1124" s="18" t="s">
        <v>781</v>
      </c>
      <c r="H1124" s="37">
        <v>2000.0486660348899</v>
      </c>
      <c r="I1124" s="37">
        <v>29196</v>
      </c>
      <c r="J1124" s="61" t="s">
        <v>402</v>
      </c>
      <c r="K1124" s="41" t="s">
        <v>402</v>
      </c>
      <c r="L1124" s="37" t="s">
        <v>612</v>
      </c>
      <c r="M1124" s="21" t="s">
        <v>332</v>
      </c>
      <c r="N1124" s="18" t="s">
        <v>333</v>
      </c>
      <c r="O1124" s="18" t="s">
        <v>785</v>
      </c>
    </row>
    <row r="1125" spans="1:15" ht="13">
      <c r="A1125" s="18" t="s">
        <v>266</v>
      </c>
      <c r="B1125" s="18" t="s">
        <v>260</v>
      </c>
      <c r="C1125" s="18" t="s">
        <v>783</v>
      </c>
      <c r="D1125" s="18" t="s">
        <v>329</v>
      </c>
      <c r="E1125" s="18" t="s">
        <v>784</v>
      </c>
      <c r="F1125" s="18" t="s">
        <v>780</v>
      </c>
      <c r="G1125" s="18" t="s">
        <v>781</v>
      </c>
      <c r="H1125" s="37">
        <v>2000.9494259415001</v>
      </c>
      <c r="I1125" s="37">
        <v>29648</v>
      </c>
      <c r="J1125" s="61" t="s">
        <v>402</v>
      </c>
      <c r="K1125" s="41" t="s">
        <v>402</v>
      </c>
      <c r="L1125" s="37" t="s">
        <v>612</v>
      </c>
      <c r="M1125" s="21" t="s">
        <v>332</v>
      </c>
      <c r="N1125" s="18" t="s">
        <v>333</v>
      </c>
      <c r="O1125" s="18" t="s">
        <v>785</v>
      </c>
    </row>
    <row r="1126" spans="1:15" ht="13">
      <c r="A1126" s="18" t="s">
        <v>266</v>
      </c>
      <c r="B1126" s="18" t="s">
        <v>260</v>
      </c>
      <c r="C1126" s="18" t="s">
        <v>783</v>
      </c>
      <c r="D1126" s="18" t="s">
        <v>329</v>
      </c>
      <c r="E1126" s="18" t="s">
        <v>784</v>
      </c>
      <c r="F1126" s="18" t="s">
        <v>780</v>
      </c>
      <c r="G1126" s="18" t="s">
        <v>781</v>
      </c>
      <c r="H1126" s="37">
        <v>2005.01222049741</v>
      </c>
      <c r="I1126" s="37">
        <v>37378</v>
      </c>
      <c r="J1126" s="61" t="s">
        <v>402</v>
      </c>
      <c r="K1126" s="41" t="s">
        <v>402</v>
      </c>
      <c r="L1126" s="37" t="s">
        <v>612</v>
      </c>
      <c r="M1126" s="21" t="s">
        <v>332</v>
      </c>
      <c r="N1126" s="18" t="s">
        <v>333</v>
      </c>
      <c r="O1126" s="18" t="s">
        <v>785</v>
      </c>
    </row>
    <row r="1127" spans="1:15" ht="13">
      <c r="A1127" s="18" t="s">
        <v>266</v>
      </c>
      <c r="B1127" s="18" t="s">
        <v>260</v>
      </c>
      <c r="C1127" s="18" t="s">
        <v>783</v>
      </c>
      <c r="D1127" s="18" t="s">
        <v>329</v>
      </c>
      <c r="E1127" s="18" t="s">
        <v>784</v>
      </c>
      <c r="F1127" s="18" t="s">
        <v>780</v>
      </c>
      <c r="G1127" s="18" t="s">
        <v>781</v>
      </c>
      <c r="H1127" s="37">
        <v>2009.9678481507899</v>
      </c>
      <c r="I1127" s="37">
        <v>40684</v>
      </c>
      <c r="J1127" s="61" t="s">
        <v>402</v>
      </c>
      <c r="K1127" s="41" t="s">
        <v>402</v>
      </c>
      <c r="L1127" s="37" t="s">
        <v>612</v>
      </c>
      <c r="M1127" s="21" t="s">
        <v>332</v>
      </c>
      <c r="N1127" s="18" t="s">
        <v>333</v>
      </c>
      <c r="O1127" s="18" t="s">
        <v>785</v>
      </c>
    </row>
    <row r="1128" spans="1:15" ht="13">
      <c r="A1128" s="18" t="s">
        <v>266</v>
      </c>
      <c r="B1128" s="18" t="s">
        <v>260</v>
      </c>
      <c r="C1128" s="18" t="s">
        <v>786</v>
      </c>
      <c r="D1128" s="18" t="s">
        <v>335</v>
      </c>
      <c r="E1128" s="27" t="s">
        <v>787</v>
      </c>
      <c r="F1128" s="18" t="s">
        <v>788</v>
      </c>
      <c r="G1128" s="18" t="s">
        <v>690</v>
      </c>
      <c r="H1128" s="18">
        <v>1980</v>
      </c>
      <c r="I1128" s="40">
        <v>0</v>
      </c>
      <c r="J1128" s="40" t="s">
        <v>402</v>
      </c>
      <c r="K1128" s="18" t="s">
        <v>402</v>
      </c>
      <c r="L1128" s="38" t="s">
        <v>637</v>
      </c>
      <c r="M1128" s="21" t="s">
        <v>337</v>
      </c>
      <c r="N1128" s="18" t="s">
        <v>338</v>
      </c>
      <c r="O1128" s="18" t="s">
        <v>789</v>
      </c>
    </row>
    <row r="1129" spans="1:15" ht="13">
      <c r="A1129" s="18" t="s">
        <v>266</v>
      </c>
      <c r="B1129" s="18" t="s">
        <v>260</v>
      </c>
      <c r="C1129" s="18" t="s">
        <v>786</v>
      </c>
      <c r="D1129" s="18" t="s">
        <v>335</v>
      </c>
      <c r="E1129" s="27" t="s">
        <v>787</v>
      </c>
      <c r="F1129" s="18" t="s">
        <v>788</v>
      </c>
      <c r="G1129" s="18" t="s">
        <v>690</v>
      </c>
      <c r="H1129" s="18">
        <v>1982</v>
      </c>
      <c r="I1129" s="40">
        <v>0</v>
      </c>
      <c r="J1129" s="40" t="s">
        <v>402</v>
      </c>
      <c r="K1129" s="18" t="s">
        <v>402</v>
      </c>
      <c r="L1129" s="38" t="s">
        <v>637</v>
      </c>
      <c r="M1129" s="21" t="s">
        <v>337</v>
      </c>
      <c r="N1129" s="18" t="s">
        <v>338</v>
      </c>
    </row>
    <row r="1130" spans="1:15" ht="13">
      <c r="A1130" s="18" t="s">
        <v>266</v>
      </c>
      <c r="B1130" s="18" t="s">
        <v>260</v>
      </c>
      <c r="C1130" s="18" t="s">
        <v>786</v>
      </c>
      <c r="D1130" s="18" t="s">
        <v>335</v>
      </c>
      <c r="E1130" s="27" t="s">
        <v>787</v>
      </c>
      <c r="F1130" s="18" t="s">
        <v>788</v>
      </c>
      <c r="G1130" s="18" t="s">
        <v>690</v>
      </c>
      <c r="H1130" s="18">
        <v>1983</v>
      </c>
      <c r="I1130" s="40">
        <v>0</v>
      </c>
      <c r="J1130" s="40" t="s">
        <v>402</v>
      </c>
      <c r="K1130" s="18" t="s">
        <v>402</v>
      </c>
      <c r="L1130" s="38" t="s">
        <v>637</v>
      </c>
      <c r="M1130" s="21" t="s">
        <v>337</v>
      </c>
      <c r="N1130" s="18" t="s">
        <v>338</v>
      </c>
    </row>
    <row r="1131" spans="1:15" ht="13">
      <c r="A1131" s="18" t="s">
        <v>266</v>
      </c>
      <c r="B1131" s="18" t="s">
        <v>260</v>
      </c>
      <c r="C1131" s="18" t="s">
        <v>786</v>
      </c>
      <c r="D1131" s="18" t="s">
        <v>335</v>
      </c>
      <c r="E1131" s="27" t="s">
        <v>787</v>
      </c>
      <c r="F1131" s="18" t="s">
        <v>788</v>
      </c>
      <c r="G1131" s="18" t="s">
        <v>690</v>
      </c>
      <c r="H1131" s="18">
        <v>1984</v>
      </c>
      <c r="I1131" s="40">
        <v>0</v>
      </c>
      <c r="J1131" s="40" t="s">
        <v>402</v>
      </c>
      <c r="K1131" s="18" t="s">
        <v>402</v>
      </c>
      <c r="L1131" s="38" t="s">
        <v>637</v>
      </c>
      <c r="M1131" s="21" t="s">
        <v>337</v>
      </c>
      <c r="N1131" s="18" t="s">
        <v>338</v>
      </c>
    </row>
    <row r="1132" spans="1:15" ht="13">
      <c r="A1132" s="18" t="s">
        <v>266</v>
      </c>
      <c r="B1132" s="18" t="s">
        <v>260</v>
      </c>
      <c r="C1132" s="18" t="s">
        <v>786</v>
      </c>
      <c r="D1132" s="18" t="s">
        <v>335</v>
      </c>
      <c r="E1132" s="27" t="s">
        <v>787</v>
      </c>
      <c r="F1132" s="18" t="s">
        <v>788</v>
      </c>
      <c r="G1132" s="18" t="s">
        <v>690</v>
      </c>
      <c r="H1132" s="18">
        <v>1985</v>
      </c>
      <c r="I1132" s="40">
        <v>0</v>
      </c>
      <c r="J1132" s="40" t="s">
        <v>402</v>
      </c>
      <c r="K1132" s="18" t="s">
        <v>402</v>
      </c>
      <c r="L1132" s="38" t="s">
        <v>637</v>
      </c>
      <c r="M1132" s="21" t="s">
        <v>337</v>
      </c>
      <c r="N1132" s="18" t="s">
        <v>338</v>
      </c>
    </row>
    <row r="1133" spans="1:15" ht="13">
      <c r="A1133" s="18" t="s">
        <v>266</v>
      </c>
      <c r="B1133" s="18" t="s">
        <v>260</v>
      </c>
      <c r="C1133" s="18" t="s">
        <v>786</v>
      </c>
      <c r="D1133" s="18" t="s">
        <v>335</v>
      </c>
      <c r="E1133" s="27" t="s">
        <v>787</v>
      </c>
      <c r="F1133" s="18" t="s">
        <v>788</v>
      </c>
      <c r="G1133" s="18" t="s">
        <v>690</v>
      </c>
      <c r="H1133" s="18">
        <v>1988</v>
      </c>
      <c r="I1133" s="40">
        <v>0</v>
      </c>
      <c r="J1133" s="40" t="s">
        <v>402</v>
      </c>
      <c r="K1133" s="18" t="s">
        <v>402</v>
      </c>
      <c r="L1133" s="38" t="s">
        <v>637</v>
      </c>
      <c r="M1133" s="21" t="s">
        <v>337</v>
      </c>
      <c r="N1133" s="18" t="s">
        <v>338</v>
      </c>
    </row>
    <row r="1134" spans="1:15" ht="13">
      <c r="A1134" s="18" t="s">
        <v>266</v>
      </c>
      <c r="B1134" s="18" t="s">
        <v>260</v>
      </c>
      <c r="C1134" s="18" t="s">
        <v>786</v>
      </c>
      <c r="D1134" s="18" t="s">
        <v>335</v>
      </c>
      <c r="E1134" s="27" t="s">
        <v>787</v>
      </c>
      <c r="F1134" s="18" t="s">
        <v>788</v>
      </c>
      <c r="G1134" s="18" t="s">
        <v>690</v>
      </c>
      <c r="H1134" s="18">
        <v>1989</v>
      </c>
      <c r="I1134" s="40">
        <v>0</v>
      </c>
      <c r="J1134" s="40" t="s">
        <v>402</v>
      </c>
      <c r="K1134" s="18" t="s">
        <v>402</v>
      </c>
      <c r="L1134" s="38" t="s">
        <v>637</v>
      </c>
      <c r="M1134" s="21" t="s">
        <v>337</v>
      </c>
      <c r="N1134" s="18" t="s">
        <v>338</v>
      </c>
    </row>
    <row r="1135" spans="1:15" ht="13">
      <c r="A1135" s="18" t="s">
        <v>266</v>
      </c>
      <c r="B1135" s="18" t="s">
        <v>260</v>
      </c>
      <c r="C1135" s="18" t="s">
        <v>786</v>
      </c>
      <c r="D1135" s="18" t="s">
        <v>335</v>
      </c>
      <c r="E1135" s="27" t="s">
        <v>787</v>
      </c>
      <c r="F1135" s="18" t="s">
        <v>788</v>
      </c>
      <c r="G1135" s="18" t="s">
        <v>690</v>
      </c>
      <c r="H1135" s="18">
        <v>1990</v>
      </c>
      <c r="I1135" s="40">
        <v>0</v>
      </c>
      <c r="J1135" s="40" t="s">
        <v>402</v>
      </c>
      <c r="K1135" s="18" t="s">
        <v>402</v>
      </c>
      <c r="L1135" s="38" t="s">
        <v>637</v>
      </c>
      <c r="M1135" s="21" t="s">
        <v>337</v>
      </c>
      <c r="N1135" s="18" t="s">
        <v>338</v>
      </c>
    </row>
    <row r="1136" spans="1:15" ht="13">
      <c r="A1136" s="18" t="s">
        <v>266</v>
      </c>
      <c r="B1136" s="18" t="s">
        <v>260</v>
      </c>
      <c r="C1136" s="18" t="s">
        <v>786</v>
      </c>
      <c r="D1136" s="18" t="s">
        <v>335</v>
      </c>
      <c r="E1136" s="27" t="s">
        <v>787</v>
      </c>
      <c r="F1136" s="18" t="s">
        <v>788</v>
      </c>
      <c r="G1136" s="18" t="s">
        <v>690</v>
      </c>
      <c r="H1136" s="18">
        <v>1991</v>
      </c>
      <c r="I1136" s="40">
        <v>0</v>
      </c>
      <c r="J1136" s="40" t="s">
        <v>402</v>
      </c>
      <c r="K1136" s="18" t="s">
        <v>402</v>
      </c>
      <c r="L1136" s="38" t="s">
        <v>637</v>
      </c>
      <c r="M1136" s="21" t="s">
        <v>337</v>
      </c>
      <c r="N1136" s="18" t="s">
        <v>338</v>
      </c>
    </row>
    <row r="1137" spans="1:14" ht="13">
      <c r="A1137" s="18" t="s">
        <v>266</v>
      </c>
      <c r="B1137" s="18" t="s">
        <v>260</v>
      </c>
      <c r="C1137" s="18" t="s">
        <v>786</v>
      </c>
      <c r="D1137" s="18" t="s">
        <v>335</v>
      </c>
      <c r="E1137" s="27" t="s">
        <v>787</v>
      </c>
      <c r="F1137" s="18" t="s">
        <v>788</v>
      </c>
      <c r="G1137" s="18" t="s">
        <v>690</v>
      </c>
      <c r="H1137" s="18">
        <v>1993</v>
      </c>
      <c r="I1137" s="40">
        <v>1000</v>
      </c>
      <c r="J1137" s="40" t="s">
        <v>402</v>
      </c>
      <c r="K1137" s="18" t="s">
        <v>402</v>
      </c>
      <c r="L1137" s="38" t="s">
        <v>637</v>
      </c>
      <c r="M1137" s="21" t="s">
        <v>337</v>
      </c>
      <c r="N1137" s="18" t="s">
        <v>338</v>
      </c>
    </row>
    <row r="1138" spans="1:14" ht="13">
      <c r="A1138" s="18" t="s">
        <v>266</v>
      </c>
      <c r="B1138" s="18" t="s">
        <v>260</v>
      </c>
      <c r="C1138" s="18" t="s">
        <v>786</v>
      </c>
      <c r="D1138" s="18" t="s">
        <v>335</v>
      </c>
      <c r="E1138" s="27" t="s">
        <v>787</v>
      </c>
      <c r="F1138" s="18" t="s">
        <v>788</v>
      </c>
      <c r="G1138" s="18" t="s">
        <v>690</v>
      </c>
      <c r="H1138" s="18">
        <v>1994</v>
      </c>
      <c r="I1138" s="40">
        <v>1472</v>
      </c>
      <c r="J1138" s="40" t="s">
        <v>402</v>
      </c>
      <c r="K1138" s="18" t="s">
        <v>402</v>
      </c>
      <c r="L1138" s="38" t="s">
        <v>612</v>
      </c>
      <c r="M1138" s="21" t="s">
        <v>337</v>
      </c>
      <c r="N1138" s="18" t="s">
        <v>338</v>
      </c>
    </row>
    <row r="1139" spans="1:14" ht="13">
      <c r="A1139" s="18" t="s">
        <v>266</v>
      </c>
      <c r="B1139" s="18" t="s">
        <v>260</v>
      </c>
      <c r="C1139" s="18" t="s">
        <v>786</v>
      </c>
      <c r="D1139" s="18" t="s">
        <v>335</v>
      </c>
      <c r="E1139" s="27" t="s">
        <v>787</v>
      </c>
      <c r="F1139" s="18" t="s">
        <v>788</v>
      </c>
      <c r="G1139" s="18" t="s">
        <v>690</v>
      </c>
      <c r="H1139" s="18">
        <v>1995</v>
      </c>
      <c r="I1139" s="40">
        <v>1272</v>
      </c>
      <c r="J1139" s="40" t="s">
        <v>402</v>
      </c>
      <c r="K1139" s="18" t="s">
        <v>402</v>
      </c>
      <c r="L1139" s="38" t="s">
        <v>612</v>
      </c>
      <c r="M1139" s="21" t="s">
        <v>337</v>
      </c>
      <c r="N1139" s="18" t="s">
        <v>338</v>
      </c>
    </row>
    <row r="1140" spans="1:14" ht="13">
      <c r="A1140" s="18" t="s">
        <v>266</v>
      </c>
      <c r="B1140" s="18" t="s">
        <v>260</v>
      </c>
      <c r="C1140" s="18" t="s">
        <v>786</v>
      </c>
      <c r="D1140" s="18" t="s">
        <v>335</v>
      </c>
      <c r="E1140" s="27" t="s">
        <v>787</v>
      </c>
      <c r="F1140" s="18" t="s">
        <v>788</v>
      </c>
      <c r="G1140" s="18" t="s">
        <v>690</v>
      </c>
      <c r="H1140" s="18">
        <v>1997</v>
      </c>
      <c r="I1140" s="40">
        <v>5096</v>
      </c>
      <c r="J1140" s="40" t="s">
        <v>402</v>
      </c>
      <c r="K1140" s="18" t="s">
        <v>402</v>
      </c>
      <c r="L1140" s="38" t="s">
        <v>612</v>
      </c>
      <c r="M1140" s="21" t="s">
        <v>337</v>
      </c>
      <c r="N1140" s="18" t="s">
        <v>338</v>
      </c>
    </row>
    <row r="1141" spans="1:14" ht="13">
      <c r="A1141" s="18" t="s">
        <v>266</v>
      </c>
      <c r="B1141" s="18" t="s">
        <v>260</v>
      </c>
      <c r="C1141" s="18" t="s">
        <v>786</v>
      </c>
      <c r="D1141" s="18" t="s">
        <v>335</v>
      </c>
      <c r="E1141" s="27" t="s">
        <v>787</v>
      </c>
      <c r="F1141" s="18" t="s">
        <v>788</v>
      </c>
      <c r="G1141" s="18" t="s">
        <v>690</v>
      </c>
      <c r="H1141" s="18">
        <v>2005</v>
      </c>
      <c r="I1141" s="40">
        <v>12631</v>
      </c>
      <c r="J1141" s="40">
        <v>12000</v>
      </c>
      <c r="K1141" s="18">
        <v>14000</v>
      </c>
      <c r="L1141" s="38" t="s">
        <v>612</v>
      </c>
      <c r="M1141" s="21" t="s">
        <v>337</v>
      </c>
      <c r="N1141" s="18" t="s">
        <v>338</v>
      </c>
    </row>
    <row r="1142" spans="1:14" ht="13">
      <c r="A1142" s="18" t="s">
        <v>266</v>
      </c>
      <c r="B1142" s="18" t="s">
        <v>260</v>
      </c>
      <c r="C1142" s="18" t="s">
        <v>786</v>
      </c>
      <c r="D1142" s="18" t="s">
        <v>335</v>
      </c>
      <c r="E1142" s="27" t="s">
        <v>787</v>
      </c>
      <c r="F1142" s="18" t="s">
        <v>788</v>
      </c>
      <c r="G1142" s="18" t="s">
        <v>690</v>
      </c>
      <c r="H1142" s="18">
        <v>2007</v>
      </c>
      <c r="I1142" s="40">
        <v>17574</v>
      </c>
      <c r="J1142" s="40">
        <v>15000</v>
      </c>
      <c r="K1142" s="18">
        <v>20000</v>
      </c>
      <c r="L1142" s="38" t="s">
        <v>612</v>
      </c>
      <c r="M1142" s="21" t="s">
        <v>337</v>
      </c>
      <c r="N1142" s="18" t="s">
        <v>338</v>
      </c>
    </row>
    <row r="1143" spans="1:14" ht="13">
      <c r="A1143" s="18" t="s">
        <v>266</v>
      </c>
      <c r="B1143" s="18" t="s">
        <v>260</v>
      </c>
      <c r="C1143" s="18" t="s">
        <v>786</v>
      </c>
      <c r="D1143" s="18" t="s">
        <v>335</v>
      </c>
      <c r="E1143" s="27" t="s">
        <v>787</v>
      </c>
      <c r="F1143" s="18" t="s">
        <v>788</v>
      </c>
      <c r="G1143" s="18" t="s">
        <v>690</v>
      </c>
      <c r="H1143" s="18">
        <v>2011</v>
      </c>
      <c r="I1143" s="40">
        <v>22905</v>
      </c>
      <c r="J1143" s="40">
        <v>21000</v>
      </c>
      <c r="K1143" s="18">
        <v>25000</v>
      </c>
      <c r="L1143" s="38" t="s">
        <v>612</v>
      </c>
      <c r="M1143" s="21" t="s">
        <v>337</v>
      </c>
      <c r="N1143" s="18" t="s">
        <v>338</v>
      </c>
    </row>
    <row r="1144" spans="1:14" ht="13">
      <c r="A1144" s="18" t="s">
        <v>266</v>
      </c>
      <c r="B1144" s="18" t="s">
        <v>260</v>
      </c>
      <c r="C1144" s="18" t="s">
        <v>786</v>
      </c>
      <c r="D1144" s="18" t="s">
        <v>335</v>
      </c>
      <c r="E1144" s="27" t="s">
        <v>787</v>
      </c>
      <c r="F1144" s="18" t="s">
        <v>788</v>
      </c>
      <c r="G1144" s="18" t="s">
        <v>690</v>
      </c>
      <c r="H1144" s="18">
        <v>2015</v>
      </c>
      <c r="I1144" s="40">
        <v>27750</v>
      </c>
      <c r="J1144" s="40">
        <v>27000</v>
      </c>
      <c r="K1144" s="18">
        <v>28000</v>
      </c>
      <c r="L1144" s="38" t="s">
        <v>612</v>
      </c>
      <c r="M1144" s="21" t="s">
        <v>337</v>
      </c>
      <c r="N1144" s="18" t="s">
        <v>338</v>
      </c>
    </row>
    <row r="1145" spans="1:14" ht="13">
      <c r="A1145" s="18" t="s">
        <v>266</v>
      </c>
      <c r="B1145" s="18" t="s">
        <v>260</v>
      </c>
      <c r="C1145" s="18" t="s">
        <v>786</v>
      </c>
      <c r="D1145" s="18" t="s">
        <v>335</v>
      </c>
      <c r="E1145" s="27" t="s">
        <v>787</v>
      </c>
      <c r="F1145" s="18" t="s">
        <v>788</v>
      </c>
      <c r="G1145" s="18" t="s">
        <v>690</v>
      </c>
      <c r="H1145" s="18">
        <v>2019</v>
      </c>
      <c r="I1145" s="40">
        <v>36015</v>
      </c>
      <c r="J1145" s="40">
        <v>33000</v>
      </c>
      <c r="K1145" s="18">
        <v>39000</v>
      </c>
      <c r="L1145" s="38" t="s">
        <v>612</v>
      </c>
      <c r="M1145" s="21" t="s">
        <v>337</v>
      </c>
      <c r="N1145" s="18" t="s">
        <v>338</v>
      </c>
    </row>
    <row r="1146" spans="1:14" ht="13">
      <c r="A1146" s="18" t="s">
        <v>266</v>
      </c>
      <c r="B1146" s="18" t="s">
        <v>260</v>
      </c>
      <c r="C1146" s="18" t="s">
        <v>790</v>
      </c>
      <c r="D1146" s="18" t="s">
        <v>335</v>
      </c>
      <c r="E1146" s="27" t="s">
        <v>791</v>
      </c>
      <c r="F1146" s="18" t="s">
        <v>788</v>
      </c>
      <c r="G1146" s="18" t="s">
        <v>690</v>
      </c>
      <c r="H1146" s="37">
        <v>1981.02047244095</v>
      </c>
      <c r="I1146" s="37">
        <v>38000</v>
      </c>
      <c r="J1146" s="37">
        <v>34000</v>
      </c>
      <c r="K1146" s="37">
        <v>42000</v>
      </c>
      <c r="L1146" s="38" t="s">
        <v>637</v>
      </c>
      <c r="M1146" s="21" t="s">
        <v>337</v>
      </c>
      <c r="N1146" s="18" t="s">
        <v>338</v>
      </c>
    </row>
    <row r="1147" spans="1:14" ht="13">
      <c r="A1147" s="18" t="s">
        <v>266</v>
      </c>
      <c r="B1147" s="18" t="s">
        <v>260</v>
      </c>
      <c r="C1147" s="18" t="s">
        <v>790</v>
      </c>
      <c r="D1147" s="18" t="s">
        <v>335</v>
      </c>
      <c r="E1147" s="27" t="s">
        <v>791</v>
      </c>
      <c r="F1147" s="18" t="s">
        <v>788</v>
      </c>
      <c r="G1147" s="18" t="s">
        <v>690</v>
      </c>
      <c r="H1147" s="37">
        <v>1983.06141732283</v>
      </c>
      <c r="I1147" s="37">
        <v>31000</v>
      </c>
      <c r="J1147" s="37">
        <v>24000</v>
      </c>
      <c r="K1147" s="37">
        <v>39000</v>
      </c>
      <c r="L1147" s="38" t="s">
        <v>637</v>
      </c>
      <c r="M1147" s="21" t="s">
        <v>337</v>
      </c>
      <c r="N1147" s="18" t="s">
        <v>338</v>
      </c>
    </row>
    <row r="1148" spans="1:14" ht="13">
      <c r="A1148" s="18" t="s">
        <v>266</v>
      </c>
      <c r="B1148" s="18" t="s">
        <v>260</v>
      </c>
      <c r="C1148" s="18" t="s">
        <v>790</v>
      </c>
      <c r="D1148" s="18" t="s">
        <v>335</v>
      </c>
      <c r="E1148" s="27" t="s">
        <v>791</v>
      </c>
      <c r="F1148" s="18" t="s">
        <v>788</v>
      </c>
      <c r="G1148" s="18" t="s">
        <v>690</v>
      </c>
      <c r="H1148" s="37">
        <v>1985.0456692913399</v>
      </c>
      <c r="I1148" s="37">
        <v>29000</v>
      </c>
      <c r="J1148" s="37">
        <v>23000</v>
      </c>
      <c r="K1148" s="37">
        <v>35000</v>
      </c>
      <c r="L1148" s="38" t="s">
        <v>637</v>
      </c>
      <c r="M1148" s="21" t="s">
        <v>337</v>
      </c>
      <c r="N1148" s="18" t="s">
        <v>338</v>
      </c>
    </row>
    <row r="1149" spans="1:14" ht="13">
      <c r="A1149" s="18" t="s">
        <v>266</v>
      </c>
      <c r="B1149" s="18" t="s">
        <v>260</v>
      </c>
      <c r="C1149" s="18" t="s">
        <v>790</v>
      </c>
      <c r="D1149" s="18" t="s">
        <v>335</v>
      </c>
      <c r="E1149" s="27" t="s">
        <v>791</v>
      </c>
      <c r="F1149" s="18" t="s">
        <v>788</v>
      </c>
      <c r="G1149" s="18" t="s">
        <v>690</v>
      </c>
      <c r="H1149" s="37">
        <v>1988.05039370079</v>
      </c>
      <c r="I1149" s="37">
        <v>25000</v>
      </c>
      <c r="J1149" s="37">
        <v>23000</v>
      </c>
      <c r="K1149" s="37">
        <v>27000</v>
      </c>
      <c r="L1149" s="38" t="s">
        <v>637</v>
      </c>
      <c r="M1149" s="21" t="s">
        <v>337</v>
      </c>
      <c r="N1149" s="18" t="s">
        <v>338</v>
      </c>
    </row>
    <row r="1150" spans="1:14" ht="13">
      <c r="A1150" s="18" t="s">
        <v>266</v>
      </c>
      <c r="B1150" s="18" t="s">
        <v>260</v>
      </c>
      <c r="C1150" s="18" t="s">
        <v>790</v>
      </c>
      <c r="D1150" s="18" t="s">
        <v>335</v>
      </c>
      <c r="E1150" s="27" t="s">
        <v>791</v>
      </c>
      <c r="F1150" s="18" t="s">
        <v>788</v>
      </c>
      <c r="G1150" s="18" t="s">
        <v>690</v>
      </c>
      <c r="H1150" s="37">
        <v>1989.9779527559101</v>
      </c>
      <c r="I1150" s="37">
        <v>23000</v>
      </c>
      <c r="J1150" s="37">
        <v>19000</v>
      </c>
      <c r="K1150" s="37">
        <v>28000</v>
      </c>
      <c r="L1150" s="38" t="s">
        <v>637</v>
      </c>
      <c r="M1150" s="21" t="s">
        <v>337</v>
      </c>
      <c r="N1150" s="18" t="s">
        <v>338</v>
      </c>
    </row>
    <row r="1151" spans="1:14" ht="13">
      <c r="A1151" s="18" t="s">
        <v>266</v>
      </c>
      <c r="B1151" s="18" t="s">
        <v>260</v>
      </c>
      <c r="C1151" s="18" t="s">
        <v>790</v>
      </c>
      <c r="D1151" s="18" t="s">
        <v>335</v>
      </c>
      <c r="E1151" s="27" t="s">
        <v>791</v>
      </c>
      <c r="F1151" s="18" t="s">
        <v>788</v>
      </c>
      <c r="G1151" s="18" t="s">
        <v>690</v>
      </c>
      <c r="H1151" s="37">
        <v>1992.0755905511801</v>
      </c>
      <c r="I1151" s="37">
        <v>25000</v>
      </c>
      <c r="J1151" s="37">
        <v>23000</v>
      </c>
      <c r="K1151" s="37">
        <v>27000</v>
      </c>
      <c r="L1151" s="38" t="s">
        <v>637</v>
      </c>
      <c r="M1151" s="21" t="s">
        <v>337</v>
      </c>
      <c r="N1151" s="18" t="s">
        <v>338</v>
      </c>
    </row>
    <row r="1152" spans="1:14" ht="13">
      <c r="A1152" s="18" t="s">
        <v>266</v>
      </c>
      <c r="B1152" s="18" t="s">
        <v>260</v>
      </c>
      <c r="C1152" s="18" t="s">
        <v>790</v>
      </c>
      <c r="D1152" s="18" t="s">
        <v>335</v>
      </c>
      <c r="E1152" s="27" t="s">
        <v>791</v>
      </c>
      <c r="F1152" s="18" t="s">
        <v>788</v>
      </c>
      <c r="G1152" s="18" t="s">
        <v>690</v>
      </c>
      <c r="H1152" s="37">
        <v>1994.0598425196899</v>
      </c>
      <c r="I1152" s="37">
        <v>22244</v>
      </c>
      <c r="J1152" s="37">
        <v>21000</v>
      </c>
      <c r="K1152" s="37">
        <v>23000</v>
      </c>
      <c r="L1152" s="38" t="s">
        <v>612</v>
      </c>
      <c r="M1152" s="21" t="s">
        <v>337</v>
      </c>
      <c r="N1152" s="18" t="s">
        <v>338</v>
      </c>
    </row>
    <row r="1153" spans="1:14" ht="13">
      <c r="A1153" s="18" t="s">
        <v>266</v>
      </c>
      <c r="B1153" s="18" t="s">
        <v>260</v>
      </c>
      <c r="C1153" s="18" t="s">
        <v>790</v>
      </c>
      <c r="D1153" s="18" t="s">
        <v>335</v>
      </c>
      <c r="E1153" s="27" t="s">
        <v>791</v>
      </c>
      <c r="F1153" s="18" t="s">
        <v>788</v>
      </c>
      <c r="G1153" s="18" t="s">
        <v>690</v>
      </c>
      <c r="H1153" s="37">
        <v>1996.04409448819</v>
      </c>
      <c r="I1153" s="37">
        <v>27385</v>
      </c>
      <c r="J1153" s="37">
        <v>27000</v>
      </c>
      <c r="K1153" s="37">
        <v>28000</v>
      </c>
      <c r="L1153" s="38" t="s">
        <v>612</v>
      </c>
      <c r="M1153" s="21" t="s">
        <v>337</v>
      </c>
      <c r="N1153" s="18" t="s">
        <v>338</v>
      </c>
    </row>
    <row r="1154" spans="1:14" ht="13">
      <c r="A1154" s="18" t="s">
        <v>266</v>
      </c>
      <c r="B1154" s="18" t="s">
        <v>260</v>
      </c>
      <c r="C1154" s="18" t="s">
        <v>790</v>
      </c>
      <c r="D1154" s="18" t="s">
        <v>335</v>
      </c>
      <c r="E1154" s="27" t="s">
        <v>791</v>
      </c>
      <c r="F1154" s="18" t="s">
        <v>788</v>
      </c>
      <c r="G1154" s="18" t="s">
        <v>690</v>
      </c>
      <c r="H1154" s="37">
        <v>1998.0283464566901</v>
      </c>
      <c r="I1154" s="37">
        <v>22090</v>
      </c>
      <c r="J1154" s="37">
        <v>21000</v>
      </c>
      <c r="K1154" s="37">
        <v>23000</v>
      </c>
      <c r="L1154" s="38" t="s">
        <v>612</v>
      </c>
      <c r="M1154" s="21" t="s">
        <v>337</v>
      </c>
      <c r="N1154" s="18" t="s">
        <v>338</v>
      </c>
    </row>
    <row r="1155" spans="1:14" ht="13">
      <c r="A1155" s="18" t="s">
        <v>266</v>
      </c>
      <c r="B1155" s="18" t="s">
        <v>260</v>
      </c>
      <c r="C1155" s="18" t="s">
        <v>790</v>
      </c>
      <c r="D1155" s="18" t="s">
        <v>335</v>
      </c>
      <c r="E1155" s="27" t="s">
        <v>791</v>
      </c>
      <c r="F1155" s="18" t="s">
        <v>788</v>
      </c>
      <c r="G1155" s="18" t="s">
        <v>690</v>
      </c>
      <c r="H1155" s="37">
        <v>2000.0125984251999</v>
      </c>
      <c r="I1155" s="37">
        <v>20176</v>
      </c>
      <c r="J1155" s="37">
        <v>20000</v>
      </c>
      <c r="K1155" s="37">
        <v>21000</v>
      </c>
      <c r="L1155" s="38" t="s">
        <v>612</v>
      </c>
      <c r="M1155" s="21" t="s">
        <v>337</v>
      </c>
      <c r="N1155" s="18" t="s">
        <v>338</v>
      </c>
    </row>
    <row r="1156" spans="1:14" ht="13">
      <c r="A1156" s="18" t="s">
        <v>266</v>
      </c>
      <c r="B1156" s="18" t="s">
        <v>260</v>
      </c>
      <c r="C1156" s="18" t="s">
        <v>790</v>
      </c>
      <c r="D1156" s="18" t="s">
        <v>335</v>
      </c>
      <c r="E1156" s="27" t="s">
        <v>791</v>
      </c>
      <c r="F1156" s="18" t="s">
        <v>788</v>
      </c>
      <c r="G1156" s="18" t="s">
        <v>690</v>
      </c>
      <c r="H1156" s="37">
        <v>2001.9968503937</v>
      </c>
      <c r="I1156" s="37">
        <v>17593</v>
      </c>
      <c r="J1156" s="37">
        <v>16000</v>
      </c>
      <c r="K1156" s="37">
        <v>19000</v>
      </c>
      <c r="L1156" s="38" t="s">
        <v>612</v>
      </c>
      <c r="M1156" s="21" t="s">
        <v>337</v>
      </c>
      <c r="N1156" s="18" t="s">
        <v>338</v>
      </c>
    </row>
    <row r="1157" spans="1:14" ht="13">
      <c r="A1157" s="18" t="s">
        <v>266</v>
      </c>
      <c r="B1157" s="18" t="s">
        <v>260</v>
      </c>
      <c r="C1157" s="18" t="s">
        <v>790</v>
      </c>
      <c r="D1157" s="18" t="s">
        <v>335</v>
      </c>
      <c r="E1157" s="27" t="s">
        <v>791</v>
      </c>
      <c r="F1157" s="18" t="s">
        <v>788</v>
      </c>
      <c r="G1157" s="18" t="s">
        <v>690</v>
      </c>
      <c r="H1157" s="37">
        <v>2004.09448818898</v>
      </c>
      <c r="I1157" s="37">
        <v>16876</v>
      </c>
      <c r="J1157" s="37">
        <v>16000</v>
      </c>
      <c r="K1157" s="37">
        <v>18000</v>
      </c>
      <c r="L1157" s="38" t="s">
        <v>612</v>
      </c>
      <c r="M1157" s="21" t="s">
        <v>337</v>
      </c>
      <c r="N1157" s="18" t="s">
        <v>338</v>
      </c>
    </row>
    <row r="1158" spans="1:14" ht="13">
      <c r="A1158" s="18" t="s">
        <v>266</v>
      </c>
      <c r="B1158" s="18" t="s">
        <v>260</v>
      </c>
      <c r="C1158" s="18" t="s">
        <v>790</v>
      </c>
      <c r="D1158" s="18" t="s">
        <v>335</v>
      </c>
      <c r="E1158" s="27" t="s">
        <v>791</v>
      </c>
      <c r="F1158" s="18" t="s">
        <v>788</v>
      </c>
      <c r="G1158" s="18" t="s">
        <v>690</v>
      </c>
      <c r="H1158" s="37">
        <v>2006.0787401574801</v>
      </c>
      <c r="I1158" s="37">
        <v>17072</v>
      </c>
      <c r="J1158" s="37">
        <v>16000</v>
      </c>
      <c r="K1158" s="37">
        <v>18000</v>
      </c>
      <c r="L1158" s="38" t="s">
        <v>612</v>
      </c>
      <c r="M1158" s="21" t="s">
        <v>337</v>
      </c>
      <c r="N1158" s="18" t="s">
        <v>338</v>
      </c>
    </row>
    <row r="1159" spans="1:14" ht="13">
      <c r="A1159" s="18" t="s">
        <v>266</v>
      </c>
      <c r="B1159" s="18" t="s">
        <v>260</v>
      </c>
      <c r="C1159" s="18" t="s">
        <v>790</v>
      </c>
      <c r="D1159" s="18" t="s">
        <v>335</v>
      </c>
      <c r="E1159" s="27" t="s">
        <v>791</v>
      </c>
      <c r="F1159" s="18" t="s">
        <v>788</v>
      </c>
      <c r="G1159" s="18" t="s">
        <v>690</v>
      </c>
      <c r="H1159" s="37">
        <v>2008.0062992126</v>
      </c>
      <c r="I1159" s="37">
        <v>18160</v>
      </c>
      <c r="J1159" s="37">
        <v>17000</v>
      </c>
      <c r="K1159" s="37">
        <v>19000</v>
      </c>
      <c r="L1159" s="38" t="s">
        <v>612</v>
      </c>
      <c r="M1159" s="21" t="s">
        <v>337</v>
      </c>
      <c r="N1159" s="18" t="s">
        <v>338</v>
      </c>
    </row>
    <row r="1160" spans="1:14" ht="13">
      <c r="A1160" s="18" t="s">
        <v>266</v>
      </c>
      <c r="B1160" s="18" t="s">
        <v>260</v>
      </c>
      <c r="C1160" s="18" t="s">
        <v>790</v>
      </c>
      <c r="D1160" s="18" t="s">
        <v>335</v>
      </c>
      <c r="E1160" s="27" t="s">
        <v>791</v>
      </c>
      <c r="F1160" s="18" t="s">
        <v>788</v>
      </c>
      <c r="G1160" s="18" t="s">
        <v>690</v>
      </c>
      <c r="H1160" s="37">
        <v>2009.9905511811</v>
      </c>
      <c r="I1160" s="37">
        <v>17973</v>
      </c>
      <c r="J1160" s="37">
        <v>17000</v>
      </c>
      <c r="K1160" s="37">
        <v>19000</v>
      </c>
      <c r="L1160" s="38" t="s">
        <v>612</v>
      </c>
      <c r="M1160" s="21" t="s">
        <v>337</v>
      </c>
      <c r="N1160" s="18" t="s">
        <v>338</v>
      </c>
    </row>
    <row r="1161" spans="1:14" ht="13">
      <c r="A1161" s="18" t="s">
        <v>266</v>
      </c>
      <c r="B1161" s="18" t="s">
        <v>260</v>
      </c>
      <c r="C1161" s="18" t="s">
        <v>790</v>
      </c>
      <c r="D1161" s="18" t="s">
        <v>335</v>
      </c>
      <c r="E1161" s="27" t="s">
        <v>791</v>
      </c>
      <c r="F1161" s="18" t="s">
        <v>788</v>
      </c>
      <c r="G1161" s="18" t="s">
        <v>690</v>
      </c>
      <c r="H1161" s="37">
        <v>2011.9748031496099</v>
      </c>
      <c r="I1161" s="37">
        <v>16184</v>
      </c>
      <c r="J1161" s="37">
        <v>16000</v>
      </c>
      <c r="K1161" s="37">
        <v>17000</v>
      </c>
      <c r="L1161" s="38" t="s">
        <v>612</v>
      </c>
      <c r="M1161" s="21" t="s">
        <v>337</v>
      </c>
      <c r="N1161" s="18" t="s">
        <v>338</v>
      </c>
    </row>
    <row r="1162" spans="1:14" ht="13">
      <c r="A1162" s="18" t="s">
        <v>266</v>
      </c>
      <c r="B1162" s="18" t="s">
        <v>260</v>
      </c>
      <c r="C1162" s="18" t="s">
        <v>790</v>
      </c>
      <c r="D1162" s="18" t="s">
        <v>335</v>
      </c>
      <c r="E1162" s="27" t="s">
        <v>791</v>
      </c>
      <c r="F1162" s="18" t="s">
        <v>788</v>
      </c>
      <c r="G1162" s="18" t="s">
        <v>690</v>
      </c>
      <c r="H1162" s="37">
        <v>2013.95905511811</v>
      </c>
      <c r="I1162" s="37">
        <v>18937</v>
      </c>
      <c r="J1162" s="37">
        <v>18000</v>
      </c>
      <c r="K1162" s="37">
        <v>20000</v>
      </c>
      <c r="L1162" s="38" t="s">
        <v>612</v>
      </c>
      <c r="M1162" s="21" t="s">
        <v>337</v>
      </c>
      <c r="N1162" s="18" t="s">
        <v>338</v>
      </c>
    </row>
    <row r="1163" spans="1:14" ht="13">
      <c r="A1163" s="18" t="s">
        <v>266</v>
      </c>
      <c r="B1163" s="18" t="s">
        <v>260</v>
      </c>
      <c r="C1163" s="18" t="s">
        <v>790</v>
      </c>
      <c r="D1163" s="18" t="s">
        <v>335</v>
      </c>
      <c r="E1163" s="27" t="s">
        <v>791</v>
      </c>
      <c r="F1163" s="18" t="s">
        <v>788</v>
      </c>
      <c r="G1163" s="18" t="s">
        <v>690</v>
      </c>
      <c r="H1163" s="37">
        <v>2015.94330708661</v>
      </c>
      <c r="I1163" s="37">
        <v>20490</v>
      </c>
      <c r="J1163" s="37">
        <v>19000</v>
      </c>
      <c r="K1163" s="37">
        <v>22000</v>
      </c>
      <c r="L1163" s="38" t="s">
        <v>612</v>
      </c>
      <c r="M1163" s="21" t="s">
        <v>337</v>
      </c>
      <c r="N1163" s="18" t="s">
        <v>338</v>
      </c>
    </row>
    <row r="1164" spans="1:14" ht="13">
      <c r="A1164" s="18" t="s">
        <v>266</v>
      </c>
      <c r="B1164" s="18" t="s">
        <v>260</v>
      </c>
      <c r="C1164" s="18" t="s">
        <v>790</v>
      </c>
      <c r="D1164" s="18" t="s">
        <v>335</v>
      </c>
      <c r="E1164" s="27" t="s">
        <v>791</v>
      </c>
      <c r="F1164" s="18" t="s">
        <v>788</v>
      </c>
      <c r="G1164" s="18" t="s">
        <v>690</v>
      </c>
      <c r="H1164" s="37">
        <v>2017.9842519685001</v>
      </c>
      <c r="I1164" s="37">
        <v>21625</v>
      </c>
      <c r="J1164" s="37">
        <v>21000</v>
      </c>
      <c r="K1164" s="37">
        <v>22000</v>
      </c>
      <c r="L1164" s="38" t="s">
        <v>612</v>
      </c>
      <c r="M1164" s="21" t="s">
        <v>337</v>
      </c>
      <c r="N1164" s="18" t="s">
        <v>338</v>
      </c>
    </row>
    <row r="1165" spans="1:14" ht="13">
      <c r="A1165" s="18" t="s">
        <v>266</v>
      </c>
      <c r="B1165" s="18" t="s">
        <v>260</v>
      </c>
      <c r="C1165" s="18" t="s">
        <v>792</v>
      </c>
      <c r="D1165" s="18" t="s">
        <v>335</v>
      </c>
      <c r="E1165" s="27" t="s">
        <v>793</v>
      </c>
      <c r="F1165" s="18" t="s">
        <v>788</v>
      </c>
      <c r="G1165" s="18" t="s">
        <v>690</v>
      </c>
      <c r="H1165" s="37">
        <v>1980.0508404888601</v>
      </c>
      <c r="I1165" s="37">
        <v>200000</v>
      </c>
      <c r="J1165" s="37">
        <v>163000</v>
      </c>
      <c r="K1165" s="37">
        <v>237000</v>
      </c>
      <c r="L1165" s="38" t="s">
        <v>612</v>
      </c>
      <c r="M1165" s="21" t="s">
        <v>337</v>
      </c>
      <c r="N1165" s="18" t="s">
        <v>338</v>
      </c>
    </row>
    <row r="1166" spans="1:14" ht="13">
      <c r="A1166" s="18" t="s">
        <v>266</v>
      </c>
      <c r="B1166" s="18" t="s">
        <v>260</v>
      </c>
      <c r="C1166" s="18" t="s">
        <v>792</v>
      </c>
      <c r="D1166" s="18" t="s">
        <v>335</v>
      </c>
      <c r="E1166" s="27" t="s">
        <v>793</v>
      </c>
      <c r="F1166" s="18" t="s">
        <v>788</v>
      </c>
      <c r="G1166" s="18" t="s">
        <v>690</v>
      </c>
      <c r="H1166" s="37">
        <v>1981.13500855088</v>
      </c>
      <c r="I1166" s="37">
        <v>179000</v>
      </c>
      <c r="J1166" s="37">
        <v>159000</v>
      </c>
      <c r="K1166" s="37">
        <v>200000</v>
      </c>
      <c r="L1166" s="38" t="s">
        <v>612</v>
      </c>
      <c r="M1166" s="21" t="s">
        <v>337</v>
      </c>
      <c r="N1166" s="18" t="s">
        <v>338</v>
      </c>
    </row>
    <row r="1167" spans="1:14" ht="13">
      <c r="A1167" s="18" t="s">
        <v>266</v>
      </c>
      <c r="B1167" s="18" t="s">
        <v>260</v>
      </c>
      <c r="C1167" s="18" t="s">
        <v>792</v>
      </c>
      <c r="D1167" s="18" t="s">
        <v>335</v>
      </c>
      <c r="E1167" s="27" t="s">
        <v>793</v>
      </c>
      <c r="F1167" s="18" t="s">
        <v>788</v>
      </c>
      <c r="G1167" s="18" t="s">
        <v>690</v>
      </c>
      <c r="H1167" s="37">
        <v>1982.0555002711301</v>
      </c>
      <c r="I1167" s="37">
        <v>203000</v>
      </c>
      <c r="J1167" s="37">
        <v>194000</v>
      </c>
      <c r="K1167" s="37">
        <v>214000</v>
      </c>
      <c r="L1167" s="38" t="s">
        <v>612</v>
      </c>
      <c r="M1167" s="21" t="s">
        <v>337</v>
      </c>
      <c r="N1167" s="18" t="s">
        <v>338</v>
      </c>
    </row>
    <row r="1168" spans="1:14" ht="13">
      <c r="A1168" s="18" t="s">
        <v>266</v>
      </c>
      <c r="B1168" s="18" t="s">
        <v>260</v>
      </c>
      <c r="C1168" s="18" t="s">
        <v>792</v>
      </c>
      <c r="D1168" s="18" t="s">
        <v>335</v>
      </c>
      <c r="E1168" s="27" t="s">
        <v>793</v>
      </c>
      <c r="F1168" s="18" t="s">
        <v>788</v>
      </c>
      <c r="G1168" s="18" t="s">
        <v>690</v>
      </c>
      <c r="H1168" s="37">
        <v>1983.0116017852599</v>
      </c>
      <c r="I1168" s="37">
        <v>166000</v>
      </c>
      <c r="J1168" s="37">
        <v>146000</v>
      </c>
      <c r="K1168" s="37">
        <v>185000</v>
      </c>
      <c r="L1168" s="38" t="s">
        <v>612</v>
      </c>
      <c r="M1168" s="21" t="s">
        <v>337</v>
      </c>
      <c r="N1168" s="18" t="s">
        <v>338</v>
      </c>
    </row>
    <row r="1169" spans="1:14" ht="13">
      <c r="A1169" s="18" t="s">
        <v>266</v>
      </c>
      <c r="B1169" s="18" t="s">
        <v>260</v>
      </c>
      <c r="C1169" s="18" t="s">
        <v>792</v>
      </c>
      <c r="D1169" s="18" t="s">
        <v>335</v>
      </c>
      <c r="E1169" s="27" t="s">
        <v>793</v>
      </c>
      <c r="F1169" s="18" t="s">
        <v>788</v>
      </c>
      <c r="G1169" s="18" t="s">
        <v>690</v>
      </c>
      <c r="H1169" s="37">
        <v>1984.0464309762301</v>
      </c>
      <c r="I1169" s="37">
        <v>173000</v>
      </c>
      <c r="J1169" s="37">
        <v>150000</v>
      </c>
      <c r="K1169" s="37">
        <v>196000</v>
      </c>
      <c r="L1169" s="38" t="s">
        <v>612</v>
      </c>
      <c r="M1169" s="21" t="s">
        <v>337</v>
      </c>
      <c r="N1169" s="18" t="s">
        <v>338</v>
      </c>
    </row>
    <row r="1170" spans="1:14" ht="13">
      <c r="A1170" s="18" t="s">
        <v>266</v>
      </c>
      <c r="B1170" s="18" t="s">
        <v>260</v>
      </c>
      <c r="C1170" s="18" t="s">
        <v>792</v>
      </c>
      <c r="D1170" s="18" t="s">
        <v>335</v>
      </c>
      <c r="E1170" s="27" t="s">
        <v>793</v>
      </c>
      <c r="F1170" s="18" t="s">
        <v>788</v>
      </c>
      <c r="G1170" s="18" t="s">
        <v>690</v>
      </c>
      <c r="H1170" s="37">
        <v>1985.0823327513599</v>
      </c>
      <c r="I1170" s="37">
        <v>182000</v>
      </c>
      <c r="J1170" s="37">
        <v>163000</v>
      </c>
      <c r="K1170" s="37">
        <v>202000</v>
      </c>
      <c r="L1170" s="38" t="s">
        <v>612</v>
      </c>
      <c r="M1170" s="21" t="s">
        <v>337</v>
      </c>
      <c r="N1170" s="18" t="s">
        <v>338</v>
      </c>
    </row>
    <row r="1171" spans="1:14" ht="13">
      <c r="A1171" s="18" t="s">
        <v>266</v>
      </c>
      <c r="B1171" s="18" t="s">
        <v>260</v>
      </c>
      <c r="C1171" s="18" t="s">
        <v>792</v>
      </c>
      <c r="D1171" s="18" t="s">
        <v>335</v>
      </c>
      <c r="E1171" s="27" t="s">
        <v>793</v>
      </c>
      <c r="F1171" s="18" t="s">
        <v>788</v>
      </c>
      <c r="G1171" s="18" t="s">
        <v>690</v>
      </c>
      <c r="H1171" s="37">
        <v>1986.1087957859399</v>
      </c>
      <c r="I1171" s="37">
        <v>168000</v>
      </c>
      <c r="J1171" s="37">
        <v>151000</v>
      </c>
      <c r="K1171" s="37">
        <v>184000</v>
      </c>
      <c r="L1171" s="38" t="s">
        <v>612</v>
      </c>
      <c r="M1171" s="21" t="s">
        <v>337</v>
      </c>
      <c r="N1171" s="18" t="s">
        <v>338</v>
      </c>
    </row>
    <row r="1172" spans="1:14" ht="13">
      <c r="A1172" s="18" t="s">
        <v>266</v>
      </c>
      <c r="B1172" s="18" t="s">
        <v>260</v>
      </c>
      <c r="C1172" s="18" t="s">
        <v>792</v>
      </c>
      <c r="D1172" s="18" t="s">
        <v>335</v>
      </c>
      <c r="E1172" s="27" t="s">
        <v>793</v>
      </c>
      <c r="F1172" s="18" t="s">
        <v>788</v>
      </c>
      <c r="G1172" s="18" t="s">
        <v>690</v>
      </c>
      <c r="H1172" s="37">
        <v>1987.14233787593</v>
      </c>
      <c r="I1172" s="37">
        <v>172000</v>
      </c>
      <c r="J1172" s="37">
        <v>164000</v>
      </c>
      <c r="K1172" s="37">
        <v>178000</v>
      </c>
      <c r="L1172" s="38" t="s">
        <v>612</v>
      </c>
      <c r="M1172" s="21" t="s">
        <v>337</v>
      </c>
      <c r="N1172" s="18" t="s">
        <v>338</v>
      </c>
    </row>
    <row r="1173" spans="1:14" ht="13">
      <c r="A1173" s="18" t="s">
        <v>266</v>
      </c>
      <c r="B1173" s="18" t="s">
        <v>260</v>
      </c>
      <c r="C1173" s="18" t="s">
        <v>792</v>
      </c>
      <c r="D1173" s="18" t="s">
        <v>335</v>
      </c>
      <c r="E1173" s="27" t="s">
        <v>793</v>
      </c>
      <c r="F1173" s="18" t="s">
        <v>788</v>
      </c>
      <c r="G1173" s="18" t="s">
        <v>690</v>
      </c>
      <c r="H1173" s="37">
        <v>1988.0046955350699</v>
      </c>
      <c r="I1173" s="37">
        <v>203000</v>
      </c>
      <c r="J1173" s="37">
        <v>189000</v>
      </c>
      <c r="K1173" s="37">
        <v>214000</v>
      </c>
      <c r="L1173" s="38" t="s">
        <v>612</v>
      </c>
      <c r="M1173" s="21" t="s">
        <v>337</v>
      </c>
      <c r="N1173" s="18" t="s">
        <v>338</v>
      </c>
    </row>
    <row r="1174" spans="1:14" ht="13">
      <c r="A1174" s="18" t="s">
        <v>266</v>
      </c>
      <c r="B1174" s="18" t="s">
        <v>260</v>
      </c>
      <c r="C1174" s="18" t="s">
        <v>792</v>
      </c>
      <c r="D1174" s="18" t="s">
        <v>335</v>
      </c>
      <c r="E1174" s="27" t="s">
        <v>793</v>
      </c>
      <c r="F1174" s="18" t="s">
        <v>788</v>
      </c>
      <c r="G1174" s="18" t="s">
        <v>690</v>
      </c>
      <c r="H1174" s="37">
        <v>1989.0245085479</v>
      </c>
      <c r="I1174" s="37">
        <v>173000</v>
      </c>
      <c r="J1174" s="37">
        <v>89000</v>
      </c>
      <c r="K1174" s="37">
        <v>253000</v>
      </c>
      <c r="L1174" s="38" t="s">
        <v>612</v>
      </c>
      <c r="M1174" s="21" t="s">
        <v>337</v>
      </c>
      <c r="N1174" s="18" t="s">
        <v>338</v>
      </c>
    </row>
    <row r="1175" spans="1:14" ht="13">
      <c r="A1175" s="18" t="s">
        <v>266</v>
      </c>
      <c r="B1175" s="18" t="s">
        <v>260</v>
      </c>
      <c r="C1175" s="18" t="s">
        <v>792</v>
      </c>
      <c r="D1175" s="18" t="s">
        <v>335</v>
      </c>
      <c r="E1175" s="27" t="s">
        <v>793</v>
      </c>
      <c r="F1175" s="18" t="s">
        <v>788</v>
      </c>
      <c r="G1175" s="18" t="s">
        <v>690</v>
      </c>
      <c r="H1175" s="37">
        <v>1990.12905570883</v>
      </c>
      <c r="I1175" s="37">
        <v>202000</v>
      </c>
      <c r="J1175" s="37">
        <v>193000</v>
      </c>
      <c r="K1175" s="37">
        <v>209000</v>
      </c>
      <c r="L1175" s="38" t="s">
        <v>612</v>
      </c>
      <c r="M1175" s="21" t="s">
        <v>337</v>
      </c>
      <c r="N1175" s="18" t="s">
        <v>338</v>
      </c>
    </row>
    <row r="1176" spans="1:14" ht="13">
      <c r="A1176" s="18" t="s">
        <v>266</v>
      </c>
      <c r="B1176" s="18" t="s">
        <v>260</v>
      </c>
      <c r="C1176" s="18" t="s">
        <v>792</v>
      </c>
      <c r="D1176" s="18" t="s">
        <v>335</v>
      </c>
      <c r="E1176" s="27" t="s">
        <v>793</v>
      </c>
      <c r="F1176" s="18" t="s">
        <v>788</v>
      </c>
      <c r="G1176" s="18" t="s">
        <v>690</v>
      </c>
      <c r="H1176" s="37">
        <v>1992.06421203797</v>
      </c>
      <c r="I1176" s="37">
        <v>183000</v>
      </c>
      <c r="J1176" s="37">
        <v>164000</v>
      </c>
      <c r="K1176" s="37">
        <v>201000</v>
      </c>
      <c r="L1176" s="38" t="s">
        <v>612</v>
      </c>
      <c r="M1176" s="21" t="s">
        <v>337</v>
      </c>
      <c r="N1176" s="18" t="s">
        <v>338</v>
      </c>
    </row>
    <row r="1177" spans="1:14" ht="13">
      <c r="A1177" s="18" t="s">
        <v>266</v>
      </c>
      <c r="B1177" s="18" t="s">
        <v>260</v>
      </c>
      <c r="C1177" s="18" t="s">
        <v>792</v>
      </c>
      <c r="D1177" s="18" t="s">
        <v>335</v>
      </c>
      <c r="E1177" s="27" t="s">
        <v>793</v>
      </c>
      <c r="F1177" s="18" t="s">
        <v>788</v>
      </c>
      <c r="G1177" s="18" t="s">
        <v>690</v>
      </c>
      <c r="H1177" s="37">
        <v>1994.07123150537</v>
      </c>
      <c r="I1177" s="37">
        <v>192104</v>
      </c>
      <c r="J1177" s="37">
        <v>187000</v>
      </c>
      <c r="K1177" s="37">
        <v>196000</v>
      </c>
      <c r="L1177" s="38" t="s">
        <v>612</v>
      </c>
      <c r="M1177" s="21" t="s">
        <v>337</v>
      </c>
      <c r="N1177" s="18" t="s">
        <v>338</v>
      </c>
    </row>
    <row r="1178" spans="1:14" ht="13">
      <c r="A1178" s="18" t="s">
        <v>266</v>
      </c>
      <c r="B1178" s="18" t="s">
        <v>260</v>
      </c>
      <c r="C1178" s="18" t="s">
        <v>792</v>
      </c>
      <c r="D1178" s="18" t="s">
        <v>335</v>
      </c>
      <c r="E1178" s="27" t="s">
        <v>793</v>
      </c>
      <c r="F1178" s="18" t="s">
        <v>788</v>
      </c>
      <c r="G1178" s="18" t="s">
        <v>690</v>
      </c>
      <c r="H1178" s="37">
        <v>1996.0658089966</v>
      </c>
      <c r="I1178" s="37">
        <v>170125</v>
      </c>
      <c r="J1178" s="37">
        <v>117000</v>
      </c>
      <c r="K1178" s="37">
        <v>222000</v>
      </c>
      <c r="L1178" s="38" t="s">
        <v>612</v>
      </c>
      <c r="M1178" s="21" t="s">
        <v>337</v>
      </c>
      <c r="N1178" s="18" t="s">
        <v>338</v>
      </c>
    </row>
    <row r="1179" spans="1:14" ht="13">
      <c r="A1179" s="18" t="s">
        <v>266</v>
      </c>
      <c r="B1179" s="18" t="s">
        <v>260</v>
      </c>
      <c r="C1179" s="18" t="s">
        <v>792</v>
      </c>
      <c r="D1179" s="18" t="s">
        <v>335</v>
      </c>
      <c r="E1179" s="27" t="s">
        <v>793</v>
      </c>
      <c r="F1179" s="18" t="s">
        <v>788</v>
      </c>
      <c r="G1179" s="18" t="s">
        <v>690</v>
      </c>
      <c r="H1179" s="37">
        <v>1998.0726139471701</v>
      </c>
      <c r="I1179" s="37">
        <v>179149</v>
      </c>
      <c r="J1179" s="37">
        <v>165000</v>
      </c>
      <c r="K1179" s="37">
        <v>193000</v>
      </c>
      <c r="L1179" s="38" t="s">
        <v>612</v>
      </c>
      <c r="M1179" s="21" t="s">
        <v>337</v>
      </c>
      <c r="N1179" s="18" t="s">
        <v>338</v>
      </c>
    </row>
    <row r="1180" spans="1:14" ht="13">
      <c r="A1180" s="18" t="s">
        <v>266</v>
      </c>
      <c r="B1180" s="18" t="s">
        <v>260</v>
      </c>
      <c r="C1180" s="18" t="s">
        <v>792</v>
      </c>
      <c r="D1180" s="18" t="s">
        <v>335</v>
      </c>
      <c r="E1180" s="27" t="s">
        <v>793</v>
      </c>
      <c r="F1180" s="18" t="s">
        <v>788</v>
      </c>
      <c r="G1180" s="18" t="s">
        <v>690</v>
      </c>
      <c r="H1180" s="37">
        <v>2000.0678349888899</v>
      </c>
      <c r="I1180" s="37">
        <v>158736</v>
      </c>
      <c r="J1180" s="37">
        <v>116000</v>
      </c>
      <c r="K1180" s="37">
        <v>201000</v>
      </c>
      <c r="L1180" s="38" t="s">
        <v>612</v>
      </c>
      <c r="M1180" s="21" t="s">
        <v>337</v>
      </c>
      <c r="N1180" s="18" t="s">
        <v>338</v>
      </c>
    </row>
    <row r="1181" spans="1:14" ht="13">
      <c r="A1181" s="18" t="s">
        <v>266</v>
      </c>
      <c r="B1181" s="18" t="s">
        <v>260</v>
      </c>
      <c r="C1181" s="18" t="s">
        <v>792</v>
      </c>
      <c r="D1181" s="18" t="s">
        <v>335</v>
      </c>
      <c r="E1181" s="27" t="s">
        <v>793</v>
      </c>
      <c r="F1181" s="18" t="s">
        <v>788</v>
      </c>
      <c r="G1181" s="18" t="s">
        <v>690</v>
      </c>
      <c r="H1181" s="37">
        <v>2002.0658447494</v>
      </c>
      <c r="I1181" s="37">
        <v>145716</v>
      </c>
      <c r="J1181" s="37">
        <v>141000</v>
      </c>
      <c r="K1181" s="37">
        <v>149000</v>
      </c>
      <c r="L1181" s="38" t="s">
        <v>612</v>
      </c>
      <c r="M1181" s="21" t="s">
        <v>337</v>
      </c>
      <c r="N1181" s="18" t="s">
        <v>338</v>
      </c>
    </row>
    <row r="1182" spans="1:14" ht="13">
      <c r="A1182" s="18" t="s">
        <v>266</v>
      </c>
      <c r="B1182" s="18" t="s">
        <v>260</v>
      </c>
      <c r="C1182" s="18" t="s">
        <v>792</v>
      </c>
      <c r="D1182" s="18" t="s">
        <v>335</v>
      </c>
      <c r="E1182" s="27" t="s">
        <v>793</v>
      </c>
      <c r="F1182" s="18" t="s">
        <v>788</v>
      </c>
      <c r="G1182" s="18" t="s">
        <v>690</v>
      </c>
      <c r="H1182" s="37">
        <v>2004.12048695321</v>
      </c>
      <c r="I1182" s="37">
        <v>122825</v>
      </c>
      <c r="J1182" s="37">
        <v>119000</v>
      </c>
      <c r="K1182" s="37">
        <v>125000</v>
      </c>
      <c r="L1182" s="38" t="s">
        <v>612</v>
      </c>
      <c r="M1182" s="21" t="s">
        <v>337</v>
      </c>
      <c r="N1182" s="18" t="s">
        <v>338</v>
      </c>
    </row>
    <row r="1183" spans="1:14" ht="13">
      <c r="A1183" s="18" t="s">
        <v>266</v>
      </c>
      <c r="B1183" s="18" t="s">
        <v>260</v>
      </c>
      <c r="C1183" s="18" t="s">
        <v>792</v>
      </c>
      <c r="D1183" s="18" t="s">
        <v>335</v>
      </c>
      <c r="E1183" s="27" t="s">
        <v>793</v>
      </c>
      <c r="F1183" s="18" t="s">
        <v>788</v>
      </c>
      <c r="G1183" s="18" t="s">
        <v>690</v>
      </c>
      <c r="H1183" s="37">
        <v>2006.11892574738</v>
      </c>
      <c r="I1183" s="37">
        <v>109961</v>
      </c>
      <c r="J1183" s="37">
        <v>106000</v>
      </c>
      <c r="K1183" s="37">
        <v>113000</v>
      </c>
      <c r="L1183" s="38" t="s">
        <v>612</v>
      </c>
      <c r="M1183" s="21" t="s">
        <v>337</v>
      </c>
      <c r="N1183" s="18" t="s">
        <v>338</v>
      </c>
    </row>
    <row r="1184" spans="1:14" ht="13">
      <c r="A1184" s="18" t="s">
        <v>266</v>
      </c>
      <c r="B1184" s="18" t="s">
        <v>260</v>
      </c>
      <c r="C1184" s="18" t="s">
        <v>792</v>
      </c>
      <c r="D1184" s="18" t="s">
        <v>335</v>
      </c>
      <c r="E1184" s="27" t="s">
        <v>793</v>
      </c>
      <c r="F1184" s="18" t="s">
        <v>788</v>
      </c>
      <c r="G1184" s="18" t="s">
        <v>690</v>
      </c>
      <c r="H1184" s="37">
        <v>2008.05837241314</v>
      </c>
      <c r="I1184" s="37">
        <v>102674</v>
      </c>
      <c r="J1184" s="37">
        <v>99000</v>
      </c>
      <c r="K1184" s="37">
        <v>105000</v>
      </c>
      <c r="L1184" s="38" t="s">
        <v>612</v>
      </c>
      <c r="M1184" s="21" t="s">
        <v>337</v>
      </c>
      <c r="N1184" s="18" t="s">
        <v>338</v>
      </c>
    </row>
    <row r="1185" spans="1:14" ht="13">
      <c r="A1185" s="18" t="s">
        <v>266</v>
      </c>
      <c r="B1185" s="18" t="s">
        <v>260</v>
      </c>
      <c r="C1185" s="18" t="s">
        <v>792</v>
      </c>
      <c r="D1185" s="18" t="s">
        <v>335</v>
      </c>
      <c r="E1185" s="27" t="s">
        <v>793</v>
      </c>
      <c r="F1185" s="18" t="s">
        <v>788</v>
      </c>
      <c r="G1185" s="18" t="s">
        <v>690</v>
      </c>
      <c r="H1185" s="37">
        <v>2010.0583128251301</v>
      </c>
      <c r="I1185" s="37">
        <v>94502</v>
      </c>
      <c r="J1185" s="37">
        <v>91000</v>
      </c>
      <c r="K1185" s="37">
        <v>97000</v>
      </c>
      <c r="L1185" s="38" t="s">
        <v>612</v>
      </c>
      <c r="M1185" s="21" t="s">
        <v>337</v>
      </c>
      <c r="N1185" s="18" t="s">
        <v>338</v>
      </c>
    </row>
    <row r="1186" spans="1:14" ht="13">
      <c r="A1186" s="18" t="s">
        <v>266</v>
      </c>
      <c r="B1186" s="18" t="s">
        <v>260</v>
      </c>
      <c r="C1186" s="18" t="s">
        <v>792</v>
      </c>
      <c r="D1186" s="18" t="s">
        <v>335</v>
      </c>
      <c r="E1186" s="27" t="s">
        <v>793</v>
      </c>
      <c r="F1186" s="18" t="s">
        <v>788</v>
      </c>
      <c r="G1186" s="18" t="s">
        <v>690</v>
      </c>
      <c r="H1186" s="37">
        <v>2012.1841746166999</v>
      </c>
      <c r="I1186" s="37">
        <v>96828</v>
      </c>
      <c r="J1186" s="37">
        <v>94000</v>
      </c>
      <c r="K1186" s="37">
        <v>99000</v>
      </c>
      <c r="L1186" s="38" t="s">
        <v>612</v>
      </c>
      <c r="M1186" s="21" t="s">
        <v>337</v>
      </c>
      <c r="N1186" s="18" t="s">
        <v>338</v>
      </c>
    </row>
    <row r="1187" spans="1:14" ht="13">
      <c r="A1187" s="18" t="s">
        <v>266</v>
      </c>
      <c r="B1187" s="18" t="s">
        <v>260</v>
      </c>
      <c r="C1187" s="18" t="s">
        <v>792</v>
      </c>
      <c r="D1187" s="18" t="s">
        <v>335</v>
      </c>
      <c r="E1187" s="27" t="s">
        <v>793</v>
      </c>
      <c r="F1187" s="18" t="s">
        <v>788</v>
      </c>
      <c r="G1187" s="18" t="s">
        <v>690</v>
      </c>
      <c r="H1187" s="37">
        <v>2014.0642001203701</v>
      </c>
      <c r="I1187" s="37">
        <v>91737</v>
      </c>
      <c r="J1187" s="37">
        <v>89000</v>
      </c>
      <c r="K1187" s="37">
        <v>93000</v>
      </c>
      <c r="L1187" s="38" t="s">
        <v>612</v>
      </c>
      <c r="M1187" s="21" t="s">
        <v>337</v>
      </c>
      <c r="N1187" s="18" t="s">
        <v>338</v>
      </c>
    </row>
    <row r="1188" spans="1:14" ht="13">
      <c r="A1188" s="18" t="s">
        <v>266</v>
      </c>
      <c r="B1188" s="18" t="s">
        <v>260</v>
      </c>
      <c r="C1188" s="18" t="s">
        <v>792</v>
      </c>
      <c r="D1188" s="18" t="s">
        <v>335</v>
      </c>
      <c r="E1188" s="27" t="s">
        <v>793</v>
      </c>
      <c r="F1188" s="18" t="s">
        <v>788</v>
      </c>
      <c r="G1188" s="18" t="s">
        <v>690</v>
      </c>
      <c r="H1188" s="37">
        <v>2016.0632824650399</v>
      </c>
      <c r="I1188" s="37">
        <v>80641</v>
      </c>
      <c r="J1188" s="37">
        <v>79000</v>
      </c>
      <c r="K1188" s="37">
        <v>82000</v>
      </c>
      <c r="L1188" s="38" t="s">
        <v>612</v>
      </c>
      <c r="M1188" s="21" t="s">
        <v>337</v>
      </c>
      <c r="N1188" s="18" t="s">
        <v>338</v>
      </c>
    </row>
    <row r="1189" spans="1:14" ht="13">
      <c r="A1189" s="18" t="s">
        <v>266</v>
      </c>
      <c r="B1189" s="18" t="s">
        <v>260</v>
      </c>
      <c r="C1189" s="18" t="s">
        <v>792</v>
      </c>
      <c r="D1189" s="18" t="s">
        <v>335</v>
      </c>
      <c r="E1189" s="27" t="s">
        <v>793</v>
      </c>
      <c r="F1189" s="18" t="s">
        <v>788</v>
      </c>
      <c r="G1189" s="18" t="s">
        <v>690</v>
      </c>
      <c r="H1189" s="37">
        <v>2018.0645099780099</v>
      </c>
      <c r="I1189" s="37">
        <v>75719</v>
      </c>
      <c r="J1189" s="37">
        <v>74000</v>
      </c>
      <c r="K1189" s="37">
        <v>78000</v>
      </c>
      <c r="L1189" s="38" t="s">
        <v>612</v>
      </c>
      <c r="M1189" s="21" t="s">
        <v>337</v>
      </c>
      <c r="N1189" s="18" t="s">
        <v>338</v>
      </c>
    </row>
    <row r="1190" spans="1:14" ht="13">
      <c r="A1190" s="18" t="s">
        <v>266</v>
      </c>
      <c r="B1190" s="18" t="s">
        <v>260</v>
      </c>
      <c r="C1190" s="18" t="s">
        <v>794</v>
      </c>
      <c r="D1190" s="18" t="s">
        <v>335</v>
      </c>
      <c r="E1190" s="27" t="s">
        <v>795</v>
      </c>
      <c r="F1190" s="18" t="s">
        <v>788</v>
      </c>
      <c r="G1190" s="18" t="s">
        <v>690</v>
      </c>
      <c r="H1190" s="37">
        <v>1990</v>
      </c>
      <c r="I1190" s="37">
        <v>238000</v>
      </c>
      <c r="J1190" s="37">
        <v>231000</v>
      </c>
      <c r="K1190" s="37">
        <v>243000</v>
      </c>
      <c r="L1190" s="38" t="s">
        <v>637</v>
      </c>
      <c r="M1190" s="21" t="s">
        <v>337</v>
      </c>
      <c r="N1190" s="18" t="s">
        <v>338</v>
      </c>
    </row>
    <row r="1191" spans="1:14" ht="13">
      <c r="A1191" s="18" t="s">
        <v>266</v>
      </c>
      <c r="B1191" s="18" t="s">
        <v>260</v>
      </c>
      <c r="C1191" s="18" t="s">
        <v>794</v>
      </c>
      <c r="D1191" s="18" t="s">
        <v>335</v>
      </c>
      <c r="E1191" s="27" t="s">
        <v>795</v>
      </c>
      <c r="F1191" s="18" t="s">
        <v>788</v>
      </c>
      <c r="G1191" s="18" t="s">
        <v>690</v>
      </c>
      <c r="H1191" s="37">
        <v>1990.99290780142</v>
      </c>
      <c r="I1191" s="37">
        <v>233000</v>
      </c>
      <c r="J1191" s="37">
        <v>224000</v>
      </c>
      <c r="K1191" s="37">
        <v>243000</v>
      </c>
      <c r="L1191" s="38" t="s">
        <v>637</v>
      </c>
      <c r="M1191" s="21" t="s">
        <v>337</v>
      </c>
      <c r="N1191" s="18" t="s">
        <v>338</v>
      </c>
    </row>
    <row r="1192" spans="1:14" ht="13">
      <c r="A1192" s="18" t="s">
        <v>266</v>
      </c>
      <c r="B1192" s="18" t="s">
        <v>260</v>
      </c>
      <c r="C1192" s="18" t="s">
        <v>794</v>
      </c>
      <c r="D1192" s="18" t="s">
        <v>335</v>
      </c>
      <c r="E1192" s="27" t="s">
        <v>795</v>
      </c>
      <c r="F1192" s="18" t="s">
        <v>788</v>
      </c>
      <c r="G1192" s="18" t="s">
        <v>690</v>
      </c>
      <c r="H1192" s="37">
        <v>1992.0212765957399</v>
      </c>
      <c r="I1192" s="37">
        <v>224000</v>
      </c>
      <c r="J1192" s="37">
        <v>217000</v>
      </c>
      <c r="K1192" s="37">
        <v>229000</v>
      </c>
      <c r="L1192" s="38" t="s">
        <v>637</v>
      </c>
      <c r="M1192" s="21" t="s">
        <v>337</v>
      </c>
      <c r="N1192" s="18" t="s">
        <v>338</v>
      </c>
    </row>
    <row r="1193" spans="1:14" ht="13">
      <c r="A1193" s="18" t="s">
        <v>266</v>
      </c>
      <c r="B1193" s="18" t="s">
        <v>260</v>
      </c>
      <c r="C1193" s="18" t="s">
        <v>794</v>
      </c>
      <c r="D1193" s="18" t="s">
        <v>335</v>
      </c>
      <c r="E1193" s="27" t="s">
        <v>795</v>
      </c>
      <c r="F1193" s="18" t="s">
        <v>788</v>
      </c>
      <c r="G1193" s="18" t="s">
        <v>690</v>
      </c>
      <c r="H1193" s="37">
        <v>1993.0141843971601</v>
      </c>
      <c r="I1193" s="37">
        <v>225000</v>
      </c>
      <c r="J1193" s="37">
        <v>217000</v>
      </c>
      <c r="K1193" s="37">
        <v>234000</v>
      </c>
      <c r="L1193" s="38" t="s">
        <v>637</v>
      </c>
      <c r="M1193" s="21" t="s">
        <v>337</v>
      </c>
      <c r="N1193" s="18" t="s">
        <v>338</v>
      </c>
    </row>
    <row r="1194" spans="1:14" ht="13">
      <c r="A1194" s="18" t="s">
        <v>266</v>
      </c>
      <c r="B1194" s="18" t="s">
        <v>260</v>
      </c>
      <c r="C1194" s="18" t="s">
        <v>794</v>
      </c>
      <c r="D1194" s="18" t="s">
        <v>335</v>
      </c>
      <c r="E1194" s="27" t="s">
        <v>795</v>
      </c>
      <c r="F1194" s="18" t="s">
        <v>788</v>
      </c>
      <c r="G1194" s="18" t="s">
        <v>690</v>
      </c>
      <c r="H1194" s="37">
        <v>1994.00709219858</v>
      </c>
      <c r="I1194" s="37">
        <v>228771</v>
      </c>
      <c r="J1194" s="37">
        <v>222000</v>
      </c>
      <c r="K1194" s="37">
        <v>230000</v>
      </c>
      <c r="L1194" s="38" t="s">
        <v>612</v>
      </c>
      <c r="M1194" s="21" t="s">
        <v>337</v>
      </c>
      <c r="N1194" s="18" t="s">
        <v>338</v>
      </c>
    </row>
    <row r="1195" spans="1:14" ht="13">
      <c r="A1195" s="18" t="s">
        <v>266</v>
      </c>
      <c r="B1195" s="18" t="s">
        <v>260</v>
      </c>
      <c r="C1195" s="18" t="s">
        <v>794</v>
      </c>
      <c r="D1195" s="18" t="s">
        <v>335</v>
      </c>
      <c r="E1195" s="27" t="s">
        <v>795</v>
      </c>
      <c r="F1195" s="18" t="s">
        <v>788</v>
      </c>
      <c r="G1195" s="18" t="s">
        <v>690</v>
      </c>
      <c r="H1195" s="37">
        <v>1995.03546099291</v>
      </c>
      <c r="I1195" s="37">
        <v>229511</v>
      </c>
      <c r="J1195" s="37">
        <v>210000</v>
      </c>
      <c r="K1195" s="37">
        <v>227000</v>
      </c>
      <c r="L1195" s="38" t="s">
        <v>612</v>
      </c>
      <c r="M1195" s="21" t="s">
        <v>337</v>
      </c>
      <c r="N1195" s="18" t="s">
        <v>338</v>
      </c>
    </row>
    <row r="1196" spans="1:14" ht="13">
      <c r="A1196" s="18" t="s">
        <v>266</v>
      </c>
      <c r="B1196" s="18" t="s">
        <v>260</v>
      </c>
      <c r="C1196" s="18" t="s">
        <v>794</v>
      </c>
      <c r="D1196" s="18" t="s">
        <v>335</v>
      </c>
      <c r="E1196" s="27" t="s">
        <v>795</v>
      </c>
      <c r="F1196" s="18" t="s">
        <v>788</v>
      </c>
      <c r="G1196" s="18" t="s">
        <v>690</v>
      </c>
      <c r="H1196" s="37">
        <v>1996.0283687943299</v>
      </c>
      <c r="I1196" s="37">
        <v>211673</v>
      </c>
      <c r="J1196" s="37">
        <v>210000</v>
      </c>
      <c r="K1196" s="37">
        <v>224000</v>
      </c>
      <c r="L1196" s="38" t="s">
        <v>612</v>
      </c>
      <c r="M1196" s="21" t="s">
        <v>337</v>
      </c>
      <c r="N1196" s="18" t="s">
        <v>338</v>
      </c>
    </row>
    <row r="1197" spans="1:14" ht="13">
      <c r="A1197" s="18" t="s">
        <v>266</v>
      </c>
      <c r="B1197" s="18" t="s">
        <v>260</v>
      </c>
      <c r="C1197" s="18" t="s">
        <v>794</v>
      </c>
      <c r="D1197" s="18" t="s">
        <v>335</v>
      </c>
      <c r="E1197" s="27" t="s">
        <v>795</v>
      </c>
      <c r="F1197" s="18" t="s">
        <v>788</v>
      </c>
      <c r="G1197" s="18" t="s">
        <v>690</v>
      </c>
      <c r="H1197" s="37">
        <v>1997.0212765957399</v>
      </c>
      <c r="I1197" s="37">
        <v>215497</v>
      </c>
      <c r="J1197" s="37">
        <v>203000</v>
      </c>
      <c r="K1197" s="37">
        <v>218000</v>
      </c>
      <c r="L1197" s="38" t="s">
        <v>612</v>
      </c>
      <c r="M1197" s="21" t="s">
        <v>337</v>
      </c>
      <c r="N1197" s="18" t="s">
        <v>338</v>
      </c>
    </row>
    <row r="1198" spans="1:14" ht="13">
      <c r="A1198" s="18" t="s">
        <v>266</v>
      </c>
      <c r="B1198" s="18" t="s">
        <v>260</v>
      </c>
      <c r="C1198" s="18" t="s">
        <v>794</v>
      </c>
      <c r="D1198" s="18" t="s">
        <v>335</v>
      </c>
      <c r="E1198" s="27" t="s">
        <v>795</v>
      </c>
      <c r="F1198" s="18" t="s">
        <v>788</v>
      </c>
      <c r="G1198" s="18" t="s">
        <v>690</v>
      </c>
      <c r="H1198" s="37">
        <v>1998.0496453900701</v>
      </c>
      <c r="I1198" s="37">
        <v>219226</v>
      </c>
      <c r="J1198" s="37">
        <v>198000</v>
      </c>
      <c r="K1198" s="37">
        <v>215000</v>
      </c>
      <c r="L1198" s="38" t="s">
        <v>612</v>
      </c>
      <c r="M1198" s="21" t="s">
        <v>337</v>
      </c>
      <c r="N1198" s="18" t="s">
        <v>338</v>
      </c>
    </row>
    <row r="1199" spans="1:14" ht="13">
      <c r="A1199" s="18" t="s">
        <v>266</v>
      </c>
      <c r="B1199" s="18" t="s">
        <v>260</v>
      </c>
      <c r="C1199" s="18" t="s">
        <v>794</v>
      </c>
      <c r="D1199" s="18" t="s">
        <v>335</v>
      </c>
      <c r="E1199" s="27" t="s">
        <v>795</v>
      </c>
      <c r="F1199" s="18" t="s">
        <v>788</v>
      </c>
      <c r="G1199" s="18" t="s">
        <v>690</v>
      </c>
      <c r="H1199" s="37">
        <v>2000.03546099291</v>
      </c>
      <c r="I1199" s="37">
        <v>196899</v>
      </c>
      <c r="J1199" s="37">
        <v>188000</v>
      </c>
      <c r="K1199" s="37">
        <v>208000</v>
      </c>
      <c r="L1199" s="38" t="s">
        <v>612</v>
      </c>
      <c r="M1199" s="21" t="s">
        <v>337</v>
      </c>
      <c r="N1199" s="18" t="s">
        <v>338</v>
      </c>
    </row>
    <row r="1200" spans="1:14" ht="13">
      <c r="A1200" s="18" t="s">
        <v>266</v>
      </c>
      <c r="B1200" s="18" t="s">
        <v>260</v>
      </c>
      <c r="C1200" s="18" t="s">
        <v>794</v>
      </c>
      <c r="D1200" s="18" t="s">
        <v>335</v>
      </c>
      <c r="E1200" s="27" t="s">
        <v>795</v>
      </c>
      <c r="F1200" s="18" t="s">
        <v>788</v>
      </c>
      <c r="G1200" s="18" t="s">
        <v>690</v>
      </c>
      <c r="H1200" s="37">
        <v>2002.0212765957399</v>
      </c>
      <c r="I1200" s="37">
        <v>176667</v>
      </c>
      <c r="J1200" s="37">
        <v>173000</v>
      </c>
      <c r="K1200" s="37">
        <v>193000</v>
      </c>
      <c r="L1200" s="38" t="s">
        <v>612</v>
      </c>
      <c r="M1200" s="21" t="s">
        <v>337</v>
      </c>
      <c r="N1200" s="18" t="s">
        <v>338</v>
      </c>
    </row>
    <row r="1201" spans="1:34" ht="13">
      <c r="A1201" s="18" t="s">
        <v>266</v>
      </c>
      <c r="B1201" s="18" t="s">
        <v>260</v>
      </c>
      <c r="C1201" s="18" t="s">
        <v>794</v>
      </c>
      <c r="D1201" s="18" t="s">
        <v>335</v>
      </c>
      <c r="E1201" s="27" t="s">
        <v>795</v>
      </c>
      <c r="F1201" s="18" t="s">
        <v>788</v>
      </c>
      <c r="G1201" s="18" t="s">
        <v>690</v>
      </c>
      <c r="H1201" s="37">
        <v>2004.04255319149</v>
      </c>
      <c r="I1201" s="37">
        <v>153059</v>
      </c>
      <c r="J1201" s="37">
        <v>152000</v>
      </c>
      <c r="K1201" s="37">
        <v>170000</v>
      </c>
      <c r="L1201" s="38" t="s">
        <v>612</v>
      </c>
      <c r="M1201" s="21" t="s">
        <v>337</v>
      </c>
      <c r="N1201" s="18" t="s">
        <v>338</v>
      </c>
    </row>
    <row r="1202" spans="1:34" ht="13">
      <c r="A1202" s="18" t="s">
        <v>266</v>
      </c>
      <c r="B1202" s="18" t="s">
        <v>260</v>
      </c>
      <c r="C1202" s="18" t="s">
        <v>794</v>
      </c>
      <c r="D1202" s="18" t="s">
        <v>335</v>
      </c>
      <c r="E1202" s="27" t="s">
        <v>795</v>
      </c>
      <c r="F1202" s="18" t="s">
        <v>788</v>
      </c>
      <c r="G1202" s="18" t="s">
        <v>690</v>
      </c>
      <c r="H1202" s="37">
        <v>2005</v>
      </c>
      <c r="I1202" s="37">
        <v>160594</v>
      </c>
      <c r="J1202" s="37">
        <v>151000</v>
      </c>
      <c r="K1202" s="37">
        <v>160000</v>
      </c>
      <c r="L1202" s="38" t="s">
        <v>612</v>
      </c>
      <c r="M1202" s="21" t="s">
        <v>337</v>
      </c>
      <c r="N1202" s="18" t="s">
        <v>338</v>
      </c>
    </row>
    <row r="1203" spans="1:34" ht="13">
      <c r="A1203" s="18" t="s">
        <v>266</v>
      </c>
      <c r="B1203" s="18" t="s">
        <v>260</v>
      </c>
      <c r="C1203" s="18" t="s">
        <v>794</v>
      </c>
      <c r="D1203" s="18" t="s">
        <v>335</v>
      </c>
      <c r="E1203" s="27" t="s">
        <v>795</v>
      </c>
      <c r="F1203" s="18" t="s">
        <v>788</v>
      </c>
      <c r="G1203" s="18" t="s">
        <v>690</v>
      </c>
      <c r="H1203" s="37">
        <v>2006.0283687943299</v>
      </c>
      <c r="I1203" s="37">
        <v>147900</v>
      </c>
      <c r="J1203" s="37">
        <v>142000</v>
      </c>
      <c r="K1203" s="37">
        <v>160000</v>
      </c>
      <c r="L1203" s="38" t="s">
        <v>612</v>
      </c>
      <c r="M1203" s="21" t="s">
        <v>337</v>
      </c>
      <c r="N1203" s="18" t="s">
        <v>338</v>
      </c>
    </row>
    <row r="1204" spans="1:34" ht="13">
      <c r="A1204" s="18" t="s">
        <v>266</v>
      </c>
      <c r="B1204" s="18" t="s">
        <v>260</v>
      </c>
      <c r="C1204" s="18" t="s">
        <v>794</v>
      </c>
      <c r="D1204" s="18" t="s">
        <v>335</v>
      </c>
      <c r="E1204" s="27" t="s">
        <v>795</v>
      </c>
      <c r="F1204" s="18" t="s">
        <v>788</v>
      </c>
      <c r="G1204" s="18" t="s">
        <v>690</v>
      </c>
      <c r="H1204" s="37">
        <v>2007.0212765957399</v>
      </c>
      <c r="I1204" s="37">
        <v>152867</v>
      </c>
      <c r="J1204" s="37">
        <v>145000</v>
      </c>
      <c r="K1204" s="37">
        <v>155000</v>
      </c>
      <c r="L1204" s="38" t="s">
        <v>612</v>
      </c>
      <c r="M1204" s="21" t="s">
        <v>337</v>
      </c>
      <c r="N1204" s="18" t="s">
        <v>338</v>
      </c>
    </row>
    <row r="1205" spans="1:34" ht="13">
      <c r="A1205" s="18" t="s">
        <v>266</v>
      </c>
      <c r="B1205" s="18" t="s">
        <v>260</v>
      </c>
      <c r="C1205" s="18" t="s">
        <v>794</v>
      </c>
      <c r="D1205" s="18" t="s">
        <v>335</v>
      </c>
      <c r="E1205" s="27" t="s">
        <v>795</v>
      </c>
      <c r="F1205" s="18" t="s">
        <v>788</v>
      </c>
      <c r="G1205" s="18" t="s">
        <v>690</v>
      </c>
      <c r="H1205" s="37">
        <v>2008.0496453900701</v>
      </c>
      <c r="I1205" s="37">
        <v>145149</v>
      </c>
      <c r="J1205" s="37">
        <v>135000</v>
      </c>
      <c r="K1205" s="37">
        <v>162000</v>
      </c>
      <c r="L1205" s="38" t="s">
        <v>612</v>
      </c>
      <c r="M1205" s="21" t="s">
        <v>337</v>
      </c>
      <c r="N1205" s="18" t="s">
        <v>338</v>
      </c>
    </row>
    <row r="1206" spans="1:34" ht="13">
      <c r="A1206" s="18" t="s">
        <v>266</v>
      </c>
      <c r="B1206" s="18" t="s">
        <v>260</v>
      </c>
      <c r="C1206" s="18" t="s">
        <v>794</v>
      </c>
      <c r="D1206" s="18" t="s">
        <v>335</v>
      </c>
      <c r="E1206" s="27" t="s">
        <v>795</v>
      </c>
      <c r="F1206" s="18" t="s">
        <v>788</v>
      </c>
      <c r="G1206" s="18" t="s">
        <v>690</v>
      </c>
      <c r="H1206" s="37">
        <v>2010.03546099291</v>
      </c>
      <c r="I1206" s="37">
        <v>136790</v>
      </c>
      <c r="J1206" s="37">
        <v>127000</v>
      </c>
      <c r="K1206" s="37">
        <v>159000</v>
      </c>
      <c r="L1206" s="38" t="s">
        <v>612</v>
      </c>
      <c r="M1206" s="21" t="s">
        <v>337</v>
      </c>
      <c r="N1206" s="18" t="s">
        <v>338</v>
      </c>
    </row>
    <row r="1207" spans="1:34" ht="13">
      <c r="A1207" s="18" t="s">
        <v>266</v>
      </c>
      <c r="B1207" s="18" t="s">
        <v>260</v>
      </c>
      <c r="C1207" s="18" t="s">
        <v>794</v>
      </c>
      <c r="D1207" s="18" t="s">
        <v>335</v>
      </c>
      <c r="E1207" s="27" t="s">
        <v>795</v>
      </c>
      <c r="F1207" s="18" t="s">
        <v>788</v>
      </c>
      <c r="G1207" s="18" t="s">
        <v>690</v>
      </c>
      <c r="H1207" s="37">
        <v>2011.0283687943299</v>
      </c>
      <c r="I1207" s="37">
        <v>142121</v>
      </c>
      <c r="J1207" s="37">
        <v>138000</v>
      </c>
      <c r="K1207" s="37">
        <v>146000</v>
      </c>
      <c r="L1207" s="38" t="s">
        <v>612</v>
      </c>
      <c r="M1207" s="21" t="s">
        <v>337</v>
      </c>
      <c r="N1207" s="18" t="s">
        <v>338</v>
      </c>
    </row>
    <row r="1208" spans="1:34" ht="13">
      <c r="A1208" s="18" t="s">
        <v>266</v>
      </c>
      <c r="B1208" s="18" t="s">
        <v>260</v>
      </c>
      <c r="C1208" s="18" t="s">
        <v>794</v>
      </c>
      <c r="D1208" s="18" t="s">
        <v>335</v>
      </c>
      <c r="E1208" s="27" t="s">
        <v>795</v>
      </c>
      <c r="F1208" s="18" t="s">
        <v>788</v>
      </c>
      <c r="G1208" s="18" t="s">
        <v>690</v>
      </c>
      <c r="H1208" s="37">
        <v>2012.0212765957399</v>
      </c>
      <c r="I1208" s="37">
        <v>142658</v>
      </c>
      <c r="J1208" s="37">
        <v>127000</v>
      </c>
      <c r="K1208" s="37">
        <v>163000</v>
      </c>
      <c r="L1208" s="38" t="s">
        <v>612</v>
      </c>
      <c r="M1208" s="21" t="s">
        <v>337</v>
      </c>
      <c r="N1208" s="18" t="s">
        <v>338</v>
      </c>
    </row>
    <row r="1209" spans="1:34" ht="13">
      <c r="A1209" s="18" t="s">
        <v>266</v>
      </c>
      <c r="B1209" s="18" t="s">
        <v>260</v>
      </c>
      <c r="C1209" s="18" t="s">
        <v>794</v>
      </c>
      <c r="D1209" s="18" t="s">
        <v>335</v>
      </c>
      <c r="E1209" s="27" t="s">
        <v>795</v>
      </c>
      <c r="F1209" s="18" t="s">
        <v>788</v>
      </c>
      <c r="G1209" s="18" t="s">
        <v>690</v>
      </c>
      <c r="H1209" s="37">
        <v>2014.0780141844</v>
      </c>
      <c r="I1209" s="37">
        <v>138829</v>
      </c>
      <c r="J1209" s="37">
        <v>127000</v>
      </c>
      <c r="K1209" s="37">
        <v>165000</v>
      </c>
      <c r="L1209" s="38" t="s">
        <v>612</v>
      </c>
      <c r="M1209" s="21" t="s">
        <v>337</v>
      </c>
      <c r="N1209" s="18" t="s">
        <v>338</v>
      </c>
    </row>
    <row r="1210" spans="1:34" ht="13">
      <c r="A1210" s="18" t="s">
        <v>266</v>
      </c>
      <c r="B1210" s="18" t="s">
        <v>260</v>
      </c>
      <c r="C1210" s="18" t="s">
        <v>794</v>
      </c>
      <c r="D1210" s="18" t="s">
        <v>335</v>
      </c>
      <c r="E1210" s="27" t="s">
        <v>795</v>
      </c>
      <c r="F1210" s="18" t="s">
        <v>788</v>
      </c>
      <c r="G1210" s="18" t="s">
        <v>690</v>
      </c>
      <c r="H1210" s="37">
        <v>2015.03546099291</v>
      </c>
      <c r="I1210" s="37">
        <v>143674</v>
      </c>
      <c r="J1210" s="37">
        <v>135000</v>
      </c>
      <c r="K1210" s="37">
        <v>142000</v>
      </c>
      <c r="L1210" s="38" t="s">
        <v>612</v>
      </c>
      <c r="M1210" s="21" t="s">
        <v>337</v>
      </c>
      <c r="N1210" s="18" t="s">
        <v>338</v>
      </c>
    </row>
    <row r="1211" spans="1:34" ht="13">
      <c r="A1211" s="18" t="s">
        <v>266</v>
      </c>
      <c r="B1211" s="18" t="s">
        <v>260</v>
      </c>
      <c r="C1211" s="18" t="s">
        <v>794</v>
      </c>
      <c r="D1211" s="18" t="s">
        <v>335</v>
      </c>
      <c r="E1211" s="27" t="s">
        <v>795</v>
      </c>
      <c r="F1211" s="18" t="s">
        <v>788</v>
      </c>
      <c r="G1211" s="18" t="s">
        <v>690</v>
      </c>
      <c r="H1211" s="37">
        <v>2016.0638297872299</v>
      </c>
      <c r="I1211" s="37">
        <v>134131</v>
      </c>
      <c r="J1211" s="37">
        <v>119000</v>
      </c>
      <c r="K1211" s="37">
        <v>162000</v>
      </c>
      <c r="L1211" s="38" t="s">
        <v>612</v>
      </c>
      <c r="M1211" s="21" t="s">
        <v>337</v>
      </c>
      <c r="N1211" s="18" t="s">
        <v>338</v>
      </c>
    </row>
    <row r="1212" spans="1:34" ht="13">
      <c r="A1212" s="18" t="s">
        <v>266</v>
      </c>
      <c r="B1212" s="18" t="s">
        <v>260</v>
      </c>
      <c r="C1212" s="18" t="s">
        <v>794</v>
      </c>
      <c r="D1212" s="18" t="s">
        <v>335</v>
      </c>
      <c r="E1212" s="27" t="s">
        <v>795</v>
      </c>
      <c r="F1212" s="18" t="s">
        <v>788</v>
      </c>
      <c r="G1212" s="18" t="s">
        <v>690</v>
      </c>
      <c r="H1212" s="37">
        <v>2018.0496453900701</v>
      </c>
      <c r="I1212" s="37">
        <v>130344</v>
      </c>
      <c r="J1212" s="37">
        <v>115000</v>
      </c>
      <c r="K1212" s="37">
        <v>168000</v>
      </c>
      <c r="L1212" s="38" t="s">
        <v>612</v>
      </c>
      <c r="M1212" s="21" t="s">
        <v>337</v>
      </c>
      <c r="N1212" s="18" t="s">
        <v>338</v>
      </c>
    </row>
    <row r="1213" spans="1:34" ht="13">
      <c r="A1213" s="18" t="s">
        <v>266</v>
      </c>
      <c r="B1213" s="18" t="s">
        <v>260</v>
      </c>
      <c r="C1213" s="18" t="s">
        <v>794</v>
      </c>
      <c r="D1213" s="18" t="s">
        <v>335</v>
      </c>
      <c r="E1213" s="27" t="s">
        <v>795</v>
      </c>
      <c r="F1213" s="18" t="s">
        <v>788</v>
      </c>
      <c r="G1213" s="18" t="s">
        <v>690</v>
      </c>
      <c r="H1213" s="37">
        <v>2019.0780141844</v>
      </c>
      <c r="I1213" s="37">
        <v>138609</v>
      </c>
      <c r="J1213" s="37">
        <v>131000</v>
      </c>
      <c r="K1213" s="37">
        <v>141000</v>
      </c>
      <c r="L1213" s="38" t="s">
        <v>612</v>
      </c>
      <c r="M1213" s="21" t="s">
        <v>337</v>
      </c>
      <c r="N1213" s="18" t="s">
        <v>338</v>
      </c>
    </row>
    <row r="1214" spans="1:34" ht="13">
      <c r="A1214" s="42" t="s">
        <v>266</v>
      </c>
      <c r="B1214" s="42" t="s">
        <v>260</v>
      </c>
      <c r="C1214" s="42" t="s">
        <v>796</v>
      </c>
      <c r="D1214" s="42" t="s">
        <v>797</v>
      </c>
      <c r="E1214" s="18" t="s">
        <v>798</v>
      </c>
      <c r="F1214" s="27" t="s">
        <v>636</v>
      </c>
      <c r="G1214" s="42" t="s">
        <v>761</v>
      </c>
      <c r="H1214" s="62">
        <v>1991</v>
      </c>
      <c r="I1214" s="59">
        <v>4578</v>
      </c>
      <c r="J1214" s="59">
        <v>950</v>
      </c>
      <c r="K1214" s="59">
        <v>13195</v>
      </c>
      <c r="L1214" s="38" t="s">
        <v>734</v>
      </c>
      <c r="M1214" s="57" t="s">
        <v>799</v>
      </c>
      <c r="N1214" s="45"/>
      <c r="O1214" s="27" t="s">
        <v>800</v>
      </c>
      <c r="P1214" s="27"/>
      <c r="Q1214" s="27"/>
      <c r="R1214" s="27"/>
      <c r="S1214" s="27"/>
      <c r="T1214" s="27"/>
      <c r="U1214" s="27"/>
      <c r="V1214" s="27"/>
      <c r="W1214" s="27"/>
      <c r="X1214" s="27"/>
      <c r="Y1214" s="27"/>
      <c r="Z1214" s="27"/>
      <c r="AA1214" s="27"/>
      <c r="AB1214" s="27"/>
      <c r="AC1214" s="27"/>
      <c r="AD1214" s="27"/>
      <c r="AE1214" s="27"/>
      <c r="AF1214" s="27"/>
      <c r="AG1214" s="27"/>
      <c r="AH1214" s="27"/>
    </row>
    <row r="1215" spans="1:34" ht="13">
      <c r="A1215" s="42" t="s">
        <v>266</v>
      </c>
      <c r="B1215" s="42" t="s">
        <v>260</v>
      </c>
      <c r="C1215" s="42" t="s">
        <v>796</v>
      </c>
      <c r="D1215" s="42" t="s">
        <v>797</v>
      </c>
      <c r="E1215" s="18" t="s">
        <v>798</v>
      </c>
      <c r="F1215" s="27" t="s">
        <v>636</v>
      </c>
      <c r="G1215" s="42" t="s">
        <v>761</v>
      </c>
      <c r="H1215" s="62">
        <v>1993</v>
      </c>
      <c r="I1215" s="59">
        <v>5110</v>
      </c>
      <c r="J1215" s="59">
        <v>1937</v>
      </c>
      <c r="K1215" s="59">
        <v>16450</v>
      </c>
      <c r="L1215" s="38" t="s">
        <v>734</v>
      </c>
      <c r="M1215" s="57" t="s">
        <v>799</v>
      </c>
      <c r="N1215" s="45"/>
      <c r="O1215" s="27" t="s">
        <v>800</v>
      </c>
      <c r="P1215" s="27"/>
      <c r="Q1215" s="27"/>
      <c r="R1215" s="27"/>
      <c r="S1215" s="27"/>
      <c r="T1215" s="27"/>
      <c r="U1215" s="27"/>
      <c r="V1215" s="27"/>
      <c r="W1215" s="27"/>
      <c r="X1215" s="27"/>
      <c r="Y1215" s="27"/>
      <c r="Z1215" s="27"/>
      <c r="AA1215" s="27"/>
      <c r="AB1215" s="27"/>
      <c r="AC1215" s="27"/>
      <c r="AD1215" s="27"/>
      <c r="AE1215" s="27"/>
      <c r="AF1215" s="27"/>
      <c r="AG1215" s="27"/>
      <c r="AH1215" s="27"/>
    </row>
    <row r="1216" spans="1:34" ht="13">
      <c r="A1216" s="42" t="s">
        <v>266</v>
      </c>
      <c r="B1216" s="42" t="s">
        <v>260</v>
      </c>
      <c r="C1216" s="42" t="s">
        <v>796</v>
      </c>
      <c r="D1216" s="42" t="s">
        <v>797</v>
      </c>
      <c r="E1216" s="18" t="s">
        <v>798</v>
      </c>
      <c r="F1216" s="27" t="s">
        <v>636</v>
      </c>
      <c r="G1216" s="42" t="s">
        <v>761</v>
      </c>
      <c r="H1216" s="62">
        <v>1996</v>
      </c>
      <c r="I1216" s="59">
        <v>28811</v>
      </c>
      <c r="J1216" s="59">
        <v>12485</v>
      </c>
      <c r="K1216" s="59">
        <v>65092</v>
      </c>
      <c r="L1216" s="38" t="s">
        <v>734</v>
      </c>
      <c r="M1216" s="57" t="s">
        <v>799</v>
      </c>
      <c r="N1216" s="45"/>
      <c r="O1216" s="27"/>
      <c r="P1216" s="27"/>
      <c r="Q1216" s="27"/>
      <c r="R1216" s="27"/>
      <c r="S1216" s="27"/>
      <c r="T1216" s="27"/>
      <c r="U1216" s="27"/>
      <c r="V1216" s="27"/>
      <c r="W1216" s="27"/>
      <c r="X1216" s="27"/>
      <c r="Y1216" s="27"/>
      <c r="Z1216" s="27"/>
      <c r="AA1216" s="27"/>
      <c r="AB1216" s="27"/>
      <c r="AC1216" s="27"/>
      <c r="AD1216" s="27"/>
      <c r="AE1216" s="27"/>
      <c r="AF1216" s="27"/>
      <c r="AG1216" s="27"/>
      <c r="AH1216" s="27"/>
    </row>
    <row r="1217" spans="1:34" ht="13">
      <c r="A1217" s="42" t="s">
        <v>266</v>
      </c>
      <c r="B1217" s="42" t="s">
        <v>260</v>
      </c>
      <c r="C1217" s="42" t="s">
        <v>796</v>
      </c>
      <c r="D1217" s="42" t="s">
        <v>797</v>
      </c>
      <c r="E1217" s="18" t="s">
        <v>798</v>
      </c>
      <c r="F1217" s="27" t="s">
        <v>636</v>
      </c>
      <c r="G1217" s="42" t="s">
        <v>761</v>
      </c>
      <c r="H1217" s="62">
        <v>2001</v>
      </c>
      <c r="I1217" s="59">
        <v>18124</v>
      </c>
      <c r="J1217" s="59">
        <v>9507</v>
      </c>
      <c r="K1217" s="59">
        <v>33545</v>
      </c>
      <c r="L1217" s="38" t="s">
        <v>734</v>
      </c>
      <c r="M1217" s="57" t="s">
        <v>799</v>
      </c>
      <c r="N1217" s="45"/>
      <c r="O1217" s="27"/>
      <c r="P1217" s="27"/>
      <c r="Q1217" s="27"/>
      <c r="R1217" s="27"/>
      <c r="S1217" s="27"/>
      <c r="T1217" s="27"/>
      <c r="U1217" s="27"/>
      <c r="V1217" s="27"/>
      <c r="W1217" s="27"/>
      <c r="X1217" s="27"/>
      <c r="Y1217" s="27"/>
      <c r="Z1217" s="27"/>
      <c r="AA1217" s="27"/>
      <c r="AB1217" s="27"/>
      <c r="AC1217" s="27"/>
      <c r="AD1217" s="27"/>
      <c r="AE1217" s="27"/>
      <c r="AF1217" s="27"/>
      <c r="AG1217" s="27"/>
      <c r="AH1217" s="27"/>
    </row>
    <row r="1218" spans="1:34" ht="13">
      <c r="A1218" s="42" t="s">
        <v>266</v>
      </c>
      <c r="B1218" s="42" t="s">
        <v>260</v>
      </c>
      <c r="C1218" s="42" t="s">
        <v>796</v>
      </c>
      <c r="D1218" s="42" t="s">
        <v>797</v>
      </c>
      <c r="E1218" s="18" t="s">
        <v>798</v>
      </c>
      <c r="F1218" s="27" t="s">
        <v>636</v>
      </c>
      <c r="G1218" s="42" t="s">
        <v>761</v>
      </c>
      <c r="H1218" s="62">
        <v>2005</v>
      </c>
      <c r="I1218" s="59">
        <v>42317</v>
      </c>
      <c r="J1218" s="59">
        <v>12840</v>
      </c>
      <c r="K1218" s="59">
        <v>136649</v>
      </c>
      <c r="L1218" s="38" t="s">
        <v>734</v>
      </c>
      <c r="M1218" s="57" t="s">
        <v>799</v>
      </c>
      <c r="N1218" s="45"/>
      <c r="O1218" s="27"/>
      <c r="P1218" s="27"/>
      <c r="Q1218" s="27"/>
      <c r="R1218" s="27"/>
      <c r="S1218" s="27"/>
      <c r="T1218" s="27"/>
      <c r="U1218" s="27"/>
      <c r="V1218" s="27"/>
      <c r="W1218" s="27"/>
      <c r="X1218" s="27"/>
      <c r="Y1218" s="27"/>
      <c r="Z1218" s="27"/>
      <c r="AA1218" s="27"/>
      <c r="AB1218" s="27"/>
      <c r="AC1218" s="27"/>
      <c r="AD1218" s="27"/>
      <c r="AE1218" s="27"/>
      <c r="AF1218" s="27"/>
      <c r="AG1218" s="27"/>
      <c r="AH1218" s="27"/>
    </row>
    <row r="1219" spans="1:34" ht="13">
      <c r="A1219" s="42" t="s">
        <v>266</v>
      </c>
      <c r="B1219" s="42" t="s">
        <v>260</v>
      </c>
      <c r="C1219" s="42" t="s">
        <v>796</v>
      </c>
      <c r="D1219" s="42" t="s">
        <v>797</v>
      </c>
      <c r="E1219" s="18" t="s">
        <v>798</v>
      </c>
      <c r="F1219" s="27" t="s">
        <v>636</v>
      </c>
      <c r="G1219" s="42" t="s">
        <v>761</v>
      </c>
      <c r="H1219" s="62">
        <v>2008</v>
      </c>
      <c r="I1219" s="59">
        <v>12958</v>
      </c>
      <c r="J1219" s="59">
        <v>5248</v>
      </c>
      <c r="K1219" s="59">
        <v>32006</v>
      </c>
      <c r="L1219" s="38" t="s">
        <v>734</v>
      </c>
      <c r="M1219" s="57" t="s">
        <v>799</v>
      </c>
      <c r="N1219" s="45"/>
      <c r="O1219" s="27"/>
      <c r="P1219" s="27"/>
      <c r="Q1219" s="27"/>
      <c r="R1219" s="27"/>
      <c r="S1219" s="27"/>
      <c r="T1219" s="27"/>
      <c r="U1219" s="27"/>
      <c r="V1219" s="27"/>
      <c r="W1219" s="27"/>
      <c r="X1219" s="27"/>
      <c r="Y1219" s="27"/>
      <c r="Z1219" s="27"/>
      <c r="AA1219" s="27"/>
      <c r="AB1219" s="27"/>
      <c r="AC1219" s="27"/>
      <c r="AD1219" s="27"/>
      <c r="AE1219" s="27"/>
      <c r="AF1219" s="27"/>
      <c r="AG1219" s="27"/>
      <c r="AH1219" s="27"/>
    </row>
    <row r="1220" spans="1:34" ht="13">
      <c r="A1220" s="42" t="s">
        <v>266</v>
      </c>
      <c r="B1220" s="42" t="s">
        <v>260</v>
      </c>
      <c r="C1220" s="42" t="s">
        <v>796</v>
      </c>
      <c r="D1220" s="42" t="s">
        <v>797</v>
      </c>
      <c r="E1220" s="18" t="s">
        <v>798</v>
      </c>
      <c r="F1220" s="27" t="s">
        <v>636</v>
      </c>
      <c r="G1220" s="42" t="s">
        <v>761</v>
      </c>
      <c r="H1220" s="62">
        <v>2014</v>
      </c>
      <c r="I1220" s="59">
        <v>55370</v>
      </c>
      <c r="J1220" s="59">
        <v>14102</v>
      </c>
      <c r="K1220" s="59">
        <v>220905</v>
      </c>
      <c r="L1220" s="38" t="s">
        <v>734</v>
      </c>
      <c r="M1220" s="57" t="s">
        <v>799</v>
      </c>
      <c r="N1220" s="45"/>
      <c r="O1220" s="27"/>
      <c r="P1220" s="27"/>
      <c r="Q1220" s="27"/>
      <c r="R1220" s="27"/>
      <c r="S1220" s="27"/>
      <c r="T1220" s="27"/>
      <c r="U1220" s="27"/>
      <c r="V1220" s="27"/>
      <c r="W1220" s="27"/>
      <c r="X1220" s="27"/>
      <c r="Y1220" s="27"/>
      <c r="Z1220" s="27"/>
      <c r="AA1220" s="27"/>
      <c r="AB1220" s="27"/>
      <c r="AC1220" s="27"/>
      <c r="AD1220" s="27"/>
      <c r="AE1220" s="27"/>
      <c r="AF1220" s="27"/>
      <c r="AG1220" s="27"/>
      <c r="AH1220" s="27"/>
    </row>
    <row r="1221" spans="1:34" ht="13">
      <c r="A1221" s="42" t="s">
        <v>266</v>
      </c>
      <c r="B1221" s="18" t="s">
        <v>260</v>
      </c>
      <c r="C1221" s="42" t="s">
        <v>796</v>
      </c>
      <c r="D1221" s="18" t="s">
        <v>797</v>
      </c>
      <c r="E1221" s="18" t="s">
        <v>798</v>
      </c>
      <c r="F1221" s="18" t="s">
        <v>621</v>
      </c>
      <c r="G1221" s="18" t="s">
        <v>622</v>
      </c>
      <c r="H1221" s="18">
        <v>1996</v>
      </c>
      <c r="I1221" s="40">
        <v>33893</v>
      </c>
      <c r="J1221" s="40">
        <v>9481</v>
      </c>
      <c r="K1221" s="26">
        <v>121158</v>
      </c>
      <c r="L1221" s="41" t="s">
        <v>623</v>
      </c>
      <c r="M1221" s="57" t="s">
        <v>799</v>
      </c>
    </row>
    <row r="1222" spans="1:34" ht="13">
      <c r="A1222" s="42" t="s">
        <v>266</v>
      </c>
      <c r="B1222" s="18" t="s">
        <v>260</v>
      </c>
      <c r="C1222" s="42" t="s">
        <v>796</v>
      </c>
      <c r="D1222" s="18" t="s">
        <v>797</v>
      </c>
      <c r="E1222" s="18" t="s">
        <v>798</v>
      </c>
      <c r="F1222" s="18" t="s">
        <v>621</v>
      </c>
      <c r="G1222" s="18" t="s">
        <v>622</v>
      </c>
      <c r="H1222" s="18">
        <v>2001</v>
      </c>
      <c r="I1222" s="40">
        <v>39697</v>
      </c>
      <c r="J1222" s="40">
        <v>10012</v>
      </c>
      <c r="K1222" s="26">
        <v>157397</v>
      </c>
      <c r="L1222" s="41" t="s">
        <v>623</v>
      </c>
      <c r="M1222" s="57" t="s">
        <v>799</v>
      </c>
    </row>
    <row r="1223" spans="1:34" ht="13">
      <c r="A1223" s="42" t="s">
        <v>266</v>
      </c>
      <c r="B1223" s="18" t="s">
        <v>260</v>
      </c>
      <c r="C1223" s="42" t="s">
        <v>796</v>
      </c>
      <c r="D1223" s="18" t="s">
        <v>797</v>
      </c>
      <c r="E1223" s="18" t="s">
        <v>798</v>
      </c>
      <c r="F1223" s="18" t="s">
        <v>621</v>
      </c>
      <c r="G1223" s="18" t="s">
        <v>622</v>
      </c>
      <c r="H1223" s="18">
        <v>2005</v>
      </c>
      <c r="I1223" s="40">
        <v>27370</v>
      </c>
      <c r="J1223" s="40">
        <v>11314</v>
      </c>
      <c r="K1223" s="26">
        <v>66211</v>
      </c>
      <c r="L1223" s="41" t="s">
        <v>623</v>
      </c>
      <c r="M1223" s="57" t="s">
        <v>799</v>
      </c>
    </row>
    <row r="1224" spans="1:34" ht="13">
      <c r="A1224" s="42" t="s">
        <v>266</v>
      </c>
      <c r="B1224" s="18" t="s">
        <v>260</v>
      </c>
      <c r="C1224" s="42" t="s">
        <v>796</v>
      </c>
      <c r="D1224" s="18" t="s">
        <v>797</v>
      </c>
      <c r="E1224" s="18" t="s">
        <v>798</v>
      </c>
      <c r="F1224" s="18" t="s">
        <v>621</v>
      </c>
      <c r="G1224" s="18" t="s">
        <v>622</v>
      </c>
      <c r="H1224" s="18">
        <v>2008</v>
      </c>
      <c r="I1224" s="40">
        <v>42767</v>
      </c>
      <c r="J1224" s="40">
        <v>12750</v>
      </c>
      <c r="K1224" s="26">
        <v>143454</v>
      </c>
      <c r="L1224" s="41" t="s">
        <v>623</v>
      </c>
      <c r="M1224" s="57" t="s">
        <v>799</v>
      </c>
    </row>
    <row r="1225" spans="1:34" ht="13">
      <c r="A1225" s="42" t="s">
        <v>266</v>
      </c>
      <c r="B1225" s="18" t="s">
        <v>260</v>
      </c>
      <c r="C1225" s="42" t="s">
        <v>796</v>
      </c>
      <c r="D1225" s="18" t="s">
        <v>797</v>
      </c>
      <c r="E1225" s="18" t="s">
        <v>798</v>
      </c>
      <c r="F1225" s="18" t="s">
        <v>621</v>
      </c>
      <c r="G1225" s="18" t="s">
        <v>622</v>
      </c>
      <c r="H1225" s="18">
        <v>2014</v>
      </c>
      <c r="I1225" s="40">
        <v>18031</v>
      </c>
      <c r="J1225" s="40">
        <v>6489</v>
      </c>
      <c r="K1225" s="26">
        <v>50099</v>
      </c>
      <c r="L1225" s="41" t="s">
        <v>623</v>
      </c>
      <c r="M1225" s="57" t="s">
        <v>799</v>
      </c>
    </row>
    <row r="1226" spans="1:34" ht="13">
      <c r="A1226" s="42" t="s">
        <v>266</v>
      </c>
      <c r="B1226" s="18" t="s">
        <v>260</v>
      </c>
      <c r="C1226" s="42" t="s">
        <v>796</v>
      </c>
      <c r="D1226" s="18" t="s">
        <v>797</v>
      </c>
      <c r="E1226" s="18" t="s">
        <v>798</v>
      </c>
      <c r="F1226" s="18" t="s">
        <v>621</v>
      </c>
      <c r="G1226" s="18" t="s">
        <v>622</v>
      </c>
      <c r="H1226" s="18">
        <v>2018</v>
      </c>
      <c r="I1226" s="40">
        <v>29285</v>
      </c>
      <c r="J1226" s="40">
        <v>8284</v>
      </c>
      <c r="K1226" s="26">
        <v>103521</v>
      </c>
      <c r="L1226" s="41" t="s">
        <v>623</v>
      </c>
      <c r="M1226" s="57" t="s">
        <v>799</v>
      </c>
    </row>
    <row r="1227" spans="1:34" ht="16">
      <c r="A1227" s="30" t="s">
        <v>801</v>
      </c>
      <c r="B1227" s="30" t="s">
        <v>260</v>
      </c>
      <c r="C1227" s="30" t="s">
        <v>802</v>
      </c>
      <c r="D1227" s="30" t="s">
        <v>803</v>
      </c>
      <c r="E1227" s="18" t="s">
        <v>804</v>
      </c>
      <c r="F1227" s="30" t="s">
        <v>84</v>
      </c>
      <c r="G1227" s="30" t="s">
        <v>611</v>
      </c>
      <c r="H1227" s="55">
        <v>1989</v>
      </c>
      <c r="I1227" s="51">
        <v>195</v>
      </c>
      <c r="J1227" s="49" t="s">
        <v>402</v>
      </c>
      <c r="K1227" s="48" t="s">
        <v>402</v>
      </c>
      <c r="L1227" s="50" t="s">
        <v>734</v>
      </c>
      <c r="M1227" s="56" t="s">
        <v>805</v>
      </c>
      <c r="N1227" s="30"/>
      <c r="O1227" s="30"/>
      <c r="P1227" s="30"/>
      <c r="Q1227" s="30"/>
      <c r="R1227" s="30"/>
      <c r="S1227" s="30"/>
      <c r="T1227" s="30"/>
      <c r="U1227" s="30"/>
      <c r="V1227" s="30"/>
      <c r="W1227" s="30"/>
      <c r="X1227" s="30"/>
      <c r="Y1227" s="30"/>
      <c r="Z1227" s="30"/>
      <c r="AA1227" s="30"/>
      <c r="AB1227" s="30"/>
      <c r="AC1227" s="30"/>
      <c r="AD1227" s="30"/>
      <c r="AE1227" s="30"/>
      <c r="AF1227" s="30"/>
      <c r="AG1227" s="30"/>
      <c r="AH1227" s="30"/>
    </row>
    <row r="1228" spans="1:34" ht="16">
      <c r="A1228" s="30" t="s">
        <v>801</v>
      </c>
      <c r="B1228" s="30" t="s">
        <v>260</v>
      </c>
      <c r="C1228" s="30" t="s">
        <v>802</v>
      </c>
      <c r="D1228" s="30" t="s">
        <v>803</v>
      </c>
      <c r="E1228" s="18" t="s">
        <v>804</v>
      </c>
      <c r="F1228" s="30" t="s">
        <v>84</v>
      </c>
      <c r="G1228" s="30" t="s">
        <v>611</v>
      </c>
      <c r="H1228" s="55">
        <v>1990</v>
      </c>
      <c r="I1228" s="51">
        <v>188</v>
      </c>
      <c r="J1228" s="49" t="s">
        <v>402</v>
      </c>
      <c r="K1228" s="48" t="s">
        <v>402</v>
      </c>
      <c r="L1228" s="50" t="s">
        <v>734</v>
      </c>
      <c r="M1228" s="56" t="s">
        <v>805</v>
      </c>
      <c r="N1228" s="30"/>
      <c r="O1228" s="30"/>
      <c r="P1228" s="30"/>
      <c r="Q1228" s="30"/>
      <c r="R1228" s="30"/>
      <c r="S1228" s="30"/>
      <c r="T1228" s="30"/>
      <c r="U1228" s="30"/>
      <c r="V1228" s="30"/>
      <c r="W1228" s="30"/>
      <c r="X1228" s="30"/>
      <c r="Y1228" s="30"/>
      <c r="Z1228" s="30"/>
      <c r="AA1228" s="30"/>
      <c r="AB1228" s="30"/>
      <c r="AC1228" s="30"/>
      <c r="AD1228" s="30"/>
      <c r="AE1228" s="30"/>
      <c r="AF1228" s="30"/>
      <c r="AG1228" s="30"/>
      <c r="AH1228" s="30"/>
    </row>
    <row r="1229" spans="1:34" ht="16">
      <c r="A1229" s="30" t="s">
        <v>801</v>
      </c>
      <c r="B1229" s="30" t="s">
        <v>260</v>
      </c>
      <c r="C1229" s="30" t="s">
        <v>802</v>
      </c>
      <c r="D1229" s="30" t="s">
        <v>803</v>
      </c>
      <c r="E1229" s="18" t="s">
        <v>804</v>
      </c>
      <c r="F1229" s="30" t="s">
        <v>84</v>
      </c>
      <c r="G1229" s="30" t="s">
        <v>611</v>
      </c>
      <c r="H1229" s="55">
        <v>1991</v>
      </c>
      <c r="I1229" s="51">
        <v>262</v>
      </c>
      <c r="J1229" s="49" t="s">
        <v>402</v>
      </c>
      <c r="K1229" s="48" t="s">
        <v>402</v>
      </c>
      <c r="L1229" s="50" t="s">
        <v>734</v>
      </c>
      <c r="M1229" s="56" t="s">
        <v>805</v>
      </c>
      <c r="N1229" s="30"/>
      <c r="O1229" s="30"/>
      <c r="P1229" s="30"/>
      <c r="Q1229" s="30"/>
      <c r="R1229" s="30"/>
      <c r="S1229" s="30"/>
      <c r="T1229" s="30"/>
      <c r="U1229" s="30"/>
      <c r="V1229" s="30"/>
      <c r="W1229" s="30"/>
      <c r="X1229" s="30"/>
      <c r="Y1229" s="30"/>
      <c r="Z1229" s="30"/>
      <c r="AA1229" s="30"/>
      <c r="AB1229" s="30"/>
      <c r="AC1229" s="30"/>
      <c r="AD1229" s="30"/>
      <c r="AE1229" s="30"/>
      <c r="AF1229" s="30"/>
      <c r="AG1229" s="30"/>
      <c r="AH1229" s="30"/>
    </row>
    <row r="1230" spans="1:34" ht="16">
      <c r="A1230" s="30" t="s">
        <v>801</v>
      </c>
      <c r="B1230" s="30" t="s">
        <v>260</v>
      </c>
      <c r="C1230" s="30" t="s">
        <v>802</v>
      </c>
      <c r="D1230" s="30" t="s">
        <v>803</v>
      </c>
      <c r="E1230" s="18" t="s">
        <v>804</v>
      </c>
      <c r="F1230" s="30" t="s">
        <v>84</v>
      </c>
      <c r="G1230" s="30" t="s">
        <v>611</v>
      </c>
      <c r="H1230" s="55">
        <v>1992</v>
      </c>
      <c r="I1230" s="51">
        <v>296</v>
      </c>
      <c r="J1230" s="49" t="s">
        <v>402</v>
      </c>
      <c r="K1230" s="48" t="s">
        <v>402</v>
      </c>
      <c r="L1230" s="50" t="s">
        <v>734</v>
      </c>
      <c r="M1230" s="56" t="s">
        <v>805</v>
      </c>
      <c r="N1230" s="30"/>
      <c r="O1230" s="30"/>
      <c r="P1230" s="30"/>
      <c r="Q1230" s="30"/>
      <c r="R1230" s="30"/>
      <c r="S1230" s="30"/>
      <c r="T1230" s="30"/>
      <c r="U1230" s="30"/>
      <c r="V1230" s="30"/>
      <c r="W1230" s="30"/>
      <c r="X1230" s="30"/>
      <c r="Y1230" s="30"/>
      <c r="Z1230" s="30"/>
      <c r="AA1230" s="30"/>
      <c r="AB1230" s="30"/>
      <c r="AC1230" s="30"/>
      <c r="AD1230" s="30"/>
      <c r="AE1230" s="30"/>
      <c r="AF1230" s="30"/>
      <c r="AG1230" s="30"/>
      <c r="AH1230" s="30"/>
    </row>
    <row r="1231" spans="1:34" ht="16">
      <c r="A1231" s="30" t="s">
        <v>801</v>
      </c>
      <c r="B1231" s="30" t="s">
        <v>260</v>
      </c>
      <c r="C1231" s="30" t="s">
        <v>802</v>
      </c>
      <c r="D1231" s="30" t="s">
        <v>803</v>
      </c>
      <c r="E1231" s="18" t="s">
        <v>804</v>
      </c>
      <c r="F1231" s="30" t="s">
        <v>84</v>
      </c>
      <c r="G1231" s="30" t="s">
        <v>611</v>
      </c>
      <c r="H1231" s="55">
        <v>1993</v>
      </c>
      <c r="I1231" s="51">
        <v>289</v>
      </c>
      <c r="J1231" s="49" t="s">
        <v>402</v>
      </c>
      <c r="K1231" s="48" t="s">
        <v>402</v>
      </c>
      <c r="L1231" s="50" t="s">
        <v>734</v>
      </c>
      <c r="M1231" s="56" t="s">
        <v>805</v>
      </c>
      <c r="N1231" s="30"/>
      <c r="O1231" s="30"/>
      <c r="P1231" s="30"/>
      <c r="Q1231" s="30"/>
      <c r="R1231" s="30"/>
      <c r="S1231" s="30"/>
      <c r="T1231" s="30"/>
      <c r="U1231" s="30"/>
      <c r="V1231" s="30"/>
      <c r="W1231" s="30"/>
      <c r="X1231" s="30"/>
      <c r="Y1231" s="30"/>
      <c r="Z1231" s="30"/>
      <c r="AA1231" s="30"/>
      <c r="AB1231" s="30"/>
      <c r="AC1231" s="30"/>
      <c r="AD1231" s="30"/>
      <c r="AE1231" s="30"/>
      <c r="AF1231" s="30"/>
      <c r="AG1231" s="30"/>
      <c r="AH1231" s="30"/>
    </row>
    <row r="1232" spans="1:34" ht="16">
      <c r="A1232" s="30" t="s">
        <v>801</v>
      </c>
      <c r="B1232" s="30" t="s">
        <v>260</v>
      </c>
      <c r="C1232" s="30" t="s">
        <v>802</v>
      </c>
      <c r="D1232" s="30" t="s">
        <v>803</v>
      </c>
      <c r="E1232" s="18" t="s">
        <v>804</v>
      </c>
      <c r="F1232" s="30" t="s">
        <v>84</v>
      </c>
      <c r="G1232" s="30" t="s">
        <v>611</v>
      </c>
      <c r="H1232" s="55">
        <v>1994</v>
      </c>
      <c r="I1232" s="51">
        <v>336</v>
      </c>
      <c r="J1232" s="49" t="s">
        <v>402</v>
      </c>
      <c r="K1232" s="48" t="s">
        <v>402</v>
      </c>
      <c r="L1232" s="50" t="s">
        <v>734</v>
      </c>
      <c r="M1232" s="56" t="s">
        <v>805</v>
      </c>
      <c r="N1232" s="30"/>
      <c r="O1232" s="30"/>
      <c r="P1232" s="30"/>
      <c r="Q1232" s="30"/>
      <c r="R1232" s="30"/>
      <c r="S1232" s="30"/>
      <c r="T1232" s="30"/>
      <c r="U1232" s="30"/>
      <c r="V1232" s="30"/>
      <c r="W1232" s="30"/>
      <c r="X1232" s="30"/>
      <c r="Y1232" s="30"/>
      <c r="Z1232" s="30"/>
      <c r="AA1232" s="30"/>
      <c r="AB1232" s="30"/>
      <c r="AC1232" s="30"/>
      <c r="AD1232" s="30"/>
      <c r="AE1232" s="30"/>
      <c r="AF1232" s="30"/>
      <c r="AG1232" s="30"/>
      <c r="AH1232" s="30"/>
    </row>
    <row r="1233" spans="1:34" ht="16">
      <c r="A1233" s="30" t="s">
        <v>801</v>
      </c>
      <c r="B1233" s="30" t="s">
        <v>260</v>
      </c>
      <c r="C1233" s="30" t="s">
        <v>802</v>
      </c>
      <c r="D1233" s="30" t="s">
        <v>803</v>
      </c>
      <c r="E1233" s="18" t="s">
        <v>804</v>
      </c>
      <c r="F1233" s="30" t="s">
        <v>84</v>
      </c>
      <c r="G1233" s="30" t="s">
        <v>611</v>
      </c>
      <c r="H1233" s="55">
        <v>1995</v>
      </c>
      <c r="I1233" s="51">
        <v>376</v>
      </c>
      <c r="J1233" s="49" t="s">
        <v>402</v>
      </c>
      <c r="K1233" s="48" t="s">
        <v>402</v>
      </c>
      <c r="L1233" s="50" t="s">
        <v>734</v>
      </c>
      <c r="M1233" s="56" t="s">
        <v>805</v>
      </c>
      <c r="N1233" s="30"/>
      <c r="O1233" s="30"/>
      <c r="P1233" s="30"/>
      <c r="Q1233" s="30"/>
      <c r="R1233" s="30"/>
      <c r="S1233" s="30"/>
      <c r="T1233" s="30"/>
      <c r="U1233" s="30"/>
      <c r="V1233" s="30"/>
      <c r="W1233" s="30"/>
      <c r="X1233" s="30"/>
      <c r="Y1233" s="30"/>
      <c r="Z1233" s="30"/>
      <c r="AA1233" s="30"/>
      <c r="AB1233" s="30"/>
      <c r="AC1233" s="30"/>
      <c r="AD1233" s="30"/>
      <c r="AE1233" s="30"/>
      <c r="AF1233" s="30"/>
      <c r="AG1233" s="30"/>
      <c r="AH1233" s="30"/>
    </row>
    <row r="1234" spans="1:34" ht="16">
      <c r="A1234" s="30" t="s">
        <v>801</v>
      </c>
      <c r="B1234" s="30" t="s">
        <v>260</v>
      </c>
      <c r="C1234" s="30" t="s">
        <v>802</v>
      </c>
      <c r="D1234" s="30" t="s">
        <v>803</v>
      </c>
      <c r="E1234" s="18" t="s">
        <v>804</v>
      </c>
      <c r="F1234" s="30" t="s">
        <v>84</v>
      </c>
      <c r="G1234" s="30" t="s">
        <v>611</v>
      </c>
      <c r="H1234" s="55">
        <v>1996</v>
      </c>
      <c r="I1234" s="51">
        <v>410</v>
      </c>
      <c r="J1234" s="49" t="s">
        <v>402</v>
      </c>
      <c r="K1234" s="48" t="s">
        <v>402</v>
      </c>
      <c r="L1234" s="50" t="s">
        <v>734</v>
      </c>
      <c r="M1234" s="56" t="s">
        <v>805</v>
      </c>
      <c r="N1234" s="30"/>
      <c r="O1234" s="30"/>
      <c r="P1234" s="30"/>
      <c r="Q1234" s="30"/>
      <c r="R1234" s="30"/>
      <c r="S1234" s="30"/>
      <c r="T1234" s="30"/>
      <c r="U1234" s="30"/>
      <c r="V1234" s="30"/>
      <c r="W1234" s="30"/>
      <c r="X1234" s="30"/>
      <c r="Y1234" s="30"/>
      <c r="Z1234" s="30"/>
      <c r="AA1234" s="30"/>
      <c r="AB1234" s="30"/>
      <c r="AC1234" s="30"/>
      <c r="AD1234" s="30"/>
      <c r="AE1234" s="30"/>
      <c r="AF1234" s="30"/>
      <c r="AG1234" s="30"/>
      <c r="AH1234" s="30"/>
    </row>
    <row r="1235" spans="1:34" ht="16">
      <c r="A1235" s="30" t="s">
        <v>801</v>
      </c>
      <c r="B1235" s="30" t="s">
        <v>260</v>
      </c>
      <c r="C1235" s="30" t="s">
        <v>802</v>
      </c>
      <c r="D1235" s="30" t="s">
        <v>803</v>
      </c>
      <c r="E1235" s="18" t="s">
        <v>804</v>
      </c>
      <c r="F1235" s="30" t="s">
        <v>84</v>
      </c>
      <c r="G1235" s="30" t="s">
        <v>611</v>
      </c>
      <c r="H1235" s="55">
        <v>1997</v>
      </c>
      <c r="I1235" s="51">
        <v>484</v>
      </c>
      <c r="J1235" s="49" t="s">
        <v>402</v>
      </c>
      <c r="K1235" s="48" t="s">
        <v>402</v>
      </c>
      <c r="L1235" s="50" t="s">
        <v>734</v>
      </c>
      <c r="M1235" s="56" t="s">
        <v>805</v>
      </c>
      <c r="N1235" s="30"/>
      <c r="O1235" s="30"/>
      <c r="P1235" s="30"/>
      <c r="Q1235" s="30"/>
      <c r="R1235" s="30"/>
      <c r="S1235" s="30"/>
      <c r="T1235" s="30"/>
      <c r="U1235" s="30"/>
      <c r="V1235" s="30"/>
      <c r="W1235" s="30"/>
      <c r="X1235" s="30"/>
      <c r="Y1235" s="30"/>
      <c r="Z1235" s="30"/>
      <c r="AA1235" s="30"/>
      <c r="AB1235" s="30"/>
      <c r="AC1235" s="30"/>
      <c r="AD1235" s="30"/>
      <c r="AE1235" s="30"/>
      <c r="AF1235" s="30"/>
      <c r="AG1235" s="30"/>
      <c r="AH1235" s="30"/>
    </row>
    <row r="1236" spans="1:34" ht="16">
      <c r="A1236" s="30" t="s">
        <v>801</v>
      </c>
      <c r="B1236" s="30" t="s">
        <v>260</v>
      </c>
      <c r="C1236" s="30" t="s">
        <v>802</v>
      </c>
      <c r="D1236" s="30" t="s">
        <v>803</v>
      </c>
      <c r="E1236" s="18" t="s">
        <v>804</v>
      </c>
      <c r="F1236" s="30" t="s">
        <v>84</v>
      </c>
      <c r="G1236" s="30" t="s">
        <v>611</v>
      </c>
      <c r="H1236" s="55">
        <v>1998</v>
      </c>
      <c r="I1236" s="51">
        <v>424</v>
      </c>
      <c r="J1236" s="49" t="s">
        <v>402</v>
      </c>
      <c r="K1236" s="48" t="s">
        <v>402</v>
      </c>
      <c r="L1236" s="50" t="s">
        <v>734</v>
      </c>
      <c r="M1236" s="56" t="s">
        <v>805</v>
      </c>
      <c r="N1236" s="30"/>
      <c r="O1236" s="30"/>
      <c r="P1236" s="30"/>
      <c r="Q1236" s="30"/>
      <c r="R1236" s="30"/>
      <c r="S1236" s="30"/>
      <c r="T1236" s="30"/>
      <c r="U1236" s="30"/>
      <c r="V1236" s="30"/>
      <c r="W1236" s="30"/>
      <c r="X1236" s="30"/>
      <c r="Y1236" s="30"/>
      <c r="Z1236" s="30"/>
      <c r="AA1236" s="30"/>
      <c r="AB1236" s="30"/>
      <c r="AC1236" s="30"/>
      <c r="AD1236" s="30"/>
      <c r="AE1236" s="30"/>
      <c r="AF1236" s="30"/>
      <c r="AG1236" s="30"/>
      <c r="AH1236" s="30"/>
    </row>
    <row r="1237" spans="1:34" ht="16">
      <c r="A1237" s="30" t="s">
        <v>801</v>
      </c>
      <c r="B1237" s="30" t="s">
        <v>260</v>
      </c>
      <c r="C1237" s="30" t="s">
        <v>802</v>
      </c>
      <c r="D1237" s="30" t="s">
        <v>803</v>
      </c>
      <c r="E1237" s="18" t="s">
        <v>804</v>
      </c>
      <c r="F1237" s="30" t="s">
        <v>84</v>
      </c>
      <c r="G1237" s="30" t="s">
        <v>611</v>
      </c>
      <c r="H1237" s="55">
        <v>1999</v>
      </c>
      <c r="I1237" s="51">
        <v>591</v>
      </c>
      <c r="J1237" s="49" t="s">
        <v>402</v>
      </c>
      <c r="K1237" s="48" t="s">
        <v>402</v>
      </c>
      <c r="L1237" s="50" t="s">
        <v>734</v>
      </c>
      <c r="M1237" s="56" t="s">
        <v>805</v>
      </c>
      <c r="N1237" s="30"/>
      <c r="O1237" s="30"/>
      <c r="P1237" s="30"/>
      <c r="Q1237" s="30"/>
      <c r="R1237" s="30"/>
      <c r="S1237" s="30"/>
      <c r="T1237" s="30"/>
      <c r="U1237" s="30"/>
      <c r="V1237" s="30"/>
      <c r="W1237" s="30"/>
      <c r="X1237" s="30"/>
      <c r="Y1237" s="30"/>
      <c r="Z1237" s="30"/>
      <c r="AA1237" s="30"/>
      <c r="AB1237" s="30"/>
      <c r="AC1237" s="30"/>
      <c r="AD1237" s="30"/>
      <c r="AE1237" s="30"/>
      <c r="AF1237" s="30"/>
      <c r="AG1237" s="30"/>
      <c r="AH1237" s="30"/>
    </row>
    <row r="1238" spans="1:34" ht="16">
      <c r="A1238" s="30" t="s">
        <v>801</v>
      </c>
      <c r="B1238" s="30" t="s">
        <v>260</v>
      </c>
      <c r="C1238" s="30" t="s">
        <v>802</v>
      </c>
      <c r="D1238" s="30" t="s">
        <v>803</v>
      </c>
      <c r="E1238" s="18" t="s">
        <v>804</v>
      </c>
      <c r="F1238" s="30" t="s">
        <v>84</v>
      </c>
      <c r="G1238" s="30" t="s">
        <v>611</v>
      </c>
      <c r="H1238" s="55">
        <v>2000</v>
      </c>
      <c r="I1238" s="51">
        <v>491</v>
      </c>
      <c r="J1238" s="49" t="s">
        <v>402</v>
      </c>
      <c r="K1238" s="48" t="s">
        <v>402</v>
      </c>
      <c r="L1238" s="50" t="s">
        <v>734</v>
      </c>
      <c r="M1238" s="56" t="s">
        <v>805</v>
      </c>
      <c r="N1238" s="30"/>
      <c r="O1238" s="30"/>
      <c r="P1238" s="30"/>
      <c r="Q1238" s="30"/>
      <c r="R1238" s="30"/>
      <c r="S1238" s="30"/>
      <c r="T1238" s="30"/>
      <c r="U1238" s="30"/>
      <c r="V1238" s="30"/>
      <c r="W1238" s="30"/>
      <c r="X1238" s="30"/>
      <c r="Y1238" s="30"/>
      <c r="Z1238" s="30"/>
      <c r="AA1238" s="30"/>
      <c r="AB1238" s="30"/>
      <c r="AC1238" s="30"/>
      <c r="AD1238" s="30"/>
      <c r="AE1238" s="30"/>
      <c r="AF1238" s="30"/>
      <c r="AG1238" s="30"/>
      <c r="AH1238" s="30"/>
    </row>
    <row r="1239" spans="1:34" ht="16">
      <c r="A1239" s="30" t="s">
        <v>801</v>
      </c>
      <c r="B1239" s="30" t="s">
        <v>260</v>
      </c>
      <c r="C1239" s="30" t="s">
        <v>802</v>
      </c>
      <c r="D1239" s="30" t="s">
        <v>803</v>
      </c>
      <c r="E1239" s="18" t="s">
        <v>804</v>
      </c>
      <c r="F1239" s="30" t="s">
        <v>84</v>
      </c>
      <c r="G1239" s="30" t="s">
        <v>611</v>
      </c>
      <c r="H1239" s="55">
        <v>2001</v>
      </c>
      <c r="I1239" s="51">
        <v>538</v>
      </c>
      <c r="J1239" s="49" t="s">
        <v>402</v>
      </c>
      <c r="K1239" s="48" t="s">
        <v>402</v>
      </c>
      <c r="L1239" s="50" t="s">
        <v>734</v>
      </c>
      <c r="M1239" s="56" t="s">
        <v>805</v>
      </c>
      <c r="N1239" s="30"/>
      <c r="O1239" s="30"/>
      <c r="P1239" s="30"/>
      <c r="Q1239" s="30"/>
      <c r="R1239" s="30"/>
      <c r="S1239" s="30"/>
      <c r="T1239" s="30"/>
      <c r="U1239" s="30"/>
      <c r="V1239" s="30"/>
      <c r="W1239" s="30"/>
      <c r="X1239" s="30"/>
      <c r="Y1239" s="30"/>
      <c r="Z1239" s="30"/>
      <c r="AA1239" s="30"/>
      <c r="AB1239" s="30"/>
      <c r="AC1239" s="30"/>
      <c r="AD1239" s="30"/>
      <c r="AE1239" s="30"/>
      <c r="AF1239" s="30"/>
      <c r="AG1239" s="30"/>
      <c r="AH1239" s="30"/>
    </row>
    <row r="1240" spans="1:34" ht="16">
      <c r="A1240" s="30" t="s">
        <v>801</v>
      </c>
      <c r="B1240" s="30" t="s">
        <v>260</v>
      </c>
      <c r="C1240" s="30" t="s">
        <v>802</v>
      </c>
      <c r="D1240" s="30" t="s">
        <v>803</v>
      </c>
      <c r="E1240" s="18" t="s">
        <v>804</v>
      </c>
      <c r="F1240" s="30" t="s">
        <v>84</v>
      </c>
      <c r="G1240" s="30" t="s">
        <v>611</v>
      </c>
      <c r="H1240" s="55">
        <v>2002</v>
      </c>
      <c r="I1240" s="51">
        <v>532</v>
      </c>
      <c r="J1240" s="49" t="s">
        <v>402</v>
      </c>
      <c r="K1240" s="48" t="s">
        <v>402</v>
      </c>
      <c r="L1240" s="50" t="s">
        <v>734</v>
      </c>
      <c r="M1240" s="56" t="s">
        <v>805</v>
      </c>
      <c r="N1240" s="30"/>
      <c r="O1240" s="30"/>
      <c r="P1240" s="30"/>
      <c r="Q1240" s="30"/>
      <c r="R1240" s="30"/>
      <c r="S1240" s="30"/>
      <c r="T1240" s="30"/>
      <c r="U1240" s="30"/>
      <c r="V1240" s="30"/>
      <c r="W1240" s="30"/>
      <c r="X1240" s="30"/>
      <c r="Y1240" s="30"/>
      <c r="Z1240" s="30"/>
      <c r="AA1240" s="30"/>
      <c r="AB1240" s="30"/>
      <c r="AC1240" s="30"/>
      <c r="AD1240" s="30"/>
      <c r="AE1240" s="30"/>
      <c r="AF1240" s="30"/>
      <c r="AG1240" s="30"/>
      <c r="AH1240" s="30"/>
    </row>
    <row r="1241" spans="1:34" ht="16">
      <c r="A1241" s="30" t="s">
        <v>801</v>
      </c>
      <c r="B1241" s="30" t="s">
        <v>260</v>
      </c>
      <c r="C1241" s="30" t="s">
        <v>802</v>
      </c>
      <c r="D1241" s="30" t="s">
        <v>803</v>
      </c>
      <c r="E1241" s="18" t="s">
        <v>804</v>
      </c>
      <c r="F1241" s="30" t="s">
        <v>84</v>
      </c>
      <c r="G1241" s="30" t="s">
        <v>611</v>
      </c>
      <c r="H1241" s="55">
        <v>2003</v>
      </c>
      <c r="I1241" s="51">
        <v>666</v>
      </c>
      <c r="J1241" s="49" t="s">
        <v>402</v>
      </c>
      <c r="K1241" s="48" t="s">
        <v>402</v>
      </c>
      <c r="L1241" s="50" t="s">
        <v>734</v>
      </c>
      <c r="M1241" s="56" t="s">
        <v>805</v>
      </c>
      <c r="N1241" s="30"/>
      <c r="O1241" s="30"/>
      <c r="P1241" s="30"/>
      <c r="Q1241" s="30"/>
      <c r="R1241" s="30"/>
      <c r="S1241" s="30"/>
      <c r="T1241" s="30"/>
      <c r="U1241" s="30"/>
      <c r="V1241" s="30"/>
      <c r="W1241" s="30"/>
      <c r="X1241" s="30"/>
      <c r="Y1241" s="30"/>
      <c r="Z1241" s="30"/>
      <c r="AA1241" s="30"/>
      <c r="AB1241" s="30"/>
      <c r="AC1241" s="30"/>
      <c r="AD1241" s="30"/>
      <c r="AE1241" s="30"/>
      <c r="AF1241" s="30"/>
      <c r="AG1241" s="30"/>
      <c r="AH1241" s="30"/>
    </row>
    <row r="1242" spans="1:34" ht="16">
      <c r="A1242" s="30" t="s">
        <v>801</v>
      </c>
      <c r="B1242" s="30" t="s">
        <v>260</v>
      </c>
      <c r="C1242" s="30" t="s">
        <v>802</v>
      </c>
      <c r="D1242" s="30" t="s">
        <v>803</v>
      </c>
      <c r="E1242" s="18" t="s">
        <v>804</v>
      </c>
      <c r="F1242" s="30" t="s">
        <v>84</v>
      </c>
      <c r="G1242" s="30" t="s">
        <v>611</v>
      </c>
      <c r="H1242" s="55">
        <v>2004</v>
      </c>
      <c r="I1242" s="51">
        <v>719</v>
      </c>
      <c r="J1242" s="49" t="s">
        <v>402</v>
      </c>
      <c r="K1242" s="48" t="s">
        <v>402</v>
      </c>
      <c r="L1242" s="50" t="s">
        <v>734</v>
      </c>
      <c r="M1242" s="56" t="s">
        <v>805</v>
      </c>
      <c r="N1242" s="30"/>
      <c r="O1242" s="30"/>
      <c r="P1242" s="30"/>
      <c r="Q1242" s="30"/>
      <c r="R1242" s="30"/>
      <c r="S1242" s="30"/>
      <c r="T1242" s="30"/>
      <c r="U1242" s="30"/>
      <c r="V1242" s="30"/>
      <c r="W1242" s="30"/>
      <c r="X1242" s="30"/>
      <c r="Y1242" s="30"/>
      <c r="Z1242" s="30"/>
      <c r="AA1242" s="30"/>
      <c r="AB1242" s="30"/>
      <c r="AC1242" s="30"/>
      <c r="AD1242" s="30"/>
      <c r="AE1242" s="30"/>
      <c r="AF1242" s="30"/>
      <c r="AG1242" s="30"/>
      <c r="AH1242" s="30"/>
    </row>
    <row r="1243" spans="1:34" ht="16">
      <c r="A1243" s="30" t="s">
        <v>801</v>
      </c>
      <c r="B1243" s="30" t="s">
        <v>260</v>
      </c>
      <c r="C1243" s="30" t="s">
        <v>802</v>
      </c>
      <c r="D1243" s="30" t="s">
        <v>803</v>
      </c>
      <c r="E1243" s="18" t="s">
        <v>804</v>
      </c>
      <c r="F1243" s="30" t="s">
        <v>84</v>
      </c>
      <c r="G1243" s="30" t="s">
        <v>611</v>
      </c>
      <c r="H1243" s="55">
        <v>2005</v>
      </c>
      <c r="I1243" s="51">
        <v>800</v>
      </c>
      <c r="J1243" s="49" t="s">
        <v>402</v>
      </c>
      <c r="K1243" s="48" t="s">
        <v>402</v>
      </c>
      <c r="L1243" s="50" t="s">
        <v>734</v>
      </c>
      <c r="M1243" s="56" t="s">
        <v>805</v>
      </c>
      <c r="N1243" s="30"/>
      <c r="O1243" s="30"/>
      <c r="P1243" s="30"/>
      <c r="Q1243" s="30"/>
      <c r="R1243" s="30"/>
      <c r="S1243" s="30"/>
      <c r="T1243" s="30"/>
      <c r="U1243" s="30"/>
      <c r="V1243" s="30"/>
      <c r="W1243" s="30"/>
      <c r="X1243" s="30"/>
      <c r="Y1243" s="30"/>
      <c r="Z1243" s="30"/>
      <c r="AA1243" s="30"/>
      <c r="AB1243" s="30"/>
      <c r="AC1243" s="30"/>
      <c r="AD1243" s="30"/>
      <c r="AE1243" s="30"/>
      <c r="AF1243" s="30"/>
      <c r="AG1243" s="30"/>
      <c r="AH1243" s="30"/>
    </row>
    <row r="1244" spans="1:34" ht="16">
      <c r="A1244" s="30" t="s">
        <v>801</v>
      </c>
      <c r="B1244" s="30" t="s">
        <v>260</v>
      </c>
      <c r="C1244" s="30" t="s">
        <v>802</v>
      </c>
      <c r="D1244" s="30" t="s">
        <v>803</v>
      </c>
      <c r="E1244" s="18" t="s">
        <v>804</v>
      </c>
      <c r="F1244" s="30" t="s">
        <v>84</v>
      </c>
      <c r="G1244" s="30" t="s">
        <v>611</v>
      </c>
      <c r="H1244" s="55">
        <v>2006</v>
      </c>
      <c r="I1244" s="51">
        <v>773</v>
      </c>
      <c r="J1244" s="49" t="s">
        <v>402</v>
      </c>
      <c r="K1244" s="48" t="s">
        <v>402</v>
      </c>
      <c r="L1244" s="50" t="s">
        <v>734</v>
      </c>
      <c r="M1244" s="56" t="s">
        <v>805</v>
      </c>
      <c r="N1244" s="30"/>
      <c r="O1244" s="30"/>
      <c r="P1244" s="30"/>
      <c r="Q1244" s="30"/>
      <c r="R1244" s="30"/>
      <c r="S1244" s="30"/>
      <c r="T1244" s="30"/>
      <c r="U1244" s="30"/>
      <c r="V1244" s="30"/>
      <c r="W1244" s="30"/>
      <c r="X1244" s="30"/>
      <c r="Y1244" s="30"/>
      <c r="Z1244" s="30"/>
      <c r="AA1244" s="30"/>
      <c r="AB1244" s="30"/>
      <c r="AC1244" s="30"/>
      <c r="AD1244" s="30"/>
      <c r="AE1244" s="30"/>
      <c r="AF1244" s="30"/>
      <c r="AG1244" s="30"/>
      <c r="AH1244" s="30"/>
    </row>
    <row r="1245" spans="1:34" ht="16">
      <c r="A1245" s="30" t="s">
        <v>801</v>
      </c>
      <c r="B1245" s="30" t="s">
        <v>260</v>
      </c>
      <c r="C1245" s="30" t="s">
        <v>802</v>
      </c>
      <c r="D1245" s="30" t="s">
        <v>803</v>
      </c>
      <c r="E1245" s="18" t="s">
        <v>804</v>
      </c>
      <c r="F1245" s="30" t="s">
        <v>84</v>
      </c>
      <c r="G1245" s="30" t="s">
        <v>611</v>
      </c>
      <c r="H1245" s="55">
        <v>2007</v>
      </c>
      <c r="I1245" s="51">
        <v>1115</v>
      </c>
      <c r="J1245" s="49" t="s">
        <v>402</v>
      </c>
      <c r="K1245" s="48" t="s">
        <v>402</v>
      </c>
      <c r="L1245" s="50" t="s">
        <v>734</v>
      </c>
      <c r="M1245" s="56" t="s">
        <v>805</v>
      </c>
      <c r="N1245" s="30"/>
      <c r="O1245" s="30"/>
      <c r="P1245" s="30"/>
      <c r="Q1245" s="30"/>
      <c r="R1245" s="30"/>
      <c r="S1245" s="30"/>
      <c r="T1245" s="30"/>
      <c r="U1245" s="30"/>
      <c r="V1245" s="30"/>
      <c r="W1245" s="30"/>
      <c r="X1245" s="30"/>
      <c r="Y1245" s="30"/>
      <c r="Z1245" s="30"/>
      <c r="AA1245" s="30"/>
      <c r="AB1245" s="30"/>
      <c r="AC1245" s="30"/>
      <c r="AD1245" s="30"/>
      <c r="AE1245" s="30"/>
      <c r="AF1245" s="30"/>
      <c r="AG1245" s="30"/>
      <c r="AH1245" s="30"/>
    </row>
    <row r="1246" spans="1:34" ht="16">
      <c r="A1246" s="30" t="s">
        <v>801</v>
      </c>
      <c r="B1246" s="30" t="s">
        <v>260</v>
      </c>
      <c r="C1246" s="30" t="s">
        <v>802</v>
      </c>
      <c r="D1246" s="30" t="s">
        <v>803</v>
      </c>
      <c r="E1246" s="18" t="s">
        <v>804</v>
      </c>
      <c r="F1246" s="30" t="s">
        <v>84</v>
      </c>
      <c r="G1246" s="30" t="s">
        <v>611</v>
      </c>
      <c r="H1246" s="55">
        <v>2008</v>
      </c>
      <c r="I1246" s="51">
        <v>1061</v>
      </c>
      <c r="J1246" s="49" t="s">
        <v>402</v>
      </c>
      <c r="K1246" s="48" t="s">
        <v>402</v>
      </c>
      <c r="L1246" s="50" t="s">
        <v>734</v>
      </c>
      <c r="M1246" s="56" t="s">
        <v>805</v>
      </c>
      <c r="N1246" s="30"/>
      <c r="O1246" s="30"/>
      <c r="P1246" s="30"/>
      <c r="Q1246" s="30"/>
      <c r="R1246" s="30"/>
      <c r="S1246" s="30"/>
      <c r="T1246" s="30"/>
      <c r="U1246" s="30"/>
      <c r="V1246" s="30"/>
      <c r="W1246" s="30"/>
      <c r="X1246" s="30"/>
      <c r="Y1246" s="30"/>
      <c r="Z1246" s="30"/>
      <c r="AA1246" s="30"/>
      <c r="AB1246" s="30"/>
      <c r="AC1246" s="30"/>
      <c r="AD1246" s="30"/>
      <c r="AE1246" s="30"/>
      <c r="AF1246" s="30"/>
      <c r="AG1246" s="30"/>
      <c r="AH1246" s="30"/>
    </row>
    <row r="1247" spans="1:34" ht="16">
      <c r="A1247" s="30" t="s">
        <v>801</v>
      </c>
      <c r="B1247" s="30" t="s">
        <v>260</v>
      </c>
      <c r="C1247" s="30" t="s">
        <v>802</v>
      </c>
      <c r="D1247" s="30" t="s">
        <v>803</v>
      </c>
      <c r="E1247" s="18" t="s">
        <v>804</v>
      </c>
      <c r="F1247" s="30" t="s">
        <v>84</v>
      </c>
      <c r="G1247" s="30" t="s">
        <v>611</v>
      </c>
      <c r="H1247" s="55">
        <v>2009</v>
      </c>
      <c r="I1247" s="51">
        <v>1028</v>
      </c>
      <c r="J1247" s="49" t="s">
        <v>402</v>
      </c>
      <c r="K1247" s="48" t="s">
        <v>402</v>
      </c>
      <c r="L1247" s="50" t="s">
        <v>734</v>
      </c>
      <c r="M1247" s="56" t="s">
        <v>805</v>
      </c>
      <c r="N1247" s="30"/>
      <c r="O1247" s="30"/>
      <c r="P1247" s="30"/>
      <c r="Q1247" s="30"/>
      <c r="R1247" s="30"/>
      <c r="S1247" s="30"/>
      <c r="T1247" s="30"/>
      <c r="U1247" s="30"/>
      <c r="V1247" s="30"/>
      <c r="W1247" s="30"/>
      <c r="X1247" s="30"/>
      <c r="Y1247" s="30"/>
      <c r="Z1247" s="30"/>
      <c r="AA1247" s="30"/>
      <c r="AB1247" s="30"/>
      <c r="AC1247" s="30"/>
      <c r="AD1247" s="30"/>
      <c r="AE1247" s="30"/>
      <c r="AF1247" s="30"/>
      <c r="AG1247" s="30"/>
      <c r="AH1247" s="30"/>
    </row>
    <row r="1248" spans="1:34" ht="16">
      <c r="A1248" s="30" t="s">
        <v>801</v>
      </c>
      <c r="B1248" s="30" t="s">
        <v>260</v>
      </c>
      <c r="C1248" s="30" t="s">
        <v>802</v>
      </c>
      <c r="D1248" s="30" t="s">
        <v>803</v>
      </c>
      <c r="E1248" s="18" t="s">
        <v>804</v>
      </c>
      <c r="F1248" s="30" t="s">
        <v>84</v>
      </c>
      <c r="G1248" s="30" t="s">
        <v>611</v>
      </c>
      <c r="H1248" s="55">
        <v>2010</v>
      </c>
      <c r="I1248" s="51">
        <v>988</v>
      </c>
      <c r="J1248" s="49" t="s">
        <v>402</v>
      </c>
      <c r="K1248" s="48" t="s">
        <v>402</v>
      </c>
      <c r="L1248" s="50" t="s">
        <v>734</v>
      </c>
      <c r="M1248" s="56" t="s">
        <v>805</v>
      </c>
      <c r="N1248" s="30"/>
      <c r="O1248" s="30"/>
      <c r="P1248" s="30"/>
      <c r="Q1248" s="30"/>
      <c r="R1248" s="30"/>
      <c r="S1248" s="30"/>
      <c r="T1248" s="30"/>
      <c r="U1248" s="30"/>
      <c r="V1248" s="30"/>
      <c r="W1248" s="30"/>
      <c r="X1248" s="30"/>
      <c r="Y1248" s="30"/>
      <c r="Z1248" s="30"/>
      <c r="AA1248" s="30"/>
      <c r="AB1248" s="30"/>
      <c r="AC1248" s="30"/>
      <c r="AD1248" s="30"/>
      <c r="AE1248" s="30"/>
      <c r="AF1248" s="30"/>
      <c r="AG1248" s="30"/>
      <c r="AH1248" s="30"/>
    </row>
    <row r="1249" spans="1:34" ht="16">
      <c r="A1249" s="30" t="s">
        <v>801</v>
      </c>
      <c r="B1249" s="30" t="s">
        <v>260</v>
      </c>
      <c r="C1249" s="30" t="s">
        <v>802</v>
      </c>
      <c r="D1249" s="30" t="s">
        <v>803</v>
      </c>
      <c r="E1249" s="18" t="s">
        <v>804</v>
      </c>
      <c r="F1249" s="30" t="s">
        <v>84</v>
      </c>
      <c r="G1249" s="30" t="s">
        <v>611</v>
      </c>
      <c r="H1249" s="55">
        <v>2011</v>
      </c>
      <c r="I1249" s="51">
        <v>1142</v>
      </c>
      <c r="J1249" s="49" t="s">
        <v>402</v>
      </c>
      <c r="K1249" s="48" t="s">
        <v>402</v>
      </c>
      <c r="L1249" s="50" t="s">
        <v>734</v>
      </c>
      <c r="M1249" s="56" t="s">
        <v>805</v>
      </c>
      <c r="N1249" s="30"/>
      <c r="O1249" s="30"/>
      <c r="P1249" s="30"/>
      <c r="Q1249" s="30"/>
      <c r="R1249" s="30"/>
      <c r="S1249" s="30"/>
      <c r="T1249" s="30"/>
      <c r="U1249" s="30"/>
      <c r="V1249" s="30"/>
      <c r="W1249" s="30"/>
      <c r="X1249" s="30"/>
      <c r="Y1249" s="30"/>
      <c r="Z1249" s="30"/>
      <c r="AA1249" s="30"/>
      <c r="AB1249" s="30"/>
      <c r="AC1249" s="30"/>
      <c r="AD1249" s="30"/>
      <c r="AE1249" s="30"/>
      <c r="AF1249" s="30"/>
      <c r="AG1249" s="30"/>
      <c r="AH1249" s="30"/>
    </row>
    <row r="1250" spans="1:34" ht="16">
      <c r="A1250" s="30" t="s">
        <v>801</v>
      </c>
      <c r="B1250" s="30" t="s">
        <v>260</v>
      </c>
      <c r="C1250" s="30" t="s">
        <v>802</v>
      </c>
      <c r="D1250" s="30" t="s">
        <v>803</v>
      </c>
      <c r="E1250" s="18" t="s">
        <v>804</v>
      </c>
      <c r="F1250" s="30" t="s">
        <v>84</v>
      </c>
      <c r="G1250" s="30" t="s">
        <v>611</v>
      </c>
      <c r="H1250" s="55">
        <v>2012</v>
      </c>
      <c r="I1250" s="51">
        <v>1089</v>
      </c>
      <c r="J1250" s="49" t="s">
        <v>402</v>
      </c>
      <c r="K1250" s="48" t="s">
        <v>402</v>
      </c>
      <c r="L1250" s="50" t="s">
        <v>734</v>
      </c>
      <c r="M1250" s="56" t="s">
        <v>805</v>
      </c>
      <c r="N1250" s="30"/>
      <c r="O1250" s="30"/>
      <c r="P1250" s="30"/>
      <c r="Q1250" s="30"/>
      <c r="R1250" s="30"/>
      <c r="S1250" s="30"/>
      <c r="T1250" s="30"/>
      <c r="U1250" s="30"/>
      <c r="V1250" s="30"/>
      <c r="W1250" s="30"/>
      <c r="X1250" s="30"/>
      <c r="Y1250" s="30"/>
      <c r="Z1250" s="30"/>
      <c r="AA1250" s="30"/>
      <c r="AB1250" s="30"/>
      <c r="AC1250" s="30"/>
      <c r="AD1250" s="30"/>
      <c r="AE1250" s="30"/>
      <c r="AF1250" s="30"/>
      <c r="AG1250" s="30"/>
      <c r="AH1250" s="30"/>
    </row>
    <row r="1251" spans="1:34" ht="16">
      <c r="A1251" s="30" t="s">
        <v>801</v>
      </c>
      <c r="B1251" s="30" t="s">
        <v>260</v>
      </c>
      <c r="C1251" s="30" t="s">
        <v>802</v>
      </c>
      <c r="D1251" s="30" t="s">
        <v>803</v>
      </c>
      <c r="E1251" s="18" t="s">
        <v>804</v>
      </c>
      <c r="F1251" s="30" t="s">
        <v>84</v>
      </c>
      <c r="G1251" s="30" t="s">
        <v>611</v>
      </c>
      <c r="H1251" s="55">
        <v>2013</v>
      </c>
      <c r="I1251" s="51">
        <v>1256</v>
      </c>
      <c r="J1251" s="49" t="s">
        <v>402</v>
      </c>
      <c r="K1251" s="48" t="s">
        <v>402</v>
      </c>
      <c r="L1251" s="50" t="s">
        <v>734</v>
      </c>
      <c r="M1251" s="56" t="s">
        <v>805</v>
      </c>
      <c r="N1251" s="30"/>
      <c r="O1251" s="30"/>
      <c r="P1251" s="30"/>
      <c r="Q1251" s="30"/>
      <c r="R1251" s="30"/>
      <c r="S1251" s="30"/>
      <c r="T1251" s="30"/>
      <c r="U1251" s="30"/>
      <c r="V1251" s="30"/>
      <c r="W1251" s="30"/>
      <c r="X1251" s="30"/>
      <c r="Y1251" s="30"/>
      <c r="Z1251" s="30"/>
      <c r="AA1251" s="30"/>
      <c r="AB1251" s="30"/>
      <c r="AC1251" s="30"/>
      <c r="AD1251" s="30"/>
      <c r="AE1251" s="30"/>
      <c r="AF1251" s="30"/>
      <c r="AG1251" s="30"/>
      <c r="AH1251" s="30"/>
    </row>
    <row r="1252" spans="1:34" ht="16">
      <c r="A1252" s="30" t="s">
        <v>801</v>
      </c>
      <c r="B1252" s="30" t="s">
        <v>260</v>
      </c>
      <c r="C1252" s="30" t="s">
        <v>802</v>
      </c>
      <c r="D1252" s="30" t="s">
        <v>803</v>
      </c>
      <c r="E1252" s="18" t="s">
        <v>804</v>
      </c>
      <c r="F1252" s="30" t="s">
        <v>84</v>
      </c>
      <c r="G1252" s="30" t="s">
        <v>611</v>
      </c>
      <c r="H1252" s="55">
        <v>2014</v>
      </c>
      <c r="I1252" s="51">
        <v>1564</v>
      </c>
      <c r="J1252" s="49" t="s">
        <v>402</v>
      </c>
      <c r="K1252" s="48" t="s">
        <v>402</v>
      </c>
      <c r="L1252" s="50" t="s">
        <v>734</v>
      </c>
      <c r="M1252" s="56" t="s">
        <v>805</v>
      </c>
      <c r="N1252" s="30"/>
      <c r="O1252" s="30"/>
      <c r="P1252" s="30"/>
      <c r="Q1252" s="30"/>
      <c r="R1252" s="30"/>
      <c r="S1252" s="30"/>
      <c r="T1252" s="30"/>
      <c r="U1252" s="30"/>
      <c r="V1252" s="30"/>
      <c r="W1252" s="30"/>
      <c r="X1252" s="30"/>
      <c r="Y1252" s="30"/>
      <c r="Z1252" s="30"/>
      <c r="AA1252" s="30"/>
      <c r="AB1252" s="30"/>
      <c r="AC1252" s="30"/>
      <c r="AD1252" s="30"/>
      <c r="AE1252" s="30"/>
      <c r="AF1252" s="30"/>
      <c r="AG1252" s="30"/>
      <c r="AH1252" s="30"/>
    </row>
    <row r="1253" spans="1:34" ht="16">
      <c r="A1253" s="30" t="s">
        <v>801</v>
      </c>
      <c r="B1253" s="30" t="s">
        <v>260</v>
      </c>
      <c r="C1253" s="30" t="s">
        <v>802</v>
      </c>
      <c r="D1253" s="30" t="s">
        <v>803</v>
      </c>
      <c r="E1253" s="18" t="s">
        <v>804</v>
      </c>
      <c r="F1253" s="30" t="s">
        <v>84</v>
      </c>
      <c r="G1253" s="30" t="s">
        <v>611</v>
      </c>
      <c r="H1253" s="55">
        <v>2015</v>
      </c>
      <c r="I1253" s="51">
        <v>1384</v>
      </c>
      <c r="J1253" s="49" t="s">
        <v>402</v>
      </c>
      <c r="K1253" s="48" t="s">
        <v>402</v>
      </c>
      <c r="L1253" s="50" t="s">
        <v>734</v>
      </c>
      <c r="M1253" s="56" t="s">
        <v>805</v>
      </c>
      <c r="N1253" s="30"/>
      <c r="O1253" s="30"/>
      <c r="P1253" s="30"/>
      <c r="Q1253" s="30"/>
      <c r="R1253" s="30"/>
      <c r="S1253" s="30"/>
      <c r="T1253" s="30"/>
      <c r="U1253" s="30"/>
      <c r="V1253" s="30"/>
      <c r="W1253" s="30"/>
      <c r="X1253" s="30"/>
      <c r="Y1253" s="30"/>
      <c r="Z1253" s="30"/>
      <c r="AA1253" s="30"/>
      <c r="AB1253" s="30"/>
      <c r="AC1253" s="30"/>
      <c r="AD1253" s="30"/>
      <c r="AE1253" s="30"/>
      <c r="AF1253" s="30"/>
      <c r="AG1253" s="30"/>
      <c r="AH1253" s="30"/>
    </row>
    <row r="1254" spans="1:34" ht="16">
      <c r="A1254" s="30" t="s">
        <v>801</v>
      </c>
      <c r="B1254" s="30" t="s">
        <v>260</v>
      </c>
      <c r="C1254" s="30" t="s">
        <v>802</v>
      </c>
      <c r="D1254" s="30" t="s">
        <v>803</v>
      </c>
      <c r="E1254" s="18" t="s">
        <v>804</v>
      </c>
      <c r="F1254" s="30" t="s">
        <v>84</v>
      </c>
      <c r="G1254" s="30" t="s">
        <v>611</v>
      </c>
      <c r="H1254" s="55">
        <v>2016</v>
      </c>
      <c r="I1254" s="51">
        <v>1799</v>
      </c>
      <c r="J1254" s="49" t="s">
        <v>402</v>
      </c>
      <c r="K1254" s="48" t="s">
        <v>402</v>
      </c>
      <c r="L1254" s="50" t="s">
        <v>734</v>
      </c>
      <c r="M1254" s="56" t="s">
        <v>805</v>
      </c>
      <c r="N1254" s="30"/>
      <c r="O1254" s="30"/>
      <c r="P1254" s="30"/>
      <c r="Q1254" s="30"/>
      <c r="R1254" s="30"/>
      <c r="S1254" s="30"/>
      <c r="T1254" s="30"/>
      <c r="U1254" s="30"/>
      <c r="V1254" s="30"/>
      <c r="W1254" s="30"/>
      <c r="X1254" s="30"/>
      <c r="Y1254" s="30"/>
      <c r="Z1254" s="30"/>
      <c r="AA1254" s="30"/>
      <c r="AB1254" s="30"/>
      <c r="AC1254" s="30"/>
      <c r="AD1254" s="30"/>
      <c r="AE1254" s="30"/>
      <c r="AF1254" s="30"/>
      <c r="AG1254" s="30"/>
      <c r="AH1254" s="30"/>
    </row>
    <row r="1255" spans="1:34" ht="16">
      <c r="A1255" s="42" t="s">
        <v>806</v>
      </c>
      <c r="B1255" s="42" t="s">
        <v>260</v>
      </c>
      <c r="C1255" s="42" t="s">
        <v>796</v>
      </c>
      <c r="D1255" s="42" t="s">
        <v>567</v>
      </c>
      <c r="E1255" s="18" t="s">
        <v>807</v>
      </c>
      <c r="F1255" s="27" t="s">
        <v>636</v>
      </c>
      <c r="G1255" s="42" t="s">
        <v>761</v>
      </c>
      <c r="H1255" s="43">
        <v>1991</v>
      </c>
      <c r="I1255" s="38">
        <v>4852</v>
      </c>
      <c r="J1255" s="38">
        <v>1617</v>
      </c>
      <c r="K1255" s="38">
        <v>11321</v>
      </c>
      <c r="L1255" s="38" t="s">
        <v>734</v>
      </c>
      <c r="M1255" s="57" t="s">
        <v>808</v>
      </c>
      <c r="N1255" s="45"/>
      <c r="O1255" s="27" t="s">
        <v>800</v>
      </c>
      <c r="P1255" s="27"/>
      <c r="Q1255" s="27"/>
      <c r="R1255" s="27"/>
      <c r="S1255" s="27"/>
      <c r="T1255" s="27"/>
      <c r="U1255" s="27"/>
      <c r="V1255" s="27"/>
      <c r="W1255" s="27"/>
      <c r="X1255" s="27"/>
      <c r="Y1255" s="27"/>
      <c r="Z1255" s="27"/>
      <c r="AA1255" s="27"/>
      <c r="AB1255" s="27"/>
      <c r="AC1255" s="27"/>
      <c r="AD1255" s="27"/>
      <c r="AE1255" s="27"/>
      <c r="AF1255" s="27"/>
      <c r="AG1255" s="27"/>
      <c r="AH1255" s="27"/>
    </row>
    <row r="1256" spans="1:34" ht="16">
      <c r="A1256" s="42" t="s">
        <v>806</v>
      </c>
      <c r="B1256" s="42" t="s">
        <v>260</v>
      </c>
      <c r="C1256" s="42" t="s">
        <v>796</v>
      </c>
      <c r="D1256" s="42" t="s">
        <v>567</v>
      </c>
      <c r="E1256" s="18" t="s">
        <v>807</v>
      </c>
      <c r="F1256" s="27" t="s">
        <v>636</v>
      </c>
      <c r="G1256" s="42" t="s">
        <v>761</v>
      </c>
      <c r="H1256" s="43">
        <v>1993</v>
      </c>
      <c r="I1256" s="38">
        <v>5256</v>
      </c>
      <c r="J1256" s="38">
        <v>2022</v>
      </c>
      <c r="K1256" s="38">
        <v>10108</v>
      </c>
      <c r="L1256" s="38" t="s">
        <v>734</v>
      </c>
      <c r="M1256" s="57" t="s">
        <v>808</v>
      </c>
      <c r="N1256" s="45"/>
      <c r="O1256" s="27" t="s">
        <v>800</v>
      </c>
      <c r="P1256" s="27"/>
      <c r="Q1256" s="27"/>
      <c r="R1256" s="27"/>
      <c r="S1256" s="27"/>
      <c r="T1256" s="27"/>
      <c r="U1256" s="27"/>
      <c r="V1256" s="27"/>
      <c r="W1256" s="27"/>
      <c r="X1256" s="27"/>
      <c r="Y1256" s="27"/>
      <c r="Z1256" s="27"/>
      <c r="AA1256" s="27"/>
      <c r="AB1256" s="27"/>
      <c r="AC1256" s="27"/>
      <c r="AD1256" s="27"/>
      <c r="AE1256" s="27"/>
      <c r="AF1256" s="27"/>
      <c r="AG1256" s="27"/>
      <c r="AH1256" s="27"/>
    </row>
    <row r="1257" spans="1:34" ht="16">
      <c r="A1257" s="42" t="s">
        <v>806</v>
      </c>
      <c r="B1257" s="42" t="s">
        <v>260</v>
      </c>
      <c r="C1257" s="42" t="s">
        <v>796</v>
      </c>
      <c r="D1257" s="42" t="s">
        <v>567</v>
      </c>
      <c r="E1257" s="18" t="s">
        <v>807</v>
      </c>
      <c r="F1257" s="27" t="s">
        <v>636</v>
      </c>
      <c r="G1257" s="42" t="s">
        <v>761</v>
      </c>
      <c r="H1257" s="43">
        <v>1996</v>
      </c>
      <c r="I1257" s="38">
        <v>58625</v>
      </c>
      <c r="J1257" s="38">
        <v>20620</v>
      </c>
      <c r="K1257" s="38">
        <v>167385</v>
      </c>
      <c r="L1257" s="38" t="s">
        <v>734</v>
      </c>
      <c r="M1257" s="57" t="s">
        <v>808</v>
      </c>
      <c r="N1257" s="45"/>
      <c r="O1257" s="27"/>
      <c r="P1257" s="27"/>
      <c r="Q1257" s="27"/>
      <c r="R1257" s="27"/>
      <c r="S1257" s="27"/>
      <c r="T1257" s="27"/>
      <c r="U1257" s="27"/>
      <c r="V1257" s="27"/>
      <c r="W1257" s="27"/>
      <c r="X1257" s="27"/>
      <c r="Y1257" s="27"/>
      <c r="Z1257" s="27"/>
      <c r="AA1257" s="27"/>
      <c r="AB1257" s="27"/>
      <c r="AC1257" s="27"/>
      <c r="AD1257" s="27"/>
      <c r="AE1257" s="27"/>
      <c r="AF1257" s="27"/>
      <c r="AG1257" s="27"/>
      <c r="AH1257" s="27"/>
    </row>
    <row r="1258" spans="1:34" ht="16">
      <c r="A1258" s="42" t="s">
        <v>806</v>
      </c>
      <c r="B1258" s="42" t="s">
        <v>260</v>
      </c>
      <c r="C1258" s="42" t="s">
        <v>796</v>
      </c>
      <c r="D1258" s="42" t="s">
        <v>567</v>
      </c>
      <c r="E1258" s="18" t="s">
        <v>807</v>
      </c>
      <c r="F1258" s="27" t="s">
        <v>636</v>
      </c>
      <c r="G1258" s="42" t="s">
        <v>761</v>
      </c>
      <c r="H1258" s="43">
        <v>2001</v>
      </c>
      <c r="I1258" s="38">
        <v>15768</v>
      </c>
      <c r="J1258" s="38">
        <v>6873</v>
      </c>
      <c r="K1258" s="38">
        <v>40027</v>
      </c>
      <c r="L1258" s="38" t="s">
        <v>734</v>
      </c>
      <c r="M1258" s="57" t="s">
        <v>808</v>
      </c>
      <c r="N1258" s="45"/>
      <c r="O1258" s="27"/>
      <c r="P1258" s="27"/>
      <c r="Q1258" s="27"/>
      <c r="R1258" s="27"/>
      <c r="S1258" s="27"/>
      <c r="T1258" s="27"/>
      <c r="U1258" s="27"/>
      <c r="V1258" s="27"/>
      <c r="W1258" s="27"/>
      <c r="X1258" s="27"/>
      <c r="Y1258" s="27"/>
      <c r="Z1258" s="27"/>
      <c r="AA1258" s="27"/>
      <c r="AB1258" s="27"/>
      <c r="AC1258" s="27"/>
      <c r="AD1258" s="27"/>
      <c r="AE1258" s="27"/>
      <c r="AF1258" s="27"/>
      <c r="AG1258" s="27"/>
      <c r="AH1258" s="27"/>
    </row>
    <row r="1259" spans="1:34" ht="16">
      <c r="A1259" s="42" t="s">
        <v>806</v>
      </c>
      <c r="B1259" s="42" t="s">
        <v>260</v>
      </c>
      <c r="C1259" s="42" t="s">
        <v>796</v>
      </c>
      <c r="D1259" s="42" t="s">
        <v>567</v>
      </c>
      <c r="E1259" s="18" t="s">
        <v>807</v>
      </c>
      <c r="F1259" s="27" t="s">
        <v>636</v>
      </c>
      <c r="G1259" s="42" t="s">
        <v>761</v>
      </c>
      <c r="H1259" s="43">
        <v>2005</v>
      </c>
      <c r="I1259" s="38">
        <v>17790</v>
      </c>
      <c r="J1259" s="38">
        <v>6469</v>
      </c>
      <c r="K1259" s="38">
        <v>49326</v>
      </c>
      <c r="L1259" s="38" t="s">
        <v>734</v>
      </c>
      <c r="M1259" s="57" t="s">
        <v>808</v>
      </c>
      <c r="N1259" s="45"/>
      <c r="O1259" s="27"/>
      <c r="P1259" s="27"/>
      <c r="Q1259" s="27"/>
      <c r="R1259" s="27"/>
      <c r="S1259" s="27"/>
      <c r="T1259" s="27"/>
      <c r="U1259" s="27"/>
      <c r="V1259" s="27"/>
      <c r="W1259" s="27"/>
      <c r="X1259" s="27"/>
      <c r="Y1259" s="27"/>
      <c r="Z1259" s="27"/>
      <c r="AA1259" s="27"/>
      <c r="AB1259" s="27"/>
      <c r="AC1259" s="27"/>
      <c r="AD1259" s="27"/>
      <c r="AE1259" s="27"/>
      <c r="AF1259" s="27"/>
      <c r="AG1259" s="27"/>
      <c r="AH1259" s="27"/>
    </row>
    <row r="1260" spans="1:34" ht="16">
      <c r="A1260" s="42" t="s">
        <v>806</v>
      </c>
      <c r="B1260" s="42" t="s">
        <v>260</v>
      </c>
      <c r="C1260" s="42" t="s">
        <v>796</v>
      </c>
      <c r="D1260" s="42" t="s">
        <v>567</v>
      </c>
      <c r="E1260" s="18" t="s">
        <v>807</v>
      </c>
      <c r="F1260" s="27" t="s">
        <v>636</v>
      </c>
      <c r="G1260" s="42" t="s">
        <v>761</v>
      </c>
      <c r="H1260" s="43">
        <v>2008</v>
      </c>
      <c r="I1260" s="38">
        <v>29515</v>
      </c>
      <c r="J1260" s="38">
        <v>14960</v>
      </c>
      <c r="K1260" s="38">
        <v>59838</v>
      </c>
      <c r="L1260" s="38" t="s">
        <v>734</v>
      </c>
      <c r="M1260" s="57" t="s">
        <v>808</v>
      </c>
      <c r="N1260" s="45"/>
      <c r="O1260" s="27"/>
      <c r="P1260" s="27"/>
      <c r="Q1260" s="27"/>
      <c r="R1260" s="27"/>
      <c r="S1260" s="27"/>
      <c r="T1260" s="27"/>
      <c r="U1260" s="27"/>
      <c r="V1260" s="27"/>
      <c r="W1260" s="27"/>
      <c r="X1260" s="27"/>
      <c r="Y1260" s="27"/>
      <c r="Z1260" s="27"/>
      <c r="AA1260" s="27"/>
      <c r="AB1260" s="27"/>
      <c r="AC1260" s="27"/>
      <c r="AD1260" s="27"/>
      <c r="AE1260" s="27"/>
      <c r="AF1260" s="27"/>
      <c r="AG1260" s="27"/>
      <c r="AH1260" s="27"/>
    </row>
    <row r="1261" spans="1:34" ht="16">
      <c r="A1261" s="42" t="s">
        <v>806</v>
      </c>
      <c r="B1261" s="42" t="s">
        <v>260</v>
      </c>
      <c r="C1261" s="42" t="s">
        <v>796</v>
      </c>
      <c r="D1261" s="42" t="s">
        <v>567</v>
      </c>
      <c r="E1261" s="18" t="s">
        <v>807</v>
      </c>
      <c r="F1261" s="27" t="s">
        <v>636</v>
      </c>
      <c r="G1261" s="42" t="s">
        <v>761</v>
      </c>
      <c r="H1261" s="43">
        <v>2014</v>
      </c>
      <c r="I1261" s="38">
        <v>23854</v>
      </c>
      <c r="J1261" s="38">
        <v>10512</v>
      </c>
      <c r="K1261" s="38">
        <v>55795</v>
      </c>
      <c r="L1261" s="38" t="s">
        <v>734</v>
      </c>
      <c r="M1261" s="57" t="s">
        <v>808</v>
      </c>
      <c r="N1261" s="45"/>
      <c r="O1261" s="27"/>
      <c r="P1261" s="27"/>
      <c r="Q1261" s="27"/>
      <c r="R1261" s="27"/>
      <c r="S1261" s="27"/>
      <c r="T1261" s="27"/>
      <c r="U1261" s="27"/>
      <c r="V1261" s="27"/>
      <c r="W1261" s="27"/>
      <c r="X1261" s="27"/>
      <c r="Y1261" s="27"/>
      <c r="Z1261" s="27"/>
      <c r="AA1261" s="27"/>
      <c r="AB1261" s="27"/>
      <c r="AC1261" s="27"/>
      <c r="AD1261" s="27"/>
      <c r="AE1261" s="27"/>
      <c r="AF1261" s="27"/>
      <c r="AG1261" s="27"/>
      <c r="AH1261" s="27"/>
    </row>
    <row r="1262" spans="1:34" ht="13">
      <c r="A1262" s="42" t="s">
        <v>806</v>
      </c>
      <c r="B1262" s="18" t="s">
        <v>260</v>
      </c>
      <c r="C1262" s="42" t="s">
        <v>796</v>
      </c>
      <c r="D1262" s="18" t="s">
        <v>567</v>
      </c>
      <c r="E1262" s="18" t="s">
        <v>807</v>
      </c>
      <c r="F1262" s="18" t="s">
        <v>621</v>
      </c>
      <c r="G1262" s="18" t="s">
        <v>622</v>
      </c>
      <c r="H1262" s="18">
        <v>1996</v>
      </c>
      <c r="I1262" s="40">
        <v>37147</v>
      </c>
      <c r="J1262" s="40">
        <v>21558</v>
      </c>
      <c r="K1262" s="26">
        <v>64010</v>
      </c>
      <c r="L1262" s="41" t="s">
        <v>623</v>
      </c>
      <c r="M1262" s="57" t="s">
        <v>808</v>
      </c>
      <c r="N1262" s="18"/>
    </row>
    <row r="1263" spans="1:34" ht="13">
      <c r="A1263" s="42" t="s">
        <v>806</v>
      </c>
      <c r="B1263" s="18" t="s">
        <v>260</v>
      </c>
      <c r="C1263" s="42" t="s">
        <v>796</v>
      </c>
      <c r="D1263" s="18" t="s">
        <v>567</v>
      </c>
      <c r="E1263" s="18" t="s">
        <v>807</v>
      </c>
      <c r="F1263" s="18" t="s">
        <v>621</v>
      </c>
      <c r="G1263" s="18" t="s">
        <v>622</v>
      </c>
      <c r="H1263" s="18">
        <v>2001</v>
      </c>
      <c r="I1263" s="40">
        <v>38533</v>
      </c>
      <c r="J1263" s="40">
        <v>22194</v>
      </c>
      <c r="K1263" s="26">
        <v>66900</v>
      </c>
      <c r="L1263" s="41" t="s">
        <v>623</v>
      </c>
      <c r="M1263" s="57" t="s">
        <v>808</v>
      </c>
    </row>
    <row r="1264" spans="1:34" ht="13">
      <c r="A1264" s="42" t="s">
        <v>806</v>
      </c>
      <c r="B1264" s="18" t="s">
        <v>260</v>
      </c>
      <c r="C1264" s="42" t="s">
        <v>796</v>
      </c>
      <c r="D1264" s="18" t="s">
        <v>567</v>
      </c>
      <c r="E1264" s="18" t="s">
        <v>807</v>
      </c>
      <c r="F1264" s="18" t="s">
        <v>621</v>
      </c>
      <c r="G1264" s="18" t="s">
        <v>622</v>
      </c>
      <c r="H1264" s="18">
        <v>2005</v>
      </c>
      <c r="I1264" s="40">
        <v>39008</v>
      </c>
      <c r="J1264" s="40">
        <v>14657</v>
      </c>
      <c r="K1264" s="26">
        <v>103814</v>
      </c>
      <c r="L1264" s="41" t="s">
        <v>623</v>
      </c>
      <c r="M1264" s="57" t="s">
        <v>808</v>
      </c>
    </row>
    <row r="1265" spans="1:34" ht="13">
      <c r="A1265" s="42" t="s">
        <v>806</v>
      </c>
      <c r="B1265" s="18" t="s">
        <v>260</v>
      </c>
      <c r="C1265" s="42" t="s">
        <v>796</v>
      </c>
      <c r="D1265" s="18" t="s">
        <v>567</v>
      </c>
      <c r="E1265" s="18" t="s">
        <v>807</v>
      </c>
      <c r="F1265" s="18" t="s">
        <v>621</v>
      </c>
      <c r="G1265" s="18" t="s">
        <v>622</v>
      </c>
      <c r="H1265" s="18">
        <v>2008</v>
      </c>
      <c r="I1265" s="40">
        <v>37369</v>
      </c>
      <c r="J1265" s="40">
        <v>18761</v>
      </c>
      <c r="K1265" s="26">
        <v>74432</v>
      </c>
      <c r="L1265" s="41" t="s">
        <v>623</v>
      </c>
      <c r="M1265" s="57" t="s">
        <v>808</v>
      </c>
    </row>
    <row r="1266" spans="1:34" ht="13">
      <c r="A1266" s="42" t="s">
        <v>806</v>
      </c>
      <c r="B1266" s="18" t="s">
        <v>260</v>
      </c>
      <c r="C1266" s="42" t="s">
        <v>796</v>
      </c>
      <c r="D1266" s="18" t="s">
        <v>567</v>
      </c>
      <c r="E1266" s="18" t="s">
        <v>807</v>
      </c>
      <c r="F1266" s="18" t="s">
        <v>621</v>
      </c>
      <c r="G1266" s="18" t="s">
        <v>622</v>
      </c>
      <c r="H1266" s="18">
        <v>2014</v>
      </c>
      <c r="I1266" s="40">
        <v>28901</v>
      </c>
      <c r="J1266" s="40">
        <v>15240</v>
      </c>
      <c r="K1266" s="26">
        <v>54807</v>
      </c>
      <c r="L1266" s="41" t="s">
        <v>623</v>
      </c>
      <c r="M1266" s="57" t="s">
        <v>808</v>
      </c>
    </row>
    <row r="1267" spans="1:34" ht="13">
      <c r="A1267" s="42" t="s">
        <v>806</v>
      </c>
      <c r="B1267" s="18" t="s">
        <v>260</v>
      </c>
      <c r="C1267" s="42" t="s">
        <v>796</v>
      </c>
      <c r="D1267" s="18" t="s">
        <v>567</v>
      </c>
      <c r="E1267" s="18" t="s">
        <v>807</v>
      </c>
      <c r="F1267" s="18" t="s">
        <v>621</v>
      </c>
      <c r="G1267" s="18" t="s">
        <v>622</v>
      </c>
      <c r="H1267" s="18">
        <v>2018</v>
      </c>
      <c r="I1267" s="40">
        <v>34999</v>
      </c>
      <c r="J1267" s="40">
        <v>22756</v>
      </c>
      <c r="K1267" s="26">
        <v>53829</v>
      </c>
      <c r="L1267" s="41" t="s">
        <v>623</v>
      </c>
      <c r="M1267" s="57" t="s">
        <v>808</v>
      </c>
    </row>
    <row r="1268" spans="1:34" ht="16">
      <c r="A1268" s="42" t="s">
        <v>283</v>
      </c>
      <c r="B1268" s="42" t="s">
        <v>260</v>
      </c>
      <c r="C1268" s="42" t="s">
        <v>809</v>
      </c>
      <c r="D1268" s="42" t="s">
        <v>565</v>
      </c>
      <c r="E1268" s="18" t="s">
        <v>810</v>
      </c>
      <c r="F1268" s="27" t="s">
        <v>636</v>
      </c>
      <c r="G1268" s="42" t="s">
        <v>761</v>
      </c>
      <c r="H1268" s="43">
        <v>2002</v>
      </c>
      <c r="I1268" s="38">
        <v>4003</v>
      </c>
      <c r="J1268" s="38">
        <v>1279</v>
      </c>
      <c r="K1268" s="38">
        <v>12528</v>
      </c>
      <c r="L1268" s="38" t="s">
        <v>612</v>
      </c>
      <c r="M1268" s="57" t="s">
        <v>811</v>
      </c>
      <c r="N1268" s="45"/>
      <c r="O1268" s="27"/>
      <c r="P1268" s="27"/>
      <c r="Q1268" s="27"/>
      <c r="R1268" s="27"/>
      <c r="S1268" s="27"/>
      <c r="T1268" s="27"/>
      <c r="U1268" s="27"/>
      <c r="V1268" s="27"/>
      <c r="W1268" s="27"/>
      <c r="X1268" s="27"/>
      <c r="Y1268" s="27"/>
      <c r="Z1268" s="27"/>
      <c r="AA1268" s="27"/>
      <c r="AB1268" s="27"/>
      <c r="AC1268" s="27"/>
      <c r="AD1268" s="27"/>
      <c r="AE1268" s="27"/>
      <c r="AF1268" s="27"/>
      <c r="AG1268" s="27"/>
      <c r="AH1268" s="27"/>
    </row>
    <row r="1269" spans="1:34" ht="16">
      <c r="A1269" s="42" t="s">
        <v>283</v>
      </c>
      <c r="B1269" s="42" t="s">
        <v>260</v>
      </c>
      <c r="C1269" s="42" t="s">
        <v>809</v>
      </c>
      <c r="D1269" s="42" t="s">
        <v>565</v>
      </c>
      <c r="E1269" s="18" t="s">
        <v>810</v>
      </c>
      <c r="F1269" s="27" t="s">
        <v>636</v>
      </c>
      <c r="G1269" s="42" t="s">
        <v>761</v>
      </c>
      <c r="H1269" s="43">
        <v>2010</v>
      </c>
      <c r="I1269" s="38">
        <v>10957</v>
      </c>
      <c r="J1269" s="38">
        <v>4879</v>
      </c>
      <c r="K1269" s="38">
        <v>24609</v>
      </c>
      <c r="L1269" s="38" t="s">
        <v>612</v>
      </c>
      <c r="M1269" s="57" t="s">
        <v>811</v>
      </c>
      <c r="N1269" s="45"/>
      <c r="O1269" s="27"/>
      <c r="P1269" s="27"/>
      <c r="Q1269" s="27"/>
      <c r="R1269" s="27"/>
      <c r="S1269" s="27"/>
      <c r="T1269" s="27"/>
      <c r="U1269" s="27"/>
      <c r="V1269" s="27"/>
      <c r="W1269" s="27"/>
      <c r="X1269" s="27"/>
      <c r="Y1269" s="27"/>
      <c r="Z1269" s="27"/>
      <c r="AA1269" s="27"/>
      <c r="AB1269" s="27"/>
      <c r="AC1269" s="27"/>
      <c r="AD1269" s="27"/>
      <c r="AE1269" s="27"/>
      <c r="AF1269" s="27"/>
      <c r="AG1269" s="27"/>
      <c r="AH1269" s="27"/>
    </row>
    <row r="1270" spans="1:34" ht="16">
      <c r="A1270" s="42" t="s">
        <v>283</v>
      </c>
      <c r="B1270" s="42" t="s">
        <v>260</v>
      </c>
      <c r="C1270" s="42" t="s">
        <v>809</v>
      </c>
      <c r="D1270" s="42" t="s">
        <v>565</v>
      </c>
      <c r="E1270" s="18" t="s">
        <v>810</v>
      </c>
      <c r="F1270" s="27" t="s">
        <v>636</v>
      </c>
      <c r="G1270" s="42" t="s">
        <v>761</v>
      </c>
      <c r="H1270" s="43">
        <v>2017</v>
      </c>
      <c r="I1270" s="38">
        <v>6245</v>
      </c>
      <c r="J1270" s="38">
        <v>2481</v>
      </c>
      <c r="K1270" s="38">
        <v>15718</v>
      </c>
      <c r="L1270" s="38" t="s">
        <v>612</v>
      </c>
      <c r="M1270" s="57" t="s">
        <v>811</v>
      </c>
      <c r="N1270" s="45"/>
      <c r="O1270" s="27"/>
      <c r="P1270" s="27"/>
      <c r="Q1270" s="27"/>
      <c r="R1270" s="27"/>
      <c r="S1270" s="27"/>
      <c r="T1270" s="27"/>
      <c r="U1270" s="27"/>
      <c r="V1270" s="27"/>
      <c r="W1270" s="27"/>
      <c r="X1270" s="27"/>
      <c r="Y1270" s="27"/>
      <c r="Z1270" s="27"/>
      <c r="AA1270" s="27"/>
      <c r="AB1270" s="27"/>
      <c r="AC1270" s="27"/>
      <c r="AD1270" s="27"/>
      <c r="AE1270" s="27"/>
      <c r="AF1270" s="27"/>
      <c r="AG1270" s="27"/>
      <c r="AH1270" s="27"/>
    </row>
    <row r="1271" spans="1:34" ht="16">
      <c r="A1271" s="42" t="s">
        <v>283</v>
      </c>
      <c r="B1271" s="42" t="s">
        <v>260</v>
      </c>
      <c r="C1271" s="42" t="s">
        <v>809</v>
      </c>
      <c r="D1271" s="42" t="s">
        <v>565</v>
      </c>
      <c r="E1271" s="18" t="s">
        <v>810</v>
      </c>
      <c r="F1271" s="27" t="s">
        <v>106</v>
      </c>
      <c r="G1271" s="42" t="s">
        <v>761</v>
      </c>
      <c r="H1271" s="43">
        <v>2002</v>
      </c>
      <c r="I1271" s="38">
        <v>6916</v>
      </c>
      <c r="J1271" s="38">
        <v>4623</v>
      </c>
      <c r="K1271" s="38">
        <v>10346</v>
      </c>
      <c r="L1271" s="38" t="s">
        <v>612</v>
      </c>
      <c r="M1271" s="57" t="s">
        <v>811</v>
      </c>
      <c r="N1271" s="45"/>
      <c r="O1271" s="27"/>
      <c r="P1271" s="27"/>
      <c r="Q1271" s="27"/>
      <c r="R1271" s="27"/>
      <c r="S1271" s="27"/>
      <c r="T1271" s="27"/>
      <c r="U1271" s="27"/>
      <c r="V1271" s="27"/>
      <c r="W1271" s="27"/>
      <c r="X1271" s="27"/>
      <c r="Y1271" s="27"/>
      <c r="Z1271" s="27"/>
      <c r="AA1271" s="27"/>
      <c r="AB1271" s="27"/>
      <c r="AC1271" s="27"/>
      <c r="AD1271" s="27"/>
      <c r="AE1271" s="27"/>
      <c r="AF1271" s="27"/>
      <c r="AG1271" s="27"/>
      <c r="AH1271" s="27"/>
    </row>
    <row r="1272" spans="1:34" ht="16">
      <c r="A1272" s="42" t="s">
        <v>283</v>
      </c>
      <c r="B1272" s="42" t="s">
        <v>260</v>
      </c>
      <c r="C1272" s="42" t="s">
        <v>809</v>
      </c>
      <c r="D1272" s="42" t="s">
        <v>565</v>
      </c>
      <c r="E1272" s="18" t="s">
        <v>810</v>
      </c>
      <c r="F1272" s="27" t="s">
        <v>106</v>
      </c>
      <c r="G1272" s="42" t="s">
        <v>761</v>
      </c>
      <c r="H1272" s="43">
        <v>2010</v>
      </c>
      <c r="I1272" s="38">
        <v>6174</v>
      </c>
      <c r="J1272" s="38">
        <v>4159</v>
      </c>
      <c r="K1272" s="38">
        <v>8165</v>
      </c>
      <c r="L1272" s="38" t="s">
        <v>612</v>
      </c>
      <c r="M1272" s="57" t="s">
        <v>811</v>
      </c>
      <c r="N1272" s="45"/>
      <c r="O1272" s="27"/>
      <c r="P1272" s="27"/>
      <c r="Q1272" s="27"/>
      <c r="R1272" s="27"/>
      <c r="S1272" s="27"/>
      <c r="T1272" s="27"/>
      <c r="U1272" s="27"/>
      <c r="V1272" s="27"/>
      <c r="W1272" s="27"/>
      <c r="X1272" s="27"/>
      <c r="Y1272" s="27"/>
      <c r="Z1272" s="27"/>
      <c r="AA1272" s="27"/>
      <c r="AB1272" s="27"/>
      <c r="AC1272" s="27"/>
      <c r="AD1272" s="27"/>
      <c r="AE1272" s="27"/>
      <c r="AF1272" s="27"/>
      <c r="AG1272" s="27"/>
      <c r="AH1272" s="27"/>
    </row>
    <row r="1273" spans="1:34" ht="16">
      <c r="A1273" s="42" t="s">
        <v>283</v>
      </c>
      <c r="B1273" s="42" t="s">
        <v>260</v>
      </c>
      <c r="C1273" s="42" t="s">
        <v>809</v>
      </c>
      <c r="D1273" s="42" t="s">
        <v>565</v>
      </c>
      <c r="E1273" s="18" t="s">
        <v>810</v>
      </c>
      <c r="F1273" s="27" t="s">
        <v>106</v>
      </c>
      <c r="G1273" s="42" t="s">
        <v>761</v>
      </c>
      <c r="H1273" s="43">
        <v>2017</v>
      </c>
      <c r="I1273" s="38">
        <v>7385</v>
      </c>
      <c r="J1273" s="38">
        <v>4817</v>
      </c>
      <c r="K1273" s="38">
        <v>11322</v>
      </c>
      <c r="L1273" s="38" t="s">
        <v>612</v>
      </c>
      <c r="M1273" s="57" t="s">
        <v>811</v>
      </c>
      <c r="N1273" s="45"/>
      <c r="O1273" s="27"/>
      <c r="P1273" s="27"/>
      <c r="Q1273" s="27"/>
      <c r="R1273" s="27"/>
      <c r="S1273" s="27"/>
      <c r="T1273" s="27"/>
      <c r="U1273" s="27"/>
      <c r="V1273" s="27"/>
      <c r="W1273" s="27"/>
      <c r="X1273" s="27"/>
      <c r="Y1273" s="27"/>
      <c r="Z1273" s="27"/>
      <c r="AA1273" s="27"/>
      <c r="AB1273" s="27"/>
      <c r="AC1273" s="27"/>
      <c r="AD1273" s="27"/>
      <c r="AE1273" s="27"/>
      <c r="AF1273" s="27"/>
      <c r="AG1273" s="27"/>
      <c r="AH1273" s="27"/>
    </row>
    <row r="1274" spans="1:34" ht="16">
      <c r="A1274" s="42" t="s">
        <v>266</v>
      </c>
      <c r="B1274" s="42" t="s">
        <v>260</v>
      </c>
      <c r="C1274" s="42" t="s">
        <v>796</v>
      </c>
      <c r="D1274" s="42" t="s">
        <v>812</v>
      </c>
      <c r="E1274" s="18" t="s">
        <v>813</v>
      </c>
      <c r="F1274" s="27" t="s">
        <v>636</v>
      </c>
      <c r="G1274" s="42" t="s">
        <v>761</v>
      </c>
      <c r="H1274" s="43">
        <v>1991</v>
      </c>
      <c r="I1274" s="38">
        <v>320220</v>
      </c>
      <c r="J1274" s="38">
        <v>193148</v>
      </c>
      <c r="K1274" s="38">
        <v>535689</v>
      </c>
      <c r="L1274" s="38" t="s">
        <v>734</v>
      </c>
      <c r="M1274" s="57" t="s">
        <v>814</v>
      </c>
      <c r="N1274" s="45"/>
      <c r="O1274" s="27" t="s">
        <v>800</v>
      </c>
      <c r="P1274" s="27"/>
      <c r="Q1274" s="27"/>
      <c r="R1274" s="27"/>
      <c r="S1274" s="27"/>
      <c r="T1274" s="27"/>
      <c r="U1274" s="27"/>
      <c r="V1274" s="27"/>
      <c r="W1274" s="27"/>
      <c r="X1274" s="27"/>
      <c r="Y1274" s="27"/>
      <c r="Z1274" s="27"/>
      <c r="AA1274" s="27"/>
      <c r="AB1274" s="27"/>
      <c r="AC1274" s="27"/>
      <c r="AD1274" s="27"/>
      <c r="AE1274" s="27"/>
      <c r="AF1274" s="27"/>
      <c r="AG1274" s="27"/>
      <c r="AH1274" s="27"/>
    </row>
    <row r="1275" spans="1:34" ht="16">
      <c r="A1275" s="42" t="s">
        <v>266</v>
      </c>
      <c r="B1275" s="42" t="s">
        <v>260</v>
      </c>
      <c r="C1275" s="42" t="s">
        <v>796</v>
      </c>
      <c r="D1275" s="42" t="s">
        <v>812</v>
      </c>
      <c r="E1275" s="18" t="s">
        <v>813</v>
      </c>
      <c r="F1275" s="27" t="s">
        <v>636</v>
      </c>
      <c r="G1275" s="42" t="s">
        <v>761</v>
      </c>
      <c r="H1275" s="43">
        <v>1993</v>
      </c>
      <c r="I1275" s="38">
        <v>590530</v>
      </c>
      <c r="J1275" s="38">
        <v>347436</v>
      </c>
      <c r="K1275" s="38">
        <v>1038044</v>
      </c>
      <c r="L1275" s="38" t="s">
        <v>734</v>
      </c>
      <c r="M1275" s="57" t="s">
        <v>814</v>
      </c>
      <c r="N1275" s="45"/>
      <c r="O1275" s="27" t="s">
        <v>800</v>
      </c>
      <c r="P1275" s="27"/>
      <c r="Q1275" s="27"/>
      <c r="R1275" s="27"/>
      <c r="S1275" s="27"/>
      <c r="T1275" s="27"/>
      <c r="U1275" s="27"/>
      <c r="V1275" s="27"/>
      <c r="W1275" s="27"/>
      <c r="X1275" s="27"/>
      <c r="Y1275" s="27"/>
      <c r="Z1275" s="27"/>
      <c r="AA1275" s="27"/>
      <c r="AB1275" s="27"/>
      <c r="AC1275" s="27"/>
      <c r="AD1275" s="27"/>
      <c r="AE1275" s="27"/>
      <c r="AF1275" s="27"/>
      <c r="AG1275" s="27"/>
      <c r="AH1275" s="27"/>
    </row>
    <row r="1276" spans="1:34" ht="16">
      <c r="A1276" s="42" t="s">
        <v>266</v>
      </c>
      <c r="B1276" s="42" t="s">
        <v>260</v>
      </c>
      <c r="C1276" s="42" t="s">
        <v>796</v>
      </c>
      <c r="D1276" s="42" t="s">
        <v>812</v>
      </c>
      <c r="E1276" s="18" t="s">
        <v>813</v>
      </c>
      <c r="F1276" s="27" t="s">
        <v>636</v>
      </c>
      <c r="G1276" s="42" t="s">
        <v>761</v>
      </c>
      <c r="H1276" s="43">
        <v>1996</v>
      </c>
      <c r="I1276" s="38">
        <v>462846</v>
      </c>
      <c r="J1276" s="38">
        <v>297100</v>
      </c>
      <c r="K1276" s="38">
        <v>733564</v>
      </c>
      <c r="L1276" s="38" t="s">
        <v>734</v>
      </c>
      <c r="M1276" s="57" t="s">
        <v>814</v>
      </c>
      <c r="N1276" s="45"/>
      <c r="O1276" s="27"/>
      <c r="P1276" s="27"/>
      <c r="Q1276" s="27"/>
      <c r="R1276" s="27"/>
      <c r="S1276" s="27"/>
      <c r="T1276" s="27"/>
      <c r="U1276" s="27"/>
      <c r="V1276" s="27"/>
      <c r="W1276" s="27"/>
      <c r="X1276" s="27"/>
      <c r="Y1276" s="27"/>
      <c r="Z1276" s="27"/>
      <c r="AA1276" s="27"/>
      <c r="AB1276" s="27"/>
      <c r="AC1276" s="27"/>
      <c r="AD1276" s="27"/>
      <c r="AE1276" s="27"/>
      <c r="AF1276" s="27"/>
      <c r="AG1276" s="27"/>
      <c r="AH1276" s="27"/>
    </row>
    <row r="1277" spans="1:34" ht="16">
      <c r="A1277" s="42" t="s">
        <v>266</v>
      </c>
      <c r="B1277" s="42" t="s">
        <v>260</v>
      </c>
      <c r="C1277" s="42" t="s">
        <v>796</v>
      </c>
      <c r="D1277" s="42" t="s">
        <v>812</v>
      </c>
      <c r="E1277" s="18" t="s">
        <v>813</v>
      </c>
      <c r="F1277" s="27" t="s">
        <v>636</v>
      </c>
      <c r="G1277" s="42" t="s">
        <v>761</v>
      </c>
      <c r="H1277" s="43">
        <v>2001</v>
      </c>
      <c r="I1277" s="38">
        <v>555749</v>
      </c>
      <c r="J1277" s="38">
        <v>285022</v>
      </c>
      <c r="K1277" s="38">
        <v>1097176</v>
      </c>
      <c r="L1277" s="38" t="s">
        <v>734</v>
      </c>
      <c r="M1277" s="57" t="s">
        <v>814</v>
      </c>
      <c r="N1277" s="45"/>
      <c r="O1277" s="27"/>
      <c r="P1277" s="27"/>
      <c r="Q1277" s="27"/>
      <c r="R1277" s="27"/>
      <c r="S1277" s="27"/>
      <c r="T1277" s="27"/>
      <c r="U1277" s="27"/>
      <c r="V1277" s="27"/>
      <c r="W1277" s="27"/>
      <c r="X1277" s="27"/>
      <c r="Y1277" s="27"/>
      <c r="Z1277" s="27"/>
      <c r="AA1277" s="27"/>
      <c r="AB1277" s="27"/>
      <c r="AC1277" s="27"/>
      <c r="AD1277" s="27"/>
      <c r="AE1277" s="27"/>
      <c r="AF1277" s="27"/>
      <c r="AG1277" s="27"/>
      <c r="AH1277" s="27"/>
    </row>
    <row r="1278" spans="1:34" ht="16">
      <c r="A1278" s="42" t="s">
        <v>266</v>
      </c>
      <c r="B1278" s="42" t="s">
        <v>260</v>
      </c>
      <c r="C1278" s="42" t="s">
        <v>796</v>
      </c>
      <c r="D1278" s="42" t="s">
        <v>812</v>
      </c>
      <c r="E1278" s="18" t="s">
        <v>813</v>
      </c>
      <c r="F1278" s="27" t="s">
        <v>636</v>
      </c>
      <c r="G1278" s="42" t="s">
        <v>761</v>
      </c>
      <c r="H1278" s="43">
        <v>2005</v>
      </c>
      <c r="I1278" s="38">
        <v>693046</v>
      </c>
      <c r="J1278" s="38">
        <v>427852</v>
      </c>
      <c r="K1278" s="38">
        <v>1112935</v>
      </c>
      <c r="L1278" s="38" t="s">
        <v>734</v>
      </c>
      <c r="M1278" s="57" t="s">
        <v>814</v>
      </c>
      <c r="N1278" s="45"/>
      <c r="O1278" s="27"/>
      <c r="P1278" s="27"/>
      <c r="Q1278" s="27"/>
      <c r="R1278" s="27"/>
      <c r="S1278" s="27"/>
      <c r="T1278" s="27"/>
      <c r="U1278" s="27"/>
      <c r="V1278" s="27"/>
      <c r="W1278" s="27"/>
      <c r="X1278" s="27"/>
      <c r="Y1278" s="27"/>
      <c r="Z1278" s="27"/>
      <c r="AA1278" s="27"/>
      <c r="AB1278" s="27"/>
      <c r="AC1278" s="27"/>
      <c r="AD1278" s="27"/>
      <c r="AE1278" s="27"/>
      <c r="AF1278" s="27"/>
      <c r="AG1278" s="27"/>
      <c r="AH1278" s="27"/>
    </row>
    <row r="1279" spans="1:34" ht="16">
      <c r="A1279" s="42" t="s">
        <v>266</v>
      </c>
      <c r="B1279" s="42" t="s">
        <v>260</v>
      </c>
      <c r="C1279" s="42" t="s">
        <v>796</v>
      </c>
      <c r="D1279" s="42" t="s">
        <v>812</v>
      </c>
      <c r="E1279" s="18" t="s">
        <v>813</v>
      </c>
      <c r="F1279" s="27" t="s">
        <v>636</v>
      </c>
      <c r="G1279" s="42" t="s">
        <v>761</v>
      </c>
      <c r="H1279" s="43">
        <v>2008</v>
      </c>
      <c r="I1279" s="38">
        <v>659285</v>
      </c>
      <c r="J1279" s="38">
        <v>416191</v>
      </c>
      <c r="K1279" s="38">
        <v>1034975</v>
      </c>
      <c r="L1279" s="38" t="s">
        <v>734</v>
      </c>
      <c r="M1279" s="57" t="s">
        <v>814</v>
      </c>
      <c r="N1279" s="45"/>
      <c r="O1279" s="27"/>
      <c r="P1279" s="27"/>
      <c r="Q1279" s="27"/>
      <c r="R1279" s="27"/>
      <c r="S1279" s="27"/>
      <c r="T1279" s="27"/>
      <c r="U1279" s="27"/>
      <c r="V1279" s="27"/>
      <c r="W1279" s="27"/>
      <c r="X1279" s="27"/>
      <c r="Y1279" s="27"/>
      <c r="Z1279" s="27"/>
      <c r="AA1279" s="27"/>
      <c r="AB1279" s="27"/>
      <c r="AC1279" s="27"/>
      <c r="AD1279" s="27"/>
      <c r="AE1279" s="27"/>
      <c r="AF1279" s="27"/>
      <c r="AG1279" s="27"/>
      <c r="AH1279" s="27"/>
    </row>
    <row r="1280" spans="1:34" ht="16">
      <c r="A1280" s="42" t="s">
        <v>266</v>
      </c>
      <c r="B1280" s="42" t="s">
        <v>260</v>
      </c>
      <c r="C1280" s="42" t="s">
        <v>796</v>
      </c>
      <c r="D1280" s="42" t="s">
        <v>812</v>
      </c>
      <c r="E1280" s="18" t="s">
        <v>813</v>
      </c>
      <c r="F1280" s="27" t="s">
        <v>636</v>
      </c>
      <c r="G1280" s="42" t="s">
        <v>761</v>
      </c>
      <c r="H1280" s="43">
        <v>2014</v>
      </c>
      <c r="I1280" s="38">
        <v>1426008</v>
      </c>
      <c r="J1280" s="38">
        <v>878046</v>
      </c>
      <c r="K1280" s="38">
        <v>2304461</v>
      </c>
      <c r="L1280" s="38" t="s">
        <v>734</v>
      </c>
      <c r="M1280" s="57" t="s">
        <v>814</v>
      </c>
      <c r="N1280" s="45"/>
      <c r="O1280" s="27"/>
      <c r="P1280" s="27"/>
      <c r="Q1280" s="27"/>
      <c r="R1280" s="27"/>
      <c r="S1280" s="27"/>
      <c r="T1280" s="27"/>
      <c r="U1280" s="27"/>
      <c r="V1280" s="27"/>
      <c r="W1280" s="27"/>
      <c r="X1280" s="27"/>
      <c r="Y1280" s="27"/>
      <c r="Z1280" s="27"/>
      <c r="AA1280" s="27"/>
      <c r="AB1280" s="27"/>
      <c r="AC1280" s="27"/>
      <c r="AD1280" s="27"/>
      <c r="AE1280" s="27"/>
      <c r="AF1280" s="27"/>
      <c r="AG1280" s="27"/>
      <c r="AH1280" s="27"/>
    </row>
    <row r="1281" spans="1:34" ht="13">
      <c r="A1281" s="42" t="s">
        <v>266</v>
      </c>
      <c r="B1281" s="18" t="s">
        <v>260</v>
      </c>
      <c r="C1281" s="42" t="s">
        <v>796</v>
      </c>
      <c r="D1281" s="18" t="s">
        <v>812</v>
      </c>
      <c r="E1281" s="18" t="s">
        <v>813</v>
      </c>
      <c r="F1281" s="18" t="s">
        <v>621</v>
      </c>
      <c r="G1281" s="18" t="s">
        <v>622</v>
      </c>
      <c r="H1281" s="18">
        <v>1996</v>
      </c>
      <c r="I1281" s="26">
        <v>328134</v>
      </c>
      <c r="J1281" s="26">
        <v>214423</v>
      </c>
      <c r="K1281" s="26">
        <v>502146</v>
      </c>
      <c r="L1281" s="41" t="s">
        <v>623</v>
      </c>
      <c r="M1281" s="57" t="s">
        <v>814</v>
      </c>
      <c r="N1281" s="18"/>
    </row>
    <row r="1282" spans="1:34" ht="13">
      <c r="A1282" s="42" t="s">
        <v>266</v>
      </c>
      <c r="B1282" s="18" t="s">
        <v>260</v>
      </c>
      <c r="C1282" s="42" t="s">
        <v>796</v>
      </c>
      <c r="D1282" s="18" t="s">
        <v>812</v>
      </c>
      <c r="E1282" s="18" t="s">
        <v>813</v>
      </c>
      <c r="F1282" s="18" t="s">
        <v>621</v>
      </c>
      <c r="G1282" s="18" t="s">
        <v>622</v>
      </c>
      <c r="H1282" s="18">
        <v>2001</v>
      </c>
      <c r="I1282" s="26">
        <v>391356</v>
      </c>
      <c r="J1282" s="26">
        <v>238750</v>
      </c>
      <c r="K1282" s="26">
        <v>641507</v>
      </c>
      <c r="L1282" s="41" t="s">
        <v>623</v>
      </c>
      <c r="M1282" s="57" t="s">
        <v>814</v>
      </c>
    </row>
    <row r="1283" spans="1:34" ht="13">
      <c r="A1283" s="42" t="s">
        <v>266</v>
      </c>
      <c r="B1283" s="18" t="s">
        <v>260</v>
      </c>
      <c r="C1283" s="42" t="s">
        <v>796</v>
      </c>
      <c r="D1283" s="18" t="s">
        <v>812</v>
      </c>
      <c r="E1283" s="18" t="s">
        <v>813</v>
      </c>
      <c r="F1283" s="18" t="s">
        <v>621</v>
      </c>
      <c r="G1283" s="18" t="s">
        <v>622</v>
      </c>
      <c r="H1283" s="18">
        <v>2005</v>
      </c>
      <c r="I1283" s="26">
        <v>394610</v>
      </c>
      <c r="J1283" s="26">
        <v>259781</v>
      </c>
      <c r="K1283" s="26">
        <v>599417</v>
      </c>
      <c r="L1283" s="41" t="s">
        <v>623</v>
      </c>
      <c r="M1283" s="57" t="s">
        <v>814</v>
      </c>
    </row>
    <row r="1284" spans="1:34" ht="13">
      <c r="A1284" s="42" t="s">
        <v>266</v>
      </c>
      <c r="B1284" s="18" t="s">
        <v>260</v>
      </c>
      <c r="C1284" s="42" t="s">
        <v>796</v>
      </c>
      <c r="D1284" s="18" t="s">
        <v>812</v>
      </c>
      <c r="E1284" s="18" t="s">
        <v>813</v>
      </c>
      <c r="F1284" s="18" t="s">
        <v>621</v>
      </c>
      <c r="G1284" s="18" t="s">
        <v>622</v>
      </c>
      <c r="H1284" s="18">
        <v>2008</v>
      </c>
      <c r="I1284" s="40">
        <v>433628</v>
      </c>
      <c r="J1284" s="40">
        <v>276866</v>
      </c>
      <c r="K1284" s="26">
        <v>679148</v>
      </c>
      <c r="L1284" s="41" t="s">
        <v>623</v>
      </c>
      <c r="M1284" s="57" t="s">
        <v>814</v>
      </c>
    </row>
    <row r="1285" spans="1:34" ht="13">
      <c r="A1285" s="42" t="s">
        <v>266</v>
      </c>
      <c r="B1285" s="18" t="s">
        <v>260</v>
      </c>
      <c r="C1285" s="42" t="s">
        <v>796</v>
      </c>
      <c r="D1285" s="18" t="s">
        <v>812</v>
      </c>
      <c r="E1285" s="18" t="s">
        <v>813</v>
      </c>
      <c r="F1285" s="18" t="s">
        <v>621</v>
      </c>
      <c r="G1285" s="18" t="s">
        <v>622</v>
      </c>
      <c r="H1285" s="18">
        <v>2014</v>
      </c>
      <c r="I1285" s="40">
        <v>880425</v>
      </c>
      <c r="J1285" s="40">
        <v>611073</v>
      </c>
      <c r="K1285" s="26">
        <v>1268504</v>
      </c>
      <c r="L1285" s="41" t="s">
        <v>623</v>
      </c>
      <c r="M1285" s="57" t="s">
        <v>814</v>
      </c>
    </row>
    <row r="1286" spans="1:34" ht="13">
      <c r="A1286" s="42" t="s">
        <v>266</v>
      </c>
      <c r="B1286" s="18" t="s">
        <v>260</v>
      </c>
      <c r="C1286" s="42" t="s">
        <v>796</v>
      </c>
      <c r="D1286" s="18" t="s">
        <v>812</v>
      </c>
      <c r="E1286" s="18" t="s">
        <v>813</v>
      </c>
      <c r="F1286" s="18" t="s">
        <v>621</v>
      </c>
      <c r="G1286" s="18" t="s">
        <v>622</v>
      </c>
      <c r="H1286" s="18">
        <v>2018</v>
      </c>
      <c r="I1286" s="40">
        <v>1056308</v>
      </c>
      <c r="J1286" s="40">
        <v>707020</v>
      </c>
      <c r="K1286" s="26">
        <v>1578155</v>
      </c>
      <c r="L1286" s="41" t="s">
        <v>623</v>
      </c>
      <c r="M1286" s="57" t="s">
        <v>814</v>
      </c>
    </row>
    <row r="1287" spans="1:34" ht="16">
      <c r="A1287" s="42" t="s">
        <v>283</v>
      </c>
      <c r="B1287" s="42" t="s">
        <v>260</v>
      </c>
      <c r="C1287" s="42" t="s">
        <v>809</v>
      </c>
      <c r="D1287" s="42" t="s">
        <v>815</v>
      </c>
      <c r="E1287" s="18" t="s">
        <v>816</v>
      </c>
      <c r="F1287" s="27" t="s">
        <v>106</v>
      </c>
      <c r="G1287" s="42" t="s">
        <v>761</v>
      </c>
      <c r="H1287" s="43">
        <v>2002</v>
      </c>
      <c r="I1287" s="38">
        <v>15198</v>
      </c>
      <c r="J1287" s="38">
        <v>10900</v>
      </c>
      <c r="K1287" s="38">
        <v>21191</v>
      </c>
      <c r="L1287" s="38" t="s">
        <v>612</v>
      </c>
      <c r="M1287" s="57" t="s">
        <v>817</v>
      </c>
      <c r="N1287" s="45"/>
      <c r="O1287" s="27"/>
      <c r="P1287" s="27"/>
      <c r="Q1287" s="27"/>
      <c r="R1287" s="27"/>
      <c r="S1287" s="27"/>
      <c r="T1287" s="27"/>
      <c r="U1287" s="27"/>
      <c r="V1287" s="27"/>
      <c r="W1287" s="27"/>
      <c r="X1287" s="27"/>
      <c r="Y1287" s="27"/>
      <c r="Z1287" s="27"/>
      <c r="AA1287" s="27"/>
      <c r="AB1287" s="27"/>
      <c r="AC1287" s="27"/>
      <c r="AD1287" s="27"/>
      <c r="AE1287" s="27"/>
      <c r="AF1287" s="27"/>
      <c r="AG1287" s="27"/>
      <c r="AH1287" s="27"/>
    </row>
    <row r="1288" spans="1:34" ht="16">
      <c r="A1288" s="42" t="s">
        <v>283</v>
      </c>
      <c r="B1288" s="42" t="s">
        <v>260</v>
      </c>
      <c r="C1288" s="42" t="s">
        <v>809</v>
      </c>
      <c r="D1288" s="42" t="s">
        <v>815</v>
      </c>
      <c r="E1288" s="18" t="s">
        <v>816</v>
      </c>
      <c r="F1288" s="27" t="s">
        <v>106</v>
      </c>
      <c r="G1288" s="42" t="s">
        <v>761</v>
      </c>
      <c r="H1288" s="43">
        <v>2010</v>
      </c>
      <c r="I1288" s="38">
        <v>15343</v>
      </c>
      <c r="J1288" s="38">
        <v>11039</v>
      </c>
      <c r="K1288" s="38">
        <v>21326</v>
      </c>
      <c r="L1288" s="38" t="s">
        <v>612</v>
      </c>
      <c r="M1288" s="57" t="s">
        <v>817</v>
      </c>
      <c r="N1288" s="45"/>
      <c r="O1288" s="27"/>
      <c r="P1288" s="27"/>
      <c r="Q1288" s="27"/>
      <c r="R1288" s="27"/>
      <c r="S1288" s="27"/>
      <c r="T1288" s="27"/>
      <c r="U1288" s="27"/>
      <c r="V1288" s="27"/>
      <c r="W1288" s="27"/>
      <c r="X1288" s="27"/>
      <c r="Y1288" s="27"/>
      <c r="Z1288" s="27"/>
      <c r="AA1288" s="27"/>
      <c r="AB1288" s="27"/>
      <c r="AC1288" s="27"/>
      <c r="AD1288" s="27"/>
      <c r="AE1288" s="27"/>
      <c r="AF1288" s="27"/>
      <c r="AG1288" s="27"/>
      <c r="AH1288" s="27"/>
    </row>
    <row r="1289" spans="1:34" ht="16">
      <c r="A1289" s="42" t="s">
        <v>283</v>
      </c>
      <c r="B1289" s="42" t="s">
        <v>260</v>
      </c>
      <c r="C1289" s="42" t="s">
        <v>809</v>
      </c>
      <c r="D1289" s="42" t="s">
        <v>815</v>
      </c>
      <c r="E1289" s="18" t="s">
        <v>816</v>
      </c>
      <c r="F1289" s="27" t="s">
        <v>106</v>
      </c>
      <c r="G1289" s="42" t="s">
        <v>761</v>
      </c>
      <c r="H1289" s="43">
        <v>2017</v>
      </c>
      <c r="I1289" s="38">
        <v>12607</v>
      </c>
      <c r="J1289" s="38">
        <v>8826</v>
      </c>
      <c r="K1289" s="38">
        <v>18008</v>
      </c>
      <c r="L1289" s="38" t="s">
        <v>612</v>
      </c>
      <c r="M1289" s="57" t="s">
        <v>817</v>
      </c>
      <c r="N1289" s="45"/>
      <c r="O1289" s="27"/>
      <c r="P1289" s="27"/>
      <c r="Q1289" s="27"/>
      <c r="R1289" s="27"/>
      <c r="S1289" s="27"/>
      <c r="T1289" s="27"/>
      <c r="U1289" s="27"/>
      <c r="V1289" s="27"/>
      <c r="W1289" s="27"/>
      <c r="X1289" s="27"/>
      <c r="Y1289" s="27"/>
      <c r="Z1289" s="27"/>
      <c r="AA1289" s="27"/>
      <c r="AB1289" s="27"/>
      <c r="AC1289" s="27"/>
      <c r="AD1289" s="27"/>
      <c r="AE1289" s="27"/>
      <c r="AF1289" s="27"/>
      <c r="AG1289" s="27"/>
      <c r="AH1289" s="27"/>
    </row>
    <row r="1290" spans="1:34" ht="16">
      <c r="A1290" s="42" t="s">
        <v>283</v>
      </c>
      <c r="B1290" s="42" t="s">
        <v>260</v>
      </c>
      <c r="C1290" s="42" t="s">
        <v>809</v>
      </c>
      <c r="D1290" s="42" t="s">
        <v>815</v>
      </c>
      <c r="E1290" s="18" t="s">
        <v>816</v>
      </c>
      <c r="F1290" s="27" t="s">
        <v>636</v>
      </c>
      <c r="G1290" s="42" t="s">
        <v>761</v>
      </c>
      <c r="H1290" s="43">
        <v>2002</v>
      </c>
      <c r="I1290" s="38">
        <v>11566</v>
      </c>
      <c r="J1290" s="38">
        <v>6054</v>
      </c>
      <c r="K1290" s="38">
        <v>22908</v>
      </c>
      <c r="L1290" s="38" t="s">
        <v>612</v>
      </c>
      <c r="M1290" s="57" t="s">
        <v>817</v>
      </c>
      <c r="N1290" s="45"/>
      <c r="O1290" s="27"/>
      <c r="P1290" s="27"/>
      <c r="Q1290" s="27"/>
      <c r="R1290" s="27"/>
      <c r="S1290" s="27"/>
      <c r="T1290" s="27"/>
      <c r="U1290" s="27"/>
      <c r="V1290" s="27"/>
      <c r="W1290" s="27"/>
      <c r="X1290" s="27"/>
      <c r="Y1290" s="27"/>
      <c r="Z1290" s="27"/>
      <c r="AA1290" s="27"/>
      <c r="AB1290" s="27"/>
      <c r="AC1290" s="27"/>
      <c r="AD1290" s="27"/>
      <c r="AE1290" s="27"/>
      <c r="AF1290" s="27"/>
      <c r="AG1290" s="27"/>
      <c r="AH1290" s="27"/>
    </row>
    <row r="1291" spans="1:34" ht="16">
      <c r="A1291" s="42" t="s">
        <v>283</v>
      </c>
      <c r="B1291" s="42" t="s">
        <v>260</v>
      </c>
      <c r="C1291" s="42" t="s">
        <v>809</v>
      </c>
      <c r="D1291" s="42" t="s">
        <v>815</v>
      </c>
      <c r="E1291" s="18" t="s">
        <v>816</v>
      </c>
      <c r="F1291" s="27" t="s">
        <v>636</v>
      </c>
      <c r="G1291" s="42" t="s">
        <v>761</v>
      </c>
      <c r="H1291" s="43">
        <v>2010</v>
      </c>
      <c r="I1291" s="38">
        <v>17583</v>
      </c>
      <c r="J1291" s="38">
        <v>8014</v>
      </c>
      <c r="K1291" s="38">
        <v>38576</v>
      </c>
      <c r="L1291" s="38" t="s">
        <v>612</v>
      </c>
      <c r="M1291" s="57" t="s">
        <v>817</v>
      </c>
      <c r="N1291" s="45"/>
      <c r="O1291" s="27"/>
      <c r="P1291" s="27"/>
      <c r="Q1291" s="27"/>
      <c r="R1291" s="27"/>
      <c r="S1291" s="27"/>
      <c r="T1291" s="27"/>
      <c r="U1291" s="27"/>
      <c r="V1291" s="27"/>
      <c r="W1291" s="27"/>
      <c r="X1291" s="27"/>
      <c r="Y1291" s="27"/>
      <c r="Z1291" s="27"/>
      <c r="AA1291" s="27"/>
      <c r="AB1291" s="27"/>
      <c r="AC1291" s="27"/>
      <c r="AD1291" s="27"/>
      <c r="AE1291" s="27"/>
      <c r="AF1291" s="27"/>
      <c r="AG1291" s="27"/>
      <c r="AH1291" s="27"/>
    </row>
    <row r="1292" spans="1:34" ht="16">
      <c r="A1292" s="42" t="s">
        <v>283</v>
      </c>
      <c r="B1292" s="42" t="s">
        <v>260</v>
      </c>
      <c r="C1292" s="42" t="s">
        <v>809</v>
      </c>
      <c r="D1292" s="42" t="s">
        <v>815</v>
      </c>
      <c r="E1292" s="18" t="s">
        <v>816</v>
      </c>
      <c r="F1292" s="27" t="s">
        <v>636</v>
      </c>
      <c r="G1292" s="42" t="s">
        <v>761</v>
      </c>
      <c r="H1292" s="43">
        <v>2017</v>
      </c>
      <c r="I1292" s="38">
        <v>7956</v>
      </c>
      <c r="J1292" s="38">
        <v>2720</v>
      </c>
      <c r="K1292" s="38">
        <v>23268</v>
      </c>
      <c r="L1292" s="38" t="s">
        <v>612</v>
      </c>
      <c r="M1292" s="57" t="s">
        <v>817</v>
      </c>
      <c r="N1292" s="45"/>
      <c r="O1292" s="27"/>
      <c r="P1292" s="27"/>
      <c r="Q1292" s="27"/>
      <c r="R1292" s="27"/>
      <c r="S1292" s="27"/>
      <c r="T1292" s="27"/>
      <c r="U1292" s="27"/>
      <c r="V1292" s="27"/>
      <c r="W1292" s="27"/>
      <c r="X1292" s="27"/>
      <c r="Y1292" s="27"/>
      <c r="Z1292" s="27"/>
      <c r="AA1292" s="27"/>
      <c r="AB1292" s="27"/>
      <c r="AC1292" s="27"/>
      <c r="AD1292" s="27"/>
      <c r="AE1292" s="27"/>
      <c r="AF1292" s="27"/>
      <c r="AG1292" s="27"/>
      <c r="AH1292" s="27"/>
    </row>
    <row r="1293" spans="1:34" ht="13">
      <c r="A1293" s="30" t="s">
        <v>818</v>
      </c>
      <c r="B1293" s="30" t="s">
        <v>260</v>
      </c>
      <c r="C1293" s="30" t="s">
        <v>735</v>
      </c>
      <c r="D1293" s="30" t="s">
        <v>819</v>
      </c>
      <c r="E1293" s="18" t="s">
        <v>820</v>
      </c>
      <c r="F1293" s="30" t="s">
        <v>821</v>
      </c>
      <c r="G1293" s="30" t="s">
        <v>822</v>
      </c>
      <c r="H1293" s="48">
        <v>1983</v>
      </c>
      <c r="I1293" s="49">
        <v>1277</v>
      </c>
      <c r="J1293" s="49" t="s">
        <v>402</v>
      </c>
      <c r="K1293" s="48" t="s">
        <v>402</v>
      </c>
      <c r="L1293" s="50" t="s">
        <v>612</v>
      </c>
      <c r="M1293" s="56" t="s">
        <v>823</v>
      </c>
      <c r="N1293" s="30"/>
      <c r="O1293" s="30"/>
      <c r="P1293" s="30"/>
      <c r="Q1293" s="30"/>
      <c r="R1293" s="30"/>
      <c r="S1293" s="30"/>
      <c r="T1293" s="30"/>
      <c r="U1293" s="30"/>
      <c r="V1293" s="30"/>
      <c r="W1293" s="30"/>
      <c r="X1293" s="30"/>
      <c r="Y1293" s="30"/>
      <c r="Z1293" s="30"/>
      <c r="AA1293" s="30"/>
      <c r="AB1293" s="30"/>
      <c r="AC1293" s="30"/>
      <c r="AD1293" s="30"/>
      <c r="AE1293" s="30"/>
      <c r="AF1293" s="30"/>
      <c r="AG1293" s="30"/>
      <c r="AH1293" s="30"/>
    </row>
    <row r="1294" spans="1:34" ht="13">
      <c r="A1294" s="30" t="s">
        <v>818</v>
      </c>
      <c r="B1294" s="30" t="s">
        <v>260</v>
      </c>
      <c r="C1294" s="30" t="s">
        <v>735</v>
      </c>
      <c r="D1294" s="30" t="s">
        <v>819</v>
      </c>
      <c r="E1294" s="18" t="s">
        <v>820</v>
      </c>
      <c r="F1294" s="30" t="s">
        <v>821</v>
      </c>
      <c r="G1294" s="30" t="s">
        <v>822</v>
      </c>
      <c r="H1294" s="48">
        <v>1984</v>
      </c>
      <c r="I1294" s="49">
        <v>1303</v>
      </c>
      <c r="J1294" s="49" t="s">
        <v>402</v>
      </c>
      <c r="K1294" s="48" t="s">
        <v>402</v>
      </c>
      <c r="L1294" s="50" t="s">
        <v>612</v>
      </c>
      <c r="M1294" s="56" t="s">
        <v>823</v>
      </c>
      <c r="N1294" s="30"/>
      <c r="O1294" s="30"/>
      <c r="P1294" s="30"/>
      <c r="Q1294" s="30"/>
      <c r="R1294" s="30"/>
      <c r="S1294" s="30"/>
      <c r="T1294" s="30"/>
      <c r="U1294" s="30"/>
      <c r="V1294" s="30"/>
      <c r="W1294" s="30"/>
      <c r="X1294" s="30"/>
      <c r="Y1294" s="30"/>
      <c r="Z1294" s="30"/>
      <c r="AA1294" s="30"/>
      <c r="AB1294" s="30"/>
      <c r="AC1294" s="30"/>
      <c r="AD1294" s="30"/>
      <c r="AE1294" s="30"/>
      <c r="AF1294" s="30"/>
      <c r="AG1294" s="30"/>
      <c r="AH1294" s="30"/>
    </row>
    <row r="1295" spans="1:34" ht="13">
      <c r="A1295" s="30" t="s">
        <v>818</v>
      </c>
      <c r="B1295" s="30" t="s">
        <v>260</v>
      </c>
      <c r="C1295" s="30" t="s">
        <v>735</v>
      </c>
      <c r="D1295" s="30" t="s">
        <v>819</v>
      </c>
      <c r="E1295" s="18" t="s">
        <v>820</v>
      </c>
      <c r="F1295" s="30" t="s">
        <v>821</v>
      </c>
      <c r="G1295" s="30" t="s">
        <v>822</v>
      </c>
      <c r="H1295" s="48">
        <v>1985</v>
      </c>
      <c r="I1295" s="49">
        <v>1361</v>
      </c>
      <c r="J1295" s="49" t="s">
        <v>402</v>
      </c>
      <c r="K1295" s="48" t="s">
        <v>402</v>
      </c>
      <c r="L1295" s="50" t="s">
        <v>612</v>
      </c>
      <c r="M1295" s="56" t="s">
        <v>823</v>
      </c>
      <c r="N1295" s="30"/>
      <c r="O1295" s="30"/>
      <c r="P1295" s="30"/>
      <c r="Q1295" s="30"/>
      <c r="R1295" s="30"/>
      <c r="S1295" s="30"/>
      <c r="T1295" s="30"/>
      <c r="U1295" s="30"/>
      <c r="V1295" s="30"/>
      <c r="W1295" s="30"/>
      <c r="X1295" s="30"/>
      <c r="Y1295" s="30"/>
      <c r="Z1295" s="30"/>
      <c r="AA1295" s="30"/>
      <c r="AB1295" s="30"/>
      <c r="AC1295" s="30"/>
      <c r="AD1295" s="30"/>
      <c r="AE1295" s="30"/>
      <c r="AF1295" s="30"/>
      <c r="AG1295" s="30"/>
      <c r="AH1295" s="30"/>
    </row>
    <row r="1296" spans="1:34" ht="13">
      <c r="A1296" s="30" t="s">
        <v>818</v>
      </c>
      <c r="B1296" s="30" t="s">
        <v>260</v>
      </c>
      <c r="C1296" s="30" t="s">
        <v>735</v>
      </c>
      <c r="D1296" s="30" t="s">
        <v>819</v>
      </c>
      <c r="E1296" s="18" t="s">
        <v>820</v>
      </c>
      <c r="F1296" s="30" t="s">
        <v>821</v>
      </c>
      <c r="G1296" s="30" t="s">
        <v>822</v>
      </c>
      <c r="H1296" s="48">
        <v>1986</v>
      </c>
      <c r="I1296" s="49">
        <v>1586</v>
      </c>
      <c r="J1296" s="49" t="s">
        <v>402</v>
      </c>
      <c r="K1296" s="48" t="s">
        <v>402</v>
      </c>
      <c r="L1296" s="50" t="s">
        <v>612</v>
      </c>
      <c r="M1296" s="56" t="s">
        <v>823</v>
      </c>
      <c r="N1296" s="30"/>
      <c r="O1296" s="30"/>
      <c r="P1296" s="30"/>
      <c r="Q1296" s="30"/>
      <c r="R1296" s="30"/>
      <c r="S1296" s="30"/>
      <c r="T1296" s="30"/>
      <c r="U1296" s="30"/>
      <c r="V1296" s="30"/>
      <c r="W1296" s="30"/>
      <c r="X1296" s="30"/>
      <c r="Y1296" s="30"/>
      <c r="Z1296" s="30"/>
      <c r="AA1296" s="30"/>
      <c r="AB1296" s="30"/>
      <c r="AC1296" s="30"/>
      <c r="AD1296" s="30"/>
      <c r="AE1296" s="30"/>
      <c r="AF1296" s="30"/>
      <c r="AG1296" s="30"/>
      <c r="AH1296" s="30"/>
    </row>
    <row r="1297" spans="1:34" ht="13">
      <c r="A1297" s="30" t="s">
        <v>818</v>
      </c>
      <c r="B1297" s="30" t="s">
        <v>260</v>
      </c>
      <c r="C1297" s="30" t="s">
        <v>735</v>
      </c>
      <c r="D1297" s="30" t="s">
        <v>819</v>
      </c>
      <c r="E1297" s="18" t="s">
        <v>820</v>
      </c>
      <c r="F1297" s="30" t="s">
        <v>821</v>
      </c>
      <c r="G1297" s="30" t="s">
        <v>822</v>
      </c>
      <c r="H1297" s="48">
        <v>1987</v>
      </c>
      <c r="I1297" s="49">
        <v>1662</v>
      </c>
      <c r="J1297" s="49" t="s">
        <v>402</v>
      </c>
      <c r="K1297" s="48" t="s">
        <v>402</v>
      </c>
      <c r="L1297" s="50" t="s">
        <v>612</v>
      </c>
      <c r="M1297" s="56" t="s">
        <v>823</v>
      </c>
      <c r="N1297" s="30"/>
      <c r="O1297" s="30"/>
      <c r="P1297" s="30"/>
      <c r="Q1297" s="30"/>
      <c r="R1297" s="30"/>
      <c r="S1297" s="30"/>
      <c r="T1297" s="30"/>
      <c r="U1297" s="30"/>
      <c r="V1297" s="30"/>
      <c r="W1297" s="30"/>
      <c r="X1297" s="30"/>
      <c r="Y1297" s="30"/>
      <c r="Z1297" s="30"/>
      <c r="AA1297" s="30"/>
      <c r="AB1297" s="30"/>
      <c r="AC1297" s="30"/>
      <c r="AD1297" s="30"/>
      <c r="AE1297" s="30"/>
      <c r="AF1297" s="30"/>
      <c r="AG1297" s="30"/>
      <c r="AH1297" s="30"/>
    </row>
    <row r="1298" spans="1:34" ht="13">
      <c r="A1298" s="30" t="s">
        <v>818</v>
      </c>
      <c r="B1298" s="30" t="s">
        <v>260</v>
      </c>
      <c r="C1298" s="30" t="s">
        <v>735</v>
      </c>
      <c r="D1298" s="30" t="s">
        <v>819</v>
      </c>
      <c r="E1298" s="18" t="s">
        <v>820</v>
      </c>
      <c r="F1298" s="30" t="s">
        <v>821</v>
      </c>
      <c r="G1298" s="30" t="s">
        <v>822</v>
      </c>
      <c r="H1298" s="48">
        <v>1988</v>
      </c>
      <c r="I1298" s="49">
        <v>1725</v>
      </c>
      <c r="J1298" s="49" t="s">
        <v>402</v>
      </c>
      <c r="K1298" s="48" t="s">
        <v>402</v>
      </c>
      <c r="L1298" s="50" t="s">
        <v>612</v>
      </c>
      <c r="M1298" s="56" t="s">
        <v>823</v>
      </c>
      <c r="N1298" s="30"/>
      <c r="O1298" s="30"/>
      <c r="P1298" s="30"/>
      <c r="Q1298" s="30"/>
      <c r="R1298" s="30"/>
      <c r="S1298" s="30"/>
      <c r="T1298" s="30"/>
      <c r="U1298" s="30"/>
      <c r="V1298" s="30"/>
      <c r="W1298" s="30"/>
      <c r="X1298" s="30"/>
      <c r="Y1298" s="30"/>
      <c r="Z1298" s="30"/>
      <c r="AA1298" s="30"/>
      <c r="AB1298" s="30"/>
      <c r="AC1298" s="30"/>
      <c r="AD1298" s="30"/>
      <c r="AE1298" s="30"/>
      <c r="AF1298" s="30"/>
      <c r="AG1298" s="30"/>
      <c r="AH1298" s="30"/>
    </row>
    <row r="1299" spans="1:34" ht="13">
      <c r="A1299" s="30" t="s">
        <v>818</v>
      </c>
      <c r="B1299" s="30" t="s">
        <v>260</v>
      </c>
      <c r="C1299" s="30" t="s">
        <v>735</v>
      </c>
      <c r="D1299" s="30" t="s">
        <v>819</v>
      </c>
      <c r="E1299" s="18" t="s">
        <v>820</v>
      </c>
      <c r="F1299" s="30" t="s">
        <v>821</v>
      </c>
      <c r="G1299" s="30" t="s">
        <v>822</v>
      </c>
      <c r="H1299" s="48">
        <v>1989</v>
      </c>
      <c r="I1299" s="49">
        <v>1856</v>
      </c>
      <c r="J1299" s="49" t="s">
        <v>402</v>
      </c>
      <c r="K1299" s="48" t="s">
        <v>402</v>
      </c>
      <c r="L1299" s="50" t="s">
        <v>612</v>
      </c>
      <c r="M1299" s="56" t="s">
        <v>823</v>
      </c>
      <c r="N1299" s="30"/>
      <c r="O1299" s="30"/>
      <c r="P1299" s="30"/>
      <c r="Q1299" s="30"/>
      <c r="R1299" s="30"/>
      <c r="S1299" s="30"/>
      <c r="T1299" s="30"/>
      <c r="U1299" s="30"/>
      <c r="V1299" s="30"/>
      <c r="W1299" s="30"/>
      <c r="X1299" s="30"/>
      <c r="Y1299" s="30"/>
      <c r="Z1299" s="30"/>
      <c r="AA1299" s="30"/>
      <c r="AB1299" s="30"/>
      <c r="AC1299" s="30"/>
      <c r="AD1299" s="30"/>
      <c r="AE1299" s="30"/>
      <c r="AF1299" s="30"/>
      <c r="AG1299" s="30"/>
      <c r="AH1299" s="30"/>
    </row>
    <row r="1300" spans="1:34" ht="13">
      <c r="A1300" s="30" t="s">
        <v>818</v>
      </c>
      <c r="B1300" s="30" t="s">
        <v>260</v>
      </c>
      <c r="C1300" s="30" t="s">
        <v>735</v>
      </c>
      <c r="D1300" s="30" t="s">
        <v>819</v>
      </c>
      <c r="E1300" s="18" t="s">
        <v>820</v>
      </c>
      <c r="F1300" s="30" t="s">
        <v>821</v>
      </c>
      <c r="G1300" s="30" t="s">
        <v>822</v>
      </c>
      <c r="H1300" s="48">
        <v>1990</v>
      </c>
      <c r="I1300" s="49">
        <v>1680</v>
      </c>
      <c r="J1300" s="49" t="s">
        <v>402</v>
      </c>
      <c r="K1300" s="48" t="s">
        <v>402</v>
      </c>
      <c r="L1300" s="50" t="s">
        <v>612</v>
      </c>
      <c r="M1300" s="56" t="s">
        <v>823</v>
      </c>
      <c r="N1300" s="30"/>
      <c r="O1300" s="30"/>
      <c r="P1300" s="30"/>
      <c r="Q1300" s="30"/>
      <c r="R1300" s="30"/>
      <c r="S1300" s="30"/>
      <c r="T1300" s="30"/>
      <c r="U1300" s="30"/>
      <c r="V1300" s="30"/>
      <c r="W1300" s="30"/>
      <c r="X1300" s="30"/>
      <c r="Y1300" s="30"/>
      <c r="Z1300" s="30"/>
      <c r="AA1300" s="30"/>
      <c r="AB1300" s="30"/>
      <c r="AC1300" s="30"/>
      <c r="AD1300" s="30"/>
      <c r="AE1300" s="30"/>
      <c r="AF1300" s="30"/>
      <c r="AG1300" s="30"/>
      <c r="AH1300" s="30"/>
    </row>
    <row r="1301" spans="1:34" ht="13">
      <c r="A1301" s="30" t="s">
        <v>818</v>
      </c>
      <c r="B1301" s="30" t="s">
        <v>260</v>
      </c>
      <c r="C1301" s="30" t="s">
        <v>735</v>
      </c>
      <c r="D1301" s="30" t="s">
        <v>819</v>
      </c>
      <c r="E1301" s="18" t="s">
        <v>820</v>
      </c>
      <c r="F1301" s="30" t="s">
        <v>821</v>
      </c>
      <c r="G1301" s="30" t="s">
        <v>822</v>
      </c>
      <c r="H1301" s="48">
        <v>1991</v>
      </c>
      <c r="I1301" s="49">
        <v>1941</v>
      </c>
      <c r="J1301" s="49" t="s">
        <v>402</v>
      </c>
      <c r="K1301" s="48" t="s">
        <v>402</v>
      </c>
      <c r="L1301" s="50" t="s">
        <v>612</v>
      </c>
      <c r="M1301" s="56" t="s">
        <v>823</v>
      </c>
      <c r="N1301" s="30"/>
      <c r="O1301" s="30"/>
      <c r="P1301" s="30"/>
      <c r="Q1301" s="30"/>
      <c r="R1301" s="30"/>
      <c r="S1301" s="30"/>
      <c r="T1301" s="30"/>
      <c r="U1301" s="30"/>
      <c r="V1301" s="30"/>
      <c r="W1301" s="30"/>
      <c r="X1301" s="30"/>
      <c r="Y1301" s="30"/>
      <c r="Z1301" s="30"/>
      <c r="AA1301" s="30"/>
      <c r="AB1301" s="30"/>
      <c r="AC1301" s="30"/>
      <c r="AD1301" s="30"/>
      <c r="AE1301" s="30"/>
      <c r="AF1301" s="30"/>
      <c r="AG1301" s="30"/>
      <c r="AH1301" s="30"/>
    </row>
    <row r="1302" spans="1:34" ht="13">
      <c r="A1302" s="30" t="s">
        <v>818</v>
      </c>
      <c r="B1302" s="30" t="s">
        <v>260</v>
      </c>
      <c r="C1302" s="30" t="s">
        <v>735</v>
      </c>
      <c r="D1302" s="30" t="s">
        <v>819</v>
      </c>
      <c r="E1302" s="18" t="s">
        <v>820</v>
      </c>
      <c r="F1302" s="30" t="s">
        <v>821</v>
      </c>
      <c r="G1302" s="30" t="s">
        <v>822</v>
      </c>
      <c r="H1302" s="48">
        <v>1992</v>
      </c>
      <c r="I1302" s="49">
        <v>2101</v>
      </c>
      <c r="J1302" s="49" t="s">
        <v>402</v>
      </c>
      <c r="K1302" s="48" t="s">
        <v>402</v>
      </c>
      <c r="L1302" s="50" t="s">
        <v>612</v>
      </c>
      <c r="M1302" s="56" t="s">
        <v>823</v>
      </c>
      <c r="N1302" s="30"/>
      <c r="O1302" s="30"/>
      <c r="P1302" s="30"/>
      <c r="Q1302" s="30"/>
      <c r="R1302" s="30"/>
      <c r="S1302" s="30"/>
      <c r="T1302" s="30"/>
      <c r="U1302" s="30"/>
      <c r="V1302" s="30"/>
      <c r="W1302" s="30"/>
      <c r="X1302" s="30"/>
      <c r="Y1302" s="30"/>
      <c r="Z1302" s="30"/>
      <c r="AA1302" s="30"/>
      <c r="AB1302" s="30"/>
      <c r="AC1302" s="30"/>
      <c r="AD1302" s="30"/>
      <c r="AE1302" s="30"/>
      <c r="AF1302" s="30"/>
      <c r="AG1302" s="30"/>
      <c r="AH1302" s="30"/>
    </row>
    <row r="1303" spans="1:34" ht="13">
      <c r="A1303" s="30" t="s">
        <v>818</v>
      </c>
      <c r="B1303" s="30" t="s">
        <v>260</v>
      </c>
      <c r="C1303" s="30" t="s">
        <v>735</v>
      </c>
      <c r="D1303" s="30" t="s">
        <v>819</v>
      </c>
      <c r="E1303" s="18" t="s">
        <v>820</v>
      </c>
      <c r="F1303" s="30" t="s">
        <v>821</v>
      </c>
      <c r="G1303" s="30" t="s">
        <v>822</v>
      </c>
      <c r="H1303" s="48">
        <v>1993</v>
      </c>
      <c r="I1303" s="49">
        <v>2239</v>
      </c>
      <c r="J1303" s="49" t="s">
        <v>402</v>
      </c>
      <c r="K1303" s="48" t="s">
        <v>402</v>
      </c>
      <c r="L1303" s="50" t="s">
        <v>612</v>
      </c>
      <c r="M1303" s="56" t="s">
        <v>823</v>
      </c>
      <c r="N1303" s="30"/>
      <c r="O1303" s="30"/>
      <c r="P1303" s="30"/>
      <c r="Q1303" s="30"/>
      <c r="R1303" s="30"/>
      <c r="S1303" s="30"/>
      <c r="T1303" s="30"/>
      <c r="U1303" s="30"/>
      <c r="V1303" s="30"/>
      <c r="W1303" s="30"/>
      <c r="X1303" s="30"/>
      <c r="Y1303" s="30"/>
      <c r="Z1303" s="30"/>
      <c r="AA1303" s="30"/>
      <c r="AB1303" s="30"/>
      <c r="AC1303" s="30"/>
      <c r="AD1303" s="30"/>
      <c r="AE1303" s="30"/>
      <c r="AF1303" s="30"/>
      <c r="AG1303" s="30"/>
      <c r="AH1303" s="30"/>
    </row>
    <row r="1304" spans="1:34" ht="13">
      <c r="A1304" s="30" t="s">
        <v>818</v>
      </c>
      <c r="B1304" s="30" t="s">
        <v>260</v>
      </c>
      <c r="C1304" s="30" t="s">
        <v>735</v>
      </c>
      <c r="D1304" s="30" t="s">
        <v>819</v>
      </c>
      <c r="E1304" s="18" t="s">
        <v>820</v>
      </c>
      <c r="F1304" s="30" t="s">
        <v>821</v>
      </c>
      <c r="G1304" s="30" t="s">
        <v>822</v>
      </c>
      <c r="H1304" s="48">
        <v>1994</v>
      </c>
      <c r="I1304" s="49">
        <v>2359</v>
      </c>
      <c r="J1304" s="49" t="s">
        <v>402</v>
      </c>
      <c r="K1304" s="48" t="s">
        <v>402</v>
      </c>
      <c r="L1304" s="50" t="s">
        <v>612</v>
      </c>
      <c r="M1304" s="56" t="s">
        <v>823</v>
      </c>
      <c r="N1304" s="30"/>
      <c r="O1304" s="30"/>
      <c r="P1304" s="30"/>
      <c r="Q1304" s="30"/>
      <c r="R1304" s="30"/>
      <c r="S1304" s="30"/>
      <c r="T1304" s="30"/>
      <c r="U1304" s="30"/>
      <c r="V1304" s="30"/>
      <c r="W1304" s="30"/>
      <c r="X1304" s="30"/>
      <c r="Y1304" s="30"/>
      <c r="Z1304" s="30"/>
      <c r="AA1304" s="30"/>
      <c r="AB1304" s="30"/>
      <c r="AC1304" s="30"/>
      <c r="AD1304" s="30"/>
      <c r="AE1304" s="30"/>
      <c r="AF1304" s="30"/>
      <c r="AG1304" s="30"/>
      <c r="AH1304" s="30"/>
    </row>
    <row r="1305" spans="1:34" ht="13">
      <c r="A1305" s="30" t="s">
        <v>818</v>
      </c>
      <c r="B1305" s="30" t="s">
        <v>260</v>
      </c>
      <c r="C1305" s="30" t="s">
        <v>735</v>
      </c>
      <c r="D1305" s="30" t="s">
        <v>819</v>
      </c>
      <c r="E1305" s="18" t="s">
        <v>820</v>
      </c>
      <c r="F1305" s="30" t="s">
        <v>821</v>
      </c>
      <c r="G1305" s="30" t="s">
        <v>822</v>
      </c>
      <c r="H1305" s="48">
        <v>1995</v>
      </c>
      <c r="I1305" s="49">
        <v>2377</v>
      </c>
      <c r="J1305" s="49" t="s">
        <v>402</v>
      </c>
      <c r="K1305" s="48" t="s">
        <v>402</v>
      </c>
      <c r="L1305" s="50" t="s">
        <v>612</v>
      </c>
      <c r="M1305" s="56" t="s">
        <v>823</v>
      </c>
      <c r="N1305" s="30"/>
      <c r="O1305" s="30"/>
      <c r="P1305" s="30"/>
      <c r="Q1305" s="30"/>
      <c r="R1305" s="30"/>
      <c r="S1305" s="30"/>
      <c r="T1305" s="30"/>
      <c r="U1305" s="30"/>
      <c r="V1305" s="30"/>
      <c r="W1305" s="30"/>
      <c r="X1305" s="30"/>
      <c r="Y1305" s="30"/>
      <c r="Z1305" s="30"/>
      <c r="AA1305" s="30"/>
      <c r="AB1305" s="30"/>
      <c r="AC1305" s="30"/>
      <c r="AD1305" s="30"/>
      <c r="AE1305" s="30"/>
      <c r="AF1305" s="30"/>
      <c r="AG1305" s="30"/>
      <c r="AH1305" s="30"/>
    </row>
    <row r="1306" spans="1:34" ht="13">
      <c r="A1306" s="30" t="s">
        <v>818</v>
      </c>
      <c r="B1306" s="30" t="s">
        <v>260</v>
      </c>
      <c r="C1306" s="30" t="s">
        <v>735</v>
      </c>
      <c r="D1306" s="30" t="s">
        <v>819</v>
      </c>
      <c r="E1306" s="18" t="s">
        <v>820</v>
      </c>
      <c r="F1306" s="30" t="s">
        <v>821</v>
      </c>
      <c r="G1306" s="30" t="s">
        <v>822</v>
      </c>
      <c r="H1306" s="48">
        <v>1996</v>
      </c>
      <c r="I1306" s="49">
        <v>2278</v>
      </c>
      <c r="J1306" s="49" t="s">
        <v>402</v>
      </c>
      <c r="K1306" s="48" t="s">
        <v>402</v>
      </c>
      <c r="L1306" s="50" t="s">
        <v>612</v>
      </c>
      <c r="M1306" s="56" t="s">
        <v>823</v>
      </c>
      <c r="N1306" s="30"/>
      <c r="O1306" s="30"/>
      <c r="P1306" s="30"/>
      <c r="Q1306" s="30"/>
      <c r="R1306" s="30"/>
      <c r="S1306" s="30"/>
      <c r="T1306" s="30"/>
      <c r="U1306" s="30"/>
      <c r="V1306" s="30"/>
      <c r="W1306" s="30"/>
      <c r="X1306" s="30"/>
      <c r="Y1306" s="30"/>
      <c r="Z1306" s="30"/>
      <c r="AA1306" s="30"/>
      <c r="AB1306" s="30"/>
      <c r="AC1306" s="30"/>
      <c r="AD1306" s="30"/>
      <c r="AE1306" s="30"/>
      <c r="AF1306" s="30"/>
      <c r="AG1306" s="30"/>
      <c r="AH1306" s="30"/>
    </row>
    <row r="1307" spans="1:34" ht="13">
      <c r="A1307" s="30" t="s">
        <v>818</v>
      </c>
      <c r="B1307" s="30" t="s">
        <v>260</v>
      </c>
      <c r="C1307" s="30" t="s">
        <v>735</v>
      </c>
      <c r="D1307" s="30" t="s">
        <v>819</v>
      </c>
      <c r="E1307" s="18" t="s">
        <v>820</v>
      </c>
      <c r="F1307" s="30" t="s">
        <v>821</v>
      </c>
      <c r="G1307" s="30" t="s">
        <v>822</v>
      </c>
      <c r="H1307" s="48">
        <v>1997</v>
      </c>
      <c r="I1307" s="49">
        <v>2229</v>
      </c>
      <c r="J1307" s="49" t="s">
        <v>402</v>
      </c>
      <c r="K1307" s="48" t="s">
        <v>402</v>
      </c>
      <c r="L1307" s="50" t="s">
        <v>612</v>
      </c>
      <c r="M1307" s="56" t="s">
        <v>823</v>
      </c>
      <c r="N1307" s="30"/>
      <c r="O1307" s="30"/>
      <c r="P1307" s="30"/>
      <c r="Q1307" s="30"/>
      <c r="R1307" s="30"/>
      <c r="S1307" s="30"/>
      <c r="T1307" s="30"/>
      <c r="U1307" s="30"/>
      <c r="V1307" s="30"/>
      <c r="W1307" s="30"/>
      <c r="X1307" s="30"/>
      <c r="Y1307" s="30"/>
      <c r="Z1307" s="30"/>
      <c r="AA1307" s="30"/>
      <c r="AB1307" s="30"/>
      <c r="AC1307" s="30"/>
      <c r="AD1307" s="30"/>
      <c r="AE1307" s="30"/>
      <c r="AF1307" s="30"/>
      <c r="AG1307" s="30"/>
      <c r="AH1307" s="30"/>
    </row>
    <row r="1308" spans="1:34" ht="13">
      <c r="A1308" s="30" t="s">
        <v>818</v>
      </c>
      <c r="B1308" s="30" t="s">
        <v>260</v>
      </c>
      <c r="C1308" s="30" t="s">
        <v>735</v>
      </c>
      <c r="D1308" s="30" t="s">
        <v>819</v>
      </c>
      <c r="E1308" s="18" t="s">
        <v>820</v>
      </c>
      <c r="F1308" s="30" t="s">
        <v>821</v>
      </c>
      <c r="G1308" s="30" t="s">
        <v>822</v>
      </c>
      <c r="H1308" s="48">
        <v>1998</v>
      </c>
      <c r="I1308" s="49">
        <v>2114</v>
      </c>
      <c r="J1308" s="49" t="s">
        <v>402</v>
      </c>
      <c r="K1308" s="48" t="s">
        <v>402</v>
      </c>
      <c r="L1308" s="50" t="s">
        <v>612</v>
      </c>
      <c r="M1308" s="56" t="s">
        <v>823</v>
      </c>
      <c r="N1308" s="30"/>
      <c r="O1308" s="30"/>
      <c r="P1308" s="30"/>
      <c r="Q1308" s="30"/>
      <c r="R1308" s="30"/>
      <c r="S1308" s="30"/>
      <c r="T1308" s="30"/>
      <c r="U1308" s="30"/>
      <c r="V1308" s="30"/>
      <c r="W1308" s="30"/>
      <c r="X1308" s="30"/>
      <c r="Y1308" s="30"/>
      <c r="Z1308" s="30"/>
      <c r="AA1308" s="30"/>
      <c r="AB1308" s="30"/>
      <c r="AC1308" s="30"/>
      <c r="AD1308" s="30"/>
      <c r="AE1308" s="30"/>
      <c r="AF1308" s="30"/>
      <c r="AG1308" s="30"/>
      <c r="AH1308" s="30"/>
    </row>
    <row r="1309" spans="1:34" ht="13">
      <c r="A1309" s="30" t="s">
        <v>818</v>
      </c>
      <c r="B1309" s="30" t="s">
        <v>260</v>
      </c>
      <c r="C1309" s="30" t="s">
        <v>735</v>
      </c>
      <c r="D1309" s="30" t="s">
        <v>819</v>
      </c>
      <c r="E1309" s="18" t="s">
        <v>820</v>
      </c>
      <c r="F1309" s="30" t="s">
        <v>821</v>
      </c>
      <c r="G1309" s="30" t="s">
        <v>822</v>
      </c>
      <c r="H1309" s="48">
        <v>1999</v>
      </c>
      <c r="I1309" s="49">
        <v>2090</v>
      </c>
      <c r="J1309" s="49" t="s">
        <v>402</v>
      </c>
      <c r="K1309" s="48" t="s">
        <v>402</v>
      </c>
      <c r="L1309" s="50" t="s">
        <v>612</v>
      </c>
      <c r="M1309" s="56" t="s">
        <v>823</v>
      </c>
      <c r="N1309" s="30"/>
      <c r="O1309" s="30"/>
      <c r="P1309" s="30"/>
      <c r="Q1309" s="30"/>
      <c r="R1309" s="30"/>
      <c r="S1309" s="30"/>
      <c r="T1309" s="30"/>
      <c r="U1309" s="30"/>
      <c r="V1309" s="30"/>
      <c r="W1309" s="30"/>
      <c r="X1309" s="30"/>
      <c r="Y1309" s="30"/>
      <c r="Z1309" s="30"/>
      <c r="AA1309" s="30"/>
      <c r="AB1309" s="30"/>
      <c r="AC1309" s="30"/>
      <c r="AD1309" s="30"/>
      <c r="AE1309" s="30"/>
      <c r="AF1309" s="30"/>
      <c r="AG1309" s="30"/>
      <c r="AH1309" s="30"/>
    </row>
    <row r="1310" spans="1:34" ht="13">
      <c r="A1310" s="30" t="s">
        <v>818</v>
      </c>
      <c r="B1310" s="30" t="s">
        <v>260</v>
      </c>
      <c r="C1310" s="30" t="s">
        <v>735</v>
      </c>
      <c r="D1310" s="30" t="s">
        <v>819</v>
      </c>
      <c r="E1310" s="18" t="s">
        <v>820</v>
      </c>
      <c r="F1310" s="30" t="s">
        <v>821</v>
      </c>
      <c r="G1310" s="30" t="s">
        <v>822</v>
      </c>
      <c r="H1310" s="48">
        <v>2000</v>
      </c>
      <c r="I1310" s="49">
        <v>2317</v>
      </c>
      <c r="J1310" s="49" t="s">
        <v>402</v>
      </c>
      <c r="K1310" s="48" t="s">
        <v>402</v>
      </c>
      <c r="L1310" s="50" t="s">
        <v>612</v>
      </c>
      <c r="M1310" s="56" t="s">
        <v>823</v>
      </c>
      <c r="N1310" s="30"/>
      <c r="O1310" s="30"/>
      <c r="P1310" s="30"/>
      <c r="Q1310" s="30"/>
      <c r="R1310" s="30"/>
      <c r="S1310" s="30"/>
      <c r="T1310" s="30"/>
      <c r="U1310" s="30"/>
      <c r="V1310" s="30"/>
      <c r="W1310" s="30"/>
      <c r="X1310" s="30"/>
      <c r="Y1310" s="30"/>
      <c r="Z1310" s="30"/>
      <c r="AA1310" s="30"/>
      <c r="AB1310" s="30"/>
      <c r="AC1310" s="30"/>
      <c r="AD1310" s="30"/>
      <c r="AE1310" s="30"/>
      <c r="AF1310" s="30"/>
      <c r="AG1310" s="30"/>
      <c r="AH1310" s="30"/>
    </row>
    <row r="1311" spans="1:34" ht="13">
      <c r="A1311" s="30" t="s">
        <v>818</v>
      </c>
      <c r="B1311" s="30" t="s">
        <v>260</v>
      </c>
      <c r="C1311" s="30" t="s">
        <v>735</v>
      </c>
      <c r="D1311" s="30" t="s">
        <v>819</v>
      </c>
      <c r="E1311" s="18" t="s">
        <v>820</v>
      </c>
      <c r="F1311" s="30" t="s">
        <v>821</v>
      </c>
      <c r="G1311" s="30" t="s">
        <v>822</v>
      </c>
      <c r="H1311" s="48">
        <v>2001</v>
      </c>
      <c r="I1311" s="49">
        <v>2161</v>
      </c>
      <c r="J1311" s="49" t="s">
        <v>402</v>
      </c>
      <c r="K1311" s="48" t="s">
        <v>402</v>
      </c>
      <c r="L1311" s="50" t="s">
        <v>612</v>
      </c>
      <c r="M1311" s="56" t="s">
        <v>823</v>
      </c>
      <c r="N1311" s="30"/>
      <c r="O1311" s="30"/>
      <c r="P1311" s="30"/>
      <c r="Q1311" s="30"/>
      <c r="R1311" s="30"/>
      <c r="S1311" s="30"/>
      <c r="T1311" s="30"/>
      <c r="U1311" s="30"/>
      <c r="V1311" s="30"/>
      <c r="W1311" s="30"/>
      <c r="X1311" s="30"/>
      <c r="Y1311" s="30"/>
      <c r="Z1311" s="30"/>
      <c r="AA1311" s="30"/>
      <c r="AB1311" s="30"/>
      <c r="AC1311" s="30"/>
      <c r="AD1311" s="30"/>
      <c r="AE1311" s="30"/>
      <c r="AF1311" s="30"/>
      <c r="AG1311" s="30"/>
      <c r="AH1311" s="30"/>
    </row>
    <row r="1312" spans="1:34" ht="13">
      <c r="A1312" s="30" t="s">
        <v>818</v>
      </c>
      <c r="B1312" s="30" t="s">
        <v>260</v>
      </c>
      <c r="C1312" s="30" t="s">
        <v>735</v>
      </c>
      <c r="D1312" s="30" t="s">
        <v>819</v>
      </c>
      <c r="E1312" s="18" t="s">
        <v>820</v>
      </c>
      <c r="F1312" s="30" t="s">
        <v>821</v>
      </c>
      <c r="G1312" s="30" t="s">
        <v>822</v>
      </c>
      <c r="H1312" s="48">
        <v>2002</v>
      </c>
      <c r="I1312" s="49">
        <v>2139</v>
      </c>
      <c r="J1312" s="49" t="s">
        <v>402</v>
      </c>
      <c r="K1312" s="48" t="s">
        <v>402</v>
      </c>
      <c r="L1312" s="50" t="s">
        <v>612</v>
      </c>
      <c r="M1312" s="56" t="s">
        <v>823</v>
      </c>
      <c r="N1312" s="30"/>
      <c r="O1312" s="30"/>
      <c r="P1312" s="30"/>
      <c r="Q1312" s="30"/>
      <c r="R1312" s="30"/>
      <c r="S1312" s="30"/>
      <c r="T1312" s="30"/>
      <c r="U1312" s="30"/>
      <c r="V1312" s="30"/>
      <c r="W1312" s="30"/>
      <c r="X1312" s="30"/>
      <c r="Y1312" s="30"/>
      <c r="Z1312" s="30"/>
      <c r="AA1312" s="30"/>
      <c r="AB1312" s="30"/>
      <c r="AC1312" s="30"/>
      <c r="AD1312" s="30"/>
      <c r="AE1312" s="30"/>
      <c r="AF1312" s="30"/>
      <c r="AG1312" s="30"/>
      <c r="AH1312" s="30"/>
    </row>
    <row r="1313" spans="1:34" ht="13">
      <c r="A1313" s="30" t="s">
        <v>818</v>
      </c>
      <c r="B1313" s="30" t="s">
        <v>260</v>
      </c>
      <c r="C1313" s="30" t="s">
        <v>735</v>
      </c>
      <c r="D1313" s="30" t="s">
        <v>819</v>
      </c>
      <c r="E1313" s="18" t="s">
        <v>820</v>
      </c>
      <c r="F1313" s="30" t="s">
        <v>821</v>
      </c>
      <c r="G1313" s="30" t="s">
        <v>822</v>
      </c>
      <c r="H1313" s="48">
        <v>2003</v>
      </c>
      <c r="I1313" s="49">
        <v>2505</v>
      </c>
      <c r="J1313" s="49" t="s">
        <v>402</v>
      </c>
      <c r="K1313" s="48" t="s">
        <v>402</v>
      </c>
      <c r="L1313" s="50" t="s">
        <v>612</v>
      </c>
      <c r="M1313" s="56" t="s">
        <v>823</v>
      </c>
      <c r="N1313" s="30"/>
      <c r="O1313" s="30"/>
      <c r="P1313" s="30"/>
      <c r="Q1313" s="30"/>
      <c r="R1313" s="30"/>
      <c r="S1313" s="30"/>
      <c r="T1313" s="30"/>
      <c r="U1313" s="30"/>
      <c r="V1313" s="30"/>
      <c r="W1313" s="30"/>
      <c r="X1313" s="30"/>
      <c r="Y1313" s="30"/>
      <c r="Z1313" s="30"/>
      <c r="AA1313" s="30"/>
      <c r="AB1313" s="30"/>
      <c r="AC1313" s="30"/>
      <c r="AD1313" s="30"/>
      <c r="AE1313" s="30"/>
      <c r="AF1313" s="30"/>
      <c r="AG1313" s="30"/>
      <c r="AH1313" s="30"/>
    </row>
    <row r="1314" spans="1:34" ht="13">
      <c r="A1314" s="30" t="s">
        <v>818</v>
      </c>
      <c r="B1314" s="30" t="s">
        <v>260</v>
      </c>
      <c r="C1314" s="30" t="s">
        <v>735</v>
      </c>
      <c r="D1314" s="30" t="s">
        <v>819</v>
      </c>
      <c r="E1314" s="18" t="s">
        <v>820</v>
      </c>
      <c r="F1314" s="30" t="s">
        <v>821</v>
      </c>
      <c r="G1314" s="30" t="s">
        <v>822</v>
      </c>
      <c r="H1314" s="48">
        <v>2004</v>
      </c>
      <c r="I1314" s="49">
        <v>2825</v>
      </c>
      <c r="J1314" s="49" t="s">
        <v>402</v>
      </c>
      <c r="K1314" s="48" t="s">
        <v>402</v>
      </c>
      <c r="L1314" s="50" t="s">
        <v>612</v>
      </c>
      <c r="M1314" s="56" t="s">
        <v>823</v>
      </c>
      <c r="N1314" s="30"/>
      <c r="O1314" s="30"/>
      <c r="P1314" s="30"/>
      <c r="Q1314" s="30"/>
      <c r="R1314" s="30"/>
      <c r="S1314" s="30"/>
      <c r="T1314" s="30"/>
      <c r="U1314" s="30"/>
      <c r="V1314" s="30"/>
      <c r="W1314" s="30"/>
      <c r="X1314" s="30"/>
      <c r="Y1314" s="30"/>
      <c r="Z1314" s="30"/>
      <c r="AA1314" s="30"/>
      <c r="AB1314" s="30"/>
      <c r="AC1314" s="30"/>
      <c r="AD1314" s="30"/>
      <c r="AE1314" s="30"/>
      <c r="AF1314" s="30"/>
      <c r="AG1314" s="30"/>
      <c r="AH1314" s="30"/>
    </row>
    <row r="1315" spans="1:34" ht="13">
      <c r="A1315" s="30" t="s">
        <v>818</v>
      </c>
      <c r="B1315" s="30" t="s">
        <v>260</v>
      </c>
      <c r="C1315" s="30" t="s">
        <v>735</v>
      </c>
      <c r="D1315" s="30" t="s">
        <v>819</v>
      </c>
      <c r="E1315" s="18" t="s">
        <v>820</v>
      </c>
      <c r="F1315" s="30" t="s">
        <v>821</v>
      </c>
      <c r="G1315" s="30" t="s">
        <v>822</v>
      </c>
      <c r="H1315" s="48">
        <v>2005</v>
      </c>
      <c r="I1315" s="49">
        <v>2735</v>
      </c>
      <c r="J1315" s="49" t="s">
        <v>402</v>
      </c>
      <c r="K1315" s="48" t="s">
        <v>402</v>
      </c>
      <c r="L1315" s="50" t="s">
        <v>612</v>
      </c>
      <c r="M1315" s="56" t="s">
        <v>823</v>
      </c>
      <c r="N1315" s="30"/>
      <c r="O1315" s="30"/>
      <c r="P1315" s="30"/>
      <c r="Q1315" s="30"/>
      <c r="R1315" s="30"/>
      <c r="S1315" s="30"/>
      <c r="T1315" s="30"/>
      <c r="U1315" s="30"/>
      <c r="V1315" s="30"/>
      <c r="W1315" s="30"/>
      <c r="X1315" s="30"/>
      <c r="Y1315" s="30"/>
      <c r="Z1315" s="30"/>
      <c r="AA1315" s="30"/>
      <c r="AB1315" s="30"/>
      <c r="AC1315" s="30"/>
      <c r="AD1315" s="30"/>
      <c r="AE1315" s="30"/>
      <c r="AF1315" s="30"/>
      <c r="AG1315" s="30"/>
      <c r="AH1315" s="30"/>
    </row>
    <row r="1316" spans="1:34" ht="13">
      <c r="A1316" s="30" t="s">
        <v>818</v>
      </c>
      <c r="B1316" s="30" t="s">
        <v>260</v>
      </c>
      <c r="C1316" s="30" t="s">
        <v>735</v>
      </c>
      <c r="D1316" s="30" t="s">
        <v>819</v>
      </c>
      <c r="E1316" s="18" t="s">
        <v>820</v>
      </c>
      <c r="F1316" s="30" t="s">
        <v>821</v>
      </c>
      <c r="G1316" s="30" t="s">
        <v>822</v>
      </c>
      <c r="H1316" s="48">
        <v>2006</v>
      </c>
      <c r="I1316" s="49">
        <v>2692</v>
      </c>
      <c r="J1316" s="49" t="s">
        <v>402</v>
      </c>
      <c r="K1316" s="48" t="s">
        <v>402</v>
      </c>
      <c r="L1316" s="50" t="s">
        <v>612</v>
      </c>
      <c r="M1316" s="56" t="s">
        <v>823</v>
      </c>
      <c r="N1316" s="30"/>
      <c r="O1316" s="30"/>
      <c r="P1316" s="30"/>
      <c r="Q1316" s="30"/>
      <c r="R1316" s="30"/>
      <c r="S1316" s="30"/>
      <c r="T1316" s="30"/>
      <c r="U1316" s="30"/>
      <c r="V1316" s="30"/>
      <c r="W1316" s="30"/>
      <c r="X1316" s="30"/>
      <c r="Y1316" s="30"/>
      <c r="Z1316" s="30"/>
      <c r="AA1316" s="30"/>
      <c r="AB1316" s="30"/>
      <c r="AC1316" s="30"/>
      <c r="AD1316" s="30"/>
      <c r="AE1316" s="30"/>
      <c r="AF1316" s="30"/>
      <c r="AG1316" s="30"/>
      <c r="AH1316" s="30"/>
    </row>
    <row r="1317" spans="1:34" ht="13">
      <c r="A1317" s="30" t="s">
        <v>818</v>
      </c>
      <c r="B1317" s="30" t="s">
        <v>260</v>
      </c>
      <c r="C1317" s="30" t="s">
        <v>735</v>
      </c>
      <c r="D1317" s="30" t="s">
        <v>819</v>
      </c>
      <c r="E1317" s="18" t="s">
        <v>820</v>
      </c>
      <c r="F1317" s="30" t="s">
        <v>821</v>
      </c>
      <c r="G1317" s="30" t="s">
        <v>822</v>
      </c>
      <c r="H1317" s="48">
        <v>2007</v>
      </c>
      <c r="I1317" s="49">
        <v>3026</v>
      </c>
      <c r="J1317" s="49" t="s">
        <v>402</v>
      </c>
      <c r="K1317" s="48" t="s">
        <v>402</v>
      </c>
      <c r="L1317" s="50" t="s">
        <v>612</v>
      </c>
      <c r="M1317" s="56" t="s">
        <v>823</v>
      </c>
      <c r="N1317" s="30"/>
      <c r="O1317" s="30"/>
      <c r="P1317" s="30"/>
      <c r="Q1317" s="30"/>
      <c r="R1317" s="30"/>
      <c r="S1317" s="30"/>
      <c r="T1317" s="30"/>
      <c r="U1317" s="30"/>
      <c r="V1317" s="30"/>
      <c r="W1317" s="30"/>
      <c r="X1317" s="30"/>
      <c r="Y1317" s="30"/>
      <c r="Z1317" s="30"/>
      <c r="AA1317" s="30"/>
      <c r="AB1317" s="30"/>
      <c r="AC1317" s="30"/>
      <c r="AD1317" s="30"/>
      <c r="AE1317" s="30"/>
      <c r="AF1317" s="30"/>
      <c r="AG1317" s="30"/>
      <c r="AH1317" s="30"/>
    </row>
    <row r="1318" spans="1:34" ht="13">
      <c r="A1318" s="30" t="s">
        <v>818</v>
      </c>
      <c r="B1318" s="30" t="s">
        <v>260</v>
      </c>
      <c r="C1318" s="30" t="s">
        <v>735</v>
      </c>
      <c r="D1318" s="30" t="s">
        <v>819</v>
      </c>
      <c r="E1318" s="18" t="s">
        <v>820</v>
      </c>
      <c r="F1318" s="30" t="s">
        <v>821</v>
      </c>
      <c r="G1318" s="30" t="s">
        <v>822</v>
      </c>
      <c r="H1318" s="48">
        <v>2008</v>
      </c>
      <c r="I1318" s="49">
        <v>2760</v>
      </c>
      <c r="J1318" s="49" t="s">
        <v>402</v>
      </c>
      <c r="K1318" s="48" t="s">
        <v>402</v>
      </c>
      <c r="L1318" s="50" t="s">
        <v>612</v>
      </c>
      <c r="M1318" s="56" t="s">
        <v>823</v>
      </c>
      <c r="N1318" s="30"/>
      <c r="O1318" s="30"/>
      <c r="P1318" s="30"/>
      <c r="Q1318" s="30"/>
      <c r="R1318" s="30"/>
      <c r="S1318" s="30"/>
      <c r="T1318" s="30"/>
      <c r="U1318" s="30"/>
      <c r="V1318" s="30"/>
      <c r="W1318" s="30"/>
      <c r="X1318" s="30"/>
      <c r="Y1318" s="30"/>
      <c r="Z1318" s="30"/>
      <c r="AA1318" s="30"/>
      <c r="AB1318" s="30"/>
      <c r="AC1318" s="30"/>
      <c r="AD1318" s="30"/>
      <c r="AE1318" s="30"/>
      <c r="AF1318" s="30"/>
      <c r="AG1318" s="30"/>
      <c r="AH1318" s="30"/>
    </row>
    <row r="1319" spans="1:34" ht="13">
      <c r="A1319" s="30" t="s">
        <v>818</v>
      </c>
      <c r="B1319" s="30" t="s">
        <v>260</v>
      </c>
      <c r="C1319" s="30" t="s">
        <v>735</v>
      </c>
      <c r="D1319" s="30" t="s">
        <v>819</v>
      </c>
      <c r="E1319" s="18" t="s">
        <v>820</v>
      </c>
      <c r="F1319" s="30" t="s">
        <v>821</v>
      </c>
      <c r="G1319" s="30" t="s">
        <v>822</v>
      </c>
      <c r="H1319" s="48">
        <v>2009</v>
      </c>
      <c r="I1319" s="49">
        <v>2654</v>
      </c>
      <c r="J1319" s="49" t="s">
        <v>402</v>
      </c>
      <c r="K1319" s="48" t="s">
        <v>402</v>
      </c>
      <c r="L1319" s="50" t="s">
        <v>612</v>
      </c>
      <c r="M1319" s="56" t="s">
        <v>823</v>
      </c>
      <c r="N1319" s="30"/>
      <c r="O1319" s="30"/>
      <c r="P1319" s="30"/>
      <c r="Q1319" s="30"/>
      <c r="R1319" s="30"/>
      <c r="S1319" s="30"/>
      <c r="T1319" s="30"/>
      <c r="U1319" s="30"/>
      <c r="V1319" s="30"/>
      <c r="W1319" s="30"/>
      <c r="X1319" s="30"/>
      <c r="Y1319" s="30"/>
      <c r="Z1319" s="30"/>
      <c r="AA1319" s="30"/>
      <c r="AB1319" s="30"/>
      <c r="AC1319" s="30"/>
      <c r="AD1319" s="30"/>
      <c r="AE1319" s="30"/>
      <c r="AF1319" s="30"/>
      <c r="AG1319" s="30"/>
      <c r="AH1319" s="30"/>
    </row>
    <row r="1320" spans="1:34" ht="13">
      <c r="A1320" s="30" t="s">
        <v>818</v>
      </c>
      <c r="B1320" s="30" t="s">
        <v>260</v>
      </c>
      <c r="C1320" s="30" t="s">
        <v>735</v>
      </c>
      <c r="D1320" s="30" t="s">
        <v>819</v>
      </c>
      <c r="E1320" s="18" t="s">
        <v>820</v>
      </c>
      <c r="F1320" s="30" t="s">
        <v>821</v>
      </c>
      <c r="G1320" s="30" t="s">
        <v>822</v>
      </c>
      <c r="H1320" s="48">
        <v>2010</v>
      </c>
      <c r="I1320" s="49">
        <v>2719</v>
      </c>
      <c r="J1320" s="49" t="s">
        <v>402</v>
      </c>
      <c r="K1320" s="48" t="s">
        <v>402</v>
      </c>
      <c r="L1320" s="50" t="s">
        <v>612</v>
      </c>
      <c r="M1320" s="56" t="s">
        <v>823</v>
      </c>
      <c r="N1320" s="30"/>
      <c r="O1320" s="30"/>
      <c r="P1320" s="30"/>
      <c r="Q1320" s="30"/>
      <c r="R1320" s="30"/>
      <c r="S1320" s="30"/>
      <c r="T1320" s="30"/>
      <c r="U1320" s="30"/>
      <c r="V1320" s="30"/>
      <c r="W1320" s="30"/>
      <c r="X1320" s="30"/>
      <c r="Y1320" s="30"/>
      <c r="Z1320" s="30"/>
      <c r="AA1320" s="30"/>
      <c r="AB1320" s="30"/>
      <c r="AC1320" s="30"/>
      <c r="AD1320" s="30"/>
      <c r="AE1320" s="30"/>
      <c r="AF1320" s="30"/>
      <c r="AG1320" s="30"/>
      <c r="AH1320" s="30"/>
    </row>
    <row r="1321" spans="1:34" ht="13">
      <c r="A1321" s="30" t="s">
        <v>818</v>
      </c>
      <c r="B1321" s="30" t="s">
        <v>260</v>
      </c>
      <c r="C1321" s="30" t="s">
        <v>735</v>
      </c>
      <c r="D1321" s="30" t="s">
        <v>819</v>
      </c>
      <c r="E1321" s="18" t="s">
        <v>820</v>
      </c>
      <c r="F1321" s="30" t="s">
        <v>821</v>
      </c>
      <c r="G1321" s="30" t="s">
        <v>822</v>
      </c>
      <c r="H1321" s="48">
        <v>2012</v>
      </c>
      <c r="I1321" s="49">
        <v>2865</v>
      </c>
      <c r="J1321" s="49" t="s">
        <v>402</v>
      </c>
      <c r="K1321" s="48" t="s">
        <v>402</v>
      </c>
      <c r="L1321" s="50" t="s">
        <v>612</v>
      </c>
      <c r="M1321" s="56" t="s">
        <v>823</v>
      </c>
      <c r="N1321" s="30"/>
      <c r="O1321" s="30"/>
      <c r="P1321" s="30"/>
      <c r="Q1321" s="30"/>
      <c r="R1321" s="30"/>
      <c r="S1321" s="30"/>
      <c r="T1321" s="30"/>
      <c r="U1321" s="30"/>
      <c r="V1321" s="30"/>
      <c r="W1321" s="30"/>
      <c r="X1321" s="30"/>
      <c r="Y1321" s="30"/>
      <c r="Z1321" s="30"/>
      <c r="AA1321" s="30"/>
      <c r="AB1321" s="30"/>
      <c r="AC1321" s="30"/>
      <c r="AD1321" s="30"/>
      <c r="AE1321" s="30"/>
      <c r="AF1321" s="30"/>
      <c r="AG1321" s="30"/>
      <c r="AH1321" s="30"/>
    </row>
    <row r="1322" spans="1:34" ht="13">
      <c r="A1322" s="30" t="s">
        <v>818</v>
      </c>
      <c r="B1322" s="30" t="s">
        <v>260</v>
      </c>
      <c r="C1322" s="30" t="s">
        <v>735</v>
      </c>
      <c r="D1322" s="30" t="s">
        <v>819</v>
      </c>
      <c r="E1322" s="18" t="s">
        <v>820</v>
      </c>
      <c r="F1322" s="30" t="s">
        <v>821</v>
      </c>
      <c r="G1322" s="30" t="s">
        <v>822</v>
      </c>
      <c r="H1322" s="48">
        <v>2013</v>
      </c>
      <c r="I1322" s="49">
        <v>2899</v>
      </c>
      <c r="J1322" s="49" t="s">
        <v>402</v>
      </c>
      <c r="K1322" s="48" t="s">
        <v>402</v>
      </c>
      <c r="L1322" s="50" t="s">
        <v>612</v>
      </c>
      <c r="M1322" s="56" t="s">
        <v>823</v>
      </c>
      <c r="N1322" s="30"/>
      <c r="O1322" s="30"/>
      <c r="P1322" s="30"/>
      <c r="Q1322" s="30"/>
      <c r="R1322" s="30"/>
      <c r="S1322" s="30"/>
      <c r="T1322" s="30"/>
      <c r="U1322" s="30"/>
      <c r="V1322" s="30"/>
      <c r="W1322" s="30"/>
      <c r="X1322" s="30"/>
      <c r="Y1322" s="30"/>
      <c r="Z1322" s="30"/>
      <c r="AA1322" s="30"/>
      <c r="AB1322" s="30"/>
      <c r="AC1322" s="30"/>
      <c r="AD1322" s="30"/>
      <c r="AE1322" s="30"/>
      <c r="AF1322" s="30"/>
      <c r="AG1322" s="30"/>
      <c r="AH1322" s="30"/>
    </row>
    <row r="1323" spans="1:34" ht="13">
      <c r="A1323" s="30" t="s">
        <v>818</v>
      </c>
      <c r="B1323" s="30" t="s">
        <v>260</v>
      </c>
      <c r="C1323" s="30" t="s">
        <v>735</v>
      </c>
      <c r="D1323" s="30" t="s">
        <v>819</v>
      </c>
      <c r="E1323" s="18" t="s">
        <v>820</v>
      </c>
      <c r="F1323" s="30" t="s">
        <v>821</v>
      </c>
      <c r="G1323" s="30" t="s">
        <v>822</v>
      </c>
      <c r="H1323" s="48">
        <v>2014</v>
      </c>
      <c r="I1323" s="49">
        <v>2879</v>
      </c>
      <c r="J1323" s="49" t="s">
        <v>402</v>
      </c>
      <c r="K1323" s="48" t="s">
        <v>402</v>
      </c>
      <c r="L1323" s="50" t="s">
        <v>612</v>
      </c>
      <c r="M1323" s="56" t="s">
        <v>823</v>
      </c>
      <c r="N1323" s="30"/>
      <c r="O1323" s="30"/>
      <c r="P1323" s="30"/>
      <c r="Q1323" s="30"/>
      <c r="R1323" s="30"/>
      <c r="S1323" s="30"/>
      <c r="T1323" s="30"/>
      <c r="U1323" s="30"/>
      <c r="V1323" s="30"/>
      <c r="W1323" s="30"/>
      <c r="X1323" s="30"/>
      <c r="Y1323" s="30"/>
      <c r="Z1323" s="30"/>
      <c r="AA1323" s="30"/>
      <c r="AB1323" s="30"/>
      <c r="AC1323" s="30"/>
      <c r="AD1323" s="30"/>
      <c r="AE1323" s="30"/>
      <c r="AF1323" s="30"/>
      <c r="AG1323" s="30"/>
      <c r="AH1323" s="30"/>
    </row>
    <row r="1324" spans="1:34" ht="13">
      <c r="A1324" s="30" t="s">
        <v>818</v>
      </c>
      <c r="B1324" s="30" t="s">
        <v>260</v>
      </c>
      <c r="C1324" s="30" t="s">
        <v>735</v>
      </c>
      <c r="D1324" s="30" t="s">
        <v>819</v>
      </c>
      <c r="E1324" s="18" t="s">
        <v>820</v>
      </c>
      <c r="F1324" s="30" t="s">
        <v>821</v>
      </c>
      <c r="G1324" s="30" t="s">
        <v>822</v>
      </c>
      <c r="H1324" s="48">
        <v>2015</v>
      </c>
      <c r="I1324" s="49">
        <v>3193</v>
      </c>
      <c r="J1324" s="49" t="s">
        <v>402</v>
      </c>
      <c r="K1324" s="48" t="s">
        <v>402</v>
      </c>
      <c r="L1324" s="50" t="s">
        <v>612</v>
      </c>
      <c r="M1324" s="56" t="s">
        <v>823</v>
      </c>
      <c r="N1324" s="30"/>
      <c r="O1324" s="30"/>
      <c r="P1324" s="30"/>
      <c r="Q1324" s="30"/>
      <c r="R1324" s="30"/>
      <c r="S1324" s="30"/>
      <c r="T1324" s="30"/>
      <c r="U1324" s="30"/>
      <c r="V1324" s="30"/>
      <c r="W1324" s="30"/>
      <c r="X1324" s="30"/>
      <c r="Y1324" s="30"/>
      <c r="Z1324" s="30"/>
      <c r="AA1324" s="30"/>
      <c r="AB1324" s="30"/>
      <c r="AC1324" s="30"/>
      <c r="AD1324" s="30"/>
      <c r="AE1324" s="30"/>
      <c r="AF1324" s="30"/>
      <c r="AG1324" s="30"/>
      <c r="AH1324" s="30"/>
    </row>
    <row r="1325" spans="1:34" ht="13">
      <c r="A1325" s="30" t="s">
        <v>818</v>
      </c>
      <c r="B1325" s="30" t="s">
        <v>260</v>
      </c>
      <c r="C1325" s="30" t="s">
        <v>735</v>
      </c>
      <c r="D1325" s="30" t="s">
        <v>819</v>
      </c>
      <c r="E1325" s="18" t="s">
        <v>820</v>
      </c>
      <c r="F1325" s="30" t="s">
        <v>821</v>
      </c>
      <c r="G1325" s="30" t="s">
        <v>822</v>
      </c>
      <c r="H1325" s="48">
        <v>2016</v>
      </c>
      <c r="I1325" s="49">
        <v>3511</v>
      </c>
      <c r="J1325" s="49" t="s">
        <v>402</v>
      </c>
      <c r="K1325" s="48" t="s">
        <v>402</v>
      </c>
      <c r="L1325" s="50" t="s">
        <v>612</v>
      </c>
      <c r="M1325" s="56" t="s">
        <v>823</v>
      </c>
      <c r="N1325" s="30"/>
      <c r="O1325" s="30"/>
      <c r="P1325" s="30"/>
      <c r="Q1325" s="30"/>
      <c r="R1325" s="30"/>
      <c r="S1325" s="30"/>
      <c r="T1325" s="30"/>
      <c r="U1325" s="30"/>
      <c r="V1325" s="30"/>
      <c r="W1325" s="30"/>
      <c r="X1325" s="30"/>
      <c r="Y1325" s="30"/>
      <c r="Z1325" s="30"/>
      <c r="AA1325" s="30"/>
      <c r="AB1325" s="30"/>
      <c r="AC1325" s="30"/>
      <c r="AD1325" s="30"/>
      <c r="AE1325" s="30"/>
      <c r="AF1325" s="30"/>
      <c r="AG1325" s="30"/>
      <c r="AH1325" s="30"/>
    </row>
    <row r="1326" spans="1:34" ht="13">
      <c r="A1326" s="30" t="s">
        <v>818</v>
      </c>
      <c r="B1326" s="30" t="s">
        <v>260</v>
      </c>
      <c r="C1326" s="30" t="s">
        <v>735</v>
      </c>
      <c r="D1326" s="30" t="s">
        <v>819</v>
      </c>
      <c r="E1326" s="18" t="s">
        <v>820</v>
      </c>
      <c r="F1326" s="30" t="s">
        <v>821</v>
      </c>
      <c r="G1326" s="30" t="s">
        <v>822</v>
      </c>
      <c r="H1326" s="48">
        <v>2017</v>
      </c>
      <c r="I1326" s="49">
        <v>2607</v>
      </c>
      <c r="J1326" s="49" t="s">
        <v>402</v>
      </c>
      <c r="K1326" s="48" t="s">
        <v>402</v>
      </c>
      <c r="L1326" s="50" t="s">
        <v>612</v>
      </c>
      <c r="M1326" s="56" t="s">
        <v>823</v>
      </c>
      <c r="N1326" s="30"/>
      <c r="O1326" s="30"/>
      <c r="P1326" s="30"/>
      <c r="Q1326" s="30"/>
      <c r="R1326" s="30"/>
      <c r="S1326" s="30"/>
      <c r="T1326" s="30"/>
      <c r="U1326" s="30"/>
      <c r="V1326" s="30"/>
      <c r="W1326" s="30"/>
      <c r="X1326" s="30"/>
      <c r="Y1326" s="30"/>
      <c r="Z1326" s="30"/>
      <c r="AA1326" s="30"/>
      <c r="AB1326" s="30"/>
      <c r="AC1326" s="30"/>
      <c r="AD1326" s="30"/>
      <c r="AE1326" s="30"/>
      <c r="AF1326" s="30"/>
      <c r="AG1326" s="30"/>
      <c r="AH1326" s="30"/>
    </row>
    <row r="1327" spans="1:34" ht="13">
      <c r="A1327" s="30" t="s">
        <v>818</v>
      </c>
      <c r="B1327" s="30" t="s">
        <v>260</v>
      </c>
      <c r="C1327" s="30" t="s">
        <v>735</v>
      </c>
      <c r="D1327" s="30" t="s">
        <v>819</v>
      </c>
      <c r="E1327" s="18" t="s">
        <v>820</v>
      </c>
      <c r="F1327" s="30" t="s">
        <v>821</v>
      </c>
      <c r="G1327" s="30" t="s">
        <v>822</v>
      </c>
      <c r="H1327" s="48">
        <v>2018</v>
      </c>
      <c r="I1327" s="49">
        <v>2986</v>
      </c>
      <c r="J1327" s="49" t="s">
        <v>402</v>
      </c>
      <c r="K1327" s="48" t="s">
        <v>402</v>
      </c>
      <c r="L1327" s="50" t="s">
        <v>612</v>
      </c>
      <c r="M1327" s="56" t="s">
        <v>823</v>
      </c>
      <c r="N1327" s="30"/>
      <c r="O1327" s="30"/>
      <c r="P1327" s="30"/>
      <c r="Q1327" s="30"/>
      <c r="R1327" s="30"/>
      <c r="S1327" s="30"/>
      <c r="T1327" s="30"/>
      <c r="U1327" s="30"/>
      <c r="V1327" s="30"/>
      <c r="W1327" s="30"/>
      <c r="X1327" s="30"/>
      <c r="Y1327" s="30"/>
      <c r="Z1327" s="30"/>
      <c r="AA1327" s="30"/>
      <c r="AB1327" s="30"/>
      <c r="AC1327" s="30"/>
      <c r="AD1327" s="30"/>
      <c r="AE1327" s="30"/>
      <c r="AF1327" s="30"/>
      <c r="AG1327" s="30"/>
      <c r="AH1327" s="30"/>
    </row>
    <row r="1328" spans="1:34" ht="13">
      <c r="A1328" s="30" t="s">
        <v>818</v>
      </c>
      <c r="B1328" s="30" t="s">
        <v>260</v>
      </c>
      <c r="C1328" s="30" t="s">
        <v>735</v>
      </c>
      <c r="D1328" s="30" t="s">
        <v>819</v>
      </c>
      <c r="E1328" s="18" t="s">
        <v>820</v>
      </c>
      <c r="F1328" s="30" t="s">
        <v>821</v>
      </c>
      <c r="G1328" s="30" t="s">
        <v>822</v>
      </c>
      <c r="H1328" s="48">
        <v>2019</v>
      </c>
      <c r="I1328" s="49">
        <v>2996</v>
      </c>
      <c r="J1328" s="49" t="s">
        <v>402</v>
      </c>
      <c r="K1328" s="48" t="s">
        <v>402</v>
      </c>
      <c r="L1328" s="50" t="s">
        <v>612</v>
      </c>
      <c r="M1328" s="56" t="s">
        <v>823</v>
      </c>
      <c r="N1328" s="30"/>
      <c r="O1328" s="30"/>
      <c r="P1328" s="30"/>
      <c r="Q1328" s="30"/>
      <c r="R1328" s="30"/>
      <c r="S1328" s="30"/>
      <c r="T1328" s="30"/>
      <c r="U1328" s="30"/>
      <c r="V1328" s="30"/>
      <c r="W1328" s="30"/>
      <c r="X1328" s="30"/>
      <c r="Y1328" s="30"/>
      <c r="Z1328" s="30"/>
      <c r="AA1328" s="30"/>
      <c r="AB1328" s="30"/>
      <c r="AC1328" s="30"/>
      <c r="AD1328" s="30"/>
      <c r="AE1328" s="30"/>
      <c r="AF1328" s="30"/>
      <c r="AG1328" s="30"/>
      <c r="AH1328" s="30"/>
    </row>
    <row r="1329" spans="1:32" ht="13">
      <c r="A1329" s="18" t="s">
        <v>296</v>
      </c>
      <c r="B1329" s="27" t="s">
        <v>260</v>
      </c>
      <c r="C1329" s="27" t="s">
        <v>371</v>
      </c>
      <c r="D1329" s="27" t="s">
        <v>305</v>
      </c>
      <c r="E1329" s="18" t="s">
        <v>824</v>
      </c>
      <c r="F1329" s="27" t="s">
        <v>825</v>
      </c>
      <c r="G1329" s="27" t="s">
        <v>611</v>
      </c>
      <c r="H1329" s="37">
        <v>1990.98976643523</v>
      </c>
      <c r="I1329" s="37">
        <v>1637</v>
      </c>
      <c r="J1329" s="37">
        <v>575.17797503955103</v>
      </c>
      <c r="K1329" s="37">
        <v>4713.0976445772603</v>
      </c>
      <c r="L1329" s="38" t="s">
        <v>612</v>
      </c>
      <c r="M1329" s="29" t="s">
        <v>307</v>
      </c>
      <c r="N1329" s="18" t="s">
        <v>308</v>
      </c>
      <c r="O1329" s="27" t="s">
        <v>826</v>
      </c>
      <c r="P1329" s="27"/>
      <c r="Q1329" s="27"/>
      <c r="R1329" s="27"/>
      <c r="S1329" s="27"/>
      <c r="T1329" s="27"/>
      <c r="U1329" s="27"/>
      <c r="V1329" s="27"/>
      <c r="W1329" s="27"/>
      <c r="X1329" s="27"/>
      <c r="Y1329" s="27"/>
      <c r="Z1329" s="27"/>
      <c r="AA1329" s="27"/>
      <c r="AB1329" s="27"/>
      <c r="AC1329" s="27"/>
      <c r="AD1329" s="27"/>
      <c r="AE1329" s="27"/>
      <c r="AF1329" s="27"/>
    </row>
    <row r="1330" spans="1:32" ht="13">
      <c r="A1330" s="18" t="s">
        <v>296</v>
      </c>
      <c r="B1330" s="27" t="s">
        <v>260</v>
      </c>
      <c r="C1330" s="27" t="s">
        <v>371</v>
      </c>
      <c r="D1330" s="27" t="s">
        <v>305</v>
      </c>
      <c r="E1330" s="18" t="s">
        <v>824</v>
      </c>
      <c r="F1330" s="27" t="s">
        <v>825</v>
      </c>
      <c r="G1330" s="27" t="s">
        <v>611</v>
      </c>
      <c r="H1330" s="37">
        <v>1992.9678134338201</v>
      </c>
      <c r="I1330" s="37">
        <v>1726</v>
      </c>
      <c r="J1330" s="37">
        <v>656.64000703111401</v>
      </c>
      <c r="K1330" s="37">
        <v>4897.9939356653204</v>
      </c>
      <c r="L1330" s="38" t="s">
        <v>612</v>
      </c>
      <c r="M1330" s="29" t="s">
        <v>307</v>
      </c>
      <c r="N1330" s="18" t="s">
        <v>308</v>
      </c>
    </row>
    <row r="1331" spans="1:32" ht="13">
      <c r="A1331" s="18" t="s">
        <v>296</v>
      </c>
      <c r="B1331" s="27" t="s">
        <v>260</v>
      </c>
      <c r="C1331" s="27" t="s">
        <v>371</v>
      </c>
      <c r="D1331" s="27" t="s">
        <v>305</v>
      </c>
      <c r="E1331" s="18" t="s">
        <v>824</v>
      </c>
      <c r="F1331" s="27" t="s">
        <v>825</v>
      </c>
      <c r="G1331" s="27" t="s">
        <v>611</v>
      </c>
      <c r="H1331" s="37">
        <v>1995.9907579319699</v>
      </c>
      <c r="I1331" s="37">
        <v>1690</v>
      </c>
      <c r="J1331" s="37">
        <v>704.11375021972299</v>
      </c>
      <c r="K1331" s="37">
        <v>4290.2970645104597</v>
      </c>
      <c r="L1331" s="38" t="s">
        <v>612</v>
      </c>
      <c r="M1331" s="29" t="s">
        <v>307</v>
      </c>
      <c r="N1331" s="18" t="s">
        <v>308</v>
      </c>
    </row>
    <row r="1332" spans="1:32" ht="13">
      <c r="A1332" s="18" t="s">
        <v>296</v>
      </c>
      <c r="B1332" s="27" t="s">
        <v>260</v>
      </c>
      <c r="C1332" s="27" t="s">
        <v>371</v>
      </c>
      <c r="D1332" s="27" t="s">
        <v>305</v>
      </c>
      <c r="E1332" s="18" t="s">
        <v>824</v>
      </c>
      <c r="F1332" s="27" t="s">
        <v>825</v>
      </c>
      <c r="G1332" s="27" t="s">
        <v>611</v>
      </c>
      <c r="H1332" s="37">
        <v>2000.9634492002101</v>
      </c>
      <c r="I1332" s="37">
        <v>1849</v>
      </c>
      <c r="J1332" s="37">
        <v>775.57841887853795</v>
      </c>
      <c r="K1332" s="37">
        <v>4626.1425558094597</v>
      </c>
      <c r="L1332" s="38" t="s">
        <v>612</v>
      </c>
      <c r="M1332" s="29" t="s">
        <v>307</v>
      </c>
      <c r="N1332" s="18" t="s">
        <v>308</v>
      </c>
    </row>
    <row r="1333" spans="1:32" ht="13">
      <c r="A1333" s="18" t="s">
        <v>296</v>
      </c>
      <c r="B1333" s="27" t="s">
        <v>260</v>
      </c>
      <c r="C1333" s="27" t="s">
        <v>371</v>
      </c>
      <c r="D1333" s="27" t="s">
        <v>305</v>
      </c>
      <c r="E1333" s="18" t="s">
        <v>824</v>
      </c>
      <c r="F1333" s="27" t="s">
        <v>825</v>
      </c>
      <c r="G1333" s="27" t="s">
        <v>611</v>
      </c>
      <c r="H1333" s="37">
        <v>2004.97393269907</v>
      </c>
      <c r="I1333" s="37">
        <v>2108</v>
      </c>
      <c r="J1333" s="37">
        <v>904.00608630690897</v>
      </c>
      <c r="K1333" s="37">
        <v>5432.7292801898402</v>
      </c>
      <c r="L1333" s="38" t="s">
        <v>612</v>
      </c>
      <c r="M1333" s="29" t="s">
        <v>307</v>
      </c>
      <c r="N1333" s="18" t="s">
        <v>308</v>
      </c>
    </row>
    <row r="1334" spans="1:32" ht="13">
      <c r="A1334" s="18" t="s">
        <v>296</v>
      </c>
      <c r="B1334" s="27" t="s">
        <v>260</v>
      </c>
      <c r="C1334" s="27" t="s">
        <v>371</v>
      </c>
      <c r="D1334" s="27" t="s">
        <v>305</v>
      </c>
      <c r="E1334" s="18" t="s">
        <v>824</v>
      </c>
      <c r="F1334" s="27" t="s">
        <v>825</v>
      </c>
      <c r="G1334" s="27" t="s">
        <v>611</v>
      </c>
      <c r="H1334" s="37">
        <v>2007.94292988662</v>
      </c>
      <c r="I1334" s="37">
        <v>1890</v>
      </c>
      <c r="J1334" s="37">
        <v>779.06650993144694</v>
      </c>
      <c r="K1334" s="37">
        <v>4779.0555238179004</v>
      </c>
      <c r="L1334" s="38" t="s">
        <v>612</v>
      </c>
      <c r="M1334" s="29" t="s">
        <v>307</v>
      </c>
      <c r="N1334" s="18" t="s">
        <v>308</v>
      </c>
    </row>
    <row r="1335" spans="1:32" ht="13">
      <c r="A1335" s="18" t="s">
        <v>296</v>
      </c>
      <c r="B1335" s="27" t="s">
        <v>260</v>
      </c>
      <c r="C1335" s="27" t="s">
        <v>371</v>
      </c>
      <c r="D1335" s="27" t="s">
        <v>305</v>
      </c>
      <c r="E1335" s="18" t="s">
        <v>824</v>
      </c>
      <c r="F1335" s="27" t="s">
        <v>825</v>
      </c>
      <c r="G1335" s="27" t="s">
        <v>611</v>
      </c>
      <c r="H1335" s="37">
        <v>2013.9603291439601</v>
      </c>
      <c r="I1335" s="37">
        <v>1997</v>
      </c>
      <c r="J1335" s="37">
        <v>690.12018808226605</v>
      </c>
      <c r="K1335" s="37">
        <v>5586.6584637018796</v>
      </c>
      <c r="L1335" s="38" t="s">
        <v>612</v>
      </c>
      <c r="M1335" s="29" t="s">
        <v>307</v>
      </c>
      <c r="N1335" s="18" t="s">
        <v>308</v>
      </c>
    </row>
    <row r="1336" spans="1:32" ht="13">
      <c r="A1336" s="18" t="s">
        <v>296</v>
      </c>
      <c r="B1336" s="18" t="s">
        <v>260</v>
      </c>
      <c r="C1336" s="18" t="s">
        <v>827</v>
      </c>
      <c r="D1336" s="18" t="s">
        <v>345</v>
      </c>
      <c r="E1336" s="18" t="s">
        <v>828</v>
      </c>
      <c r="F1336" s="18" t="s">
        <v>829</v>
      </c>
      <c r="G1336" s="18" t="s">
        <v>647</v>
      </c>
      <c r="H1336" s="18">
        <v>1987</v>
      </c>
      <c r="I1336" s="40">
        <v>22657</v>
      </c>
      <c r="J1336" s="40">
        <v>20290</v>
      </c>
      <c r="K1336" s="18">
        <v>25221</v>
      </c>
      <c r="L1336" s="37" t="s">
        <v>637</v>
      </c>
      <c r="M1336" s="24" t="s">
        <v>348</v>
      </c>
      <c r="N1336" s="18" t="s">
        <v>349</v>
      </c>
      <c r="O1336" s="18" t="s">
        <v>830</v>
      </c>
    </row>
    <row r="1337" spans="1:32" ht="13">
      <c r="A1337" s="18" t="s">
        <v>296</v>
      </c>
      <c r="B1337" s="18" t="s">
        <v>260</v>
      </c>
      <c r="C1337" s="18" t="s">
        <v>827</v>
      </c>
      <c r="D1337" s="18" t="s">
        <v>345</v>
      </c>
      <c r="E1337" s="27" t="s">
        <v>828</v>
      </c>
      <c r="F1337" s="18" t="s">
        <v>829</v>
      </c>
      <c r="G1337" s="18" t="s">
        <v>647</v>
      </c>
      <c r="H1337" s="18">
        <v>1988</v>
      </c>
      <c r="I1337" s="40">
        <v>23344</v>
      </c>
      <c r="J1337" s="40">
        <v>20484</v>
      </c>
      <c r="K1337" s="18">
        <v>26303</v>
      </c>
      <c r="L1337" s="38" t="s">
        <v>637</v>
      </c>
      <c r="M1337" s="24" t="s">
        <v>348</v>
      </c>
      <c r="N1337" s="18" t="s">
        <v>349</v>
      </c>
    </row>
    <row r="1338" spans="1:32" ht="13">
      <c r="A1338" s="18" t="s">
        <v>296</v>
      </c>
      <c r="B1338" s="18" t="s">
        <v>260</v>
      </c>
      <c r="C1338" s="18" t="s">
        <v>827</v>
      </c>
      <c r="D1338" s="18" t="s">
        <v>345</v>
      </c>
      <c r="E1338" s="27" t="s">
        <v>828</v>
      </c>
      <c r="F1338" s="18" t="s">
        <v>829</v>
      </c>
      <c r="G1338" s="18" t="s">
        <v>647</v>
      </c>
      <c r="H1338" s="18">
        <v>1989</v>
      </c>
      <c r="I1338" s="40">
        <v>23735</v>
      </c>
      <c r="J1338" s="40">
        <v>21762</v>
      </c>
      <c r="K1338" s="18">
        <v>25806</v>
      </c>
      <c r="L1338" s="38" t="s">
        <v>637</v>
      </c>
      <c r="M1338" s="24" t="s">
        <v>348</v>
      </c>
      <c r="N1338" s="18" t="s">
        <v>349</v>
      </c>
    </row>
    <row r="1339" spans="1:32" ht="13">
      <c r="A1339" s="18" t="s">
        <v>296</v>
      </c>
      <c r="B1339" s="18" t="s">
        <v>260</v>
      </c>
      <c r="C1339" s="18" t="s">
        <v>827</v>
      </c>
      <c r="D1339" s="18" t="s">
        <v>345</v>
      </c>
      <c r="E1339" s="27" t="s">
        <v>828</v>
      </c>
      <c r="F1339" s="18" t="s">
        <v>829</v>
      </c>
      <c r="G1339" s="18" t="s">
        <v>647</v>
      </c>
      <c r="H1339" s="18">
        <v>1990</v>
      </c>
      <c r="I1339" s="40">
        <v>23830</v>
      </c>
      <c r="J1339" s="40">
        <v>21857</v>
      </c>
      <c r="K1339" s="18">
        <v>25802</v>
      </c>
      <c r="L1339" s="38" t="s">
        <v>637</v>
      </c>
      <c r="M1339" s="24" t="s">
        <v>348</v>
      </c>
      <c r="N1339" s="18" t="s">
        <v>349</v>
      </c>
    </row>
    <row r="1340" spans="1:32" ht="13">
      <c r="A1340" s="18" t="s">
        <v>296</v>
      </c>
      <c r="B1340" s="18" t="s">
        <v>260</v>
      </c>
      <c r="C1340" s="18" t="s">
        <v>827</v>
      </c>
      <c r="D1340" s="18" t="s">
        <v>345</v>
      </c>
      <c r="E1340" s="27" t="s">
        <v>828</v>
      </c>
      <c r="F1340" s="18" t="s">
        <v>829</v>
      </c>
      <c r="G1340" s="18" t="s">
        <v>647</v>
      </c>
      <c r="H1340" s="18">
        <v>1991</v>
      </c>
      <c r="I1340" s="40">
        <v>25700</v>
      </c>
      <c r="J1340" s="40">
        <v>23925</v>
      </c>
      <c r="K1340" s="18">
        <v>27869</v>
      </c>
      <c r="L1340" s="38" t="s">
        <v>637</v>
      </c>
      <c r="M1340" s="24" t="s">
        <v>348</v>
      </c>
      <c r="N1340" s="18" t="s">
        <v>349</v>
      </c>
    </row>
    <row r="1341" spans="1:32" ht="13">
      <c r="A1341" s="18" t="s">
        <v>296</v>
      </c>
      <c r="B1341" s="18" t="s">
        <v>260</v>
      </c>
      <c r="C1341" s="18" t="s">
        <v>827</v>
      </c>
      <c r="D1341" s="18" t="s">
        <v>345</v>
      </c>
      <c r="E1341" s="27" t="s">
        <v>828</v>
      </c>
      <c r="F1341" s="18" t="s">
        <v>829</v>
      </c>
      <c r="G1341" s="18" t="s">
        <v>647</v>
      </c>
      <c r="H1341" s="18">
        <v>1992</v>
      </c>
      <c r="I1341" s="40">
        <v>26091</v>
      </c>
      <c r="J1341" s="40">
        <v>25104</v>
      </c>
      <c r="K1341" s="18">
        <v>27077</v>
      </c>
      <c r="L1341" s="38" t="s">
        <v>637</v>
      </c>
      <c r="M1341" s="24" t="s">
        <v>348</v>
      </c>
      <c r="N1341" s="18" t="s">
        <v>349</v>
      </c>
    </row>
    <row r="1342" spans="1:32" ht="13">
      <c r="A1342" s="18" t="s">
        <v>296</v>
      </c>
      <c r="B1342" s="18" t="s">
        <v>260</v>
      </c>
      <c r="C1342" s="18" t="s">
        <v>827</v>
      </c>
      <c r="D1342" s="18" t="s">
        <v>345</v>
      </c>
      <c r="E1342" s="27" t="s">
        <v>828</v>
      </c>
      <c r="F1342" s="18" t="s">
        <v>829</v>
      </c>
      <c r="G1342" s="18" t="s">
        <v>647</v>
      </c>
      <c r="H1342" s="18">
        <v>1993</v>
      </c>
      <c r="I1342" s="40">
        <v>25890</v>
      </c>
      <c r="J1342" s="40">
        <v>22734</v>
      </c>
      <c r="K1342" s="18">
        <v>28947</v>
      </c>
      <c r="L1342" s="38" t="s">
        <v>637</v>
      </c>
      <c r="M1342" s="24" t="s">
        <v>348</v>
      </c>
      <c r="N1342" s="18" t="s">
        <v>349</v>
      </c>
    </row>
    <row r="1343" spans="1:32" ht="13">
      <c r="A1343" s="18" t="s">
        <v>296</v>
      </c>
      <c r="B1343" s="18" t="s">
        <v>260</v>
      </c>
      <c r="C1343" s="18" t="s">
        <v>827</v>
      </c>
      <c r="D1343" s="18" t="s">
        <v>345</v>
      </c>
      <c r="E1343" s="27" t="s">
        <v>828</v>
      </c>
      <c r="F1343" s="18" t="s">
        <v>829</v>
      </c>
      <c r="G1343" s="18" t="s">
        <v>647</v>
      </c>
      <c r="H1343" s="18">
        <v>1994</v>
      </c>
      <c r="I1343" s="40">
        <v>27858</v>
      </c>
      <c r="J1343" s="40">
        <v>27070</v>
      </c>
      <c r="K1343" s="18">
        <v>28746</v>
      </c>
      <c r="L1343" s="38" t="s">
        <v>637</v>
      </c>
      <c r="M1343" s="24" t="s">
        <v>348</v>
      </c>
      <c r="N1343" s="18" t="s">
        <v>349</v>
      </c>
    </row>
    <row r="1344" spans="1:32" ht="13">
      <c r="A1344" s="18" t="s">
        <v>296</v>
      </c>
      <c r="B1344" s="18" t="s">
        <v>260</v>
      </c>
      <c r="C1344" s="18" t="s">
        <v>827</v>
      </c>
      <c r="D1344" s="18" t="s">
        <v>345</v>
      </c>
      <c r="E1344" s="27" t="s">
        <v>828</v>
      </c>
      <c r="F1344" s="18" t="s">
        <v>829</v>
      </c>
      <c r="G1344" s="18" t="s">
        <v>647</v>
      </c>
      <c r="H1344" s="18">
        <v>1995</v>
      </c>
      <c r="I1344" s="40">
        <v>28052</v>
      </c>
      <c r="J1344" s="40">
        <v>24995</v>
      </c>
      <c r="K1344" s="18">
        <v>31898</v>
      </c>
      <c r="L1344" s="38" t="s">
        <v>637</v>
      </c>
      <c r="M1344" s="24" t="s">
        <v>348</v>
      </c>
      <c r="N1344" s="18" t="s">
        <v>349</v>
      </c>
    </row>
    <row r="1345" spans="1:14" ht="13">
      <c r="A1345" s="18" t="s">
        <v>296</v>
      </c>
      <c r="B1345" s="18" t="s">
        <v>260</v>
      </c>
      <c r="C1345" s="18" t="s">
        <v>827</v>
      </c>
      <c r="D1345" s="18" t="s">
        <v>345</v>
      </c>
      <c r="E1345" s="27" t="s">
        <v>828</v>
      </c>
      <c r="F1345" s="18" t="s">
        <v>829</v>
      </c>
      <c r="G1345" s="18" t="s">
        <v>647</v>
      </c>
      <c r="H1345" s="18">
        <v>1996</v>
      </c>
      <c r="I1345" s="40">
        <v>27555</v>
      </c>
      <c r="J1345" s="40">
        <v>25583</v>
      </c>
      <c r="K1345" s="18">
        <v>29824</v>
      </c>
      <c r="L1345" s="38" t="s">
        <v>637</v>
      </c>
      <c r="M1345" s="24" t="s">
        <v>348</v>
      </c>
      <c r="N1345" s="18" t="s">
        <v>349</v>
      </c>
    </row>
    <row r="1346" spans="1:14" ht="13">
      <c r="A1346" s="18" t="s">
        <v>296</v>
      </c>
      <c r="B1346" s="18" t="s">
        <v>260</v>
      </c>
      <c r="C1346" s="18" t="s">
        <v>827</v>
      </c>
      <c r="D1346" s="18" t="s">
        <v>345</v>
      </c>
      <c r="E1346" s="27" t="s">
        <v>828</v>
      </c>
      <c r="F1346" s="18" t="s">
        <v>829</v>
      </c>
      <c r="G1346" s="18" t="s">
        <v>647</v>
      </c>
      <c r="H1346" s="18">
        <v>1997</v>
      </c>
      <c r="I1346" s="40">
        <v>29721</v>
      </c>
      <c r="J1346" s="40">
        <v>26270</v>
      </c>
      <c r="K1346" s="18">
        <v>33567</v>
      </c>
      <c r="L1346" s="38" t="s">
        <v>637</v>
      </c>
      <c r="M1346" s="24" t="s">
        <v>348</v>
      </c>
      <c r="N1346" s="18" t="s">
        <v>349</v>
      </c>
    </row>
    <row r="1347" spans="1:14" ht="13">
      <c r="A1347" s="18" t="s">
        <v>296</v>
      </c>
      <c r="B1347" s="18" t="s">
        <v>260</v>
      </c>
      <c r="C1347" s="18" t="s">
        <v>827</v>
      </c>
      <c r="D1347" s="18" t="s">
        <v>345</v>
      </c>
      <c r="E1347" s="27" t="s">
        <v>828</v>
      </c>
      <c r="F1347" s="18" t="s">
        <v>829</v>
      </c>
      <c r="G1347" s="18" t="s">
        <v>647</v>
      </c>
      <c r="H1347" s="18">
        <v>1998</v>
      </c>
      <c r="I1347" s="40">
        <v>29915</v>
      </c>
      <c r="J1347" s="40">
        <v>28929</v>
      </c>
      <c r="K1347" s="18">
        <v>31295</v>
      </c>
      <c r="L1347" s="38" t="s">
        <v>637</v>
      </c>
      <c r="M1347" s="24" t="s">
        <v>348</v>
      </c>
      <c r="N1347" s="18" t="s">
        <v>349</v>
      </c>
    </row>
    <row r="1348" spans="1:14" ht="13">
      <c r="A1348" s="18" t="s">
        <v>296</v>
      </c>
      <c r="B1348" s="18" t="s">
        <v>260</v>
      </c>
      <c r="C1348" s="18" t="s">
        <v>827</v>
      </c>
      <c r="D1348" s="18" t="s">
        <v>345</v>
      </c>
      <c r="E1348" s="27" t="s">
        <v>828</v>
      </c>
      <c r="F1348" s="18" t="s">
        <v>829</v>
      </c>
      <c r="G1348" s="18" t="s">
        <v>647</v>
      </c>
      <c r="H1348" s="18">
        <v>1999</v>
      </c>
      <c r="I1348" s="40">
        <v>30799</v>
      </c>
      <c r="J1348" s="40">
        <v>27446</v>
      </c>
      <c r="K1348" s="18">
        <v>35039</v>
      </c>
      <c r="L1348" s="38" t="s">
        <v>637</v>
      </c>
      <c r="M1348" s="24" t="s">
        <v>348</v>
      </c>
      <c r="N1348" s="18" t="s">
        <v>349</v>
      </c>
    </row>
    <row r="1349" spans="1:14" ht="13">
      <c r="A1349" s="18" t="s">
        <v>296</v>
      </c>
      <c r="B1349" s="18" t="s">
        <v>260</v>
      </c>
      <c r="C1349" s="18" t="s">
        <v>827</v>
      </c>
      <c r="D1349" s="18" t="s">
        <v>345</v>
      </c>
      <c r="E1349" s="27" t="s">
        <v>828</v>
      </c>
      <c r="F1349" s="18" t="s">
        <v>829</v>
      </c>
      <c r="G1349" s="18" t="s">
        <v>647</v>
      </c>
      <c r="H1349" s="18">
        <v>2000</v>
      </c>
      <c r="I1349" s="40">
        <v>31683</v>
      </c>
      <c r="J1349" s="40">
        <v>29217</v>
      </c>
      <c r="K1349" s="18">
        <v>34641</v>
      </c>
      <c r="L1349" s="38" t="s">
        <v>637</v>
      </c>
      <c r="M1349" s="24" t="s">
        <v>348</v>
      </c>
      <c r="N1349" s="18" t="s">
        <v>349</v>
      </c>
    </row>
    <row r="1350" spans="1:14" ht="13">
      <c r="A1350" s="18" t="s">
        <v>296</v>
      </c>
      <c r="B1350" s="18" t="s">
        <v>260</v>
      </c>
      <c r="C1350" s="18" t="s">
        <v>827</v>
      </c>
      <c r="D1350" s="18" t="s">
        <v>345</v>
      </c>
      <c r="E1350" s="27" t="s">
        <v>828</v>
      </c>
      <c r="F1350" s="18" t="s">
        <v>829</v>
      </c>
      <c r="G1350" s="18" t="s">
        <v>647</v>
      </c>
      <c r="H1350" s="18">
        <v>2001</v>
      </c>
      <c r="I1350" s="40">
        <v>33060</v>
      </c>
      <c r="J1350" s="40">
        <v>29312</v>
      </c>
      <c r="K1350" s="18">
        <v>37301</v>
      </c>
      <c r="L1350" s="38" t="s">
        <v>637</v>
      </c>
      <c r="M1350" s="24" t="s">
        <v>348</v>
      </c>
      <c r="N1350" s="18" t="s">
        <v>349</v>
      </c>
    </row>
    <row r="1351" spans="1:14" ht="13">
      <c r="A1351" s="18" t="s">
        <v>296</v>
      </c>
      <c r="B1351" s="18" t="s">
        <v>260</v>
      </c>
      <c r="C1351" s="18" t="s">
        <v>827</v>
      </c>
      <c r="D1351" s="18" t="s">
        <v>345</v>
      </c>
      <c r="E1351" s="27" t="s">
        <v>828</v>
      </c>
      <c r="F1351" s="18" t="s">
        <v>829</v>
      </c>
      <c r="G1351" s="18" t="s">
        <v>647</v>
      </c>
      <c r="H1351" s="18">
        <v>2002</v>
      </c>
      <c r="I1351" s="40">
        <v>37987</v>
      </c>
      <c r="J1351" s="40">
        <v>37297</v>
      </c>
      <c r="K1351" s="18">
        <v>39072</v>
      </c>
      <c r="L1351" s="38" t="s">
        <v>637</v>
      </c>
      <c r="M1351" s="24" t="s">
        <v>348</v>
      </c>
      <c r="N1351" s="18" t="s">
        <v>349</v>
      </c>
    </row>
    <row r="1352" spans="1:14" ht="13">
      <c r="A1352" s="18" t="s">
        <v>296</v>
      </c>
      <c r="B1352" s="18" t="s">
        <v>260</v>
      </c>
      <c r="C1352" s="18" t="s">
        <v>827</v>
      </c>
      <c r="D1352" s="18" t="s">
        <v>345</v>
      </c>
      <c r="E1352" s="27" t="s">
        <v>828</v>
      </c>
      <c r="F1352" s="18" t="s">
        <v>829</v>
      </c>
      <c r="G1352" s="18" t="s">
        <v>647</v>
      </c>
      <c r="H1352" s="18">
        <v>2003</v>
      </c>
      <c r="I1352" s="40">
        <v>37392</v>
      </c>
      <c r="J1352" s="40">
        <v>33250</v>
      </c>
      <c r="K1352" s="18">
        <v>42027</v>
      </c>
      <c r="L1352" s="38" t="s">
        <v>637</v>
      </c>
      <c r="M1352" s="24" t="s">
        <v>348</v>
      </c>
      <c r="N1352" s="18" t="s">
        <v>349</v>
      </c>
    </row>
    <row r="1353" spans="1:14" ht="13">
      <c r="A1353" s="18" t="s">
        <v>296</v>
      </c>
      <c r="B1353" s="18" t="s">
        <v>260</v>
      </c>
      <c r="C1353" s="18" t="s">
        <v>827</v>
      </c>
      <c r="D1353" s="18" t="s">
        <v>345</v>
      </c>
      <c r="E1353" s="27" t="s">
        <v>828</v>
      </c>
      <c r="F1353" s="18" t="s">
        <v>829</v>
      </c>
      <c r="G1353" s="18" t="s">
        <v>647</v>
      </c>
      <c r="H1353" s="18">
        <v>2004</v>
      </c>
      <c r="I1353" s="40">
        <v>38670</v>
      </c>
      <c r="J1353" s="40">
        <v>34824</v>
      </c>
      <c r="K1353" s="18">
        <v>43404</v>
      </c>
      <c r="L1353" s="38" t="s">
        <v>637</v>
      </c>
      <c r="M1353" s="24" t="s">
        <v>348</v>
      </c>
      <c r="N1353" s="18" t="s">
        <v>349</v>
      </c>
    </row>
    <row r="1354" spans="1:14" ht="13">
      <c r="A1354" s="18" t="s">
        <v>296</v>
      </c>
      <c r="B1354" s="18" t="s">
        <v>260</v>
      </c>
      <c r="C1354" s="18" t="s">
        <v>827</v>
      </c>
      <c r="D1354" s="18" t="s">
        <v>345</v>
      </c>
      <c r="E1354" s="27" t="s">
        <v>828</v>
      </c>
      <c r="F1354" s="18" t="s">
        <v>829</v>
      </c>
      <c r="G1354" s="18" t="s">
        <v>647</v>
      </c>
      <c r="H1354" s="18">
        <v>2005</v>
      </c>
      <c r="I1354" s="40">
        <v>40047</v>
      </c>
      <c r="J1354" s="40">
        <v>36102</v>
      </c>
      <c r="K1354" s="18">
        <v>45570</v>
      </c>
      <c r="L1354" s="38" t="s">
        <v>637</v>
      </c>
      <c r="M1354" s="24" t="s">
        <v>348</v>
      </c>
      <c r="N1354" s="18" t="s">
        <v>349</v>
      </c>
    </row>
    <row r="1355" spans="1:14" ht="13">
      <c r="A1355" s="18" t="s">
        <v>296</v>
      </c>
      <c r="B1355" s="18" t="s">
        <v>260</v>
      </c>
      <c r="C1355" s="18" t="s">
        <v>827</v>
      </c>
      <c r="D1355" s="18" t="s">
        <v>345</v>
      </c>
      <c r="E1355" s="27" t="s">
        <v>828</v>
      </c>
      <c r="F1355" s="18" t="s">
        <v>829</v>
      </c>
      <c r="G1355" s="18" t="s">
        <v>647</v>
      </c>
      <c r="H1355" s="18">
        <v>2006</v>
      </c>
      <c r="I1355" s="40">
        <v>40241</v>
      </c>
      <c r="J1355" s="40">
        <v>37085</v>
      </c>
      <c r="K1355" s="18">
        <v>44284</v>
      </c>
      <c r="L1355" s="38" t="s">
        <v>637</v>
      </c>
      <c r="M1355" s="24" t="s">
        <v>348</v>
      </c>
      <c r="N1355" s="18" t="s">
        <v>349</v>
      </c>
    </row>
    <row r="1356" spans="1:14" ht="13">
      <c r="A1356" s="18" t="s">
        <v>296</v>
      </c>
      <c r="B1356" s="18" t="s">
        <v>260</v>
      </c>
      <c r="C1356" s="18" t="s">
        <v>827</v>
      </c>
      <c r="D1356" s="18" t="s">
        <v>345</v>
      </c>
      <c r="E1356" s="27" t="s">
        <v>828</v>
      </c>
      <c r="F1356" s="18" t="s">
        <v>829</v>
      </c>
      <c r="G1356" s="18" t="s">
        <v>647</v>
      </c>
      <c r="H1356" s="18">
        <v>2007</v>
      </c>
      <c r="I1356" s="40">
        <v>40336</v>
      </c>
      <c r="J1356" s="40">
        <v>35503</v>
      </c>
      <c r="K1356" s="18">
        <v>45661</v>
      </c>
      <c r="L1356" s="38" t="s">
        <v>637</v>
      </c>
      <c r="M1356" s="24" t="s">
        <v>348</v>
      </c>
      <c r="N1356" s="18" t="s">
        <v>349</v>
      </c>
    </row>
    <row r="1357" spans="1:14" ht="13">
      <c r="A1357" s="18" t="s">
        <v>296</v>
      </c>
      <c r="B1357" s="18" t="s">
        <v>260</v>
      </c>
      <c r="C1357" s="18" t="s">
        <v>827</v>
      </c>
      <c r="D1357" s="18" t="s">
        <v>345</v>
      </c>
      <c r="E1357" s="27" t="s">
        <v>828</v>
      </c>
      <c r="F1357" s="18" t="s">
        <v>829</v>
      </c>
      <c r="G1357" s="18" t="s">
        <v>647</v>
      </c>
      <c r="H1357" s="18">
        <v>2008</v>
      </c>
      <c r="I1357" s="40">
        <v>38162</v>
      </c>
      <c r="J1357" s="40">
        <v>37176</v>
      </c>
      <c r="K1357" s="18">
        <v>39543</v>
      </c>
      <c r="L1357" s="38" t="s">
        <v>637</v>
      </c>
      <c r="M1357" s="24" t="s">
        <v>348</v>
      </c>
      <c r="N1357" s="18" t="s">
        <v>349</v>
      </c>
    </row>
    <row r="1358" spans="1:14" ht="13">
      <c r="A1358" s="18" t="s">
        <v>296</v>
      </c>
      <c r="B1358" s="18" t="s">
        <v>260</v>
      </c>
      <c r="C1358" s="18" t="s">
        <v>827</v>
      </c>
      <c r="D1358" s="18" t="s">
        <v>345</v>
      </c>
      <c r="E1358" s="27" t="s">
        <v>828</v>
      </c>
      <c r="F1358" s="18" t="s">
        <v>829</v>
      </c>
      <c r="G1358" s="18" t="s">
        <v>647</v>
      </c>
      <c r="H1358" s="18">
        <v>2009</v>
      </c>
      <c r="I1358" s="40">
        <v>43188</v>
      </c>
      <c r="J1358" s="40">
        <v>39342</v>
      </c>
      <c r="K1358" s="18">
        <v>47626</v>
      </c>
      <c r="L1358" s="38" t="s">
        <v>637</v>
      </c>
      <c r="M1358" s="24" t="s">
        <v>348</v>
      </c>
      <c r="N1358" s="18" t="s">
        <v>349</v>
      </c>
    </row>
    <row r="1359" spans="1:14" ht="13">
      <c r="A1359" s="18" t="s">
        <v>296</v>
      </c>
      <c r="B1359" s="18" t="s">
        <v>260</v>
      </c>
      <c r="C1359" s="18" t="s">
        <v>827</v>
      </c>
      <c r="D1359" s="18" t="s">
        <v>345</v>
      </c>
      <c r="E1359" s="27" t="s">
        <v>828</v>
      </c>
      <c r="F1359" s="18" t="s">
        <v>829</v>
      </c>
      <c r="G1359" s="18" t="s">
        <v>647</v>
      </c>
      <c r="H1359" s="18">
        <v>2010</v>
      </c>
      <c r="I1359" s="40">
        <v>44072</v>
      </c>
      <c r="J1359" s="40">
        <v>42396</v>
      </c>
      <c r="K1359" s="18">
        <v>46242</v>
      </c>
      <c r="L1359" s="38" t="s">
        <v>637</v>
      </c>
      <c r="M1359" s="24" t="s">
        <v>348</v>
      </c>
      <c r="N1359" s="18" t="s">
        <v>349</v>
      </c>
    </row>
    <row r="1360" spans="1:14" ht="13">
      <c r="A1360" s="18" t="s">
        <v>296</v>
      </c>
      <c r="B1360" s="18" t="s">
        <v>260</v>
      </c>
      <c r="C1360" s="18" t="s">
        <v>827</v>
      </c>
      <c r="D1360" s="18" t="s">
        <v>345</v>
      </c>
      <c r="E1360" s="27" t="s">
        <v>828</v>
      </c>
      <c r="F1360" s="18" t="s">
        <v>829</v>
      </c>
      <c r="G1360" s="18" t="s">
        <v>647</v>
      </c>
      <c r="H1360" s="18">
        <v>2011</v>
      </c>
      <c r="I1360" s="40">
        <v>45351</v>
      </c>
      <c r="J1360" s="40">
        <v>39927</v>
      </c>
      <c r="K1360" s="18">
        <v>51761</v>
      </c>
      <c r="L1360" s="38" t="s">
        <v>637</v>
      </c>
      <c r="M1360" s="24" t="s">
        <v>348</v>
      </c>
      <c r="N1360" s="18" t="s">
        <v>349</v>
      </c>
    </row>
    <row r="1361" spans="1:14" ht="13">
      <c r="A1361" s="18" t="s">
        <v>296</v>
      </c>
      <c r="B1361" s="18" t="s">
        <v>260</v>
      </c>
      <c r="C1361" s="18" t="s">
        <v>827</v>
      </c>
      <c r="D1361" s="18" t="s">
        <v>345</v>
      </c>
      <c r="E1361" s="27" t="s">
        <v>828</v>
      </c>
      <c r="F1361" s="18" t="s">
        <v>829</v>
      </c>
      <c r="G1361" s="18" t="s">
        <v>647</v>
      </c>
      <c r="H1361" s="18">
        <v>2012</v>
      </c>
      <c r="I1361" s="40">
        <v>47517</v>
      </c>
      <c r="J1361" s="40">
        <v>41501</v>
      </c>
      <c r="K1361" s="18">
        <v>54321</v>
      </c>
      <c r="L1361" s="38" t="s">
        <v>637</v>
      </c>
      <c r="M1361" s="24" t="s">
        <v>348</v>
      </c>
      <c r="N1361" s="18" t="s">
        <v>349</v>
      </c>
    </row>
    <row r="1362" spans="1:14" ht="13">
      <c r="A1362" s="18" t="s">
        <v>296</v>
      </c>
      <c r="B1362" s="18" t="s">
        <v>260</v>
      </c>
      <c r="C1362" s="18" t="s">
        <v>827</v>
      </c>
      <c r="D1362" s="18" t="s">
        <v>345</v>
      </c>
      <c r="E1362" s="27" t="s">
        <v>828</v>
      </c>
      <c r="F1362" s="18" t="s">
        <v>829</v>
      </c>
      <c r="G1362" s="18" t="s">
        <v>647</v>
      </c>
      <c r="H1362" s="18">
        <v>2013</v>
      </c>
      <c r="I1362" s="40">
        <v>51951</v>
      </c>
      <c r="J1362" s="61" t="s">
        <v>402</v>
      </c>
      <c r="K1362" s="41" t="s">
        <v>402</v>
      </c>
      <c r="L1362" s="38" t="s">
        <v>637</v>
      </c>
      <c r="M1362" s="24" t="s">
        <v>348</v>
      </c>
      <c r="N1362" s="18" t="s">
        <v>349</v>
      </c>
    </row>
    <row r="1363" spans="1:14" ht="13">
      <c r="A1363" s="18" t="s">
        <v>296</v>
      </c>
      <c r="B1363" s="18" t="s">
        <v>260</v>
      </c>
      <c r="C1363" s="18" t="s">
        <v>827</v>
      </c>
      <c r="D1363" s="18" t="s">
        <v>345</v>
      </c>
      <c r="E1363" s="27" t="s">
        <v>828</v>
      </c>
      <c r="F1363" s="18" t="s">
        <v>829</v>
      </c>
      <c r="G1363" s="18" t="s">
        <v>647</v>
      </c>
      <c r="H1363" s="18">
        <v>2014</v>
      </c>
      <c r="I1363" s="40">
        <v>52046</v>
      </c>
      <c r="J1363" s="40">
        <v>45537</v>
      </c>
      <c r="K1363" s="18">
        <v>59639</v>
      </c>
      <c r="L1363" s="38" t="s">
        <v>637</v>
      </c>
      <c r="M1363" s="24" t="s">
        <v>348</v>
      </c>
      <c r="N1363" s="18" t="s">
        <v>349</v>
      </c>
    </row>
    <row r="1364" spans="1:14" ht="13">
      <c r="A1364" s="18" t="s">
        <v>296</v>
      </c>
      <c r="B1364" s="18" t="s">
        <v>260</v>
      </c>
      <c r="C1364" s="18" t="s">
        <v>827</v>
      </c>
      <c r="D1364" s="18" t="s">
        <v>345</v>
      </c>
      <c r="E1364" s="27" t="s">
        <v>828</v>
      </c>
      <c r="F1364" s="18" t="s">
        <v>829</v>
      </c>
      <c r="G1364" s="18" t="s">
        <v>647</v>
      </c>
      <c r="H1364" s="18">
        <v>2015</v>
      </c>
      <c r="I1364" s="40">
        <v>54409</v>
      </c>
      <c r="J1364" s="40">
        <v>48985</v>
      </c>
      <c r="K1364" s="18">
        <v>60819</v>
      </c>
      <c r="L1364" s="38" t="s">
        <v>637</v>
      </c>
      <c r="M1364" s="24" t="s">
        <v>348</v>
      </c>
      <c r="N1364" s="18" t="s">
        <v>349</v>
      </c>
    </row>
    <row r="1365" spans="1:14" ht="13">
      <c r="A1365" s="18" t="s">
        <v>296</v>
      </c>
      <c r="B1365" s="18" t="s">
        <v>260</v>
      </c>
      <c r="C1365" s="18" t="s">
        <v>827</v>
      </c>
      <c r="D1365" s="18" t="s">
        <v>345</v>
      </c>
      <c r="E1365" s="27" t="s">
        <v>828</v>
      </c>
      <c r="F1365" s="18" t="s">
        <v>829</v>
      </c>
      <c r="G1365" s="18" t="s">
        <v>647</v>
      </c>
      <c r="H1365" s="18">
        <v>2016</v>
      </c>
      <c r="I1365" s="40">
        <v>55490</v>
      </c>
      <c r="J1365" s="40">
        <v>47896</v>
      </c>
      <c r="K1365" s="18">
        <v>64070</v>
      </c>
      <c r="L1365" s="38" t="s">
        <v>637</v>
      </c>
      <c r="M1365" s="24" t="s">
        <v>348</v>
      </c>
      <c r="N1365" s="18" t="s">
        <v>349</v>
      </c>
    </row>
    <row r="1366" spans="1:14" ht="13">
      <c r="A1366" s="18" t="s">
        <v>296</v>
      </c>
      <c r="B1366" s="18" t="s">
        <v>260</v>
      </c>
      <c r="C1366" s="18" t="s">
        <v>827</v>
      </c>
      <c r="D1366" s="18" t="s">
        <v>345</v>
      </c>
      <c r="E1366" s="18" t="s">
        <v>828</v>
      </c>
      <c r="F1366" s="18" t="s">
        <v>829</v>
      </c>
      <c r="G1366" s="18" t="s">
        <v>647</v>
      </c>
      <c r="H1366" s="18">
        <v>2017</v>
      </c>
      <c r="I1366" s="40">
        <v>54895</v>
      </c>
      <c r="J1366" s="40">
        <v>48386</v>
      </c>
      <c r="K1366" s="18">
        <v>62488</v>
      </c>
      <c r="L1366" s="37" t="s">
        <v>637</v>
      </c>
      <c r="M1366" s="24" t="s">
        <v>348</v>
      </c>
      <c r="N1366" s="18" t="s">
        <v>349</v>
      </c>
    </row>
    <row r="1367" spans="1:14" ht="13">
      <c r="A1367" s="18" t="s">
        <v>296</v>
      </c>
      <c r="B1367" s="18" t="s">
        <v>260</v>
      </c>
      <c r="C1367" s="18" t="s">
        <v>831</v>
      </c>
      <c r="D1367" s="18" t="s">
        <v>345</v>
      </c>
      <c r="E1367" s="27" t="s">
        <v>832</v>
      </c>
      <c r="F1367" s="18" t="s">
        <v>829</v>
      </c>
      <c r="G1367" s="18" t="s">
        <v>647</v>
      </c>
      <c r="H1367" s="18">
        <v>1989</v>
      </c>
      <c r="I1367" s="40">
        <v>11429</v>
      </c>
      <c r="J1367" s="61" t="s">
        <v>402</v>
      </c>
      <c r="K1367" s="61" t="s">
        <v>402</v>
      </c>
      <c r="L1367" s="38" t="s">
        <v>637</v>
      </c>
      <c r="M1367" s="24" t="s">
        <v>348</v>
      </c>
      <c r="N1367" s="18" t="s">
        <v>349</v>
      </c>
    </row>
    <row r="1368" spans="1:14" ht="13">
      <c r="A1368" s="18" t="s">
        <v>296</v>
      </c>
      <c r="B1368" s="18" t="s">
        <v>260</v>
      </c>
      <c r="C1368" s="18" t="s">
        <v>831</v>
      </c>
      <c r="D1368" s="18" t="s">
        <v>345</v>
      </c>
      <c r="E1368" s="27" t="s">
        <v>832</v>
      </c>
      <c r="F1368" s="18" t="s">
        <v>829</v>
      </c>
      <c r="G1368" s="18" t="s">
        <v>647</v>
      </c>
      <c r="H1368" s="18">
        <v>1990</v>
      </c>
      <c r="I1368" s="40">
        <v>10816</v>
      </c>
      <c r="J1368" s="61" t="s">
        <v>402</v>
      </c>
      <c r="K1368" s="61" t="s">
        <v>402</v>
      </c>
      <c r="L1368" s="38" t="s">
        <v>637</v>
      </c>
      <c r="M1368" s="24" t="s">
        <v>348</v>
      </c>
      <c r="N1368" s="18" t="s">
        <v>349</v>
      </c>
    </row>
    <row r="1369" spans="1:14" ht="13">
      <c r="A1369" s="18" t="s">
        <v>296</v>
      </c>
      <c r="B1369" s="18" t="s">
        <v>260</v>
      </c>
      <c r="C1369" s="18" t="s">
        <v>831</v>
      </c>
      <c r="D1369" s="18" t="s">
        <v>345</v>
      </c>
      <c r="E1369" s="27" t="s">
        <v>832</v>
      </c>
      <c r="F1369" s="18" t="s">
        <v>829</v>
      </c>
      <c r="G1369" s="18" t="s">
        <v>647</v>
      </c>
      <c r="H1369" s="18">
        <v>1991</v>
      </c>
      <c r="I1369" s="40">
        <v>11837</v>
      </c>
      <c r="J1369" s="61" t="s">
        <v>402</v>
      </c>
      <c r="K1369" s="61" t="s">
        <v>402</v>
      </c>
      <c r="L1369" s="38" t="s">
        <v>637</v>
      </c>
      <c r="M1369" s="24" t="s">
        <v>348</v>
      </c>
      <c r="N1369" s="18" t="s">
        <v>349</v>
      </c>
    </row>
    <row r="1370" spans="1:14" ht="13">
      <c r="A1370" s="18" t="s">
        <v>296</v>
      </c>
      <c r="B1370" s="18" t="s">
        <v>260</v>
      </c>
      <c r="C1370" s="18" t="s">
        <v>831</v>
      </c>
      <c r="D1370" s="18" t="s">
        <v>345</v>
      </c>
      <c r="E1370" s="27" t="s">
        <v>832</v>
      </c>
      <c r="F1370" s="18" t="s">
        <v>829</v>
      </c>
      <c r="G1370" s="18" t="s">
        <v>647</v>
      </c>
      <c r="H1370" s="18">
        <v>1992</v>
      </c>
      <c r="I1370" s="40">
        <v>11429</v>
      </c>
      <c r="J1370" s="61" t="s">
        <v>402</v>
      </c>
      <c r="K1370" s="61" t="s">
        <v>402</v>
      </c>
      <c r="L1370" s="38" t="s">
        <v>637</v>
      </c>
      <c r="M1370" s="24" t="s">
        <v>348</v>
      </c>
      <c r="N1370" s="18" t="s">
        <v>349</v>
      </c>
    </row>
    <row r="1371" spans="1:14" ht="13">
      <c r="A1371" s="18" t="s">
        <v>296</v>
      </c>
      <c r="B1371" s="18" t="s">
        <v>260</v>
      </c>
      <c r="C1371" s="18" t="s">
        <v>831</v>
      </c>
      <c r="D1371" s="18" t="s">
        <v>345</v>
      </c>
      <c r="E1371" s="27" t="s">
        <v>832</v>
      </c>
      <c r="F1371" s="18" t="s">
        <v>829</v>
      </c>
      <c r="G1371" s="18" t="s">
        <v>647</v>
      </c>
      <c r="H1371" s="18">
        <v>1994</v>
      </c>
      <c r="I1371" s="40">
        <v>12857</v>
      </c>
      <c r="J1371" s="61" t="s">
        <v>402</v>
      </c>
      <c r="K1371" s="61" t="s">
        <v>402</v>
      </c>
      <c r="L1371" s="38" t="s">
        <v>637</v>
      </c>
      <c r="M1371" s="24" t="s">
        <v>348</v>
      </c>
      <c r="N1371" s="18" t="s">
        <v>349</v>
      </c>
    </row>
    <row r="1372" spans="1:14" ht="13">
      <c r="A1372" s="18" t="s">
        <v>296</v>
      </c>
      <c r="B1372" s="18" t="s">
        <v>260</v>
      </c>
      <c r="C1372" s="18" t="s">
        <v>831</v>
      </c>
      <c r="D1372" s="18" t="s">
        <v>345</v>
      </c>
      <c r="E1372" s="27" t="s">
        <v>832</v>
      </c>
      <c r="F1372" s="18" t="s">
        <v>829</v>
      </c>
      <c r="G1372" s="18" t="s">
        <v>647</v>
      </c>
      <c r="H1372" s="18">
        <v>1996</v>
      </c>
      <c r="I1372" s="40">
        <v>11429</v>
      </c>
      <c r="J1372" s="61" t="s">
        <v>402</v>
      </c>
      <c r="K1372" s="61" t="s">
        <v>402</v>
      </c>
      <c r="L1372" s="38" t="s">
        <v>637</v>
      </c>
      <c r="M1372" s="24" t="s">
        <v>348</v>
      </c>
      <c r="N1372" s="18" t="s">
        <v>349</v>
      </c>
    </row>
    <row r="1373" spans="1:14" ht="13">
      <c r="A1373" s="18" t="s">
        <v>296</v>
      </c>
      <c r="B1373" s="18" t="s">
        <v>260</v>
      </c>
      <c r="C1373" s="18" t="s">
        <v>831</v>
      </c>
      <c r="D1373" s="18" t="s">
        <v>345</v>
      </c>
      <c r="E1373" s="27" t="s">
        <v>832</v>
      </c>
      <c r="F1373" s="18" t="s">
        <v>829</v>
      </c>
      <c r="G1373" s="18" t="s">
        <v>647</v>
      </c>
      <c r="H1373" s="18">
        <v>1998</v>
      </c>
      <c r="I1373" s="40">
        <v>12449</v>
      </c>
      <c r="J1373" s="61" t="s">
        <v>402</v>
      </c>
      <c r="K1373" s="61" t="s">
        <v>402</v>
      </c>
      <c r="L1373" s="38" t="s">
        <v>637</v>
      </c>
      <c r="M1373" s="24" t="s">
        <v>348</v>
      </c>
      <c r="N1373" s="18" t="s">
        <v>349</v>
      </c>
    </row>
    <row r="1374" spans="1:14" ht="13">
      <c r="A1374" s="18" t="s">
        <v>296</v>
      </c>
      <c r="B1374" s="18" t="s">
        <v>260</v>
      </c>
      <c r="C1374" s="18" t="s">
        <v>831</v>
      </c>
      <c r="D1374" s="18" t="s">
        <v>345</v>
      </c>
      <c r="E1374" s="27" t="s">
        <v>832</v>
      </c>
      <c r="F1374" s="18" t="s">
        <v>829</v>
      </c>
      <c r="G1374" s="18" t="s">
        <v>647</v>
      </c>
      <c r="H1374" s="18">
        <v>2000</v>
      </c>
      <c r="I1374" s="40">
        <v>14082</v>
      </c>
      <c r="J1374" s="61" t="s">
        <v>402</v>
      </c>
      <c r="K1374" s="61" t="s">
        <v>402</v>
      </c>
      <c r="L1374" s="38" t="s">
        <v>637</v>
      </c>
      <c r="M1374" s="24" t="s">
        <v>348</v>
      </c>
      <c r="N1374" s="18" t="s">
        <v>349</v>
      </c>
    </row>
    <row r="1375" spans="1:14" ht="13">
      <c r="A1375" s="18" t="s">
        <v>296</v>
      </c>
      <c r="B1375" s="18" t="s">
        <v>260</v>
      </c>
      <c r="C1375" s="18" t="s">
        <v>831</v>
      </c>
      <c r="D1375" s="18" t="s">
        <v>345</v>
      </c>
      <c r="E1375" s="27" t="s">
        <v>832</v>
      </c>
      <c r="F1375" s="18" t="s">
        <v>829</v>
      </c>
      <c r="G1375" s="18" t="s">
        <v>647</v>
      </c>
      <c r="H1375" s="18">
        <v>2002</v>
      </c>
      <c r="I1375" s="40">
        <v>16122</v>
      </c>
      <c r="J1375" s="61" t="s">
        <v>402</v>
      </c>
      <c r="K1375" s="61" t="s">
        <v>402</v>
      </c>
      <c r="L1375" s="38" t="s">
        <v>637</v>
      </c>
      <c r="M1375" s="24" t="s">
        <v>348</v>
      </c>
      <c r="N1375" s="18" t="s">
        <v>349</v>
      </c>
    </row>
    <row r="1376" spans="1:14" ht="13">
      <c r="A1376" s="18" t="s">
        <v>296</v>
      </c>
      <c r="B1376" s="18" t="s">
        <v>260</v>
      </c>
      <c r="C1376" s="18" t="s">
        <v>831</v>
      </c>
      <c r="D1376" s="18" t="s">
        <v>345</v>
      </c>
      <c r="E1376" s="27" t="s">
        <v>832</v>
      </c>
      <c r="F1376" s="18" t="s">
        <v>829</v>
      </c>
      <c r="G1376" s="18" t="s">
        <v>647</v>
      </c>
      <c r="H1376" s="18">
        <v>2004</v>
      </c>
      <c r="I1376" s="40">
        <v>16327</v>
      </c>
      <c r="J1376" s="40">
        <v>14490</v>
      </c>
      <c r="K1376" s="18">
        <v>19184</v>
      </c>
      <c r="L1376" s="38" t="s">
        <v>637</v>
      </c>
      <c r="M1376" s="24" t="s">
        <v>348</v>
      </c>
      <c r="N1376" s="18" t="s">
        <v>349</v>
      </c>
    </row>
    <row r="1377" spans="1:14" ht="13">
      <c r="A1377" s="18" t="s">
        <v>296</v>
      </c>
      <c r="B1377" s="18" t="s">
        <v>260</v>
      </c>
      <c r="C1377" s="18" t="s">
        <v>831</v>
      </c>
      <c r="D1377" s="18" t="s">
        <v>345</v>
      </c>
      <c r="E1377" s="27" t="s">
        <v>832</v>
      </c>
      <c r="F1377" s="18" t="s">
        <v>829</v>
      </c>
      <c r="G1377" s="18" t="s">
        <v>647</v>
      </c>
      <c r="H1377" s="18">
        <v>2005</v>
      </c>
      <c r="I1377" s="40">
        <v>16939</v>
      </c>
      <c r="J1377" s="40">
        <v>14694</v>
      </c>
      <c r="K1377" s="18">
        <v>20408</v>
      </c>
      <c r="L1377" s="38" t="s">
        <v>637</v>
      </c>
      <c r="M1377" s="24" t="s">
        <v>348</v>
      </c>
      <c r="N1377" s="18" t="s">
        <v>349</v>
      </c>
    </row>
    <row r="1378" spans="1:14" ht="13">
      <c r="A1378" s="18" t="s">
        <v>296</v>
      </c>
      <c r="B1378" s="18" t="s">
        <v>260</v>
      </c>
      <c r="C1378" s="18" t="s">
        <v>831</v>
      </c>
      <c r="D1378" s="18" t="s">
        <v>345</v>
      </c>
      <c r="E1378" s="27" t="s">
        <v>832</v>
      </c>
      <c r="F1378" s="18" t="s">
        <v>829</v>
      </c>
      <c r="G1378" s="18" t="s">
        <v>647</v>
      </c>
      <c r="H1378" s="18">
        <v>2007</v>
      </c>
      <c r="I1378" s="40">
        <v>16327</v>
      </c>
      <c r="J1378" s="40">
        <v>13469</v>
      </c>
      <c r="K1378" s="18">
        <v>20204</v>
      </c>
      <c r="L1378" s="38" t="s">
        <v>637</v>
      </c>
      <c r="M1378" s="24" t="s">
        <v>348</v>
      </c>
      <c r="N1378" s="18" t="s">
        <v>349</v>
      </c>
    </row>
    <row r="1379" spans="1:14" ht="13">
      <c r="A1379" s="18" t="s">
        <v>296</v>
      </c>
      <c r="B1379" s="18" t="s">
        <v>260</v>
      </c>
      <c r="C1379" s="18" t="s">
        <v>831</v>
      </c>
      <c r="D1379" s="18" t="s">
        <v>345</v>
      </c>
      <c r="E1379" s="27" t="s">
        <v>832</v>
      </c>
      <c r="F1379" s="18" t="s">
        <v>829</v>
      </c>
      <c r="G1379" s="18" t="s">
        <v>647</v>
      </c>
      <c r="H1379" s="18">
        <v>2008</v>
      </c>
      <c r="I1379" s="40">
        <v>14286</v>
      </c>
      <c r="J1379" s="61" t="s">
        <v>402</v>
      </c>
      <c r="K1379" s="61" t="s">
        <v>402</v>
      </c>
      <c r="L1379" s="38" t="s">
        <v>637</v>
      </c>
      <c r="M1379" s="24" t="s">
        <v>348</v>
      </c>
      <c r="N1379" s="18" t="s">
        <v>349</v>
      </c>
    </row>
    <row r="1380" spans="1:14" ht="13">
      <c r="A1380" s="18" t="s">
        <v>296</v>
      </c>
      <c r="B1380" s="18" t="s">
        <v>260</v>
      </c>
      <c r="C1380" s="18" t="s">
        <v>831</v>
      </c>
      <c r="D1380" s="18" t="s">
        <v>345</v>
      </c>
      <c r="E1380" s="27" t="s">
        <v>832</v>
      </c>
      <c r="F1380" s="18" t="s">
        <v>829</v>
      </c>
      <c r="G1380" s="18" t="s">
        <v>647</v>
      </c>
      <c r="H1380" s="18">
        <v>2009</v>
      </c>
      <c r="I1380" s="40">
        <v>17755</v>
      </c>
      <c r="J1380" s="61" t="s">
        <v>402</v>
      </c>
      <c r="K1380" s="61" t="s">
        <v>402</v>
      </c>
      <c r="L1380" s="38" t="s">
        <v>637</v>
      </c>
      <c r="M1380" s="24" t="s">
        <v>348</v>
      </c>
      <c r="N1380" s="18" t="s">
        <v>349</v>
      </c>
    </row>
    <row r="1381" spans="1:14" ht="13">
      <c r="A1381" s="18" t="s">
        <v>296</v>
      </c>
      <c r="B1381" s="18" t="s">
        <v>260</v>
      </c>
      <c r="C1381" s="18" t="s">
        <v>831</v>
      </c>
      <c r="D1381" s="18" t="s">
        <v>345</v>
      </c>
      <c r="E1381" s="27" t="s">
        <v>832</v>
      </c>
      <c r="F1381" s="18" t="s">
        <v>829</v>
      </c>
      <c r="G1381" s="18" t="s">
        <v>647</v>
      </c>
      <c r="H1381" s="18">
        <v>2010</v>
      </c>
      <c r="I1381" s="40">
        <v>15918</v>
      </c>
      <c r="J1381" s="61" t="s">
        <v>402</v>
      </c>
      <c r="K1381" s="61" t="s">
        <v>402</v>
      </c>
      <c r="L1381" s="38" t="s">
        <v>637</v>
      </c>
      <c r="M1381" s="24" t="s">
        <v>348</v>
      </c>
      <c r="N1381" s="18" t="s">
        <v>349</v>
      </c>
    </row>
    <row r="1382" spans="1:14" ht="13">
      <c r="A1382" s="18" t="s">
        <v>296</v>
      </c>
      <c r="B1382" s="18" t="s">
        <v>260</v>
      </c>
      <c r="C1382" s="18" t="s">
        <v>831</v>
      </c>
      <c r="D1382" s="18" t="s">
        <v>345</v>
      </c>
      <c r="E1382" s="27" t="s">
        <v>832</v>
      </c>
      <c r="F1382" s="18" t="s">
        <v>829</v>
      </c>
      <c r="G1382" s="18" t="s">
        <v>647</v>
      </c>
      <c r="H1382" s="18">
        <v>2013</v>
      </c>
      <c r="I1382" s="40">
        <v>19184</v>
      </c>
      <c r="J1382" s="61" t="s">
        <v>402</v>
      </c>
      <c r="K1382" s="61" t="s">
        <v>402</v>
      </c>
      <c r="L1382" s="38" t="s">
        <v>637</v>
      </c>
      <c r="M1382" s="24" t="s">
        <v>348</v>
      </c>
      <c r="N1382" s="18" t="s">
        <v>349</v>
      </c>
    </row>
    <row r="1383" spans="1:14" ht="13">
      <c r="A1383" s="18" t="s">
        <v>296</v>
      </c>
      <c r="B1383" s="18" t="s">
        <v>260</v>
      </c>
      <c r="C1383" s="18" t="s">
        <v>831</v>
      </c>
      <c r="D1383" s="18" t="s">
        <v>345</v>
      </c>
      <c r="E1383" s="27" t="s">
        <v>832</v>
      </c>
      <c r="F1383" s="18" t="s">
        <v>829</v>
      </c>
      <c r="G1383" s="18" t="s">
        <v>647</v>
      </c>
      <c r="H1383" s="18">
        <v>2015</v>
      </c>
      <c r="I1383" s="40">
        <v>21429</v>
      </c>
      <c r="J1383" s="61" t="s">
        <v>402</v>
      </c>
      <c r="K1383" s="61" t="s">
        <v>402</v>
      </c>
      <c r="L1383" s="38" t="s">
        <v>637</v>
      </c>
      <c r="M1383" s="24" t="s">
        <v>348</v>
      </c>
      <c r="N1383" s="18" t="s">
        <v>349</v>
      </c>
    </row>
    <row r="1384" spans="1:14" ht="13">
      <c r="A1384" s="18" t="s">
        <v>296</v>
      </c>
      <c r="B1384" s="18" t="s">
        <v>260</v>
      </c>
      <c r="C1384" s="18" t="s">
        <v>831</v>
      </c>
      <c r="D1384" s="18" t="s">
        <v>345</v>
      </c>
      <c r="E1384" s="27" t="s">
        <v>832</v>
      </c>
      <c r="F1384" s="18" t="s">
        <v>829</v>
      </c>
      <c r="G1384" s="18" t="s">
        <v>647</v>
      </c>
      <c r="H1384" s="18">
        <v>2017</v>
      </c>
      <c r="I1384" s="40">
        <v>18571</v>
      </c>
      <c r="J1384" s="61" t="s">
        <v>402</v>
      </c>
      <c r="K1384" s="61" t="s">
        <v>402</v>
      </c>
      <c r="L1384" s="38" t="s">
        <v>637</v>
      </c>
      <c r="M1384" s="24" t="s">
        <v>348</v>
      </c>
      <c r="N1384" s="18" t="s">
        <v>349</v>
      </c>
    </row>
    <row r="1385" spans="1:14" ht="13">
      <c r="A1385" s="18" t="s">
        <v>296</v>
      </c>
      <c r="B1385" s="18" t="s">
        <v>260</v>
      </c>
      <c r="C1385" s="18" t="s">
        <v>833</v>
      </c>
      <c r="D1385" s="18" t="s">
        <v>345</v>
      </c>
      <c r="E1385" s="27" t="s">
        <v>834</v>
      </c>
      <c r="F1385" s="18" t="s">
        <v>829</v>
      </c>
      <c r="G1385" s="18" t="s">
        <v>647</v>
      </c>
      <c r="H1385" s="18">
        <v>1989</v>
      </c>
      <c r="I1385" s="40">
        <v>204</v>
      </c>
      <c r="J1385" s="61" t="s">
        <v>402</v>
      </c>
      <c r="K1385" s="61" t="s">
        <v>402</v>
      </c>
      <c r="L1385" s="38" t="s">
        <v>637</v>
      </c>
      <c r="M1385" s="24" t="s">
        <v>348</v>
      </c>
      <c r="N1385" s="18" t="s">
        <v>349</v>
      </c>
    </row>
    <row r="1386" spans="1:14" ht="13">
      <c r="A1386" s="18" t="s">
        <v>296</v>
      </c>
      <c r="B1386" s="18" t="s">
        <v>260</v>
      </c>
      <c r="C1386" s="18" t="s">
        <v>833</v>
      </c>
      <c r="D1386" s="18" t="s">
        <v>345</v>
      </c>
      <c r="E1386" s="27" t="s">
        <v>834</v>
      </c>
      <c r="F1386" s="18" t="s">
        <v>829</v>
      </c>
      <c r="G1386" s="18" t="s">
        <v>647</v>
      </c>
      <c r="H1386" s="18">
        <v>1991</v>
      </c>
      <c r="I1386" s="40">
        <v>408</v>
      </c>
      <c r="J1386" s="61" t="s">
        <v>402</v>
      </c>
      <c r="K1386" s="61" t="s">
        <v>402</v>
      </c>
      <c r="L1386" s="38" t="s">
        <v>637</v>
      </c>
      <c r="M1386" s="24" t="s">
        <v>348</v>
      </c>
      <c r="N1386" s="18" t="s">
        <v>349</v>
      </c>
    </row>
    <row r="1387" spans="1:14" ht="13">
      <c r="A1387" s="18" t="s">
        <v>296</v>
      </c>
      <c r="B1387" s="18" t="s">
        <v>260</v>
      </c>
      <c r="C1387" s="18" t="s">
        <v>833</v>
      </c>
      <c r="D1387" s="18" t="s">
        <v>345</v>
      </c>
      <c r="E1387" s="27" t="s">
        <v>834</v>
      </c>
      <c r="F1387" s="18" t="s">
        <v>829</v>
      </c>
      <c r="G1387" s="18" t="s">
        <v>647</v>
      </c>
      <c r="H1387" s="18">
        <v>1992</v>
      </c>
      <c r="I1387" s="40">
        <v>204</v>
      </c>
      <c r="J1387" s="61" t="s">
        <v>402</v>
      </c>
      <c r="K1387" s="61" t="s">
        <v>402</v>
      </c>
      <c r="L1387" s="38" t="s">
        <v>637</v>
      </c>
      <c r="M1387" s="24" t="s">
        <v>348</v>
      </c>
      <c r="N1387" s="18" t="s">
        <v>349</v>
      </c>
    </row>
    <row r="1388" spans="1:14" ht="13">
      <c r="A1388" s="18" t="s">
        <v>296</v>
      </c>
      <c r="B1388" s="18" t="s">
        <v>260</v>
      </c>
      <c r="C1388" s="18" t="s">
        <v>833</v>
      </c>
      <c r="D1388" s="18" t="s">
        <v>345</v>
      </c>
      <c r="E1388" s="27" t="s">
        <v>834</v>
      </c>
      <c r="F1388" s="18" t="s">
        <v>829</v>
      </c>
      <c r="G1388" s="18" t="s">
        <v>647</v>
      </c>
      <c r="H1388" s="18">
        <v>1993</v>
      </c>
      <c r="I1388" s="40">
        <v>612</v>
      </c>
      <c r="J1388" s="61" t="s">
        <v>402</v>
      </c>
      <c r="K1388" s="61" t="s">
        <v>402</v>
      </c>
      <c r="L1388" s="38" t="s">
        <v>637</v>
      </c>
      <c r="M1388" s="24" t="s">
        <v>348</v>
      </c>
      <c r="N1388" s="18" t="s">
        <v>349</v>
      </c>
    </row>
    <row r="1389" spans="1:14" ht="13">
      <c r="A1389" s="18" t="s">
        <v>296</v>
      </c>
      <c r="B1389" s="18" t="s">
        <v>260</v>
      </c>
      <c r="C1389" s="18" t="s">
        <v>833</v>
      </c>
      <c r="D1389" s="18" t="s">
        <v>345</v>
      </c>
      <c r="E1389" s="27" t="s">
        <v>834</v>
      </c>
      <c r="F1389" s="18" t="s">
        <v>829</v>
      </c>
      <c r="G1389" s="18" t="s">
        <v>647</v>
      </c>
      <c r="H1389" s="18">
        <v>1994</v>
      </c>
      <c r="I1389" s="40">
        <v>357</v>
      </c>
      <c r="J1389" s="61" t="s">
        <v>402</v>
      </c>
      <c r="K1389" s="61" t="s">
        <v>402</v>
      </c>
      <c r="L1389" s="38" t="s">
        <v>637</v>
      </c>
      <c r="M1389" s="24" t="s">
        <v>348</v>
      </c>
      <c r="N1389" s="18" t="s">
        <v>349</v>
      </c>
    </row>
    <row r="1390" spans="1:14" ht="13">
      <c r="A1390" s="18" t="s">
        <v>296</v>
      </c>
      <c r="B1390" s="18" t="s">
        <v>260</v>
      </c>
      <c r="C1390" s="18" t="s">
        <v>833</v>
      </c>
      <c r="D1390" s="18" t="s">
        <v>345</v>
      </c>
      <c r="E1390" s="27" t="s">
        <v>834</v>
      </c>
      <c r="F1390" s="18" t="s">
        <v>829</v>
      </c>
      <c r="G1390" s="18" t="s">
        <v>647</v>
      </c>
      <c r="H1390" s="18">
        <v>1995</v>
      </c>
      <c r="I1390" s="40">
        <v>408</v>
      </c>
      <c r="J1390" s="61" t="s">
        <v>402</v>
      </c>
      <c r="K1390" s="61" t="s">
        <v>402</v>
      </c>
      <c r="L1390" s="38" t="s">
        <v>637</v>
      </c>
      <c r="M1390" s="24" t="s">
        <v>348</v>
      </c>
      <c r="N1390" s="18" t="s">
        <v>349</v>
      </c>
    </row>
    <row r="1391" spans="1:14" ht="13">
      <c r="A1391" s="18" t="s">
        <v>296</v>
      </c>
      <c r="B1391" s="18" t="s">
        <v>260</v>
      </c>
      <c r="C1391" s="18" t="s">
        <v>833</v>
      </c>
      <c r="D1391" s="18" t="s">
        <v>345</v>
      </c>
      <c r="E1391" s="27" t="s">
        <v>834</v>
      </c>
      <c r="F1391" s="18" t="s">
        <v>829</v>
      </c>
      <c r="G1391" s="18" t="s">
        <v>647</v>
      </c>
      <c r="H1391" s="18">
        <v>1996</v>
      </c>
      <c r="I1391" s="40">
        <v>612</v>
      </c>
      <c r="J1391" s="61" t="s">
        <v>402</v>
      </c>
      <c r="K1391" s="61" t="s">
        <v>402</v>
      </c>
      <c r="L1391" s="38" t="s">
        <v>637</v>
      </c>
      <c r="M1391" s="24" t="s">
        <v>348</v>
      </c>
      <c r="N1391" s="18" t="s">
        <v>349</v>
      </c>
    </row>
    <row r="1392" spans="1:14" ht="13">
      <c r="A1392" s="18" t="s">
        <v>296</v>
      </c>
      <c r="B1392" s="18" t="s">
        <v>260</v>
      </c>
      <c r="C1392" s="18" t="s">
        <v>833</v>
      </c>
      <c r="D1392" s="18" t="s">
        <v>345</v>
      </c>
      <c r="E1392" s="27" t="s">
        <v>834</v>
      </c>
      <c r="F1392" s="18" t="s">
        <v>829</v>
      </c>
      <c r="G1392" s="18" t="s">
        <v>647</v>
      </c>
      <c r="H1392" s="18">
        <v>1997</v>
      </c>
      <c r="I1392" s="40">
        <v>408</v>
      </c>
      <c r="J1392" s="61" t="s">
        <v>402</v>
      </c>
      <c r="K1392" s="61" t="s">
        <v>402</v>
      </c>
      <c r="L1392" s="38" t="s">
        <v>637</v>
      </c>
      <c r="M1392" s="24" t="s">
        <v>348</v>
      </c>
      <c r="N1392" s="18" t="s">
        <v>349</v>
      </c>
    </row>
    <row r="1393" spans="1:14" ht="13">
      <c r="A1393" s="18" t="s">
        <v>296</v>
      </c>
      <c r="B1393" s="18" t="s">
        <v>260</v>
      </c>
      <c r="C1393" s="18" t="s">
        <v>833</v>
      </c>
      <c r="D1393" s="18" t="s">
        <v>345</v>
      </c>
      <c r="E1393" s="27" t="s">
        <v>834</v>
      </c>
      <c r="F1393" s="18" t="s">
        <v>829</v>
      </c>
      <c r="G1393" s="18" t="s">
        <v>647</v>
      </c>
      <c r="H1393" s="18">
        <v>1998</v>
      </c>
      <c r="I1393" s="40">
        <v>408</v>
      </c>
      <c r="J1393" s="61" t="s">
        <v>402</v>
      </c>
      <c r="K1393" s="61" t="s">
        <v>402</v>
      </c>
      <c r="L1393" s="38" t="s">
        <v>637</v>
      </c>
      <c r="M1393" s="24" t="s">
        <v>348</v>
      </c>
      <c r="N1393" s="18" t="s">
        <v>349</v>
      </c>
    </row>
    <row r="1394" spans="1:14" ht="13">
      <c r="A1394" s="18" t="s">
        <v>296</v>
      </c>
      <c r="B1394" s="18" t="s">
        <v>260</v>
      </c>
      <c r="C1394" s="18" t="s">
        <v>833</v>
      </c>
      <c r="D1394" s="18" t="s">
        <v>345</v>
      </c>
      <c r="E1394" s="27" t="s">
        <v>834</v>
      </c>
      <c r="F1394" s="18" t="s">
        <v>829</v>
      </c>
      <c r="G1394" s="18" t="s">
        <v>647</v>
      </c>
      <c r="H1394" s="18">
        <v>1999</v>
      </c>
      <c r="I1394" s="40">
        <v>816</v>
      </c>
      <c r="J1394" s="61" t="s">
        <v>402</v>
      </c>
      <c r="K1394" s="61" t="s">
        <v>402</v>
      </c>
      <c r="L1394" s="38" t="s">
        <v>637</v>
      </c>
      <c r="M1394" s="24" t="s">
        <v>348</v>
      </c>
      <c r="N1394" s="18" t="s">
        <v>349</v>
      </c>
    </row>
    <row r="1395" spans="1:14" ht="13">
      <c r="A1395" s="18" t="s">
        <v>296</v>
      </c>
      <c r="B1395" s="18" t="s">
        <v>260</v>
      </c>
      <c r="C1395" s="18" t="s">
        <v>833</v>
      </c>
      <c r="D1395" s="18" t="s">
        <v>345</v>
      </c>
      <c r="E1395" s="27" t="s">
        <v>834</v>
      </c>
      <c r="F1395" s="18" t="s">
        <v>829</v>
      </c>
      <c r="G1395" s="18" t="s">
        <v>647</v>
      </c>
      <c r="H1395" s="18">
        <v>2000</v>
      </c>
      <c r="I1395" s="40">
        <v>612</v>
      </c>
      <c r="J1395" s="61" t="s">
        <v>402</v>
      </c>
      <c r="K1395" s="61" t="s">
        <v>402</v>
      </c>
      <c r="L1395" s="38" t="s">
        <v>637</v>
      </c>
      <c r="M1395" s="24" t="s">
        <v>348</v>
      </c>
      <c r="N1395" s="18" t="s">
        <v>349</v>
      </c>
    </row>
    <row r="1396" spans="1:14" ht="13">
      <c r="A1396" s="18" t="s">
        <v>296</v>
      </c>
      <c r="B1396" s="18" t="s">
        <v>260</v>
      </c>
      <c r="C1396" s="18" t="s">
        <v>833</v>
      </c>
      <c r="D1396" s="18" t="s">
        <v>345</v>
      </c>
      <c r="E1396" s="27" t="s">
        <v>834</v>
      </c>
      <c r="F1396" s="18" t="s">
        <v>829</v>
      </c>
      <c r="G1396" s="18" t="s">
        <v>647</v>
      </c>
      <c r="H1396" s="18">
        <v>2001</v>
      </c>
      <c r="I1396" s="40">
        <v>408</v>
      </c>
      <c r="J1396" s="61" t="s">
        <v>402</v>
      </c>
      <c r="K1396" s="61" t="s">
        <v>402</v>
      </c>
      <c r="L1396" s="38" t="s">
        <v>637</v>
      </c>
      <c r="M1396" s="24" t="s">
        <v>348</v>
      </c>
      <c r="N1396" s="18" t="s">
        <v>349</v>
      </c>
    </row>
    <row r="1397" spans="1:14" ht="13">
      <c r="A1397" s="18" t="s">
        <v>296</v>
      </c>
      <c r="B1397" s="18" t="s">
        <v>260</v>
      </c>
      <c r="C1397" s="18" t="s">
        <v>833</v>
      </c>
      <c r="D1397" s="18" t="s">
        <v>345</v>
      </c>
      <c r="E1397" s="27" t="s">
        <v>834</v>
      </c>
      <c r="F1397" s="18" t="s">
        <v>829</v>
      </c>
      <c r="G1397" s="18" t="s">
        <v>647</v>
      </c>
      <c r="H1397" s="18">
        <v>2004</v>
      </c>
      <c r="I1397" s="40">
        <v>816</v>
      </c>
      <c r="J1397" s="61" t="s">
        <v>402</v>
      </c>
      <c r="K1397" s="61" t="s">
        <v>402</v>
      </c>
      <c r="L1397" s="38" t="s">
        <v>637</v>
      </c>
      <c r="M1397" s="24" t="s">
        <v>348</v>
      </c>
      <c r="N1397" s="18" t="s">
        <v>349</v>
      </c>
    </row>
    <row r="1398" spans="1:14" ht="13">
      <c r="A1398" s="18" t="s">
        <v>296</v>
      </c>
      <c r="B1398" s="18" t="s">
        <v>260</v>
      </c>
      <c r="C1398" s="18" t="s">
        <v>833</v>
      </c>
      <c r="D1398" s="18" t="s">
        <v>345</v>
      </c>
      <c r="E1398" s="27" t="s">
        <v>834</v>
      </c>
      <c r="F1398" s="18" t="s">
        <v>829</v>
      </c>
      <c r="G1398" s="18" t="s">
        <v>647</v>
      </c>
      <c r="H1398" s="18">
        <v>2005</v>
      </c>
      <c r="I1398" s="40">
        <v>816</v>
      </c>
      <c r="J1398" s="61" t="s">
        <v>402</v>
      </c>
      <c r="K1398" s="61" t="s">
        <v>402</v>
      </c>
      <c r="L1398" s="38" t="s">
        <v>637</v>
      </c>
      <c r="M1398" s="24" t="s">
        <v>348</v>
      </c>
      <c r="N1398" s="18" t="s">
        <v>349</v>
      </c>
    </row>
    <row r="1399" spans="1:14" ht="13">
      <c r="A1399" s="18" t="s">
        <v>296</v>
      </c>
      <c r="B1399" s="18" t="s">
        <v>260</v>
      </c>
      <c r="C1399" s="18" t="s">
        <v>833</v>
      </c>
      <c r="D1399" s="18" t="s">
        <v>345</v>
      </c>
      <c r="E1399" s="27" t="s">
        <v>834</v>
      </c>
      <c r="F1399" s="18" t="s">
        <v>829</v>
      </c>
      <c r="G1399" s="18" t="s">
        <v>647</v>
      </c>
      <c r="H1399" s="18">
        <v>2006</v>
      </c>
      <c r="I1399" s="40">
        <v>612</v>
      </c>
      <c r="J1399" s="61" t="s">
        <v>402</v>
      </c>
      <c r="K1399" s="61" t="s">
        <v>402</v>
      </c>
      <c r="L1399" s="38" t="s">
        <v>637</v>
      </c>
      <c r="M1399" s="24" t="s">
        <v>348</v>
      </c>
      <c r="N1399" s="18" t="s">
        <v>349</v>
      </c>
    </row>
    <row r="1400" spans="1:14" ht="13">
      <c r="A1400" s="18" t="s">
        <v>296</v>
      </c>
      <c r="B1400" s="18" t="s">
        <v>260</v>
      </c>
      <c r="C1400" s="18" t="s">
        <v>833</v>
      </c>
      <c r="D1400" s="18" t="s">
        <v>345</v>
      </c>
      <c r="E1400" s="27" t="s">
        <v>834</v>
      </c>
      <c r="F1400" s="18" t="s">
        <v>829</v>
      </c>
      <c r="G1400" s="18" t="s">
        <v>647</v>
      </c>
      <c r="H1400" s="18">
        <v>2007</v>
      </c>
      <c r="I1400" s="40">
        <v>816</v>
      </c>
      <c r="J1400" s="61" t="s">
        <v>402</v>
      </c>
      <c r="K1400" s="61" t="s">
        <v>402</v>
      </c>
      <c r="L1400" s="38" t="s">
        <v>637</v>
      </c>
      <c r="M1400" s="24" t="s">
        <v>348</v>
      </c>
      <c r="N1400" s="18" t="s">
        <v>349</v>
      </c>
    </row>
    <row r="1401" spans="1:14" ht="13">
      <c r="A1401" s="18" t="s">
        <v>296</v>
      </c>
      <c r="B1401" s="18" t="s">
        <v>260</v>
      </c>
      <c r="C1401" s="18" t="s">
        <v>833</v>
      </c>
      <c r="D1401" s="18" t="s">
        <v>345</v>
      </c>
      <c r="E1401" s="27" t="s">
        <v>834</v>
      </c>
      <c r="F1401" s="18" t="s">
        <v>829</v>
      </c>
      <c r="G1401" s="18" t="s">
        <v>647</v>
      </c>
      <c r="H1401" s="18">
        <v>2008</v>
      </c>
      <c r="I1401" s="40">
        <v>1224</v>
      </c>
      <c r="J1401" s="61" t="s">
        <v>402</v>
      </c>
      <c r="K1401" s="61" t="s">
        <v>402</v>
      </c>
      <c r="L1401" s="38" t="s">
        <v>637</v>
      </c>
      <c r="M1401" s="24" t="s">
        <v>348</v>
      </c>
      <c r="N1401" s="18" t="s">
        <v>349</v>
      </c>
    </row>
    <row r="1402" spans="1:14" ht="13">
      <c r="A1402" s="18" t="s">
        <v>296</v>
      </c>
      <c r="B1402" s="18" t="s">
        <v>260</v>
      </c>
      <c r="C1402" s="18" t="s">
        <v>833</v>
      </c>
      <c r="D1402" s="18" t="s">
        <v>345</v>
      </c>
      <c r="E1402" s="27" t="s">
        <v>834</v>
      </c>
      <c r="F1402" s="18" t="s">
        <v>829</v>
      </c>
      <c r="G1402" s="18" t="s">
        <v>647</v>
      </c>
      <c r="H1402" s="18">
        <v>2009</v>
      </c>
      <c r="I1402" s="40">
        <v>1429</v>
      </c>
      <c r="J1402" s="61" t="s">
        <v>402</v>
      </c>
      <c r="K1402" s="61" t="s">
        <v>402</v>
      </c>
      <c r="L1402" s="38" t="s">
        <v>637</v>
      </c>
      <c r="M1402" s="24" t="s">
        <v>348</v>
      </c>
      <c r="N1402" s="18" t="s">
        <v>349</v>
      </c>
    </row>
    <row r="1403" spans="1:14" ht="13">
      <c r="A1403" s="18" t="s">
        <v>296</v>
      </c>
      <c r="B1403" s="18" t="s">
        <v>260</v>
      </c>
      <c r="C1403" s="18" t="s">
        <v>833</v>
      </c>
      <c r="D1403" s="18" t="s">
        <v>345</v>
      </c>
      <c r="E1403" s="27" t="s">
        <v>834</v>
      </c>
      <c r="F1403" s="18" t="s">
        <v>829</v>
      </c>
      <c r="G1403" s="18" t="s">
        <v>647</v>
      </c>
      <c r="H1403" s="18">
        <v>2010</v>
      </c>
      <c r="I1403" s="40">
        <v>1633</v>
      </c>
      <c r="J1403" s="61" t="s">
        <v>402</v>
      </c>
      <c r="K1403" s="61" t="s">
        <v>402</v>
      </c>
      <c r="L1403" s="38" t="s">
        <v>637</v>
      </c>
      <c r="M1403" s="24" t="s">
        <v>348</v>
      </c>
      <c r="N1403" s="18" t="s">
        <v>349</v>
      </c>
    </row>
    <row r="1404" spans="1:14" ht="13">
      <c r="A1404" s="18" t="s">
        <v>296</v>
      </c>
      <c r="B1404" s="18" t="s">
        <v>260</v>
      </c>
      <c r="C1404" s="18" t="s">
        <v>833</v>
      </c>
      <c r="D1404" s="18" t="s">
        <v>345</v>
      </c>
      <c r="E1404" s="27" t="s">
        <v>834</v>
      </c>
      <c r="F1404" s="18" t="s">
        <v>829</v>
      </c>
      <c r="G1404" s="18" t="s">
        <v>647</v>
      </c>
      <c r="H1404" s="18">
        <v>2011</v>
      </c>
      <c r="I1404" s="40">
        <v>1837</v>
      </c>
      <c r="J1404" s="61" t="s">
        <v>402</v>
      </c>
      <c r="K1404" s="61" t="s">
        <v>402</v>
      </c>
      <c r="L1404" s="38" t="s">
        <v>637</v>
      </c>
      <c r="M1404" s="24" t="s">
        <v>348</v>
      </c>
      <c r="N1404" s="18" t="s">
        <v>349</v>
      </c>
    </row>
    <row r="1405" spans="1:14" ht="13">
      <c r="A1405" s="18" t="s">
        <v>296</v>
      </c>
      <c r="B1405" s="18" t="s">
        <v>260</v>
      </c>
      <c r="C1405" s="18" t="s">
        <v>833</v>
      </c>
      <c r="D1405" s="18" t="s">
        <v>345</v>
      </c>
      <c r="E1405" s="27" t="s">
        <v>834</v>
      </c>
      <c r="F1405" s="18" t="s">
        <v>829</v>
      </c>
      <c r="G1405" s="18" t="s">
        <v>647</v>
      </c>
      <c r="H1405" s="18">
        <v>2013</v>
      </c>
      <c r="I1405" s="40">
        <v>1480</v>
      </c>
      <c r="J1405" s="61" t="s">
        <v>402</v>
      </c>
      <c r="K1405" s="61" t="s">
        <v>402</v>
      </c>
      <c r="L1405" s="38" t="s">
        <v>637</v>
      </c>
      <c r="M1405" s="24" t="s">
        <v>348</v>
      </c>
      <c r="N1405" s="18" t="s">
        <v>349</v>
      </c>
    </row>
    <row r="1406" spans="1:14" ht="13">
      <c r="A1406" s="18" t="s">
        <v>296</v>
      </c>
      <c r="B1406" s="18" t="s">
        <v>260</v>
      </c>
      <c r="C1406" s="18" t="s">
        <v>833</v>
      </c>
      <c r="D1406" s="18" t="s">
        <v>345</v>
      </c>
      <c r="E1406" s="27" t="s">
        <v>834</v>
      </c>
      <c r="F1406" s="18" t="s">
        <v>829</v>
      </c>
      <c r="G1406" s="18" t="s">
        <v>647</v>
      </c>
      <c r="H1406" s="18">
        <v>2014</v>
      </c>
      <c r="I1406" s="40">
        <v>2194</v>
      </c>
      <c r="J1406" s="61" t="s">
        <v>402</v>
      </c>
      <c r="K1406" s="61" t="s">
        <v>402</v>
      </c>
      <c r="L1406" s="38" t="s">
        <v>637</v>
      </c>
      <c r="M1406" s="24" t="s">
        <v>348</v>
      </c>
      <c r="N1406" s="18" t="s">
        <v>349</v>
      </c>
    </row>
    <row r="1407" spans="1:14" ht="13">
      <c r="A1407" s="18" t="s">
        <v>296</v>
      </c>
      <c r="B1407" s="18" t="s">
        <v>260</v>
      </c>
      <c r="C1407" s="18" t="s">
        <v>835</v>
      </c>
      <c r="D1407" s="18" t="s">
        <v>345</v>
      </c>
      <c r="E1407" s="27" t="s">
        <v>836</v>
      </c>
      <c r="F1407" s="18" t="s">
        <v>829</v>
      </c>
      <c r="G1407" s="18" t="s">
        <v>647</v>
      </c>
      <c r="H1407" s="18">
        <v>1990</v>
      </c>
      <c r="I1407" s="40">
        <v>1837</v>
      </c>
      <c r="J1407" s="61" t="s">
        <v>402</v>
      </c>
      <c r="K1407" s="61" t="s">
        <v>402</v>
      </c>
      <c r="L1407" s="38" t="s">
        <v>637</v>
      </c>
      <c r="M1407" s="24" t="s">
        <v>348</v>
      </c>
      <c r="N1407" s="18" t="s">
        <v>349</v>
      </c>
    </row>
    <row r="1408" spans="1:14" ht="13">
      <c r="A1408" s="18" t="s">
        <v>296</v>
      </c>
      <c r="B1408" s="18" t="s">
        <v>260</v>
      </c>
      <c r="C1408" s="18" t="s">
        <v>835</v>
      </c>
      <c r="D1408" s="18" t="s">
        <v>345</v>
      </c>
      <c r="E1408" s="27" t="s">
        <v>836</v>
      </c>
      <c r="F1408" s="18" t="s">
        <v>829</v>
      </c>
      <c r="G1408" s="18" t="s">
        <v>647</v>
      </c>
      <c r="H1408" s="18">
        <v>1991</v>
      </c>
      <c r="I1408" s="40">
        <v>1837</v>
      </c>
      <c r="J1408" s="61" t="s">
        <v>402</v>
      </c>
      <c r="K1408" s="61" t="s">
        <v>402</v>
      </c>
      <c r="L1408" s="38" t="s">
        <v>637</v>
      </c>
      <c r="M1408" s="24" t="s">
        <v>348</v>
      </c>
      <c r="N1408" s="18" t="s">
        <v>349</v>
      </c>
    </row>
    <row r="1409" spans="1:14" ht="13">
      <c r="A1409" s="18" t="s">
        <v>296</v>
      </c>
      <c r="B1409" s="18" t="s">
        <v>260</v>
      </c>
      <c r="C1409" s="18" t="s">
        <v>835</v>
      </c>
      <c r="D1409" s="18" t="s">
        <v>345</v>
      </c>
      <c r="E1409" s="27" t="s">
        <v>836</v>
      </c>
      <c r="F1409" s="18" t="s">
        <v>829</v>
      </c>
      <c r="G1409" s="18" t="s">
        <v>647</v>
      </c>
      <c r="H1409" s="18">
        <v>1992</v>
      </c>
      <c r="I1409" s="40">
        <v>1633</v>
      </c>
      <c r="J1409" s="61" t="s">
        <v>402</v>
      </c>
      <c r="K1409" s="61" t="s">
        <v>402</v>
      </c>
      <c r="L1409" s="38" t="s">
        <v>637</v>
      </c>
      <c r="M1409" s="24" t="s">
        <v>348</v>
      </c>
      <c r="N1409" s="18" t="s">
        <v>349</v>
      </c>
    </row>
    <row r="1410" spans="1:14" ht="13">
      <c r="A1410" s="18" t="s">
        <v>296</v>
      </c>
      <c r="B1410" s="18" t="s">
        <v>260</v>
      </c>
      <c r="C1410" s="18" t="s">
        <v>835</v>
      </c>
      <c r="D1410" s="18" t="s">
        <v>345</v>
      </c>
      <c r="E1410" s="27" t="s">
        <v>836</v>
      </c>
      <c r="F1410" s="18" t="s">
        <v>829</v>
      </c>
      <c r="G1410" s="18" t="s">
        <v>647</v>
      </c>
      <c r="H1410" s="18">
        <v>1993</v>
      </c>
      <c r="I1410" s="40">
        <v>1429</v>
      </c>
      <c r="J1410" s="61" t="s">
        <v>402</v>
      </c>
      <c r="K1410" s="61" t="s">
        <v>402</v>
      </c>
      <c r="L1410" s="38" t="s">
        <v>637</v>
      </c>
      <c r="M1410" s="24" t="s">
        <v>348</v>
      </c>
      <c r="N1410" s="18" t="s">
        <v>349</v>
      </c>
    </row>
    <row r="1411" spans="1:14" ht="13">
      <c r="A1411" s="18" t="s">
        <v>296</v>
      </c>
      <c r="B1411" s="18" t="s">
        <v>260</v>
      </c>
      <c r="C1411" s="18" t="s">
        <v>835</v>
      </c>
      <c r="D1411" s="18" t="s">
        <v>345</v>
      </c>
      <c r="E1411" s="27" t="s">
        <v>836</v>
      </c>
      <c r="F1411" s="18" t="s">
        <v>829</v>
      </c>
      <c r="G1411" s="18" t="s">
        <v>647</v>
      </c>
      <c r="H1411" s="18">
        <v>1994</v>
      </c>
      <c r="I1411" s="40">
        <v>1633</v>
      </c>
      <c r="J1411" s="61" t="s">
        <v>402</v>
      </c>
      <c r="K1411" s="61" t="s">
        <v>402</v>
      </c>
      <c r="L1411" s="38" t="s">
        <v>637</v>
      </c>
      <c r="M1411" s="24" t="s">
        <v>348</v>
      </c>
      <c r="N1411" s="18" t="s">
        <v>349</v>
      </c>
    </row>
    <row r="1412" spans="1:14" ht="13">
      <c r="A1412" s="18" t="s">
        <v>296</v>
      </c>
      <c r="B1412" s="18" t="s">
        <v>260</v>
      </c>
      <c r="C1412" s="18" t="s">
        <v>835</v>
      </c>
      <c r="D1412" s="18" t="s">
        <v>345</v>
      </c>
      <c r="E1412" s="27" t="s">
        <v>836</v>
      </c>
      <c r="F1412" s="18" t="s">
        <v>829</v>
      </c>
      <c r="G1412" s="18" t="s">
        <v>647</v>
      </c>
      <c r="H1412" s="18">
        <v>1995</v>
      </c>
      <c r="I1412" s="40">
        <v>1837</v>
      </c>
      <c r="J1412" s="61" t="s">
        <v>402</v>
      </c>
      <c r="K1412" s="61" t="s">
        <v>402</v>
      </c>
      <c r="L1412" s="38" t="s">
        <v>637</v>
      </c>
      <c r="M1412" s="24" t="s">
        <v>348</v>
      </c>
      <c r="N1412" s="18" t="s">
        <v>349</v>
      </c>
    </row>
    <row r="1413" spans="1:14" ht="13">
      <c r="A1413" s="18" t="s">
        <v>296</v>
      </c>
      <c r="B1413" s="18" t="s">
        <v>260</v>
      </c>
      <c r="C1413" s="18" t="s">
        <v>835</v>
      </c>
      <c r="D1413" s="18" t="s">
        <v>345</v>
      </c>
      <c r="E1413" s="27" t="s">
        <v>836</v>
      </c>
      <c r="F1413" s="18" t="s">
        <v>829</v>
      </c>
      <c r="G1413" s="18" t="s">
        <v>647</v>
      </c>
      <c r="H1413" s="18">
        <v>1996</v>
      </c>
      <c r="I1413" s="40">
        <v>2245</v>
      </c>
      <c r="J1413" s="61" t="s">
        <v>402</v>
      </c>
      <c r="K1413" s="61" t="s">
        <v>402</v>
      </c>
      <c r="L1413" s="38" t="s">
        <v>637</v>
      </c>
      <c r="M1413" s="24" t="s">
        <v>348</v>
      </c>
      <c r="N1413" s="18" t="s">
        <v>349</v>
      </c>
    </row>
    <row r="1414" spans="1:14" ht="13">
      <c r="A1414" s="18" t="s">
        <v>296</v>
      </c>
      <c r="B1414" s="18" t="s">
        <v>260</v>
      </c>
      <c r="C1414" s="18" t="s">
        <v>835</v>
      </c>
      <c r="D1414" s="18" t="s">
        <v>345</v>
      </c>
      <c r="E1414" s="27" t="s">
        <v>836</v>
      </c>
      <c r="F1414" s="18" t="s">
        <v>829</v>
      </c>
      <c r="G1414" s="18" t="s">
        <v>647</v>
      </c>
      <c r="H1414" s="18">
        <v>1997</v>
      </c>
      <c r="I1414" s="40">
        <v>2041</v>
      </c>
      <c r="J1414" s="61" t="s">
        <v>402</v>
      </c>
      <c r="K1414" s="61" t="s">
        <v>402</v>
      </c>
      <c r="L1414" s="38" t="s">
        <v>637</v>
      </c>
      <c r="M1414" s="24" t="s">
        <v>348</v>
      </c>
      <c r="N1414" s="18" t="s">
        <v>349</v>
      </c>
    </row>
    <row r="1415" spans="1:14" ht="13">
      <c r="A1415" s="18" t="s">
        <v>296</v>
      </c>
      <c r="B1415" s="18" t="s">
        <v>260</v>
      </c>
      <c r="C1415" s="18" t="s">
        <v>835</v>
      </c>
      <c r="D1415" s="18" t="s">
        <v>345</v>
      </c>
      <c r="E1415" s="27" t="s">
        <v>836</v>
      </c>
      <c r="F1415" s="18" t="s">
        <v>829</v>
      </c>
      <c r="G1415" s="18" t="s">
        <v>647</v>
      </c>
      <c r="H1415" s="18">
        <v>1998</v>
      </c>
      <c r="I1415" s="40">
        <v>1429</v>
      </c>
      <c r="J1415" s="61" t="s">
        <v>402</v>
      </c>
      <c r="K1415" s="61" t="s">
        <v>402</v>
      </c>
      <c r="L1415" s="38" t="s">
        <v>637</v>
      </c>
      <c r="M1415" s="24" t="s">
        <v>348</v>
      </c>
      <c r="N1415" s="18" t="s">
        <v>349</v>
      </c>
    </row>
    <row r="1416" spans="1:14" ht="13">
      <c r="A1416" s="18" t="s">
        <v>296</v>
      </c>
      <c r="B1416" s="18" t="s">
        <v>260</v>
      </c>
      <c r="C1416" s="18" t="s">
        <v>835</v>
      </c>
      <c r="D1416" s="18" t="s">
        <v>345</v>
      </c>
      <c r="E1416" s="27" t="s">
        <v>836</v>
      </c>
      <c r="F1416" s="18" t="s">
        <v>829</v>
      </c>
      <c r="G1416" s="18" t="s">
        <v>647</v>
      </c>
      <c r="H1416" s="18">
        <v>1999</v>
      </c>
      <c r="I1416" s="40">
        <v>2041</v>
      </c>
      <c r="J1416" s="61" t="s">
        <v>402</v>
      </c>
      <c r="K1416" s="61" t="s">
        <v>402</v>
      </c>
      <c r="L1416" s="38" t="s">
        <v>637</v>
      </c>
      <c r="M1416" s="24" t="s">
        <v>348</v>
      </c>
      <c r="N1416" s="18" t="s">
        <v>349</v>
      </c>
    </row>
    <row r="1417" spans="1:14" ht="13">
      <c r="A1417" s="18" t="s">
        <v>296</v>
      </c>
      <c r="B1417" s="18" t="s">
        <v>260</v>
      </c>
      <c r="C1417" s="18" t="s">
        <v>835</v>
      </c>
      <c r="D1417" s="18" t="s">
        <v>345</v>
      </c>
      <c r="E1417" s="27" t="s">
        <v>836</v>
      </c>
      <c r="F1417" s="18" t="s">
        <v>829</v>
      </c>
      <c r="G1417" s="18" t="s">
        <v>647</v>
      </c>
      <c r="H1417" s="18">
        <v>2000</v>
      </c>
      <c r="I1417" s="40">
        <v>2245</v>
      </c>
      <c r="J1417" s="61" t="s">
        <v>402</v>
      </c>
      <c r="K1417" s="61" t="s">
        <v>402</v>
      </c>
      <c r="L1417" s="38" t="s">
        <v>637</v>
      </c>
      <c r="M1417" s="24" t="s">
        <v>348</v>
      </c>
      <c r="N1417" s="18" t="s">
        <v>349</v>
      </c>
    </row>
    <row r="1418" spans="1:14" ht="13">
      <c r="A1418" s="18" t="s">
        <v>296</v>
      </c>
      <c r="B1418" s="18" t="s">
        <v>260</v>
      </c>
      <c r="C1418" s="18" t="s">
        <v>835</v>
      </c>
      <c r="D1418" s="18" t="s">
        <v>345</v>
      </c>
      <c r="E1418" s="27" t="s">
        <v>836</v>
      </c>
      <c r="F1418" s="18" t="s">
        <v>829</v>
      </c>
      <c r="G1418" s="18" t="s">
        <v>647</v>
      </c>
      <c r="H1418" s="18">
        <v>2001</v>
      </c>
      <c r="I1418" s="40">
        <v>2245</v>
      </c>
      <c r="J1418" s="61" t="s">
        <v>402</v>
      </c>
      <c r="K1418" s="61" t="s">
        <v>402</v>
      </c>
      <c r="L1418" s="38" t="s">
        <v>637</v>
      </c>
      <c r="M1418" s="24" t="s">
        <v>348</v>
      </c>
      <c r="N1418" s="18" t="s">
        <v>349</v>
      </c>
    </row>
    <row r="1419" spans="1:14" ht="13">
      <c r="A1419" s="18" t="s">
        <v>296</v>
      </c>
      <c r="B1419" s="18" t="s">
        <v>260</v>
      </c>
      <c r="C1419" s="18" t="s">
        <v>835</v>
      </c>
      <c r="D1419" s="18" t="s">
        <v>345</v>
      </c>
      <c r="E1419" s="27" t="s">
        <v>836</v>
      </c>
      <c r="F1419" s="18" t="s">
        <v>829</v>
      </c>
      <c r="G1419" s="18" t="s">
        <v>647</v>
      </c>
      <c r="H1419" s="18">
        <v>2002</v>
      </c>
      <c r="I1419" s="40">
        <v>3265</v>
      </c>
      <c r="J1419" s="61" t="s">
        <v>402</v>
      </c>
      <c r="K1419" s="61" t="s">
        <v>402</v>
      </c>
      <c r="L1419" s="38" t="s">
        <v>637</v>
      </c>
      <c r="M1419" s="24" t="s">
        <v>348</v>
      </c>
      <c r="N1419" s="18" t="s">
        <v>349</v>
      </c>
    </row>
    <row r="1420" spans="1:14" ht="13">
      <c r="A1420" s="18" t="s">
        <v>296</v>
      </c>
      <c r="B1420" s="18" t="s">
        <v>260</v>
      </c>
      <c r="C1420" s="18" t="s">
        <v>835</v>
      </c>
      <c r="D1420" s="18" t="s">
        <v>345</v>
      </c>
      <c r="E1420" s="27" t="s">
        <v>836</v>
      </c>
      <c r="F1420" s="18" t="s">
        <v>829</v>
      </c>
      <c r="G1420" s="18" t="s">
        <v>647</v>
      </c>
      <c r="H1420" s="18">
        <v>2003</v>
      </c>
      <c r="I1420" s="40">
        <v>2245</v>
      </c>
      <c r="J1420" s="61" t="s">
        <v>402</v>
      </c>
      <c r="K1420" s="61" t="s">
        <v>402</v>
      </c>
      <c r="L1420" s="38" t="s">
        <v>637</v>
      </c>
      <c r="M1420" s="24" t="s">
        <v>348</v>
      </c>
      <c r="N1420" s="18" t="s">
        <v>349</v>
      </c>
    </row>
    <row r="1421" spans="1:14" ht="13">
      <c r="A1421" s="18" t="s">
        <v>296</v>
      </c>
      <c r="B1421" s="18" t="s">
        <v>260</v>
      </c>
      <c r="C1421" s="18" t="s">
        <v>835</v>
      </c>
      <c r="D1421" s="18" t="s">
        <v>345</v>
      </c>
      <c r="E1421" s="27" t="s">
        <v>836</v>
      </c>
      <c r="F1421" s="18" t="s">
        <v>829</v>
      </c>
      <c r="G1421" s="18" t="s">
        <v>647</v>
      </c>
      <c r="H1421" s="18">
        <v>2004</v>
      </c>
      <c r="I1421" s="40">
        <v>3061</v>
      </c>
      <c r="J1421" s="61" t="s">
        <v>402</v>
      </c>
      <c r="K1421" s="61" t="s">
        <v>402</v>
      </c>
      <c r="L1421" s="38" t="s">
        <v>637</v>
      </c>
      <c r="M1421" s="24" t="s">
        <v>348</v>
      </c>
      <c r="N1421" s="18" t="s">
        <v>349</v>
      </c>
    </row>
    <row r="1422" spans="1:14" ht="13">
      <c r="A1422" s="18" t="s">
        <v>296</v>
      </c>
      <c r="B1422" s="18" t="s">
        <v>260</v>
      </c>
      <c r="C1422" s="18" t="s">
        <v>835</v>
      </c>
      <c r="D1422" s="18" t="s">
        <v>345</v>
      </c>
      <c r="E1422" s="27" t="s">
        <v>836</v>
      </c>
      <c r="F1422" s="18" t="s">
        <v>829</v>
      </c>
      <c r="G1422" s="18" t="s">
        <v>647</v>
      </c>
      <c r="H1422" s="18">
        <v>2005</v>
      </c>
      <c r="I1422" s="40">
        <v>2857</v>
      </c>
      <c r="J1422" s="61" t="s">
        <v>402</v>
      </c>
      <c r="K1422" s="61" t="s">
        <v>402</v>
      </c>
      <c r="L1422" s="38" t="s">
        <v>637</v>
      </c>
      <c r="M1422" s="24" t="s">
        <v>348</v>
      </c>
      <c r="N1422" s="18" t="s">
        <v>349</v>
      </c>
    </row>
    <row r="1423" spans="1:14" ht="13">
      <c r="A1423" s="18" t="s">
        <v>296</v>
      </c>
      <c r="B1423" s="18" t="s">
        <v>260</v>
      </c>
      <c r="C1423" s="18" t="s">
        <v>835</v>
      </c>
      <c r="D1423" s="18" t="s">
        <v>345</v>
      </c>
      <c r="E1423" s="27" t="s">
        <v>836</v>
      </c>
      <c r="F1423" s="18" t="s">
        <v>829</v>
      </c>
      <c r="G1423" s="18" t="s">
        <v>647</v>
      </c>
      <c r="H1423" s="18">
        <v>2007</v>
      </c>
      <c r="I1423" s="40">
        <v>2653</v>
      </c>
      <c r="J1423" s="61" t="s">
        <v>402</v>
      </c>
      <c r="K1423" s="61" t="s">
        <v>402</v>
      </c>
      <c r="L1423" s="38" t="s">
        <v>637</v>
      </c>
      <c r="M1423" s="24" t="s">
        <v>348</v>
      </c>
      <c r="N1423" s="18" t="s">
        <v>349</v>
      </c>
    </row>
    <row r="1424" spans="1:14" ht="13">
      <c r="A1424" s="18" t="s">
        <v>296</v>
      </c>
      <c r="B1424" s="18" t="s">
        <v>260</v>
      </c>
      <c r="C1424" s="18" t="s">
        <v>835</v>
      </c>
      <c r="D1424" s="18" t="s">
        <v>345</v>
      </c>
      <c r="E1424" s="27" t="s">
        <v>836</v>
      </c>
      <c r="F1424" s="18" t="s">
        <v>829</v>
      </c>
      <c r="G1424" s="18" t="s">
        <v>647</v>
      </c>
      <c r="H1424" s="18">
        <v>2009</v>
      </c>
      <c r="I1424" s="40">
        <v>2245</v>
      </c>
      <c r="J1424" s="61" t="s">
        <v>402</v>
      </c>
      <c r="K1424" s="61" t="s">
        <v>402</v>
      </c>
      <c r="L1424" s="38" t="s">
        <v>637</v>
      </c>
      <c r="M1424" s="24" t="s">
        <v>348</v>
      </c>
      <c r="N1424" s="18" t="s">
        <v>349</v>
      </c>
    </row>
    <row r="1425" spans="1:14" ht="13">
      <c r="A1425" s="18" t="s">
        <v>296</v>
      </c>
      <c r="B1425" s="18" t="s">
        <v>260</v>
      </c>
      <c r="C1425" s="18" t="s">
        <v>835</v>
      </c>
      <c r="D1425" s="18" t="s">
        <v>345</v>
      </c>
      <c r="E1425" s="27" t="s">
        <v>836</v>
      </c>
      <c r="F1425" s="18" t="s">
        <v>829</v>
      </c>
      <c r="G1425" s="18" t="s">
        <v>647</v>
      </c>
      <c r="H1425" s="18">
        <v>2011</v>
      </c>
      <c r="I1425" s="40">
        <v>2041</v>
      </c>
      <c r="J1425" s="61" t="s">
        <v>402</v>
      </c>
      <c r="K1425" s="61" t="s">
        <v>402</v>
      </c>
      <c r="L1425" s="38" t="s">
        <v>637</v>
      </c>
      <c r="M1425" s="24" t="s">
        <v>348</v>
      </c>
      <c r="N1425" s="18" t="s">
        <v>349</v>
      </c>
    </row>
    <row r="1426" spans="1:14" ht="13">
      <c r="A1426" s="18" t="s">
        <v>296</v>
      </c>
      <c r="B1426" s="18" t="s">
        <v>260</v>
      </c>
      <c r="C1426" s="18" t="s">
        <v>835</v>
      </c>
      <c r="D1426" s="18" t="s">
        <v>345</v>
      </c>
      <c r="E1426" s="27" t="s">
        <v>836</v>
      </c>
      <c r="F1426" s="18" t="s">
        <v>829</v>
      </c>
      <c r="G1426" s="18" t="s">
        <v>647</v>
      </c>
      <c r="H1426" s="18">
        <v>2012</v>
      </c>
      <c r="I1426" s="40">
        <v>2449</v>
      </c>
      <c r="J1426" s="61" t="s">
        <v>402</v>
      </c>
      <c r="K1426" s="61" t="s">
        <v>402</v>
      </c>
      <c r="L1426" s="38" t="s">
        <v>637</v>
      </c>
      <c r="M1426" s="24" t="s">
        <v>348</v>
      </c>
      <c r="N1426" s="18" t="s">
        <v>349</v>
      </c>
    </row>
    <row r="1427" spans="1:14" ht="13">
      <c r="A1427" s="18" t="s">
        <v>296</v>
      </c>
      <c r="B1427" s="18" t="s">
        <v>260</v>
      </c>
      <c r="C1427" s="18" t="s">
        <v>835</v>
      </c>
      <c r="D1427" s="18" t="s">
        <v>345</v>
      </c>
      <c r="E1427" s="27" t="s">
        <v>836</v>
      </c>
      <c r="F1427" s="18" t="s">
        <v>829</v>
      </c>
      <c r="G1427" s="18" t="s">
        <v>647</v>
      </c>
      <c r="H1427" s="18">
        <v>2013</v>
      </c>
      <c r="I1427" s="40">
        <v>3265</v>
      </c>
      <c r="J1427" s="61" t="s">
        <v>402</v>
      </c>
      <c r="K1427" s="61" t="s">
        <v>402</v>
      </c>
      <c r="L1427" s="38" t="s">
        <v>637</v>
      </c>
      <c r="M1427" s="24" t="s">
        <v>348</v>
      </c>
      <c r="N1427" s="18" t="s">
        <v>349</v>
      </c>
    </row>
    <row r="1428" spans="1:14" ht="13">
      <c r="A1428" s="18" t="s">
        <v>296</v>
      </c>
      <c r="B1428" s="18" t="s">
        <v>260</v>
      </c>
      <c r="C1428" s="18" t="s">
        <v>835</v>
      </c>
      <c r="D1428" s="18" t="s">
        <v>345</v>
      </c>
      <c r="E1428" s="27" t="s">
        <v>836</v>
      </c>
      <c r="F1428" s="18" t="s">
        <v>829</v>
      </c>
      <c r="G1428" s="18" t="s">
        <v>647</v>
      </c>
      <c r="H1428" s="18">
        <v>2016</v>
      </c>
      <c r="I1428" s="40">
        <v>3061</v>
      </c>
      <c r="J1428" s="61" t="s">
        <v>402</v>
      </c>
      <c r="K1428" s="61" t="s">
        <v>402</v>
      </c>
      <c r="L1428" s="38" t="s">
        <v>637</v>
      </c>
      <c r="M1428" s="24" t="s">
        <v>348</v>
      </c>
      <c r="N1428" s="18" t="s">
        <v>349</v>
      </c>
    </row>
    <row r="1429" spans="1:14" ht="13">
      <c r="A1429" s="18" t="s">
        <v>296</v>
      </c>
      <c r="B1429" s="18" t="s">
        <v>260</v>
      </c>
      <c r="C1429" s="18" t="s">
        <v>835</v>
      </c>
      <c r="D1429" s="18" t="s">
        <v>345</v>
      </c>
      <c r="E1429" s="27" t="s">
        <v>836</v>
      </c>
      <c r="F1429" s="18" t="s">
        <v>829</v>
      </c>
      <c r="G1429" s="18" t="s">
        <v>647</v>
      </c>
      <c r="H1429" s="18">
        <v>2017</v>
      </c>
      <c r="I1429" s="40">
        <v>2857</v>
      </c>
      <c r="J1429" s="61" t="s">
        <v>402</v>
      </c>
      <c r="K1429" s="61" t="s">
        <v>402</v>
      </c>
      <c r="L1429" s="38" t="s">
        <v>637</v>
      </c>
      <c r="M1429" s="24" t="s">
        <v>348</v>
      </c>
      <c r="N1429" s="18" t="s">
        <v>349</v>
      </c>
    </row>
    <row r="1430" spans="1:14" ht="13">
      <c r="A1430" s="18" t="s">
        <v>296</v>
      </c>
      <c r="B1430" s="18" t="s">
        <v>260</v>
      </c>
      <c r="C1430" s="18" t="s">
        <v>837</v>
      </c>
      <c r="D1430" s="18" t="s">
        <v>345</v>
      </c>
      <c r="E1430" s="27" t="s">
        <v>838</v>
      </c>
      <c r="F1430" s="18" t="s">
        <v>829</v>
      </c>
      <c r="G1430" s="18" t="s">
        <v>647</v>
      </c>
      <c r="H1430" s="18">
        <v>1987</v>
      </c>
      <c r="I1430" s="40">
        <v>2857</v>
      </c>
      <c r="J1430" s="61" t="s">
        <v>402</v>
      </c>
      <c r="K1430" s="61" t="s">
        <v>402</v>
      </c>
      <c r="L1430" s="38" t="s">
        <v>637</v>
      </c>
      <c r="M1430" s="24" t="s">
        <v>348</v>
      </c>
      <c r="N1430" s="18" t="s">
        <v>349</v>
      </c>
    </row>
    <row r="1431" spans="1:14" ht="13">
      <c r="A1431" s="18" t="s">
        <v>296</v>
      </c>
      <c r="B1431" s="18" t="s">
        <v>260</v>
      </c>
      <c r="C1431" s="18" t="s">
        <v>837</v>
      </c>
      <c r="D1431" s="18" t="s">
        <v>345</v>
      </c>
      <c r="E1431" s="27" t="s">
        <v>838</v>
      </c>
      <c r="F1431" s="18" t="s">
        <v>829</v>
      </c>
      <c r="G1431" s="18" t="s">
        <v>647</v>
      </c>
      <c r="H1431" s="18">
        <v>1988</v>
      </c>
      <c r="I1431" s="40">
        <v>3061</v>
      </c>
      <c r="J1431" s="61" t="s">
        <v>402</v>
      </c>
      <c r="K1431" s="61" t="s">
        <v>402</v>
      </c>
      <c r="L1431" s="38" t="s">
        <v>637</v>
      </c>
      <c r="M1431" s="24" t="s">
        <v>348</v>
      </c>
      <c r="N1431" s="18" t="s">
        <v>349</v>
      </c>
    </row>
    <row r="1432" spans="1:14" ht="13">
      <c r="A1432" s="18" t="s">
        <v>296</v>
      </c>
      <c r="B1432" s="18" t="s">
        <v>260</v>
      </c>
      <c r="C1432" s="18" t="s">
        <v>837</v>
      </c>
      <c r="D1432" s="18" t="s">
        <v>345</v>
      </c>
      <c r="E1432" s="27" t="s">
        <v>838</v>
      </c>
      <c r="F1432" s="18" t="s">
        <v>829</v>
      </c>
      <c r="G1432" s="18" t="s">
        <v>647</v>
      </c>
      <c r="H1432" s="18">
        <v>1989</v>
      </c>
      <c r="I1432" s="40">
        <v>2245</v>
      </c>
      <c r="J1432" s="61" t="s">
        <v>402</v>
      </c>
      <c r="K1432" s="61" t="s">
        <v>402</v>
      </c>
      <c r="L1432" s="38" t="s">
        <v>637</v>
      </c>
      <c r="M1432" s="24" t="s">
        <v>348</v>
      </c>
      <c r="N1432" s="18" t="s">
        <v>349</v>
      </c>
    </row>
    <row r="1433" spans="1:14" ht="13">
      <c r="A1433" s="18" t="s">
        <v>296</v>
      </c>
      <c r="B1433" s="18" t="s">
        <v>260</v>
      </c>
      <c r="C1433" s="18" t="s">
        <v>837</v>
      </c>
      <c r="D1433" s="18" t="s">
        <v>345</v>
      </c>
      <c r="E1433" s="27" t="s">
        <v>838</v>
      </c>
      <c r="F1433" s="18" t="s">
        <v>829</v>
      </c>
      <c r="G1433" s="18" t="s">
        <v>647</v>
      </c>
      <c r="H1433" s="18">
        <v>1990</v>
      </c>
      <c r="I1433" s="40">
        <v>2653</v>
      </c>
      <c r="J1433" s="61" t="s">
        <v>402</v>
      </c>
      <c r="K1433" s="61" t="s">
        <v>402</v>
      </c>
      <c r="L1433" s="38" t="s">
        <v>637</v>
      </c>
      <c r="M1433" s="24" t="s">
        <v>348</v>
      </c>
      <c r="N1433" s="18" t="s">
        <v>349</v>
      </c>
    </row>
    <row r="1434" spans="1:14" ht="13">
      <c r="A1434" s="18" t="s">
        <v>296</v>
      </c>
      <c r="B1434" s="18" t="s">
        <v>260</v>
      </c>
      <c r="C1434" s="18" t="s">
        <v>837</v>
      </c>
      <c r="D1434" s="18" t="s">
        <v>345</v>
      </c>
      <c r="E1434" s="27" t="s">
        <v>838</v>
      </c>
      <c r="F1434" s="18" t="s">
        <v>829</v>
      </c>
      <c r="G1434" s="18" t="s">
        <v>647</v>
      </c>
      <c r="H1434" s="18">
        <v>1991</v>
      </c>
      <c r="I1434" s="40">
        <v>3469</v>
      </c>
      <c r="J1434" s="61" t="s">
        <v>402</v>
      </c>
      <c r="K1434" s="61" t="s">
        <v>402</v>
      </c>
      <c r="L1434" s="38" t="s">
        <v>637</v>
      </c>
      <c r="M1434" s="24" t="s">
        <v>348</v>
      </c>
      <c r="N1434" s="18" t="s">
        <v>349</v>
      </c>
    </row>
    <row r="1435" spans="1:14" ht="13">
      <c r="A1435" s="18" t="s">
        <v>296</v>
      </c>
      <c r="B1435" s="18" t="s">
        <v>260</v>
      </c>
      <c r="C1435" s="18" t="s">
        <v>837</v>
      </c>
      <c r="D1435" s="18" t="s">
        <v>345</v>
      </c>
      <c r="E1435" s="27" t="s">
        <v>838</v>
      </c>
      <c r="F1435" s="18" t="s">
        <v>829</v>
      </c>
      <c r="G1435" s="18" t="s">
        <v>647</v>
      </c>
      <c r="H1435" s="18">
        <v>1992</v>
      </c>
      <c r="I1435" s="40">
        <v>3673</v>
      </c>
      <c r="J1435" s="61" t="s">
        <v>402</v>
      </c>
      <c r="K1435" s="61" t="s">
        <v>402</v>
      </c>
      <c r="L1435" s="38" t="s">
        <v>637</v>
      </c>
      <c r="M1435" s="24" t="s">
        <v>348</v>
      </c>
      <c r="N1435" s="18" t="s">
        <v>349</v>
      </c>
    </row>
    <row r="1436" spans="1:14" ht="13">
      <c r="A1436" s="18" t="s">
        <v>296</v>
      </c>
      <c r="B1436" s="18" t="s">
        <v>260</v>
      </c>
      <c r="C1436" s="18" t="s">
        <v>837</v>
      </c>
      <c r="D1436" s="18" t="s">
        <v>345</v>
      </c>
      <c r="E1436" s="27" t="s">
        <v>838</v>
      </c>
      <c r="F1436" s="18" t="s">
        <v>829</v>
      </c>
      <c r="G1436" s="18" t="s">
        <v>647</v>
      </c>
      <c r="H1436" s="18">
        <v>1993</v>
      </c>
      <c r="I1436" s="40">
        <v>3061</v>
      </c>
      <c r="J1436" s="61" t="s">
        <v>402</v>
      </c>
      <c r="K1436" s="61" t="s">
        <v>402</v>
      </c>
      <c r="L1436" s="38" t="s">
        <v>637</v>
      </c>
      <c r="M1436" s="24" t="s">
        <v>348</v>
      </c>
      <c r="N1436" s="18" t="s">
        <v>349</v>
      </c>
    </row>
    <row r="1437" spans="1:14" ht="13">
      <c r="A1437" s="18" t="s">
        <v>296</v>
      </c>
      <c r="B1437" s="18" t="s">
        <v>260</v>
      </c>
      <c r="C1437" s="18" t="s">
        <v>837</v>
      </c>
      <c r="D1437" s="18" t="s">
        <v>345</v>
      </c>
      <c r="E1437" s="27" t="s">
        <v>838</v>
      </c>
      <c r="F1437" s="18" t="s">
        <v>829</v>
      </c>
      <c r="G1437" s="18" t="s">
        <v>647</v>
      </c>
      <c r="H1437" s="18">
        <v>1994</v>
      </c>
      <c r="I1437" s="40">
        <v>3469</v>
      </c>
      <c r="J1437" s="61" t="s">
        <v>402</v>
      </c>
      <c r="K1437" s="61" t="s">
        <v>402</v>
      </c>
      <c r="L1437" s="38" t="s">
        <v>637</v>
      </c>
      <c r="M1437" s="24" t="s">
        <v>348</v>
      </c>
      <c r="N1437" s="18" t="s">
        <v>349</v>
      </c>
    </row>
    <row r="1438" spans="1:14" ht="13">
      <c r="A1438" s="18" t="s">
        <v>296</v>
      </c>
      <c r="B1438" s="18" t="s">
        <v>260</v>
      </c>
      <c r="C1438" s="18" t="s">
        <v>837</v>
      </c>
      <c r="D1438" s="18" t="s">
        <v>345</v>
      </c>
      <c r="E1438" s="27" t="s">
        <v>838</v>
      </c>
      <c r="F1438" s="18" t="s">
        <v>829</v>
      </c>
      <c r="G1438" s="18" t="s">
        <v>647</v>
      </c>
      <c r="H1438" s="18">
        <v>1995</v>
      </c>
      <c r="I1438" s="40">
        <v>3980</v>
      </c>
      <c r="J1438" s="61" t="s">
        <v>402</v>
      </c>
      <c r="K1438" s="61" t="s">
        <v>402</v>
      </c>
      <c r="L1438" s="38" t="s">
        <v>637</v>
      </c>
      <c r="M1438" s="24" t="s">
        <v>348</v>
      </c>
      <c r="N1438" s="18" t="s">
        <v>349</v>
      </c>
    </row>
    <row r="1439" spans="1:14" ht="13">
      <c r="A1439" s="18" t="s">
        <v>296</v>
      </c>
      <c r="B1439" s="18" t="s">
        <v>260</v>
      </c>
      <c r="C1439" s="18" t="s">
        <v>837</v>
      </c>
      <c r="D1439" s="18" t="s">
        <v>345</v>
      </c>
      <c r="E1439" s="27" t="s">
        <v>838</v>
      </c>
      <c r="F1439" s="18" t="s">
        <v>829</v>
      </c>
      <c r="G1439" s="18" t="s">
        <v>647</v>
      </c>
      <c r="H1439" s="18">
        <v>1996</v>
      </c>
      <c r="I1439" s="40">
        <v>3469</v>
      </c>
      <c r="J1439" s="61" t="s">
        <v>402</v>
      </c>
      <c r="K1439" s="61" t="s">
        <v>402</v>
      </c>
      <c r="L1439" s="38" t="s">
        <v>637</v>
      </c>
      <c r="M1439" s="24" t="s">
        <v>348</v>
      </c>
      <c r="N1439" s="18" t="s">
        <v>349</v>
      </c>
    </row>
    <row r="1440" spans="1:14" ht="13">
      <c r="A1440" s="18" t="s">
        <v>296</v>
      </c>
      <c r="B1440" s="18" t="s">
        <v>260</v>
      </c>
      <c r="C1440" s="18" t="s">
        <v>837</v>
      </c>
      <c r="D1440" s="18" t="s">
        <v>345</v>
      </c>
      <c r="E1440" s="27" t="s">
        <v>838</v>
      </c>
      <c r="F1440" s="18" t="s">
        <v>829</v>
      </c>
      <c r="G1440" s="18" t="s">
        <v>647</v>
      </c>
      <c r="H1440" s="18">
        <v>1997</v>
      </c>
      <c r="I1440" s="40">
        <v>4082</v>
      </c>
      <c r="J1440" s="61" t="s">
        <v>402</v>
      </c>
      <c r="K1440" s="61" t="s">
        <v>402</v>
      </c>
      <c r="L1440" s="38" t="s">
        <v>637</v>
      </c>
      <c r="M1440" s="24" t="s">
        <v>348</v>
      </c>
      <c r="N1440" s="18" t="s">
        <v>349</v>
      </c>
    </row>
    <row r="1441" spans="1:15" ht="13">
      <c r="A1441" s="18" t="s">
        <v>296</v>
      </c>
      <c r="B1441" s="18" t="s">
        <v>260</v>
      </c>
      <c r="C1441" s="18" t="s">
        <v>837</v>
      </c>
      <c r="D1441" s="18" t="s">
        <v>345</v>
      </c>
      <c r="E1441" s="27" t="s">
        <v>838</v>
      </c>
      <c r="F1441" s="18" t="s">
        <v>829</v>
      </c>
      <c r="G1441" s="18" t="s">
        <v>647</v>
      </c>
      <c r="H1441" s="18">
        <v>1998</v>
      </c>
      <c r="I1441" s="40">
        <v>4286</v>
      </c>
      <c r="J1441" s="61" t="s">
        <v>402</v>
      </c>
      <c r="K1441" s="61" t="s">
        <v>402</v>
      </c>
      <c r="L1441" s="38" t="s">
        <v>637</v>
      </c>
      <c r="M1441" s="24" t="s">
        <v>348</v>
      </c>
      <c r="N1441" s="18" t="s">
        <v>349</v>
      </c>
    </row>
    <row r="1442" spans="1:15" ht="13">
      <c r="A1442" s="18" t="s">
        <v>296</v>
      </c>
      <c r="B1442" s="18" t="s">
        <v>260</v>
      </c>
      <c r="C1442" s="18" t="s">
        <v>837</v>
      </c>
      <c r="D1442" s="18" t="s">
        <v>345</v>
      </c>
      <c r="E1442" s="27" t="s">
        <v>838</v>
      </c>
      <c r="F1442" s="18" t="s">
        <v>829</v>
      </c>
      <c r="G1442" s="18" t="s">
        <v>647</v>
      </c>
      <c r="H1442" s="18">
        <v>1999</v>
      </c>
      <c r="I1442" s="40">
        <v>3469</v>
      </c>
      <c r="J1442" s="61" t="s">
        <v>402</v>
      </c>
      <c r="K1442" s="61" t="s">
        <v>402</v>
      </c>
      <c r="L1442" s="38" t="s">
        <v>637</v>
      </c>
      <c r="M1442" s="24" t="s">
        <v>348</v>
      </c>
      <c r="N1442" s="18" t="s">
        <v>349</v>
      </c>
    </row>
    <row r="1443" spans="1:15" ht="13">
      <c r="A1443" s="18" t="s">
        <v>296</v>
      </c>
      <c r="B1443" s="18" t="s">
        <v>260</v>
      </c>
      <c r="C1443" s="18" t="s">
        <v>837</v>
      </c>
      <c r="D1443" s="18" t="s">
        <v>345</v>
      </c>
      <c r="E1443" s="27" t="s">
        <v>838</v>
      </c>
      <c r="F1443" s="18" t="s">
        <v>829</v>
      </c>
      <c r="G1443" s="18" t="s">
        <v>647</v>
      </c>
      <c r="H1443" s="18">
        <v>2000</v>
      </c>
      <c r="I1443" s="40">
        <v>3061</v>
      </c>
      <c r="J1443" s="61" t="s">
        <v>402</v>
      </c>
      <c r="K1443" s="61" t="s">
        <v>402</v>
      </c>
      <c r="L1443" s="38" t="s">
        <v>637</v>
      </c>
      <c r="M1443" s="24" t="s">
        <v>348</v>
      </c>
      <c r="N1443" s="18" t="s">
        <v>349</v>
      </c>
    </row>
    <row r="1444" spans="1:15" ht="13">
      <c r="A1444" s="18" t="s">
        <v>296</v>
      </c>
      <c r="B1444" s="18" t="s">
        <v>260</v>
      </c>
      <c r="C1444" s="18" t="s">
        <v>837</v>
      </c>
      <c r="D1444" s="18" t="s">
        <v>345</v>
      </c>
      <c r="E1444" s="27" t="s">
        <v>838</v>
      </c>
      <c r="F1444" s="18" t="s">
        <v>829</v>
      </c>
      <c r="G1444" s="18" t="s">
        <v>647</v>
      </c>
      <c r="H1444" s="18">
        <v>2001</v>
      </c>
      <c r="I1444" s="40">
        <v>4082</v>
      </c>
      <c r="J1444" s="61" t="s">
        <v>402</v>
      </c>
      <c r="K1444" s="61" t="s">
        <v>402</v>
      </c>
      <c r="L1444" s="38" t="s">
        <v>637</v>
      </c>
      <c r="M1444" s="24" t="s">
        <v>348</v>
      </c>
      <c r="N1444" s="18" t="s">
        <v>349</v>
      </c>
    </row>
    <row r="1445" spans="1:15" ht="13">
      <c r="A1445" s="18" t="s">
        <v>296</v>
      </c>
      <c r="B1445" s="18" t="s">
        <v>260</v>
      </c>
      <c r="C1445" s="18" t="s">
        <v>837</v>
      </c>
      <c r="D1445" s="18" t="s">
        <v>345</v>
      </c>
      <c r="E1445" s="27" t="s">
        <v>838</v>
      </c>
      <c r="F1445" s="18" t="s">
        <v>829</v>
      </c>
      <c r="G1445" s="18" t="s">
        <v>647</v>
      </c>
      <c r="H1445" s="18">
        <v>2002</v>
      </c>
      <c r="I1445" s="40">
        <v>4286</v>
      </c>
      <c r="J1445" s="61" t="s">
        <v>402</v>
      </c>
      <c r="K1445" s="61" t="s">
        <v>402</v>
      </c>
      <c r="L1445" s="38" t="s">
        <v>637</v>
      </c>
      <c r="M1445" s="24" t="s">
        <v>348</v>
      </c>
      <c r="N1445" s="18" t="s">
        <v>349</v>
      </c>
    </row>
    <row r="1446" spans="1:15" ht="13">
      <c r="A1446" s="18" t="s">
        <v>296</v>
      </c>
      <c r="B1446" s="18" t="s">
        <v>260</v>
      </c>
      <c r="C1446" s="18" t="s">
        <v>837</v>
      </c>
      <c r="D1446" s="18" t="s">
        <v>345</v>
      </c>
      <c r="E1446" s="27" t="s">
        <v>838</v>
      </c>
      <c r="F1446" s="18" t="s">
        <v>829</v>
      </c>
      <c r="G1446" s="18" t="s">
        <v>647</v>
      </c>
      <c r="H1446" s="18">
        <v>2003</v>
      </c>
      <c r="I1446" s="40">
        <v>5918</v>
      </c>
      <c r="J1446" s="61" t="s">
        <v>402</v>
      </c>
      <c r="K1446" s="61" t="s">
        <v>402</v>
      </c>
      <c r="L1446" s="38" t="s">
        <v>637</v>
      </c>
      <c r="M1446" s="24" t="s">
        <v>348</v>
      </c>
      <c r="N1446" s="18" t="s">
        <v>349</v>
      </c>
    </row>
    <row r="1447" spans="1:15" ht="13">
      <c r="A1447" s="18" t="s">
        <v>296</v>
      </c>
      <c r="B1447" s="18" t="s">
        <v>260</v>
      </c>
      <c r="C1447" s="18" t="s">
        <v>837</v>
      </c>
      <c r="D1447" s="18" t="s">
        <v>345</v>
      </c>
      <c r="E1447" s="27" t="s">
        <v>838</v>
      </c>
      <c r="F1447" s="18" t="s">
        <v>829</v>
      </c>
      <c r="G1447" s="18" t="s">
        <v>647</v>
      </c>
      <c r="H1447" s="18">
        <v>2006</v>
      </c>
      <c r="I1447" s="40">
        <v>4694</v>
      </c>
      <c r="J1447" s="61" t="s">
        <v>402</v>
      </c>
      <c r="K1447" s="61" t="s">
        <v>402</v>
      </c>
      <c r="L1447" s="38" t="s">
        <v>637</v>
      </c>
      <c r="M1447" s="24" t="s">
        <v>348</v>
      </c>
      <c r="N1447" s="18" t="s">
        <v>349</v>
      </c>
    </row>
    <row r="1448" spans="1:15" ht="13">
      <c r="A1448" s="18" t="s">
        <v>296</v>
      </c>
      <c r="B1448" s="18" t="s">
        <v>260</v>
      </c>
      <c r="C1448" s="18" t="s">
        <v>837</v>
      </c>
      <c r="D1448" s="18" t="s">
        <v>345</v>
      </c>
      <c r="E1448" s="27" t="s">
        <v>838</v>
      </c>
      <c r="F1448" s="18" t="s">
        <v>829</v>
      </c>
      <c r="G1448" s="18" t="s">
        <v>647</v>
      </c>
      <c r="H1448" s="18">
        <v>2008</v>
      </c>
      <c r="I1448" s="40">
        <v>4235</v>
      </c>
      <c r="J1448" s="61" t="s">
        <v>402</v>
      </c>
      <c r="K1448" s="61" t="s">
        <v>402</v>
      </c>
      <c r="L1448" s="38" t="s">
        <v>637</v>
      </c>
      <c r="M1448" s="24" t="s">
        <v>348</v>
      </c>
      <c r="N1448" s="18" t="s">
        <v>349</v>
      </c>
    </row>
    <row r="1449" spans="1:15" ht="13">
      <c r="A1449" s="18" t="s">
        <v>296</v>
      </c>
      <c r="B1449" s="18" t="s">
        <v>260</v>
      </c>
      <c r="C1449" s="18" t="s">
        <v>837</v>
      </c>
      <c r="D1449" s="18" t="s">
        <v>345</v>
      </c>
      <c r="E1449" s="27" t="s">
        <v>838</v>
      </c>
      <c r="F1449" s="18" t="s">
        <v>829</v>
      </c>
      <c r="G1449" s="18" t="s">
        <v>647</v>
      </c>
      <c r="H1449" s="18">
        <v>2009</v>
      </c>
      <c r="I1449" s="40">
        <v>5051</v>
      </c>
      <c r="J1449" s="40">
        <v>3469</v>
      </c>
      <c r="K1449" s="18">
        <v>6939</v>
      </c>
      <c r="L1449" s="38" t="s">
        <v>637</v>
      </c>
      <c r="M1449" s="24" t="s">
        <v>348</v>
      </c>
      <c r="N1449" s="18" t="s">
        <v>349</v>
      </c>
    </row>
    <row r="1450" spans="1:15" ht="13">
      <c r="A1450" s="18" t="s">
        <v>296</v>
      </c>
      <c r="B1450" s="18" t="s">
        <v>260</v>
      </c>
      <c r="C1450" s="18" t="s">
        <v>837</v>
      </c>
      <c r="D1450" s="18" t="s">
        <v>345</v>
      </c>
      <c r="E1450" s="27" t="s">
        <v>838</v>
      </c>
      <c r="F1450" s="18" t="s">
        <v>829</v>
      </c>
      <c r="G1450" s="18" t="s">
        <v>647</v>
      </c>
      <c r="H1450" s="18">
        <v>2012</v>
      </c>
      <c r="I1450" s="40">
        <v>5102</v>
      </c>
      <c r="J1450" s="40">
        <v>3469</v>
      </c>
      <c r="K1450" s="18">
        <v>7143</v>
      </c>
      <c r="L1450" s="38" t="s">
        <v>637</v>
      </c>
      <c r="M1450" s="24" t="s">
        <v>348</v>
      </c>
      <c r="N1450" s="18" t="s">
        <v>349</v>
      </c>
    </row>
    <row r="1451" spans="1:15" ht="13">
      <c r="A1451" s="18" t="s">
        <v>296</v>
      </c>
      <c r="B1451" s="18" t="s">
        <v>260</v>
      </c>
      <c r="C1451" s="18" t="s">
        <v>837</v>
      </c>
      <c r="D1451" s="18" t="s">
        <v>345</v>
      </c>
      <c r="E1451" s="27" t="s">
        <v>838</v>
      </c>
      <c r="F1451" s="18" t="s">
        <v>829</v>
      </c>
      <c r="G1451" s="18" t="s">
        <v>647</v>
      </c>
      <c r="H1451" s="18">
        <v>2013</v>
      </c>
      <c r="I1451" s="40">
        <v>4898</v>
      </c>
      <c r="J1451" s="61" t="s">
        <v>402</v>
      </c>
      <c r="K1451" s="18">
        <v>5714</v>
      </c>
      <c r="L1451" s="38" t="s">
        <v>637</v>
      </c>
      <c r="M1451" s="24" t="s">
        <v>348</v>
      </c>
      <c r="N1451" s="18" t="s">
        <v>349</v>
      </c>
    </row>
    <row r="1452" spans="1:15" ht="13">
      <c r="A1452" s="18" t="s">
        <v>296</v>
      </c>
      <c r="B1452" s="18" t="s">
        <v>260</v>
      </c>
      <c r="C1452" s="18" t="s">
        <v>837</v>
      </c>
      <c r="D1452" s="18" t="s">
        <v>345</v>
      </c>
      <c r="E1452" s="27" t="s">
        <v>838</v>
      </c>
      <c r="F1452" s="18" t="s">
        <v>829</v>
      </c>
      <c r="G1452" s="18" t="s">
        <v>647</v>
      </c>
      <c r="H1452" s="18">
        <v>2015</v>
      </c>
      <c r="I1452" s="40">
        <v>4898</v>
      </c>
      <c r="J1452" s="61" t="s">
        <v>402</v>
      </c>
      <c r="K1452" s="18">
        <v>5918</v>
      </c>
      <c r="L1452" s="38" t="s">
        <v>637</v>
      </c>
      <c r="M1452" s="24" t="s">
        <v>348</v>
      </c>
      <c r="N1452" s="18" t="s">
        <v>349</v>
      </c>
    </row>
    <row r="1453" spans="1:15" ht="13">
      <c r="A1453" s="18" t="s">
        <v>296</v>
      </c>
      <c r="B1453" s="18" t="s">
        <v>260</v>
      </c>
      <c r="C1453" s="18" t="s">
        <v>837</v>
      </c>
      <c r="D1453" s="18" t="s">
        <v>345</v>
      </c>
      <c r="E1453" s="27" t="s">
        <v>838</v>
      </c>
      <c r="F1453" s="18" t="s">
        <v>829</v>
      </c>
      <c r="G1453" s="18" t="s">
        <v>647</v>
      </c>
      <c r="H1453" s="18">
        <v>2016</v>
      </c>
      <c r="I1453" s="40">
        <v>4694</v>
      </c>
      <c r="J1453" s="61" t="s">
        <v>402</v>
      </c>
      <c r="K1453" s="61" t="s">
        <v>402</v>
      </c>
      <c r="L1453" s="38" t="s">
        <v>637</v>
      </c>
      <c r="M1453" s="24" t="s">
        <v>348</v>
      </c>
      <c r="N1453" s="18" t="s">
        <v>349</v>
      </c>
    </row>
    <row r="1454" spans="1:15" ht="13">
      <c r="A1454" s="18" t="s">
        <v>296</v>
      </c>
      <c r="B1454" s="18" t="s">
        <v>260</v>
      </c>
      <c r="C1454" s="18" t="s">
        <v>837</v>
      </c>
      <c r="D1454" s="18" t="s">
        <v>345</v>
      </c>
      <c r="E1454" s="27" t="s">
        <v>838</v>
      </c>
      <c r="F1454" s="18" t="s">
        <v>829</v>
      </c>
      <c r="G1454" s="18" t="s">
        <v>647</v>
      </c>
      <c r="H1454" s="18">
        <v>2017</v>
      </c>
      <c r="I1454" s="40">
        <v>5510</v>
      </c>
      <c r="J1454" s="61" t="s">
        <v>402</v>
      </c>
      <c r="K1454" s="61" t="s">
        <v>402</v>
      </c>
      <c r="L1454" s="38" t="s">
        <v>637</v>
      </c>
      <c r="M1454" s="24" t="s">
        <v>348</v>
      </c>
      <c r="N1454" s="18" t="s">
        <v>349</v>
      </c>
    </row>
    <row r="1455" spans="1:15" ht="13">
      <c r="A1455" s="18" t="s">
        <v>283</v>
      </c>
      <c r="B1455" s="18" t="s">
        <v>260</v>
      </c>
      <c r="C1455" s="18" t="s">
        <v>839</v>
      </c>
      <c r="D1455" s="18" t="s">
        <v>345</v>
      </c>
      <c r="E1455" s="18" t="s">
        <v>840</v>
      </c>
      <c r="F1455" s="18" t="s">
        <v>841</v>
      </c>
      <c r="G1455" s="18" t="s">
        <v>690</v>
      </c>
      <c r="H1455" s="18">
        <v>1973</v>
      </c>
      <c r="I1455" s="40">
        <v>49215</v>
      </c>
      <c r="J1455" s="40">
        <v>36474</v>
      </c>
      <c r="K1455" s="18">
        <v>65310</v>
      </c>
      <c r="L1455" s="37" t="s">
        <v>612</v>
      </c>
      <c r="M1455" s="21" t="s">
        <v>351</v>
      </c>
      <c r="N1455" s="18" t="s">
        <v>352</v>
      </c>
      <c r="O1455" s="18"/>
    </row>
    <row r="1456" spans="1:15" ht="13">
      <c r="A1456" s="18" t="s">
        <v>283</v>
      </c>
      <c r="B1456" s="18" t="s">
        <v>260</v>
      </c>
      <c r="C1456" s="18" t="s">
        <v>839</v>
      </c>
      <c r="D1456" s="18" t="s">
        <v>345</v>
      </c>
      <c r="E1456" s="18" t="s">
        <v>840</v>
      </c>
      <c r="F1456" s="18" t="s">
        <v>841</v>
      </c>
      <c r="G1456" s="18" t="s">
        <v>690</v>
      </c>
      <c r="H1456" s="18">
        <v>1974</v>
      </c>
      <c r="I1456" s="40">
        <v>48837</v>
      </c>
      <c r="J1456" s="40">
        <v>37356</v>
      </c>
      <c r="K1456" s="18">
        <v>62964</v>
      </c>
      <c r="L1456" s="37" t="s">
        <v>612</v>
      </c>
      <c r="M1456" s="21" t="s">
        <v>351</v>
      </c>
      <c r="N1456" s="18" t="s">
        <v>352</v>
      </c>
      <c r="O1456" s="18"/>
    </row>
    <row r="1457" spans="1:15" ht="13">
      <c r="A1457" s="18" t="s">
        <v>283</v>
      </c>
      <c r="B1457" s="18" t="s">
        <v>260</v>
      </c>
      <c r="C1457" s="18" t="s">
        <v>839</v>
      </c>
      <c r="D1457" s="18" t="s">
        <v>345</v>
      </c>
      <c r="E1457" s="18" t="s">
        <v>840</v>
      </c>
      <c r="F1457" s="18" t="s">
        <v>841</v>
      </c>
      <c r="G1457" s="18" t="s">
        <v>690</v>
      </c>
      <c r="H1457" s="18">
        <v>1975</v>
      </c>
      <c r="I1457" s="40">
        <v>48846</v>
      </c>
      <c r="J1457" s="40">
        <v>38764</v>
      </c>
      <c r="K1457" s="18">
        <v>61104</v>
      </c>
      <c r="L1457" s="37" t="s">
        <v>612</v>
      </c>
      <c r="M1457" s="21" t="s">
        <v>351</v>
      </c>
      <c r="N1457" s="18" t="s">
        <v>352</v>
      </c>
      <c r="O1457" s="18"/>
    </row>
    <row r="1458" spans="1:15" ht="13">
      <c r="A1458" s="18" t="s">
        <v>283</v>
      </c>
      <c r="B1458" s="18" t="s">
        <v>260</v>
      </c>
      <c r="C1458" s="18" t="s">
        <v>839</v>
      </c>
      <c r="D1458" s="18" t="s">
        <v>345</v>
      </c>
      <c r="E1458" s="18" t="s">
        <v>840</v>
      </c>
      <c r="F1458" s="18" t="s">
        <v>841</v>
      </c>
      <c r="G1458" s="18" t="s">
        <v>690</v>
      </c>
      <c r="H1458" s="18">
        <v>1976</v>
      </c>
      <c r="I1458" s="40">
        <v>49315</v>
      </c>
      <c r="J1458" s="40">
        <v>40164</v>
      </c>
      <c r="K1458" s="18">
        <v>60003</v>
      </c>
      <c r="L1458" s="37" t="s">
        <v>612</v>
      </c>
      <c r="M1458" s="21" t="s">
        <v>351</v>
      </c>
      <c r="N1458" s="18" t="s">
        <v>352</v>
      </c>
      <c r="O1458" s="18"/>
    </row>
    <row r="1459" spans="1:15" ht="13">
      <c r="A1459" s="18" t="s">
        <v>283</v>
      </c>
      <c r="B1459" s="18" t="s">
        <v>260</v>
      </c>
      <c r="C1459" s="18" t="s">
        <v>839</v>
      </c>
      <c r="D1459" s="18" t="s">
        <v>345</v>
      </c>
      <c r="E1459" s="18" t="s">
        <v>840</v>
      </c>
      <c r="F1459" s="18" t="s">
        <v>841</v>
      </c>
      <c r="G1459" s="18" t="s">
        <v>690</v>
      </c>
      <c r="H1459" s="18">
        <v>1977</v>
      </c>
      <c r="I1459" s="40">
        <v>50095</v>
      </c>
      <c r="J1459" s="40">
        <v>41840</v>
      </c>
      <c r="K1459" s="18">
        <v>59535</v>
      </c>
      <c r="L1459" s="37" t="s">
        <v>612</v>
      </c>
      <c r="M1459" s="21" t="s">
        <v>351</v>
      </c>
      <c r="N1459" s="18" t="s">
        <v>352</v>
      </c>
      <c r="O1459" s="18"/>
    </row>
    <row r="1460" spans="1:15" ht="13">
      <c r="A1460" s="18" t="s">
        <v>283</v>
      </c>
      <c r="B1460" s="18" t="s">
        <v>260</v>
      </c>
      <c r="C1460" s="18" t="s">
        <v>839</v>
      </c>
      <c r="D1460" s="18" t="s">
        <v>345</v>
      </c>
      <c r="E1460" s="18" t="s">
        <v>840</v>
      </c>
      <c r="F1460" s="18" t="s">
        <v>841</v>
      </c>
      <c r="G1460" s="18" t="s">
        <v>690</v>
      </c>
      <c r="H1460" s="18">
        <v>1978</v>
      </c>
      <c r="I1460" s="40">
        <v>50040</v>
      </c>
      <c r="J1460" s="40">
        <v>42907</v>
      </c>
      <c r="K1460" s="18">
        <v>58126</v>
      </c>
      <c r="L1460" s="37" t="s">
        <v>612</v>
      </c>
      <c r="M1460" s="21" t="s">
        <v>351</v>
      </c>
      <c r="N1460" s="18" t="s">
        <v>352</v>
      </c>
      <c r="O1460" s="18" t="s">
        <v>842</v>
      </c>
    </row>
    <row r="1461" spans="1:15" ht="13">
      <c r="A1461" s="18" t="s">
        <v>283</v>
      </c>
      <c r="B1461" s="18" t="s">
        <v>260</v>
      </c>
      <c r="C1461" s="18" t="s">
        <v>839</v>
      </c>
      <c r="D1461" s="18" t="s">
        <v>345</v>
      </c>
      <c r="E1461" s="18" t="s">
        <v>840</v>
      </c>
      <c r="F1461" s="18" t="s">
        <v>841</v>
      </c>
      <c r="G1461" s="18" t="s">
        <v>690</v>
      </c>
      <c r="H1461" s="18">
        <v>1979</v>
      </c>
      <c r="I1461" s="40">
        <v>52422</v>
      </c>
      <c r="J1461" s="40">
        <v>46386</v>
      </c>
      <c r="K1461" s="18">
        <v>59008</v>
      </c>
      <c r="L1461" s="38" t="s">
        <v>612</v>
      </c>
      <c r="M1461" s="21" t="s">
        <v>351</v>
      </c>
      <c r="N1461" s="18" t="s">
        <v>352</v>
      </c>
    </row>
    <row r="1462" spans="1:15" ht="13">
      <c r="A1462" s="18" t="s">
        <v>283</v>
      </c>
      <c r="B1462" s="18"/>
      <c r="C1462" s="18" t="s">
        <v>839</v>
      </c>
      <c r="D1462" s="18" t="s">
        <v>345</v>
      </c>
      <c r="E1462" s="18" t="s">
        <v>840</v>
      </c>
      <c r="F1462" s="18" t="s">
        <v>841</v>
      </c>
      <c r="G1462" s="18" t="s">
        <v>690</v>
      </c>
      <c r="H1462" s="18">
        <v>1980</v>
      </c>
      <c r="I1462" s="40">
        <v>49644</v>
      </c>
      <c r="J1462" s="40">
        <v>45072</v>
      </c>
      <c r="K1462" s="18">
        <v>55173</v>
      </c>
      <c r="L1462" s="38" t="s">
        <v>612</v>
      </c>
      <c r="M1462" s="21" t="s">
        <v>351</v>
      </c>
      <c r="N1462" s="18" t="s">
        <v>352</v>
      </c>
    </row>
    <row r="1463" spans="1:15" ht="13">
      <c r="A1463" s="18" t="s">
        <v>283</v>
      </c>
      <c r="B1463" s="18"/>
      <c r="C1463" s="18" t="s">
        <v>839</v>
      </c>
      <c r="D1463" s="18" t="s">
        <v>345</v>
      </c>
      <c r="E1463" s="18" t="s">
        <v>840</v>
      </c>
      <c r="F1463" s="18" t="s">
        <v>841</v>
      </c>
      <c r="G1463" s="18" t="s">
        <v>690</v>
      </c>
      <c r="H1463" s="18">
        <v>1981</v>
      </c>
      <c r="I1463" s="40">
        <v>48653</v>
      </c>
      <c r="J1463" s="40">
        <v>44767</v>
      </c>
      <c r="K1463" s="18">
        <v>52828</v>
      </c>
      <c r="L1463" s="38" t="s">
        <v>612</v>
      </c>
      <c r="M1463" s="21" t="s">
        <v>351</v>
      </c>
      <c r="N1463" s="18" t="s">
        <v>352</v>
      </c>
    </row>
    <row r="1464" spans="1:15" ht="13">
      <c r="A1464" s="18" t="s">
        <v>283</v>
      </c>
      <c r="B1464" s="18" t="s">
        <v>260</v>
      </c>
      <c r="C1464" s="18" t="s">
        <v>839</v>
      </c>
      <c r="D1464" s="18" t="s">
        <v>345</v>
      </c>
      <c r="E1464" s="18" t="s">
        <v>840</v>
      </c>
      <c r="F1464" s="18" t="s">
        <v>841</v>
      </c>
      <c r="G1464" s="18" t="s">
        <v>690</v>
      </c>
      <c r="H1464" s="18">
        <v>1982</v>
      </c>
      <c r="I1464" s="40">
        <v>48259</v>
      </c>
      <c r="J1464" s="40">
        <v>44829</v>
      </c>
      <c r="K1464" s="18">
        <v>52063</v>
      </c>
      <c r="L1464" s="38" t="s">
        <v>612</v>
      </c>
      <c r="M1464" s="21" t="s">
        <v>351</v>
      </c>
      <c r="N1464" s="18" t="s">
        <v>352</v>
      </c>
    </row>
    <row r="1465" spans="1:15" ht="13">
      <c r="A1465" s="18" t="s">
        <v>283</v>
      </c>
      <c r="B1465" s="18"/>
      <c r="C1465" s="18" t="s">
        <v>839</v>
      </c>
      <c r="D1465" s="18" t="s">
        <v>345</v>
      </c>
      <c r="E1465" s="18" t="s">
        <v>840</v>
      </c>
      <c r="F1465" s="18" t="s">
        <v>841</v>
      </c>
      <c r="G1465" s="18" t="s">
        <v>690</v>
      </c>
      <c r="H1465" s="18">
        <v>1983</v>
      </c>
      <c r="I1465" s="40">
        <v>45615</v>
      </c>
      <c r="J1465" s="40">
        <v>42421</v>
      </c>
      <c r="K1465" s="18">
        <v>48824</v>
      </c>
      <c r="L1465" s="38" t="s">
        <v>612</v>
      </c>
      <c r="M1465" s="21" t="s">
        <v>351</v>
      </c>
      <c r="N1465" s="18" t="s">
        <v>352</v>
      </c>
    </row>
    <row r="1466" spans="1:15" ht="13">
      <c r="A1466" s="18" t="s">
        <v>283</v>
      </c>
      <c r="B1466" s="18" t="s">
        <v>260</v>
      </c>
      <c r="C1466" s="18" t="s">
        <v>839</v>
      </c>
      <c r="D1466" s="18" t="s">
        <v>345</v>
      </c>
      <c r="E1466" s="18" t="s">
        <v>840</v>
      </c>
      <c r="F1466" s="18" t="s">
        <v>841</v>
      </c>
      <c r="G1466" s="18" t="s">
        <v>690</v>
      </c>
      <c r="H1466" s="18">
        <v>1984</v>
      </c>
      <c r="I1466" s="40">
        <v>43521</v>
      </c>
      <c r="J1466" s="40">
        <v>40509</v>
      </c>
      <c r="K1466" s="18">
        <v>46560</v>
      </c>
      <c r="L1466" s="38" t="s">
        <v>612</v>
      </c>
      <c r="M1466" s="21" t="s">
        <v>351</v>
      </c>
      <c r="N1466" s="18" t="s">
        <v>352</v>
      </c>
    </row>
    <row r="1467" spans="1:15" ht="13">
      <c r="A1467" s="18" t="s">
        <v>283</v>
      </c>
      <c r="B1467" s="18" t="s">
        <v>260</v>
      </c>
      <c r="C1467" s="18" t="s">
        <v>839</v>
      </c>
      <c r="D1467" s="18" t="s">
        <v>345</v>
      </c>
      <c r="E1467" s="18" t="s">
        <v>840</v>
      </c>
      <c r="F1467" s="18" t="s">
        <v>841</v>
      </c>
      <c r="G1467" s="18" t="s">
        <v>690</v>
      </c>
      <c r="H1467" s="18">
        <v>1985</v>
      </c>
      <c r="I1467" s="40">
        <v>40029</v>
      </c>
      <c r="J1467" s="40">
        <v>37553</v>
      </c>
      <c r="K1467" s="18">
        <v>42805</v>
      </c>
      <c r="L1467" s="38" t="s">
        <v>612</v>
      </c>
      <c r="M1467" s="21" t="s">
        <v>351</v>
      </c>
      <c r="N1467" s="18" t="s">
        <v>352</v>
      </c>
    </row>
    <row r="1468" spans="1:15" ht="13">
      <c r="A1468" s="18" t="s">
        <v>283</v>
      </c>
      <c r="B1468" s="18" t="s">
        <v>260</v>
      </c>
      <c r="C1468" s="18" t="s">
        <v>839</v>
      </c>
      <c r="D1468" s="18" t="s">
        <v>345</v>
      </c>
      <c r="E1468" s="18" t="s">
        <v>840</v>
      </c>
      <c r="F1468" s="18" t="s">
        <v>841</v>
      </c>
      <c r="G1468" s="18" t="s">
        <v>690</v>
      </c>
      <c r="H1468" s="18">
        <v>1986</v>
      </c>
      <c r="I1468" s="40">
        <v>34190</v>
      </c>
      <c r="J1468" s="40">
        <v>32311</v>
      </c>
      <c r="K1468" s="18">
        <v>36455</v>
      </c>
      <c r="L1468" s="38" t="s">
        <v>612</v>
      </c>
      <c r="M1468" s="21" t="s">
        <v>351</v>
      </c>
      <c r="N1468" s="18" t="s">
        <v>352</v>
      </c>
    </row>
    <row r="1469" spans="1:15" ht="13">
      <c r="A1469" s="18" t="s">
        <v>283</v>
      </c>
      <c r="B1469" s="18"/>
      <c r="C1469" s="18" t="s">
        <v>839</v>
      </c>
      <c r="D1469" s="18" t="s">
        <v>345</v>
      </c>
      <c r="E1469" s="18" t="s">
        <v>840</v>
      </c>
      <c r="F1469" s="18" t="s">
        <v>841</v>
      </c>
      <c r="G1469" s="18" t="s">
        <v>690</v>
      </c>
      <c r="H1469" s="18">
        <v>1987</v>
      </c>
      <c r="I1469" s="40">
        <v>28495</v>
      </c>
      <c r="J1469" s="40">
        <v>26810</v>
      </c>
      <c r="K1469" s="18">
        <v>30306</v>
      </c>
      <c r="L1469" s="38" t="s">
        <v>612</v>
      </c>
      <c r="M1469" s="21" t="s">
        <v>351</v>
      </c>
      <c r="N1469" s="18" t="s">
        <v>352</v>
      </c>
    </row>
    <row r="1470" spans="1:15" ht="13">
      <c r="A1470" s="18" t="s">
        <v>283</v>
      </c>
      <c r="B1470" s="18"/>
      <c r="C1470" s="18" t="s">
        <v>839</v>
      </c>
      <c r="D1470" s="18" t="s">
        <v>345</v>
      </c>
      <c r="E1470" s="18" t="s">
        <v>840</v>
      </c>
      <c r="F1470" s="18" t="s">
        <v>841</v>
      </c>
      <c r="G1470" s="18" t="s">
        <v>690</v>
      </c>
      <c r="H1470" s="18">
        <v>1988</v>
      </c>
      <c r="I1470" s="40">
        <v>24168</v>
      </c>
      <c r="J1470" s="40">
        <v>22756</v>
      </c>
      <c r="K1470" s="18">
        <v>25787</v>
      </c>
      <c r="L1470" s="38" t="s">
        <v>612</v>
      </c>
      <c r="M1470" s="21" t="s">
        <v>351</v>
      </c>
      <c r="N1470" s="18" t="s">
        <v>352</v>
      </c>
    </row>
    <row r="1471" spans="1:15" ht="13">
      <c r="A1471" s="18" t="s">
        <v>283</v>
      </c>
      <c r="B1471" s="18" t="s">
        <v>260</v>
      </c>
      <c r="C1471" s="18" t="s">
        <v>839</v>
      </c>
      <c r="D1471" s="18" t="s">
        <v>345</v>
      </c>
      <c r="E1471" s="18" t="s">
        <v>840</v>
      </c>
      <c r="F1471" s="18" t="s">
        <v>841</v>
      </c>
      <c r="G1471" s="18" t="s">
        <v>690</v>
      </c>
      <c r="H1471" s="18">
        <v>1989</v>
      </c>
      <c r="I1471" s="40">
        <v>20290</v>
      </c>
      <c r="J1471" s="40">
        <v>19107</v>
      </c>
      <c r="K1471" s="18">
        <v>21545</v>
      </c>
      <c r="L1471" s="38" t="s">
        <v>612</v>
      </c>
      <c r="M1471" s="21" t="s">
        <v>351</v>
      </c>
      <c r="N1471" s="18" t="s">
        <v>352</v>
      </c>
    </row>
    <row r="1472" spans="1:15" ht="13">
      <c r="A1472" s="18" t="s">
        <v>283</v>
      </c>
      <c r="B1472" s="18" t="s">
        <v>260</v>
      </c>
      <c r="C1472" s="18" t="s">
        <v>839</v>
      </c>
      <c r="D1472" s="18" t="s">
        <v>345</v>
      </c>
      <c r="E1472" s="18" t="s">
        <v>840</v>
      </c>
      <c r="F1472" s="18" t="s">
        <v>841</v>
      </c>
      <c r="G1472" s="18" t="s">
        <v>690</v>
      </c>
      <c r="H1472" s="18">
        <v>1990</v>
      </c>
      <c r="I1472" s="40">
        <v>17571</v>
      </c>
      <c r="J1472" s="40">
        <v>16575</v>
      </c>
      <c r="K1472" s="18">
        <v>18859</v>
      </c>
      <c r="L1472" s="38" t="s">
        <v>612</v>
      </c>
      <c r="M1472" s="21" t="s">
        <v>351</v>
      </c>
      <c r="N1472" s="18" t="s">
        <v>352</v>
      </c>
    </row>
    <row r="1473" spans="1:14" ht="13">
      <c r="A1473" s="18" t="s">
        <v>283</v>
      </c>
      <c r="B1473" s="18" t="s">
        <v>260</v>
      </c>
      <c r="C1473" s="18" t="s">
        <v>839</v>
      </c>
      <c r="D1473" s="18" t="s">
        <v>345</v>
      </c>
      <c r="E1473" s="18" t="s">
        <v>840</v>
      </c>
      <c r="F1473" s="18" t="s">
        <v>841</v>
      </c>
      <c r="G1473" s="18" t="s">
        <v>690</v>
      </c>
      <c r="H1473" s="18">
        <v>1991</v>
      </c>
      <c r="I1473" s="40">
        <v>16552</v>
      </c>
      <c r="J1473" s="40">
        <v>15508</v>
      </c>
      <c r="K1473" s="18">
        <v>17716</v>
      </c>
      <c r="L1473" s="38" t="s">
        <v>612</v>
      </c>
      <c r="M1473" s="21" t="s">
        <v>351</v>
      </c>
      <c r="N1473" s="18" t="s">
        <v>352</v>
      </c>
    </row>
    <row r="1474" spans="1:14" ht="13">
      <c r="A1474" s="18" t="s">
        <v>283</v>
      </c>
      <c r="B1474" s="18" t="s">
        <v>260</v>
      </c>
      <c r="C1474" s="18" t="s">
        <v>839</v>
      </c>
      <c r="D1474" s="18" t="s">
        <v>345</v>
      </c>
      <c r="E1474" s="18" t="s">
        <v>840</v>
      </c>
      <c r="F1474" s="18" t="s">
        <v>841</v>
      </c>
      <c r="G1474" s="18" t="s">
        <v>690</v>
      </c>
      <c r="H1474" s="18">
        <v>1992</v>
      </c>
      <c r="I1474" s="40">
        <v>14678</v>
      </c>
      <c r="J1474" s="40">
        <v>13751</v>
      </c>
      <c r="K1474" s="18">
        <v>15697</v>
      </c>
      <c r="L1474" s="38" t="s">
        <v>612</v>
      </c>
      <c r="M1474" s="21" t="s">
        <v>351</v>
      </c>
      <c r="N1474" s="18" t="s">
        <v>352</v>
      </c>
    </row>
    <row r="1475" spans="1:14" ht="13">
      <c r="A1475" s="18" t="s">
        <v>283</v>
      </c>
      <c r="B1475" s="18" t="s">
        <v>260</v>
      </c>
      <c r="C1475" s="18" t="s">
        <v>839</v>
      </c>
      <c r="D1475" s="18" t="s">
        <v>345</v>
      </c>
      <c r="E1475" s="18" t="s">
        <v>840</v>
      </c>
      <c r="F1475" s="18" t="s">
        <v>841</v>
      </c>
      <c r="G1475" s="18" t="s">
        <v>690</v>
      </c>
      <c r="H1475" s="18">
        <v>1993</v>
      </c>
      <c r="I1475" s="40">
        <v>13712</v>
      </c>
      <c r="J1475" s="40">
        <v>12948</v>
      </c>
      <c r="K1475" s="18">
        <v>14680</v>
      </c>
      <c r="L1475" s="38" t="s">
        <v>612</v>
      </c>
      <c r="M1475" s="21" t="s">
        <v>351</v>
      </c>
      <c r="N1475" s="18" t="s">
        <v>352</v>
      </c>
    </row>
    <row r="1476" spans="1:14" ht="13">
      <c r="A1476" s="18" t="s">
        <v>283</v>
      </c>
      <c r="B1476" s="18" t="s">
        <v>260</v>
      </c>
      <c r="C1476" s="18" t="s">
        <v>839</v>
      </c>
      <c r="D1476" s="18" t="s">
        <v>345</v>
      </c>
      <c r="E1476" s="18" t="s">
        <v>840</v>
      </c>
      <c r="F1476" s="18" t="s">
        <v>841</v>
      </c>
      <c r="G1476" s="18" t="s">
        <v>690</v>
      </c>
      <c r="H1476" s="18">
        <v>1994</v>
      </c>
      <c r="I1476" s="40">
        <v>13057</v>
      </c>
      <c r="J1476" s="40">
        <v>12506</v>
      </c>
      <c r="K1476" s="18">
        <v>13725</v>
      </c>
      <c r="L1476" s="38" t="s">
        <v>612</v>
      </c>
      <c r="M1476" s="21" t="s">
        <v>351</v>
      </c>
      <c r="N1476" s="18" t="s">
        <v>352</v>
      </c>
    </row>
    <row r="1477" spans="1:14" ht="13">
      <c r="A1477" s="18" t="s">
        <v>283</v>
      </c>
      <c r="B1477" s="18" t="s">
        <v>260</v>
      </c>
      <c r="C1477" s="18" t="s">
        <v>839</v>
      </c>
      <c r="D1477" s="18" t="s">
        <v>345</v>
      </c>
      <c r="E1477" s="18" t="s">
        <v>840</v>
      </c>
      <c r="F1477" s="18" t="s">
        <v>841</v>
      </c>
      <c r="G1477" s="18" t="s">
        <v>690</v>
      </c>
      <c r="H1477" s="18">
        <v>1995</v>
      </c>
      <c r="I1477" s="40">
        <v>12209</v>
      </c>
      <c r="J1477" s="40">
        <v>11510</v>
      </c>
      <c r="K1477" s="18">
        <v>12950</v>
      </c>
      <c r="L1477" s="38" t="s">
        <v>612</v>
      </c>
      <c r="M1477" s="21" t="s">
        <v>351</v>
      </c>
      <c r="N1477" s="18" t="s">
        <v>352</v>
      </c>
    </row>
    <row r="1478" spans="1:14" ht="13">
      <c r="A1478" s="18" t="s">
        <v>283</v>
      </c>
      <c r="B1478" s="18" t="s">
        <v>260</v>
      </c>
      <c r="C1478" s="18" t="s">
        <v>839</v>
      </c>
      <c r="D1478" s="18" t="s">
        <v>345</v>
      </c>
      <c r="E1478" s="18" t="s">
        <v>840</v>
      </c>
      <c r="F1478" s="18" t="s">
        <v>841</v>
      </c>
      <c r="G1478" s="18" t="s">
        <v>690</v>
      </c>
      <c r="H1478" s="18">
        <v>1996</v>
      </c>
      <c r="I1478" s="40">
        <v>11550</v>
      </c>
      <c r="J1478" s="40">
        <v>10946</v>
      </c>
      <c r="K1478" s="18">
        <v>12167</v>
      </c>
      <c r="L1478" s="38" t="s">
        <v>612</v>
      </c>
      <c r="M1478" s="21" t="s">
        <v>351</v>
      </c>
      <c r="N1478" s="18" t="s">
        <v>352</v>
      </c>
    </row>
    <row r="1479" spans="1:14" ht="13">
      <c r="A1479" s="18" t="s">
        <v>283</v>
      </c>
      <c r="B1479" s="18" t="s">
        <v>260</v>
      </c>
      <c r="C1479" s="18" t="s">
        <v>839</v>
      </c>
      <c r="D1479" s="18" t="s">
        <v>345</v>
      </c>
      <c r="E1479" s="18" t="s">
        <v>840</v>
      </c>
      <c r="F1479" s="18" t="s">
        <v>841</v>
      </c>
      <c r="G1479" s="18" t="s">
        <v>690</v>
      </c>
      <c r="H1479" s="18">
        <v>1997</v>
      </c>
      <c r="I1479" s="40">
        <v>11164</v>
      </c>
      <c r="J1479" s="40">
        <v>10676</v>
      </c>
      <c r="K1479" s="18">
        <v>11716</v>
      </c>
      <c r="L1479" s="38" t="s">
        <v>612</v>
      </c>
      <c r="M1479" s="21" t="s">
        <v>351</v>
      </c>
      <c r="N1479" s="18" t="s">
        <v>352</v>
      </c>
    </row>
    <row r="1480" spans="1:14" ht="13">
      <c r="A1480" s="18" t="s">
        <v>283</v>
      </c>
      <c r="B1480" s="18" t="s">
        <v>260</v>
      </c>
      <c r="C1480" s="18" t="s">
        <v>839</v>
      </c>
      <c r="D1480" s="18" t="s">
        <v>345</v>
      </c>
      <c r="E1480" s="18" t="s">
        <v>840</v>
      </c>
      <c r="F1480" s="18" t="s">
        <v>841</v>
      </c>
      <c r="G1480" s="18" t="s">
        <v>690</v>
      </c>
      <c r="H1480" s="18">
        <v>1998</v>
      </c>
      <c r="I1480" s="40">
        <v>10225</v>
      </c>
      <c r="J1480" s="40">
        <v>9976</v>
      </c>
      <c r="K1480" s="18">
        <v>10574</v>
      </c>
      <c r="L1480" s="38" t="s">
        <v>612</v>
      </c>
      <c r="M1480" s="21" t="s">
        <v>351</v>
      </c>
      <c r="N1480" s="18" t="s">
        <v>352</v>
      </c>
    </row>
    <row r="1481" spans="1:14" ht="13">
      <c r="A1481" s="18" t="s">
        <v>283</v>
      </c>
      <c r="B1481" s="18" t="s">
        <v>260</v>
      </c>
      <c r="C1481" s="18" t="s">
        <v>839</v>
      </c>
      <c r="D1481" s="18" t="s">
        <v>345</v>
      </c>
      <c r="E1481" s="18" t="s">
        <v>840</v>
      </c>
      <c r="F1481" s="18" t="s">
        <v>841</v>
      </c>
      <c r="G1481" s="18" t="s">
        <v>690</v>
      </c>
      <c r="H1481" s="18">
        <v>1999</v>
      </c>
      <c r="I1481" s="40">
        <v>10127</v>
      </c>
      <c r="J1481" s="40">
        <v>9631</v>
      </c>
      <c r="K1481" s="18">
        <v>10646</v>
      </c>
      <c r="L1481" s="38" t="s">
        <v>612</v>
      </c>
      <c r="M1481" s="21" t="s">
        <v>351</v>
      </c>
      <c r="N1481" s="18" t="s">
        <v>352</v>
      </c>
    </row>
    <row r="1482" spans="1:14" ht="13">
      <c r="A1482" s="18" t="s">
        <v>283</v>
      </c>
      <c r="B1482" s="18" t="s">
        <v>260</v>
      </c>
      <c r="C1482" s="18" t="s">
        <v>839</v>
      </c>
      <c r="D1482" s="18" t="s">
        <v>345</v>
      </c>
      <c r="E1482" s="18" t="s">
        <v>840</v>
      </c>
      <c r="F1482" s="18" t="s">
        <v>841</v>
      </c>
      <c r="G1482" s="18" t="s">
        <v>690</v>
      </c>
      <c r="H1482" s="18">
        <v>2000</v>
      </c>
      <c r="I1482" s="40">
        <v>9866</v>
      </c>
      <c r="J1482" s="40">
        <v>9468</v>
      </c>
      <c r="K1482" s="18">
        <v>10269</v>
      </c>
      <c r="L1482" s="38" t="s">
        <v>612</v>
      </c>
      <c r="M1482" s="21" t="s">
        <v>351</v>
      </c>
      <c r="N1482" s="18" t="s">
        <v>352</v>
      </c>
    </row>
    <row r="1483" spans="1:14" ht="13">
      <c r="A1483" s="18" t="s">
        <v>283</v>
      </c>
      <c r="B1483" s="18" t="s">
        <v>260</v>
      </c>
      <c r="C1483" s="18" t="s">
        <v>839</v>
      </c>
      <c r="D1483" s="18" t="s">
        <v>345</v>
      </c>
      <c r="E1483" s="18" t="s">
        <v>840</v>
      </c>
      <c r="F1483" s="18" t="s">
        <v>841</v>
      </c>
      <c r="G1483" s="18" t="s">
        <v>690</v>
      </c>
      <c r="H1483" s="18">
        <v>2001</v>
      </c>
      <c r="I1483" s="40">
        <v>9074</v>
      </c>
      <c r="J1483" s="40">
        <v>8903</v>
      </c>
      <c r="K1483" s="18">
        <v>9343</v>
      </c>
      <c r="L1483" s="38" t="s">
        <v>612</v>
      </c>
      <c r="M1483" s="21" t="s">
        <v>351</v>
      </c>
      <c r="N1483" s="18" t="s">
        <v>352</v>
      </c>
    </row>
    <row r="1484" spans="1:14" ht="13">
      <c r="A1484" s="18" t="s">
        <v>283</v>
      </c>
      <c r="B1484" s="18" t="s">
        <v>260</v>
      </c>
      <c r="C1484" s="18" t="s">
        <v>839</v>
      </c>
      <c r="D1484" s="18" t="s">
        <v>345</v>
      </c>
      <c r="E1484" s="18" t="s">
        <v>840</v>
      </c>
      <c r="F1484" s="18" t="s">
        <v>841</v>
      </c>
      <c r="G1484" s="18" t="s">
        <v>690</v>
      </c>
      <c r="H1484" s="18">
        <v>2002</v>
      </c>
      <c r="I1484" s="40">
        <v>9516</v>
      </c>
      <c r="J1484" s="40">
        <v>9199</v>
      </c>
      <c r="K1484" s="18">
        <v>9849</v>
      </c>
      <c r="L1484" s="38" t="s">
        <v>612</v>
      </c>
      <c r="M1484" s="21" t="s">
        <v>351</v>
      </c>
      <c r="N1484" s="18" t="s">
        <v>352</v>
      </c>
    </row>
    <row r="1485" spans="1:14" ht="13">
      <c r="A1485" s="18" t="s">
        <v>283</v>
      </c>
      <c r="B1485" s="18" t="s">
        <v>260</v>
      </c>
      <c r="C1485" s="18" t="s">
        <v>839</v>
      </c>
      <c r="D1485" s="18" t="s">
        <v>345</v>
      </c>
      <c r="E1485" s="18" t="s">
        <v>840</v>
      </c>
      <c r="F1485" s="18" t="s">
        <v>841</v>
      </c>
      <c r="G1485" s="18" t="s">
        <v>690</v>
      </c>
      <c r="H1485" s="18">
        <v>2003</v>
      </c>
      <c r="I1485" s="40">
        <v>9386</v>
      </c>
      <c r="J1485" s="40">
        <v>9058</v>
      </c>
      <c r="K1485" s="18">
        <v>9733</v>
      </c>
      <c r="L1485" s="38" t="s">
        <v>612</v>
      </c>
      <c r="M1485" s="21" t="s">
        <v>351</v>
      </c>
      <c r="N1485" s="18" t="s">
        <v>352</v>
      </c>
    </row>
    <row r="1486" spans="1:14" ht="13">
      <c r="A1486" s="18" t="s">
        <v>283</v>
      </c>
      <c r="B1486" s="18" t="s">
        <v>260</v>
      </c>
      <c r="C1486" s="18" t="s">
        <v>839</v>
      </c>
      <c r="D1486" s="18" t="s">
        <v>345</v>
      </c>
      <c r="E1486" s="18" t="s">
        <v>840</v>
      </c>
      <c r="F1486" s="18" t="s">
        <v>841</v>
      </c>
      <c r="G1486" s="18" t="s">
        <v>690</v>
      </c>
      <c r="H1486" s="18">
        <v>2004</v>
      </c>
      <c r="I1486" s="40">
        <v>9704</v>
      </c>
      <c r="J1486" s="40">
        <v>9420</v>
      </c>
      <c r="K1486" s="18">
        <v>10017</v>
      </c>
      <c r="L1486" s="38" t="s">
        <v>612</v>
      </c>
      <c r="M1486" s="21" t="s">
        <v>351</v>
      </c>
      <c r="N1486" s="18" t="s">
        <v>352</v>
      </c>
    </row>
    <row r="1487" spans="1:14" ht="13">
      <c r="A1487" s="18" t="s">
        <v>283</v>
      </c>
      <c r="B1487" s="18" t="s">
        <v>260</v>
      </c>
      <c r="C1487" s="18" t="s">
        <v>839</v>
      </c>
      <c r="D1487" s="18" t="s">
        <v>345</v>
      </c>
      <c r="E1487" s="18" t="s">
        <v>840</v>
      </c>
      <c r="F1487" s="18" t="s">
        <v>841</v>
      </c>
      <c r="G1487" s="18" t="s">
        <v>690</v>
      </c>
      <c r="H1487" s="18">
        <v>2005</v>
      </c>
      <c r="I1487" s="40">
        <v>10134</v>
      </c>
      <c r="J1487" s="40">
        <v>10018</v>
      </c>
      <c r="K1487" s="18">
        <v>10329</v>
      </c>
      <c r="L1487" s="38" t="s">
        <v>612</v>
      </c>
      <c r="M1487" s="21" t="s">
        <v>351</v>
      </c>
      <c r="N1487" s="18" t="s">
        <v>352</v>
      </c>
    </row>
    <row r="1488" spans="1:14" ht="13">
      <c r="A1488" s="18" t="s">
        <v>283</v>
      </c>
      <c r="B1488" s="18"/>
      <c r="C1488" s="18" t="s">
        <v>839</v>
      </c>
      <c r="D1488" s="18" t="s">
        <v>345</v>
      </c>
      <c r="E1488" s="18" t="s">
        <v>840</v>
      </c>
      <c r="F1488" s="18" t="s">
        <v>841</v>
      </c>
      <c r="G1488" s="18" t="s">
        <v>690</v>
      </c>
      <c r="H1488" s="18">
        <v>2006</v>
      </c>
      <c r="I1488" s="40">
        <v>10372</v>
      </c>
      <c r="J1488" s="40">
        <v>9914</v>
      </c>
      <c r="K1488" s="18">
        <v>10859</v>
      </c>
      <c r="L1488" s="38" t="s">
        <v>612</v>
      </c>
      <c r="M1488" s="21" t="s">
        <v>351</v>
      </c>
      <c r="N1488" s="18" t="s">
        <v>352</v>
      </c>
    </row>
    <row r="1489" spans="1:14" ht="13">
      <c r="A1489" s="18" t="s">
        <v>283</v>
      </c>
      <c r="B1489" s="18" t="s">
        <v>260</v>
      </c>
      <c r="C1489" s="18" t="s">
        <v>839</v>
      </c>
      <c r="D1489" s="18" t="s">
        <v>345</v>
      </c>
      <c r="E1489" s="18" t="s">
        <v>840</v>
      </c>
      <c r="F1489" s="18" t="s">
        <v>841</v>
      </c>
      <c r="G1489" s="18" t="s">
        <v>690</v>
      </c>
      <c r="H1489" s="18">
        <v>2007</v>
      </c>
      <c r="I1489" s="40">
        <v>10755</v>
      </c>
      <c r="J1489" s="40">
        <v>10289</v>
      </c>
      <c r="K1489" s="18">
        <v>11241</v>
      </c>
      <c r="L1489" s="38" t="s">
        <v>612</v>
      </c>
      <c r="M1489" s="21" t="s">
        <v>351</v>
      </c>
      <c r="N1489" s="18" t="s">
        <v>352</v>
      </c>
    </row>
    <row r="1490" spans="1:14" ht="13">
      <c r="A1490" s="18" t="s">
        <v>283</v>
      </c>
      <c r="B1490" s="18" t="s">
        <v>260</v>
      </c>
      <c r="C1490" s="18" t="s">
        <v>839</v>
      </c>
      <c r="D1490" s="18" t="s">
        <v>345</v>
      </c>
      <c r="E1490" s="18" t="s">
        <v>840</v>
      </c>
      <c r="F1490" s="18" t="s">
        <v>841</v>
      </c>
      <c r="G1490" s="18" t="s">
        <v>690</v>
      </c>
      <c r="H1490" s="18">
        <v>2008</v>
      </c>
      <c r="I1490" s="40">
        <v>11186</v>
      </c>
      <c r="J1490" s="40">
        <v>10676</v>
      </c>
      <c r="K1490" s="18">
        <v>11680</v>
      </c>
      <c r="L1490" s="38" t="s">
        <v>612</v>
      </c>
      <c r="M1490" s="21" t="s">
        <v>351</v>
      </c>
      <c r="N1490" s="18" t="s">
        <v>352</v>
      </c>
    </row>
    <row r="1491" spans="1:14" ht="13">
      <c r="A1491" s="18" t="s">
        <v>283</v>
      </c>
      <c r="B1491" s="18" t="s">
        <v>260</v>
      </c>
      <c r="C1491" s="18" t="s">
        <v>839</v>
      </c>
      <c r="D1491" s="18" t="s">
        <v>345</v>
      </c>
      <c r="E1491" s="18" t="s">
        <v>840</v>
      </c>
      <c r="F1491" s="18" t="s">
        <v>841</v>
      </c>
      <c r="G1491" s="18" t="s">
        <v>690</v>
      </c>
      <c r="H1491" s="18">
        <v>2009</v>
      </c>
      <c r="I1491" s="40">
        <v>11135</v>
      </c>
      <c r="J1491" s="40">
        <v>11060</v>
      </c>
      <c r="K1491" s="18">
        <v>11257</v>
      </c>
      <c r="L1491" s="38" t="s">
        <v>612</v>
      </c>
      <c r="M1491" s="21" t="s">
        <v>351</v>
      </c>
      <c r="N1491" s="18" t="s">
        <v>352</v>
      </c>
    </row>
    <row r="1492" spans="1:14" ht="13">
      <c r="A1492" s="18" t="s">
        <v>283</v>
      </c>
      <c r="B1492" s="18" t="s">
        <v>260</v>
      </c>
      <c r="C1492" s="18" t="s">
        <v>839</v>
      </c>
      <c r="D1492" s="18" t="s">
        <v>345</v>
      </c>
      <c r="E1492" s="18" t="s">
        <v>840</v>
      </c>
      <c r="F1492" s="18" t="s">
        <v>841</v>
      </c>
      <c r="G1492" s="18" t="s">
        <v>690</v>
      </c>
      <c r="H1492" s="18">
        <v>2010</v>
      </c>
      <c r="I1492" s="40">
        <v>11418</v>
      </c>
      <c r="J1492" s="40">
        <v>11004</v>
      </c>
      <c r="K1492" s="18">
        <v>11848</v>
      </c>
      <c r="L1492" s="38" t="s">
        <v>612</v>
      </c>
      <c r="M1492" s="21" t="s">
        <v>351</v>
      </c>
      <c r="N1492" s="18" t="s">
        <v>352</v>
      </c>
    </row>
    <row r="1493" spans="1:14" ht="13">
      <c r="A1493" s="18" t="s">
        <v>283</v>
      </c>
      <c r="B1493" s="18" t="s">
        <v>260</v>
      </c>
      <c r="C1493" s="18" t="s">
        <v>839</v>
      </c>
      <c r="D1493" s="18" t="s">
        <v>345</v>
      </c>
      <c r="E1493" s="18" t="s">
        <v>840</v>
      </c>
      <c r="F1493" s="18" t="s">
        <v>841</v>
      </c>
      <c r="G1493" s="18" t="s">
        <v>690</v>
      </c>
      <c r="H1493" s="18">
        <v>2011</v>
      </c>
      <c r="I1493" s="40">
        <v>11624</v>
      </c>
      <c r="J1493" s="40">
        <v>11519</v>
      </c>
      <c r="K1493" s="18">
        <v>11745</v>
      </c>
      <c r="L1493" s="38" t="s">
        <v>612</v>
      </c>
      <c r="M1493" s="21" t="s">
        <v>351</v>
      </c>
      <c r="N1493" s="18" t="s">
        <v>352</v>
      </c>
    </row>
    <row r="1494" spans="1:14" ht="13">
      <c r="A1494" s="18" t="s">
        <v>283</v>
      </c>
      <c r="B1494" s="18" t="s">
        <v>260</v>
      </c>
      <c r="C1494" s="18" t="s">
        <v>839</v>
      </c>
      <c r="D1494" s="18" t="s">
        <v>345</v>
      </c>
      <c r="E1494" s="18" t="s">
        <v>840</v>
      </c>
      <c r="F1494" s="18" t="s">
        <v>841</v>
      </c>
      <c r="G1494" s="18" t="s">
        <v>690</v>
      </c>
      <c r="H1494" s="18">
        <v>2012</v>
      </c>
      <c r="I1494" s="40">
        <v>11611</v>
      </c>
      <c r="J1494" s="40">
        <v>11120</v>
      </c>
      <c r="K1494" s="18">
        <v>12099</v>
      </c>
      <c r="L1494" s="38" t="s">
        <v>612</v>
      </c>
      <c r="M1494" s="21" t="s">
        <v>351</v>
      </c>
      <c r="N1494" s="18" t="s">
        <v>352</v>
      </c>
    </row>
    <row r="1495" spans="1:14" ht="13">
      <c r="A1495" s="18" t="s">
        <v>283</v>
      </c>
      <c r="B1495" s="18" t="s">
        <v>260</v>
      </c>
      <c r="C1495" s="18" t="s">
        <v>839</v>
      </c>
      <c r="D1495" s="18" t="s">
        <v>345</v>
      </c>
      <c r="E1495" s="18" t="s">
        <v>840</v>
      </c>
      <c r="F1495" s="18" t="s">
        <v>841</v>
      </c>
      <c r="G1495" s="18" t="s">
        <v>690</v>
      </c>
      <c r="H1495" s="18">
        <v>2013</v>
      </c>
      <c r="I1495" s="40">
        <v>11886</v>
      </c>
      <c r="J1495" s="40">
        <v>11604</v>
      </c>
      <c r="K1495" s="18">
        <v>12159</v>
      </c>
      <c r="L1495" s="38" t="s">
        <v>612</v>
      </c>
      <c r="M1495" s="21" t="s">
        <v>351</v>
      </c>
      <c r="N1495" s="18" t="s">
        <v>352</v>
      </c>
    </row>
    <row r="1496" spans="1:14" ht="13">
      <c r="A1496" s="18" t="s">
        <v>283</v>
      </c>
      <c r="B1496" s="18" t="s">
        <v>260</v>
      </c>
      <c r="C1496" s="18" t="s">
        <v>839</v>
      </c>
      <c r="D1496" s="18" t="s">
        <v>345</v>
      </c>
      <c r="E1496" s="18" t="s">
        <v>840</v>
      </c>
      <c r="F1496" s="18" t="s">
        <v>841</v>
      </c>
      <c r="G1496" s="18" t="s">
        <v>690</v>
      </c>
      <c r="H1496" s="18">
        <v>2014</v>
      </c>
      <c r="I1496" s="40">
        <v>11422</v>
      </c>
      <c r="J1496" s="40">
        <v>11097</v>
      </c>
      <c r="K1496" s="18">
        <v>11742</v>
      </c>
      <c r="L1496" s="38" t="s">
        <v>612</v>
      </c>
      <c r="M1496" s="21" t="s">
        <v>351</v>
      </c>
      <c r="N1496" s="18" t="s">
        <v>352</v>
      </c>
    </row>
    <row r="1497" spans="1:14" ht="13">
      <c r="A1497" s="18" t="s">
        <v>283</v>
      </c>
      <c r="B1497" s="18" t="s">
        <v>260</v>
      </c>
      <c r="C1497" s="18" t="s">
        <v>839</v>
      </c>
      <c r="D1497" s="18" t="s">
        <v>345</v>
      </c>
      <c r="E1497" s="18" t="s">
        <v>840</v>
      </c>
      <c r="F1497" s="18" t="s">
        <v>841</v>
      </c>
      <c r="G1497" s="18" t="s">
        <v>690</v>
      </c>
      <c r="H1497" s="18">
        <v>2015</v>
      </c>
      <c r="I1497" s="40">
        <v>11925</v>
      </c>
      <c r="J1497" s="40">
        <v>11579</v>
      </c>
      <c r="K1497" s="18">
        <v>12302</v>
      </c>
      <c r="L1497" s="38" t="s">
        <v>612</v>
      </c>
      <c r="M1497" s="21" t="s">
        <v>351</v>
      </c>
      <c r="N1497" s="18" t="s">
        <v>352</v>
      </c>
    </row>
    <row r="1498" spans="1:14" ht="13">
      <c r="A1498" s="18" t="s">
        <v>283</v>
      </c>
      <c r="B1498" s="18" t="s">
        <v>260</v>
      </c>
      <c r="C1498" s="18" t="s">
        <v>839</v>
      </c>
      <c r="D1498" s="18" t="s">
        <v>345</v>
      </c>
      <c r="E1498" s="18" t="s">
        <v>840</v>
      </c>
      <c r="F1498" s="18" t="s">
        <v>841</v>
      </c>
      <c r="G1498" s="18" t="s">
        <v>690</v>
      </c>
      <c r="H1498" s="18">
        <v>2016</v>
      </c>
      <c r="I1498" s="40">
        <v>11781</v>
      </c>
      <c r="J1498" s="40">
        <v>11431</v>
      </c>
      <c r="K1498" s="18">
        <v>12129</v>
      </c>
      <c r="L1498" s="38" t="s">
        <v>612</v>
      </c>
      <c r="M1498" s="21" t="s">
        <v>351</v>
      </c>
      <c r="N1498" s="18" t="s">
        <v>352</v>
      </c>
    </row>
    <row r="1499" spans="1:14" ht="13">
      <c r="A1499" s="18" t="s">
        <v>283</v>
      </c>
      <c r="B1499" s="18" t="s">
        <v>260</v>
      </c>
      <c r="C1499" s="18" t="s">
        <v>839</v>
      </c>
      <c r="D1499" s="18" t="s">
        <v>345</v>
      </c>
      <c r="E1499" s="18" t="s">
        <v>840</v>
      </c>
      <c r="F1499" s="18" t="s">
        <v>841</v>
      </c>
      <c r="G1499" s="18" t="s">
        <v>690</v>
      </c>
      <c r="H1499" s="18">
        <v>2017</v>
      </c>
      <c r="I1499" s="40">
        <v>11228</v>
      </c>
      <c r="J1499" s="40">
        <v>10929</v>
      </c>
      <c r="K1499" s="18">
        <v>11567</v>
      </c>
      <c r="L1499" s="38" t="s">
        <v>612</v>
      </c>
      <c r="M1499" s="21" t="s">
        <v>351</v>
      </c>
      <c r="N1499" s="18" t="s">
        <v>352</v>
      </c>
    </row>
    <row r="1500" spans="1:14" ht="13">
      <c r="A1500" s="18" t="s">
        <v>283</v>
      </c>
      <c r="B1500" s="18" t="s">
        <v>260</v>
      </c>
      <c r="C1500" s="18" t="s">
        <v>839</v>
      </c>
      <c r="D1500" s="18" t="s">
        <v>345</v>
      </c>
      <c r="E1500" s="18" t="s">
        <v>840</v>
      </c>
      <c r="F1500" s="18" t="s">
        <v>841</v>
      </c>
      <c r="G1500" s="18" t="s">
        <v>690</v>
      </c>
      <c r="H1500" s="18">
        <v>2018</v>
      </c>
      <c r="I1500" s="40">
        <v>11667</v>
      </c>
      <c r="J1500" s="40">
        <v>11247</v>
      </c>
      <c r="K1500" s="18">
        <v>12079</v>
      </c>
      <c r="L1500" s="38" t="s">
        <v>612</v>
      </c>
      <c r="M1500" s="21" t="s">
        <v>351</v>
      </c>
      <c r="N1500" s="18" t="s">
        <v>352</v>
      </c>
    </row>
    <row r="1501" spans="1:14" ht="13">
      <c r="A1501" s="18" t="s">
        <v>283</v>
      </c>
      <c r="B1501" s="18" t="s">
        <v>260</v>
      </c>
      <c r="C1501" s="18" t="s">
        <v>839</v>
      </c>
      <c r="D1501" s="18" t="s">
        <v>345</v>
      </c>
      <c r="E1501" s="18" t="s">
        <v>840</v>
      </c>
      <c r="F1501" s="18" t="s">
        <v>841</v>
      </c>
      <c r="G1501" s="18" t="s">
        <v>690</v>
      </c>
      <c r="H1501" s="18">
        <v>2019</v>
      </c>
      <c r="I1501" s="40">
        <v>12385</v>
      </c>
      <c r="J1501" s="40">
        <v>12102</v>
      </c>
      <c r="K1501" s="18">
        <v>12662</v>
      </c>
      <c r="L1501" s="38" t="s">
        <v>612</v>
      </c>
      <c r="M1501" s="21" t="s">
        <v>351</v>
      </c>
      <c r="N1501" s="18" t="s">
        <v>352</v>
      </c>
    </row>
    <row r="1502" spans="1:14" ht="13">
      <c r="A1502" s="18" t="s">
        <v>283</v>
      </c>
      <c r="B1502" s="18" t="s">
        <v>260</v>
      </c>
      <c r="C1502" s="18" t="s">
        <v>839</v>
      </c>
      <c r="D1502" s="18" t="s">
        <v>345</v>
      </c>
      <c r="E1502" s="18" t="s">
        <v>840</v>
      </c>
      <c r="F1502" s="18" t="s">
        <v>841</v>
      </c>
      <c r="G1502" s="18" t="s">
        <v>647</v>
      </c>
      <c r="H1502" s="18">
        <v>1978</v>
      </c>
      <c r="I1502" s="40">
        <v>173403</v>
      </c>
      <c r="J1502" s="40">
        <v>156338</v>
      </c>
      <c r="K1502" s="18">
        <v>194351</v>
      </c>
      <c r="L1502" s="37" t="s">
        <v>612</v>
      </c>
      <c r="M1502" s="21" t="s">
        <v>351</v>
      </c>
      <c r="N1502" s="18" t="s">
        <v>352</v>
      </c>
    </row>
    <row r="1503" spans="1:14" ht="13">
      <c r="A1503" s="18" t="s">
        <v>283</v>
      </c>
      <c r="B1503" s="18" t="s">
        <v>260</v>
      </c>
      <c r="C1503" s="18" t="s">
        <v>839</v>
      </c>
      <c r="D1503" s="18" t="s">
        <v>345</v>
      </c>
      <c r="E1503" s="18" t="s">
        <v>840</v>
      </c>
      <c r="F1503" s="18" t="s">
        <v>841</v>
      </c>
      <c r="G1503" s="18" t="s">
        <v>647</v>
      </c>
      <c r="H1503" s="18">
        <v>1979</v>
      </c>
      <c r="I1503" s="40">
        <v>165190</v>
      </c>
      <c r="J1503" s="40">
        <v>150128</v>
      </c>
      <c r="K1503" s="18">
        <v>181135</v>
      </c>
      <c r="L1503" s="38" t="s">
        <v>612</v>
      </c>
      <c r="M1503" s="21" t="s">
        <v>351</v>
      </c>
      <c r="N1503" s="18" t="s">
        <v>352</v>
      </c>
    </row>
    <row r="1504" spans="1:14" ht="13">
      <c r="A1504" s="18" t="s">
        <v>283</v>
      </c>
      <c r="B1504" s="18" t="s">
        <v>260</v>
      </c>
      <c r="C1504" s="18" t="s">
        <v>839</v>
      </c>
      <c r="D1504" s="18" t="s">
        <v>345</v>
      </c>
      <c r="E1504" s="18" t="s">
        <v>840</v>
      </c>
      <c r="F1504" s="18" t="s">
        <v>841</v>
      </c>
      <c r="G1504" s="18" t="s">
        <v>647</v>
      </c>
      <c r="H1504" s="18">
        <v>1980</v>
      </c>
      <c r="I1504" s="40">
        <v>151428</v>
      </c>
      <c r="J1504" s="40">
        <v>138601</v>
      </c>
      <c r="K1504" s="18">
        <v>166042</v>
      </c>
      <c r="L1504" s="38" t="s">
        <v>612</v>
      </c>
      <c r="M1504" s="21" t="s">
        <v>351</v>
      </c>
      <c r="N1504" s="18" t="s">
        <v>352</v>
      </c>
    </row>
    <row r="1505" spans="1:14" ht="13">
      <c r="A1505" s="18" t="s">
        <v>283</v>
      </c>
      <c r="B1505" s="18" t="s">
        <v>260</v>
      </c>
      <c r="C1505" s="18" t="s">
        <v>839</v>
      </c>
      <c r="D1505" s="18" t="s">
        <v>345</v>
      </c>
      <c r="E1505" s="18" t="s">
        <v>840</v>
      </c>
      <c r="F1505" s="18" t="s">
        <v>841</v>
      </c>
      <c r="G1505" s="18" t="s">
        <v>647</v>
      </c>
      <c r="H1505" s="18">
        <v>1981</v>
      </c>
      <c r="I1505" s="40">
        <v>143163</v>
      </c>
      <c r="J1505" s="40">
        <v>131771</v>
      </c>
      <c r="K1505" s="18">
        <v>155236</v>
      </c>
      <c r="L1505" s="38" t="s">
        <v>612</v>
      </c>
      <c r="M1505" s="21" t="s">
        <v>351</v>
      </c>
      <c r="N1505" s="18" t="s">
        <v>352</v>
      </c>
    </row>
    <row r="1506" spans="1:14" ht="13">
      <c r="A1506" s="18" t="s">
        <v>283</v>
      </c>
      <c r="B1506" s="18" t="s">
        <v>260</v>
      </c>
      <c r="C1506" s="18" t="s">
        <v>839</v>
      </c>
      <c r="D1506" s="18" t="s">
        <v>345</v>
      </c>
      <c r="E1506" s="18" t="s">
        <v>840</v>
      </c>
      <c r="F1506" s="18" t="s">
        <v>841</v>
      </c>
      <c r="G1506" s="18" t="s">
        <v>647</v>
      </c>
      <c r="H1506" s="18">
        <v>1982</v>
      </c>
      <c r="I1506" s="40">
        <v>137600</v>
      </c>
      <c r="J1506" s="40">
        <v>127731</v>
      </c>
      <c r="K1506" s="18">
        <v>149301</v>
      </c>
      <c r="L1506" s="38" t="s">
        <v>612</v>
      </c>
      <c r="M1506" s="21" t="s">
        <v>351</v>
      </c>
      <c r="N1506" s="18" t="s">
        <v>352</v>
      </c>
    </row>
    <row r="1507" spans="1:14" ht="13">
      <c r="A1507" s="18" t="s">
        <v>283</v>
      </c>
      <c r="B1507" s="18" t="s">
        <v>260</v>
      </c>
      <c r="C1507" s="18" t="s">
        <v>839</v>
      </c>
      <c r="D1507" s="18" t="s">
        <v>345</v>
      </c>
      <c r="E1507" s="18" t="s">
        <v>840</v>
      </c>
      <c r="F1507" s="18" t="s">
        <v>841</v>
      </c>
      <c r="G1507" s="18" t="s">
        <v>647</v>
      </c>
      <c r="H1507" s="18">
        <v>1983</v>
      </c>
      <c r="I1507" s="40">
        <v>128381</v>
      </c>
      <c r="J1507" s="40">
        <v>118588</v>
      </c>
      <c r="K1507" s="18">
        <v>138319</v>
      </c>
      <c r="L1507" s="38" t="s">
        <v>612</v>
      </c>
      <c r="M1507" s="21" t="s">
        <v>351</v>
      </c>
      <c r="N1507" s="18" t="s">
        <v>352</v>
      </c>
    </row>
    <row r="1508" spans="1:14" ht="13">
      <c r="A1508" s="18" t="s">
        <v>283</v>
      </c>
      <c r="B1508" s="18" t="s">
        <v>260</v>
      </c>
      <c r="C1508" s="18" t="s">
        <v>839</v>
      </c>
      <c r="D1508" s="18" t="s">
        <v>345</v>
      </c>
      <c r="E1508" s="18" t="s">
        <v>840</v>
      </c>
      <c r="F1508" s="18" t="s">
        <v>841</v>
      </c>
      <c r="G1508" s="18" t="s">
        <v>647</v>
      </c>
      <c r="H1508" s="18">
        <v>1984</v>
      </c>
      <c r="I1508" s="40">
        <v>116025</v>
      </c>
      <c r="J1508" s="40">
        <v>107239</v>
      </c>
      <c r="K1508" s="18">
        <v>124462</v>
      </c>
      <c r="L1508" s="38" t="s">
        <v>612</v>
      </c>
      <c r="M1508" s="21" t="s">
        <v>351</v>
      </c>
      <c r="N1508" s="18" t="s">
        <v>352</v>
      </c>
    </row>
    <row r="1509" spans="1:14" ht="13">
      <c r="A1509" s="18" t="s">
        <v>283</v>
      </c>
      <c r="B1509" s="18" t="s">
        <v>260</v>
      </c>
      <c r="C1509" s="18" t="s">
        <v>839</v>
      </c>
      <c r="D1509" s="18" t="s">
        <v>345</v>
      </c>
      <c r="E1509" s="18" t="s">
        <v>840</v>
      </c>
      <c r="F1509" s="18" t="s">
        <v>841</v>
      </c>
      <c r="G1509" s="18" t="s">
        <v>647</v>
      </c>
      <c r="H1509" s="18">
        <v>1985</v>
      </c>
      <c r="I1509" s="40">
        <v>104929</v>
      </c>
      <c r="J1509" s="40">
        <v>98823</v>
      </c>
      <c r="K1509" s="18">
        <v>111867</v>
      </c>
      <c r="L1509" s="38" t="s">
        <v>612</v>
      </c>
      <c r="M1509" s="21" t="s">
        <v>351</v>
      </c>
      <c r="N1509" s="18" t="s">
        <v>352</v>
      </c>
    </row>
    <row r="1510" spans="1:14" ht="13">
      <c r="A1510" s="18" t="s">
        <v>283</v>
      </c>
      <c r="B1510" s="18" t="s">
        <v>260</v>
      </c>
      <c r="C1510" s="18" t="s">
        <v>839</v>
      </c>
      <c r="D1510" s="18" t="s">
        <v>345</v>
      </c>
      <c r="E1510" s="18" t="s">
        <v>840</v>
      </c>
      <c r="F1510" s="18" t="s">
        <v>841</v>
      </c>
      <c r="G1510" s="18" t="s">
        <v>647</v>
      </c>
      <c r="H1510" s="18">
        <v>1986</v>
      </c>
      <c r="I1510" s="40">
        <v>89270</v>
      </c>
      <c r="J1510" s="40">
        <v>83758</v>
      </c>
      <c r="K1510" s="18">
        <v>94998</v>
      </c>
      <c r="L1510" s="38" t="s">
        <v>612</v>
      </c>
      <c r="M1510" s="21" t="s">
        <v>351</v>
      </c>
      <c r="N1510" s="18" t="s">
        <v>352</v>
      </c>
    </row>
    <row r="1511" spans="1:14" ht="13">
      <c r="A1511" s="18" t="s">
        <v>283</v>
      </c>
      <c r="B1511" s="18" t="s">
        <v>260</v>
      </c>
      <c r="C1511" s="18" t="s">
        <v>839</v>
      </c>
      <c r="D1511" s="18" t="s">
        <v>345</v>
      </c>
      <c r="E1511" s="18" t="s">
        <v>840</v>
      </c>
      <c r="F1511" s="18" t="s">
        <v>841</v>
      </c>
      <c r="G1511" s="18" t="s">
        <v>647</v>
      </c>
      <c r="H1511" s="18">
        <v>1987</v>
      </c>
      <c r="I1511" s="40">
        <v>71008</v>
      </c>
      <c r="J1511" s="40">
        <v>66450</v>
      </c>
      <c r="K1511" s="18">
        <v>75893</v>
      </c>
      <c r="L1511" s="38" t="s">
        <v>612</v>
      </c>
      <c r="M1511" s="21" t="s">
        <v>351</v>
      </c>
      <c r="N1511" s="18" t="s">
        <v>352</v>
      </c>
    </row>
    <row r="1512" spans="1:14" ht="13">
      <c r="A1512" s="18" t="s">
        <v>283</v>
      </c>
      <c r="B1512" s="18" t="s">
        <v>260</v>
      </c>
      <c r="C1512" s="18" t="s">
        <v>839</v>
      </c>
      <c r="D1512" s="18" t="s">
        <v>345</v>
      </c>
      <c r="E1512" s="18" t="s">
        <v>840</v>
      </c>
      <c r="F1512" s="18" t="s">
        <v>841</v>
      </c>
      <c r="G1512" s="18" t="s">
        <v>647</v>
      </c>
      <c r="H1512" s="18">
        <v>1988</v>
      </c>
      <c r="I1512" s="40">
        <v>60515</v>
      </c>
      <c r="J1512" s="40">
        <v>56913</v>
      </c>
      <c r="K1512" s="18">
        <v>64578</v>
      </c>
      <c r="L1512" s="38" t="s">
        <v>612</v>
      </c>
      <c r="M1512" s="21" t="s">
        <v>351</v>
      </c>
      <c r="N1512" s="18" t="s">
        <v>352</v>
      </c>
    </row>
    <row r="1513" spans="1:14" ht="13">
      <c r="A1513" s="18" t="s">
        <v>283</v>
      </c>
      <c r="B1513" s="18" t="s">
        <v>260</v>
      </c>
      <c r="C1513" s="18" t="s">
        <v>839</v>
      </c>
      <c r="D1513" s="18" t="s">
        <v>345</v>
      </c>
      <c r="E1513" s="18" t="s">
        <v>840</v>
      </c>
      <c r="F1513" s="18" t="s">
        <v>841</v>
      </c>
      <c r="G1513" s="18" t="s">
        <v>647</v>
      </c>
      <c r="H1513" s="18">
        <v>1989</v>
      </c>
      <c r="I1513" s="40">
        <v>48528</v>
      </c>
      <c r="J1513" s="40">
        <v>46442</v>
      </c>
      <c r="K1513" s="18">
        <v>51683</v>
      </c>
      <c r="L1513" s="38" t="s">
        <v>612</v>
      </c>
      <c r="M1513" s="21" t="s">
        <v>351</v>
      </c>
      <c r="N1513" s="18" t="s">
        <v>352</v>
      </c>
    </row>
    <row r="1514" spans="1:14" ht="13">
      <c r="A1514" s="18" t="s">
        <v>283</v>
      </c>
      <c r="B1514" s="18" t="s">
        <v>260</v>
      </c>
      <c r="C1514" s="18" t="s">
        <v>839</v>
      </c>
      <c r="D1514" s="18" t="s">
        <v>345</v>
      </c>
      <c r="E1514" s="18" t="s">
        <v>840</v>
      </c>
      <c r="F1514" s="18" t="s">
        <v>841</v>
      </c>
      <c r="G1514" s="18" t="s">
        <v>647</v>
      </c>
      <c r="H1514" s="18">
        <v>1990</v>
      </c>
      <c r="I1514" s="40">
        <v>45992</v>
      </c>
      <c r="J1514" s="40">
        <v>43950</v>
      </c>
      <c r="K1514" s="18">
        <v>48867</v>
      </c>
      <c r="L1514" s="38" t="s">
        <v>612</v>
      </c>
      <c r="M1514" s="21" t="s">
        <v>351</v>
      </c>
      <c r="N1514" s="18" t="s">
        <v>352</v>
      </c>
    </row>
    <row r="1515" spans="1:14" ht="13">
      <c r="A1515" s="18" t="s">
        <v>283</v>
      </c>
      <c r="B1515" s="18" t="s">
        <v>260</v>
      </c>
      <c r="C1515" s="18" t="s">
        <v>839</v>
      </c>
      <c r="D1515" s="18" t="s">
        <v>345</v>
      </c>
      <c r="E1515" s="18" t="s">
        <v>840</v>
      </c>
      <c r="F1515" s="18" t="s">
        <v>841</v>
      </c>
      <c r="G1515" s="18" t="s">
        <v>647</v>
      </c>
      <c r="H1515" s="18">
        <v>1991</v>
      </c>
      <c r="I1515" s="40">
        <v>43724</v>
      </c>
      <c r="J1515" s="40">
        <v>42104</v>
      </c>
      <c r="K1515" s="18">
        <v>46259</v>
      </c>
      <c r="L1515" s="38" t="s">
        <v>612</v>
      </c>
      <c r="M1515" s="21" t="s">
        <v>351</v>
      </c>
      <c r="N1515" s="18" t="s">
        <v>352</v>
      </c>
    </row>
    <row r="1516" spans="1:14" ht="13">
      <c r="A1516" s="18" t="s">
        <v>283</v>
      </c>
      <c r="B1516" s="18" t="s">
        <v>260</v>
      </c>
      <c r="C1516" s="18" t="s">
        <v>839</v>
      </c>
      <c r="D1516" s="18" t="s">
        <v>345</v>
      </c>
      <c r="E1516" s="18" t="s">
        <v>840</v>
      </c>
      <c r="F1516" s="18" t="s">
        <v>841</v>
      </c>
      <c r="G1516" s="18" t="s">
        <v>647</v>
      </c>
      <c r="H1516" s="18">
        <v>1992</v>
      </c>
      <c r="I1516" s="40">
        <v>40783</v>
      </c>
      <c r="J1516" s="40">
        <v>39410</v>
      </c>
      <c r="K1516" s="18">
        <v>43015</v>
      </c>
      <c r="L1516" s="38" t="s">
        <v>612</v>
      </c>
      <c r="M1516" s="21" t="s">
        <v>351</v>
      </c>
      <c r="N1516" s="18" t="s">
        <v>352</v>
      </c>
    </row>
    <row r="1517" spans="1:14" ht="13">
      <c r="A1517" s="18" t="s">
        <v>283</v>
      </c>
      <c r="B1517" s="18" t="s">
        <v>260</v>
      </c>
      <c r="C1517" s="18" t="s">
        <v>839</v>
      </c>
      <c r="D1517" s="18" t="s">
        <v>345</v>
      </c>
      <c r="E1517" s="18" t="s">
        <v>840</v>
      </c>
      <c r="F1517" s="18" t="s">
        <v>841</v>
      </c>
      <c r="G1517" s="18" t="s">
        <v>647</v>
      </c>
      <c r="H1517" s="18">
        <v>1993</v>
      </c>
      <c r="I1517" s="40">
        <v>37552</v>
      </c>
      <c r="J1517" s="40">
        <v>35178</v>
      </c>
      <c r="K1517" s="18">
        <v>40224</v>
      </c>
      <c r="L1517" s="38" t="s">
        <v>612</v>
      </c>
      <c r="M1517" s="21" t="s">
        <v>351</v>
      </c>
      <c r="N1517" s="18" t="s">
        <v>352</v>
      </c>
    </row>
    <row r="1518" spans="1:14" ht="13">
      <c r="A1518" s="18" t="s">
        <v>283</v>
      </c>
      <c r="B1518" s="18" t="s">
        <v>260</v>
      </c>
      <c r="C1518" s="18" t="s">
        <v>839</v>
      </c>
      <c r="D1518" s="18" t="s">
        <v>345</v>
      </c>
      <c r="E1518" s="18" t="s">
        <v>840</v>
      </c>
      <c r="F1518" s="18" t="s">
        <v>841</v>
      </c>
      <c r="G1518" s="18" t="s">
        <v>647</v>
      </c>
      <c r="H1518" s="18">
        <v>1994</v>
      </c>
      <c r="I1518" s="40">
        <v>37910</v>
      </c>
      <c r="J1518" s="40">
        <v>36619</v>
      </c>
      <c r="K1518" s="18">
        <v>39795</v>
      </c>
      <c r="L1518" s="38" t="s">
        <v>612</v>
      </c>
      <c r="M1518" s="21" t="s">
        <v>351</v>
      </c>
      <c r="N1518" s="18" t="s">
        <v>352</v>
      </c>
    </row>
    <row r="1519" spans="1:14" ht="13">
      <c r="A1519" s="18" t="s">
        <v>283</v>
      </c>
      <c r="B1519" s="18" t="s">
        <v>260</v>
      </c>
      <c r="C1519" s="18" t="s">
        <v>839</v>
      </c>
      <c r="D1519" s="18" t="s">
        <v>345</v>
      </c>
      <c r="E1519" s="18" t="s">
        <v>840</v>
      </c>
      <c r="F1519" s="18" t="s">
        <v>841</v>
      </c>
      <c r="G1519" s="18" t="s">
        <v>647</v>
      </c>
      <c r="H1519" s="18">
        <v>1995</v>
      </c>
      <c r="I1519" s="40">
        <v>34949</v>
      </c>
      <c r="J1519" s="40">
        <v>32763</v>
      </c>
      <c r="K1519" s="18">
        <v>37274</v>
      </c>
      <c r="L1519" s="38" t="s">
        <v>612</v>
      </c>
      <c r="M1519" s="21" t="s">
        <v>351</v>
      </c>
      <c r="N1519" s="18" t="s">
        <v>352</v>
      </c>
    </row>
    <row r="1520" spans="1:14" ht="13">
      <c r="A1520" s="18" t="s">
        <v>283</v>
      </c>
      <c r="B1520" s="18" t="s">
        <v>260</v>
      </c>
      <c r="C1520" s="18" t="s">
        <v>839</v>
      </c>
      <c r="D1520" s="18" t="s">
        <v>345</v>
      </c>
      <c r="E1520" s="18" t="s">
        <v>840</v>
      </c>
      <c r="F1520" s="18" t="s">
        <v>841</v>
      </c>
      <c r="G1520" s="18" t="s">
        <v>647</v>
      </c>
      <c r="H1520" s="18">
        <v>1996</v>
      </c>
      <c r="I1520" s="40">
        <v>34494</v>
      </c>
      <c r="J1520" s="40">
        <v>33354</v>
      </c>
      <c r="K1520" s="18">
        <v>36036</v>
      </c>
      <c r="L1520" s="38" t="s">
        <v>612</v>
      </c>
      <c r="M1520" s="21" t="s">
        <v>351</v>
      </c>
      <c r="N1520" s="18" t="s">
        <v>352</v>
      </c>
    </row>
    <row r="1521" spans="1:14" ht="13">
      <c r="A1521" s="18" t="s">
        <v>283</v>
      </c>
      <c r="B1521" s="18" t="s">
        <v>260</v>
      </c>
      <c r="C1521" s="18" t="s">
        <v>839</v>
      </c>
      <c r="D1521" s="18" t="s">
        <v>345</v>
      </c>
      <c r="E1521" s="18" t="s">
        <v>840</v>
      </c>
      <c r="F1521" s="18" t="s">
        <v>841</v>
      </c>
      <c r="G1521" s="18" t="s">
        <v>647</v>
      </c>
      <c r="H1521" s="18">
        <v>1997</v>
      </c>
      <c r="I1521" s="40">
        <v>32834</v>
      </c>
      <c r="J1521" s="40">
        <v>31332</v>
      </c>
      <c r="K1521" s="18">
        <v>34686</v>
      </c>
      <c r="L1521" s="38" t="s">
        <v>612</v>
      </c>
      <c r="M1521" s="21" t="s">
        <v>351</v>
      </c>
      <c r="N1521" s="18" t="s">
        <v>352</v>
      </c>
    </row>
    <row r="1522" spans="1:14" ht="13">
      <c r="A1522" s="18" t="s">
        <v>283</v>
      </c>
      <c r="B1522" s="18" t="s">
        <v>260</v>
      </c>
      <c r="C1522" s="18" t="s">
        <v>839</v>
      </c>
      <c r="D1522" s="18" t="s">
        <v>345</v>
      </c>
      <c r="E1522" s="18" t="s">
        <v>840</v>
      </c>
      <c r="F1522" s="18" t="s">
        <v>841</v>
      </c>
      <c r="G1522" s="18" t="s">
        <v>647</v>
      </c>
      <c r="H1522" s="18">
        <v>1998</v>
      </c>
      <c r="I1522" s="40">
        <v>32928</v>
      </c>
      <c r="J1522" s="40">
        <v>31898</v>
      </c>
      <c r="K1522" s="18">
        <v>34348</v>
      </c>
      <c r="L1522" s="38" t="s">
        <v>612</v>
      </c>
      <c r="M1522" s="21" t="s">
        <v>351</v>
      </c>
      <c r="N1522" s="18" t="s">
        <v>352</v>
      </c>
    </row>
    <row r="1523" spans="1:14" ht="13">
      <c r="A1523" s="18" t="s">
        <v>283</v>
      </c>
      <c r="B1523" s="18" t="s">
        <v>260</v>
      </c>
      <c r="C1523" s="18" t="s">
        <v>839</v>
      </c>
      <c r="D1523" s="18" t="s">
        <v>345</v>
      </c>
      <c r="E1523" s="18" t="s">
        <v>840</v>
      </c>
      <c r="F1523" s="18" t="s">
        <v>841</v>
      </c>
      <c r="G1523" s="18" t="s">
        <v>647</v>
      </c>
      <c r="H1523" s="18">
        <v>1999</v>
      </c>
      <c r="I1523" s="40">
        <v>30338</v>
      </c>
      <c r="J1523" s="40">
        <v>28399</v>
      </c>
      <c r="K1523" s="18">
        <v>32401</v>
      </c>
      <c r="L1523" s="38" t="s">
        <v>612</v>
      </c>
      <c r="M1523" s="21" t="s">
        <v>351</v>
      </c>
      <c r="N1523" s="18" t="s">
        <v>352</v>
      </c>
    </row>
    <row r="1524" spans="1:14" ht="13">
      <c r="A1524" s="18" t="s">
        <v>283</v>
      </c>
      <c r="B1524" s="18" t="s">
        <v>260</v>
      </c>
      <c r="C1524" s="18" t="s">
        <v>839</v>
      </c>
      <c r="D1524" s="18" t="s">
        <v>345</v>
      </c>
      <c r="E1524" s="18" t="s">
        <v>840</v>
      </c>
      <c r="F1524" s="18" t="s">
        <v>841</v>
      </c>
      <c r="G1524" s="18" t="s">
        <v>647</v>
      </c>
      <c r="H1524" s="18">
        <v>2000</v>
      </c>
      <c r="I1524" s="40">
        <v>28068</v>
      </c>
      <c r="J1524" s="40">
        <v>27181</v>
      </c>
      <c r="K1524" s="18">
        <v>29348</v>
      </c>
      <c r="L1524" s="38" t="s">
        <v>612</v>
      </c>
      <c r="M1524" s="21" t="s">
        <v>351</v>
      </c>
      <c r="N1524" s="18" t="s">
        <v>352</v>
      </c>
    </row>
    <row r="1525" spans="1:14" ht="13">
      <c r="A1525" s="18" t="s">
        <v>283</v>
      </c>
      <c r="B1525" s="18" t="s">
        <v>260</v>
      </c>
      <c r="C1525" s="18" t="s">
        <v>839</v>
      </c>
      <c r="D1525" s="18" t="s">
        <v>345</v>
      </c>
      <c r="E1525" s="18" t="s">
        <v>840</v>
      </c>
      <c r="F1525" s="18" t="s">
        <v>841</v>
      </c>
      <c r="G1525" s="18" t="s">
        <v>647</v>
      </c>
      <c r="H1525" s="18">
        <v>2001</v>
      </c>
      <c r="I1525" s="40">
        <v>28841</v>
      </c>
      <c r="J1525" s="40">
        <v>27063</v>
      </c>
      <c r="K1525" s="18">
        <v>30807</v>
      </c>
      <c r="L1525" s="38" t="s">
        <v>612</v>
      </c>
      <c r="M1525" s="21" t="s">
        <v>351</v>
      </c>
      <c r="N1525" s="18" t="s">
        <v>352</v>
      </c>
    </row>
    <row r="1526" spans="1:14" ht="13">
      <c r="A1526" s="18" t="s">
        <v>283</v>
      </c>
      <c r="B1526" s="18" t="s">
        <v>260</v>
      </c>
      <c r="C1526" s="18" t="s">
        <v>839</v>
      </c>
      <c r="D1526" s="18" t="s">
        <v>345</v>
      </c>
      <c r="E1526" s="18" t="s">
        <v>840</v>
      </c>
      <c r="F1526" s="18" t="s">
        <v>841</v>
      </c>
      <c r="G1526" s="18" t="s">
        <v>647</v>
      </c>
      <c r="H1526" s="18">
        <v>2002</v>
      </c>
      <c r="I1526" s="40">
        <v>29116</v>
      </c>
      <c r="J1526" s="40">
        <v>28390</v>
      </c>
      <c r="K1526" s="18">
        <v>30196</v>
      </c>
      <c r="L1526" s="38" t="s">
        <v>612</v>
      </c>
      <c r="M1526" s="21" t="s">
        <v>351</v>
      </c>
      <c r="N1526" s="18" t="s">
        <v>352</v>
      </c>
    </row>
    <row r="1527" spans="1:14" ht="13">
      <c r="A1527" s="18" t="s">
        <v>283</v>
      </c>
      <c r="B1527" s="18" t="s">
        <v>260</v>
      </c>
      <c r="C1527" s="18" t="s">
        <v>839</v>
      </c>
      <c r="D1527" s="18" t="s">
        <v>345</v>
      </c>
      <c r="E1527" s="18" t="s">
        <v>840</v>
      </c>
      <c r="F1527" s="18" t="s">
        <v>841</v>
      </c>
      <c r="G1527" s="18" t="s">
        <v>647</v>
      </c>
      <c r="H1527" s="18">
        <v>2003</v>
      </c>
      <c r="I1527" s="40">
        <v>28971</v>
      </c>
      <c r="J1527" s="40">
        <v>27314</v>
      </c>
      <c r="K1527" s="18">
        <v>30826</v>
      </c>
      <c r="L1527" s="38" t="s">
        <v>612</v>
      </c>
      <c r="M1527" s="21" t="s">
        <v>351</v>
      </c>
      <c r="N1527" s="18" t="s">
        <v>352</v>
      </c>
    </row>
    <row r="1528" spans="1:14" ht="13">
      <c r="A1528" s="18" t="s">
        <v>283</v>
      </c>
      <c r="B1528" s="18" t="s">
        <v>260</v>
      </c>
      <c r="C1528" s="18" t="s">
        <v>839</v>
      </c>
      <c r="D1528" s="18" t="s">
        <v>345</v>
      </c>
      <c r="E1528" s="18" t="s">
        <v>840</v>
      </c>
      <c r="F1528" s="18" t="s">
        <v>841</v>
      </c>
      <c r="G1528" s="18" t="s">
        <v>647</v>
      </c>
      <c r="H1528" s="18">
        <v>2004</v>
      </c>
      <c r="I1528" s="40">
        <v>30711</v>
      </c>
      <c r="J1528" s="40">
        <v>29966</v>
      </c>
      <c r="K1528" s="18">
        <v>31673</v>
      </c>
      <c r="L1528" s="38" t="s">
        <v>612</v>
      </c>
      <c r="M1528" s="21" t="s">
        <v>351</v>
      </c>
      <c r="N1528" s="18" t="s">
        <v>352</v>
      </c>
    </row>
    <row r="1529" spans="1:14" ht="13">
      <c r="A1529" s="18" t="s">
        <v>283</v>
      </c>
      <c r="B1529" s="18" t="s">
        <v>260</v>
      </c>
      <c r="C1529" s="18" t="s">
        <v>839</v>
      </c>
      <c r="D1529" s="18" t="s">
        <v>345</v>
      </c>
      <c r="E1529" s="18" t="s">
        <v>840</v>
      </c>
      <c r="F1529" s="18" t="s">
        <v>841</v>
      </c>
      <c r="G1529" s="18" t="s">
        <v>647</v>
      </c>
      <c r="H1529" s="18">
        <v>2005</v>
      </c>
      <c r="I1529" s="40">
        <v>30720</v>
      </c>
      <c r="J1529" s="40">
        <v>29319</v>
      </c>
      <c r="K1529" s="18">
        <v>32132</v>
      </c>
      <c r="L1529" s="38" t="s">
        <v>612</v>
      </c>
      <c r="M1529" s="21" t="s">
        <v>351</v>
      </c>
      <c r="N1529" s="18" t="s">
        <v>352</v>
      </c>
    </row>
    <row r="1530" spans="1:14" ht="13">
      <c r="A1530" s="18" t="s">
        <v>283</v>
      </c>
      <c r="B1530" s="18" t="s">
        <v>260</v>
      </c>
      <c r="C1530" s="18" t="s">
        <v>839</v>
      </c>
      <c r="D1530" s="18" t="s">
        <v>345</v>
      </c>
      <c r="E1530" s="18" t="s">
        <v>840</v>
      </c>
      <c r="F1530" s="18" t="s">
        <v>841</v>
      </c>
      <c r="G1530" s="18" t="s">
        <v>647</v>
      </c>
      <c r="H1530" s="18">
        <v>2006</v>
      </c>
      <c r="I1530" s="40">
        <v>31344</v>
      </c>
      <c r="J1530" s="40">
        <v>30296</v>
      </c>
      <c r="K1530" s="18">
        <v>32527</v>
      </c>
      <c r="L1530" s="38" t="s">
        <v>612</v>
      </c>
      <c r="M1530" s="21" t="s">
        <v>351</v>
      </c>
      <c r="N1530" s="18" t="s">
        <v>352</v>
      </c>
    </row>
    <row r="1531" spans="1:14" ht="13">
      <c r="A1531" s="18" t="s">
        <v>283</v>
      </c>
      <c r="B1531" s="18" t="s">
        <v>260</v>
      </c>
      <c r="C1531" s="18" t="s">
        <v>839</v>
      </c>
      <c r="D1531" s="18" t="s">
        <v>345</v>
      </c>
      <c r="E1531" s="18" t="s">
        <v>840</v>
      </c>
      <c r="F1531" s="18" t="s">
        <v>841</v>
      </c>
      <c r="G1531" s="18" t="s">
        <v>647</v>
      </c>
      <c r="H1531" s="18">
        <v>2007</v>
      </c>
      <c r="I1531" s="40">
        <v>31583</v>
      </c>
      <c r="J1531" s="40">
        <v>30900</v>
      </c>
      <c r="K1531" s="18">
        <v>32467</v>
      </c>
      <c r="L1531" s="38" t="s">
        <v>612</v>
      </c>
      <c r="M1531" s="21" t="s">
        <v>351</v>
      </c>
      <c r="N1531" s="18" t="s">
        <v>352</v>
      </c>
    </row>
    <row r="1532" spans="1:14" ht="13">
      <c r="A1532" s="18" t="s">
        <v>283</v>
      </c>
      <c r="B1532" s="18" t="s">
        <v>260</v>
      </c>
      <c r="C1532" s="18" t="s">
        <v>839</v>
      </c>
      <c r="D1532" s="18" t="s">
        <v>345</v>
      </c>
      <c r="E1532" s="18" t="s">
        <v>840</v>
      </c>
      <c r="F1532" s="18" t="s">
        <v>841</v>
      </c>
      <c r="G1532" s="18" t="s">
        <v>647</v>
      </c>
      <c r="H1532" s="18">
        <v>2008</v>
      </c>
      <c r="I1532" s="40">
        <v>32669</v>
      </c>
      <c r="J1532" s="40">
        <v>32089</v>
      </c>
      <c r="K1532" s="18">
        <v>33435</v>
      </c>
      <c r="L1532" s="38" t="s">
        <v>612</v>
      </c>
      <c r="M1532" s="21" t="s">
        <v>351</v>
      </c>
      <c r="N1532" s="18" t="s">
        <v>352</v>
      </c>
    </row>
    <row r="1533" spans="1:14" ht="13">
      <c r="A1533" s="18" t="s">
        <v>283</v>
      </c>
      <c r="B1533" s="18" t="s">
        <v>260</v>
      </c>
      <c r="C1533" s="18" t="s">
        <v>839</v>
      </c>
      <c r="D1533" s="18" t="s">
        <v>345</v>
      </c>
      <c r="E1533" s="18" t="s">
        <v>840</v>
      </c>
      <c r="F1533" s="18" t="s">
        <v>841</v>
      </c>
      <c r="G1533" s="18" t="s">
        <v>647</v>
      </c>
      <c r="H1533" s="18">
        <v>2009</v>
      </c>
      <c r="I1533" s="40">
        <v>33165</v>
      </c>
      <c r="J1533" s="40">
        <v>32095</v>
      </c>
      <c r="K1533" s="18">
        <v>34299</v>
      </c>
      <c r="L1533" s="38" t="s">
        <v>612</v>
      </c>
      <c r="M1533" s="21" t="s">
        <v>351</v>
      </c>
      <c r="N1533" s="18" t="s">
        <v>352</v>
      </c>
    </row>
    <row r="1534" spans="1:14" ht="13">
      <c r="A1534" s="18" t="s">
        <v>283</v>
      </c>
      <c r="B1534" s="18" t="s">
        <v>260</v>
      </c>
      <c r="C1534" s="18" t="s">
        <v>839</v>
      </c>
      <c r="D1534" s="18" t="s">
        <v>345</v>
      </c>
      <c r="E1534" s="18" t="s">
        <v>840</v>
      </c>
      <c r="F1534" s="18" t="s">
        <v>841</v>
      </c>
      <c r="G1534" s="18" t="s">
        <v>647</v>
      </c>
      <c r="H1534" s="18">
        <v>2010</v>
      </c>
      <c r="I1534" s="40">
        <v>33371</v>
      </c>
      <c r="J1534" s="40">
        <v>32029</v>
      </c>
      <c r="K1534" s="18">
        <v>34787</v>
      </c>
      <c r="L1534" s="38" t="s">
        <v>612</v>
      </c>
      <c r="M1534" s="21" t="s">
        <v>351</v>
      </c>
      <c r="N1534" s="18" t="s">
        <v>352</v>
      </c>
    </row>
    <row r="1535" spans="1:14" ht="13">
      <c r="A1535" s="18" t="s">
        <v>283</v>
      </c>
      <c r="B1535" s="18" t="s">
        <v>260</v>
      </c>
      <c r="C1535" s="18" t="s">
        <v>839</v>
      </c>
      <c r="D1535" s="18" t="s">
        <v>345</v>
      </c>
      <c r="E1535" s="18" t="s">
        <v>840</v>
      </c>
      <c r="F1535" s="18" t="s">
        <v>841</v>
      </c>
      <c r="G1535" s="18" t="s">
        <v>647</v>
      </c>
      <c r="H1535" s="18">
        <v>2011</v>
      </c>
      <c r="I1535" s="40">
        <v>36287</v>
      </c>
      <c r="J1535" s="40">
        <v>35468</v>
      </c>
      <c r="K1535" s="18">
        <v>37137</v>
      </c>
      <c r="L1535" s="38" t="s">
        <v>612</v>
      </c>
      <c r="M1535" s="21" t="s">
        <v>351</v>
      </c>
      <c r="N1535" s="18" t="s">
        <v>352</v>
      </c>
    </row>
    <row r="1536" spans="1:14" ht="13">
      <c r="A1536" s="18" t="s">
        <v>283</v>
      </c>
      <c r="B1536" s="18" t="s">
        <v>260</v>
      </c>
      <c r="C1536" s="18" t="s">
        <v>839</v>
      </c>
      <c r="D1536" s="18" t="s">
        <v>345</v>
      </c>
      <c r="E1536" s="18" t="s">
        <v>840</v>
      </c>
      <c r="F1536" s="18" t="s">
        <v>841</v>
      </c>
      <c r="G1536" s="18" t="s">
        <v>647</v>
      </c>
      <c r="H1536" s="18">
        <v>2012</v>
      </c>
      <c r="I1536" s="40">
        <v>35559</v>
      </c>
      <c r="J1536" s="40">
        <v>33586</v>
      </c>
      <c r="K1536" s="18">
        <v>37549</v>
      </c>
      <c r="L1536" s="38" t="s">
        <v>612</v>
      </c>
      <c r="M1536" s="21" t="s">
        <v>351</v>
      </c>
      <c r="N1536" s="18" t="s">
        <v>352</v>
      </c>
    </row>
    <row r="1537" spans="1:15" ht="13">
      <c r="A1537" s="18" t="s">
        <v>283</v>
      </c>
      <c r="B1537" s="18" t="s">
        <v>260</v>
      </c>
      <c r="C1537" s="18" t="s">
        <v>839</v>
      </c>
      <c r="D1537" s="18" t="s">
        <v>345</v>
      </c>
      <c r="E1537" s="18" t="s">
        <v>840</v>
      </c>
      <c r="F1537" s="18" t="s">
        <v>841</v>
      </c>
      <c r="G1537" s="18" t="s">
        <v>647</v>
      </c>
      <c r="H1537" s="18">
        <v>2013</v>
      </c>
      <c r="I1537" s="40">
        <v>36570</v>
      </c>
      <c r="J1537" s="40">
        <v>35408</v>
      </c>
      <c r="K1537" s="18">
        <v>37811</v>
      </c>
      <c r="L1537" s="38" t="s">
        <v>612</v>
      </c>
      <c r="M1537" s="21" t="s">
        <v>351</v>
      </c>
      <c r="N1537" s="18" t="s">
        <v>352</v>
      </c>
    </row>
    <row r="1538" spans="1:15" ht="13">
      <c r="A1538" s="18" t="s">
        <v>283</v>
      </c>
      <c r="B1538" s="18" t="s">
        <v>260</v>
      </c>
      <c r="C1538" s="18" t="s">
        <v>839</v>
      </c>
      <c r="D1538" s="18" t="s">
        <v>345</v>
      </c>
      <c r="E1538" s="18" t="s">
        <v>840</v>
      </c>
      <c r="F1538" s="18" t="s">
        <v>841</v>
      </c>
      <c r="G1538" s="18" t="s">
        <v>647</v>
      </c>
      <c r="H1538" s="18">
        <v>2014</v>
      </c>
      <c r="I1538" s="40">
        <v>36372</v>
      </c>
      <c r="J1538" s="40">
        <v>35105</v>
      </c>
      <c r="K1538" s="18">
        <v>37795</v>
      </c>
      <c r="L1538" s="38" t="s">
        <v>612</v>
      </c>
      <c r="M1538" s="21" t="s">
        <v>351</v>
      </c>
      <c r="N1538" s="18" t="s">
        <v>352</v>
      </c>
    </row>
    <row r="1539" spans="1:15" ht="13">
      <c r="A1539" s="18" t="s">
        <v>283</v>
      </c>
      <c r="B1539" s="18" t="s">
        <v>260</v>
      </c>
      <c r="C1539" s="18" t="s">
        <v>839</v>
      </c>
      <c r="D1539" s="18" t="s">
        <v>345</v>
      </c>
      <c r="E1539" s="18" t="s">
        <v>840</v>
      </c>
      <c r="F1539" s="18" t="s">
        <v>841</v>
      </c>
      <c r="G1539" s="18" t="s">
        <v>647</v>
      </c>
      <c r="H1539" s="18">
        <v>2015</v>
      </c>
      <c r="I1539" s="40">
        <v>38232</v>
      </c>
      <c r="J1539" s="40">
        <v>38786</v>
      </c>
      <c r="K1539" s="18">
        <v>39778</v>
      </c>
      <c r="L1539" s="38" t="s">
        <v>612</v>
      </c>
      <c r="M1539" s="21" t="s">
        <v>351</v>
      </c>
      <c r="N1539" s="18" t="s">
        <v>352</v>
      </c>
    </row>
    <row r="1540" spans="1:15" ht="13">
      <c r="A1540" s="18" t="s">
        <v>283</v>
      </c>
      <c r="B1540" s="18" t="s">
        <v>260</v>
      </c>
      <c r="C1540" s="18" t="s">
        <v>839</v>
      </c>
      <c r="D1540" s="18" t="s">
        <v>345</v>
      </c>
      <c r="E1540" s="18" t="s">
        <v>840</v>
      </c>
      <c r="F1540" s="18" t="s">
        <v>841</v>
      </c>
      <c r="G1540" s="18" t="s">
        <v>647</v>
      </c>
      <c r="H1540" s="18">
        <v>2016</v>
      </c>
      <c r="I1540" s="40">
        <v>38723</v>
      </c>
      <c r="J1540" s="40">
        <v>37309</v>
      </c>
      <c r="K1540" s="18">
        <v>40122</v>
      </c>
      <c r="L1540" s="38" t="s">
        <v>612</v>
      </c>
      <c r="M1540" s="21" t="s">
        <v>351</v>
      </c>
      <c r="N1540" s="18" t="s">
        <v>352</v>
      </c>
    </row>
    <row r="1541" spans="1:15" ht="13">
      <c r="A1541" s="18" t="s">
        <v>283</v>
      </c>
      <c r="B1541" s="18" t="s">
        <v>260</v>
      </c>
      <c r="C1541" s="18" t="s">
        <v>839</v>
      </c>
      <c r="D1541" s="18" t="s">
        <v>345</v>
      </c>
      <c r="E1541" s="18" t="s">
        <v>840</v>
      </c>
      <c r="F1541" s="18" t="s">
        <v>841</v>
      </c>
      <c r="G1541" s="18" t="s">
        <v>647</v>
      </c>
      <c r="H1541" s="18">
        <v>2017</v>
      </c>
      <c r="I1541" s="40">
        <v>39643</v>
      </c>
      <c r="J1541" s="40">
        <v>38154</v>
      </c>
      <c r="K1541" s="18">
        <v>41138</v>
      </c>
      <c r="L1541" s="38" t="s">
        <v>612</v>
      </c>
      <c r="M1541" s="21" t="s">
        <v>351</v>
      </c>
      <c r="N1541" s="18" t="s">
        <v>352</v>
      </c>
    </row>
    <row r="1542" spans="1:15" ht="13">
      <c r="A1542" s="18" t="s">
        <v>283</v>
      </c>
      <c r="B1542" s="18" t="s">
        <v>260</v>
      </c>
      <c r="C1542" s="18" t="s">
        <v>839</v>
      </c>
      <c r="D1542" s="18" t="s">
        <v>345</v>
      </c>
      <c r="E1542" s="18" t="s">
        <v>840</v>
      </c>
      <c r="F1542" s="18" t="s">
        <v>841</v>
      </c>
      <c r="G1542" s="18" t="s">
        <v>647</v>
      </c>
      <c r="H1542" s="18">
        <v>2018</v>
      </c>
      <c r="I1542" s="40">
        <v>39207</v>
      </c>
      <c r="J1542" s="40">
        <v>37530</v>
      </c>
      <c r="K1542" s="18">
        <v>40788</v>
      </c>
      <c r="L1542" s="38" t="s">
        <v>612</v>
      </c>
      <c r="M1542" s="21" t="s">
        <v>351</v>
      </c>
      <c r="N1542" s="18" t="s">
        <v>352</v>
      </c>
    </row>
    <row r="1543" spans="1:15" ht="13">
      <c r="A1543" s="18" t="s">
        <v>283</v>
      </c>
      <c r="B1543" s="18" t="s">
        <v>260</v>
      </c>
      <c r="C1543" s="18" t="s">
        <v>839</v>
      </c>
      <c r="D1543" s="18" t="s">
        <v>345</v>
      </c>
      <c r="E1543" s="18" t="s">
        <v>840</v>
      </c>
      <c r="F1543" s="18" t="s">
        <v>841</v>
      </c>
      <c r="G1543" s="18" t="s">
        <v>647</v>
      </c>
      <c r="H1543" s="18">
        <v>2019</v>
      </c>
      <c r="I1543" s="40">
        <v>37446</v>
      </c>
      <c r="J1543" s="40">
        <v>36050</v>
      </c>
      <c r="K1543" s="18">
        <v>38963</v>
      </c>
      <c r="L1543" s="37" t="s">
        <v>612</v>
      </c>
      <c r="M1543" s="21" t="s">
        <v>351</v>
      </c>
      <c r="N1543" s="18" t="s">
        <v>352</v>
      </c>
    </row>
    <row r="1544" spans="1:15" ht="13">
      <c r="A1544" s="18" t="s">
        <v>283</v>
      </c>
      <c r="B1544" s="18" t="s">
        <v>260</v>
      </c>
      <c r="C1544" s="18" t="s">
        <v>843</v>
      </c>
      <c r="D1544" s="18" t="s">
        <v>345</v>
      </c>
      <c r="E1544" s="63" t="s">
        <v>844</v>
      </c>
      <c r="F1544" s="18" t="s">
        <v>845</v>
      </c>
      <c r="G1544" s="18" t="s">
        <v>690</v>
      </c>
      <c r="H1544" s="18">
        <v>1979</v>
      </c>
      <c r="I1544" s="40">
        <v>7955</v>
      </c>
      <c r="J1544" s="40">
        <v>5492</v>
      </c>
      <c r="K1544" s="18">
        <v>10227</v>
      </c>
      <c r="L1544" s="38" t="s">
        <v>637</v>
      </c>
      <c r="M1544" s="21" t="s">
        <v>351</v>
      </c>
      <c r="N1544" s="18" t="s">
        <v>352</v>
      </c>
      <c r="O1544" s="18" t="s">
        <v>846</v>
      </c>
    </row>
    <row r="1545" spans="1:15" ht="13">
      <c r="A1545" s="18" t="s">
        <v>283</v>
      </c>
      <c r="B1545" s="18" t="s">
        <v>260</v>
      </c>
      <c r="C1545" s="18" t="s">
        <v>843</v>
      </c>
      <c r="D1545" s="18" t="s">
        <v>345</v>
      </c>
      <c r="E1545" s="63" t="s">
        <v>844</v>
      </c>
      <c r="F1545" s="18" t="s">
        <v>845</v>
      </c>
      <c r="G1545" s="18" t="s">
        <v>690</v>
      </c>
      <c r="H1545" s="18">
        <v>1982</v>
      </c>
      <c r="I1545" s="40">
        <v>6439</v>
      </c>
      <c r="J1545" s="40">
        <v>5114</v>
      </c>
      <c r="K1545" s="18">
        <v>7955</v>
      </c>
      <c r="L1545" s="38" t="s">
        <v>637</v>
      </c>
      <c r="M1545" s="21" t="s">
        <v>351</v>
      </c>
      <c r="N1545" s="18" t="s">
        <v>352</v>
      </c>
    </row>
    <row r="1546" spans="1:15" ht="13">
      <c r="A1546" s="18" t="s">
        <v>283</v>
      </c>
      <c r="B1546" s="18" t="s">
        <v>260</v>
      </c>
      <c r="C1546" s="18" t="s">
        <v>843</v>
      </c>
      <c r="D1546" s="18" t="s">
        <v>345</v>
      </c>
      <c r="E1546" s="63" t="s">
        <v>844</v>
      </c>
      <c r="F1546" s="18" t="s">
        <v>845</v>
      </c>
      <c r="G1546" s="18" t="s">
        <v>690</v>
      </c>
      <c r="H1546" s="18">
        <v>1985</v>
      </c>
      <c r="I1546" s="40">
        <v>5208</v>
      </c>
      <c r="J1546" s="40" t="s">
        <v>402</v>
      </c>
      <c r="K1546" s="18" t="s">
        <v>402</v>
      </c>
      <c r="L1546" s="38" t="s">
        <v>637</v>
      </c>
      <c r="M1546" s="21" t="s">
        <v>351</v>
      </c>
      <c r="N1546" s="18" t="s">
        <v>352</v>
      </c>
    </row>
    <row r="1547" spans="1:15" ht="13">
      <c r="A1547" s="18" t="s">
        <v>283</v>
      </c>
      <c r="B1547" s="18" t="s">
        <v>260</v>
      </c>
      <c r="C1547" s="18" t="s">
        <v>843</v>
      </c>
      <c r="D1547" s="18" t="s">
        <v>345</v>
      </c>
      <c r="E1547" s="63" t="s">
        <v>844</v>
      </c>
      <c r="F1547" s="18" t="s">
        <v>845</v>
      </c>
      <c r="G1547" s="18" t="s">
        <v>690</v>
      </c>
      <c r="H1547" s="18">
        <v>1986</v>
      </c>
      <c r="I1547" s="40">
        <v>3977</v>
      </c>
      <c r="J1547" s="40">
        <v>3598</v>
      </c>
      <c r="K1547" s="18">
        <v>4545</v>
      </c>
      <c r="L1547" s="38" t="s">
        <v>637</v>
      </c>
      <c r="M1547" s="21" t="s">
        <v>351</v>
      </c>
      <c r="N1547" s="18" t="s">
        <v>352</v>
      </c>
    </row>
    <row r="1548" spans="1:15" ht="13">
      <c r="A1548" s="18" t="s">
        <v>283</v>
      </c>
      <c r="B1548" s="18" t="s">
        <v>260</v>
      </c>
      <c r="C1548" s="18" t="s">
        <v>843</v>
      </c>
      <c r="D1548" s="18" t="s">
        <v>345</v>
      </c>
      <c r="E1548" s="63" t="s">
        <v>844</v>
      </c>
      <c r="F1548" s="18" t="s">
        <v>845</v>
      </c>
      <c r="G1548" s="18" t="s">
        <v>690</v>
      </c>
      <c r="H1548" s="18">
        <v>1989</v>
      </c>
      <c r="I1548" s="40">
        <v>2652</v>
      </c>
      <c r="J1548" s="40" t="s">
        <v>402</v>
      </c>
      <c r="K1548" s="18">
        <v>3220</v>
      </c>
      <c r="L1548" s="38" t="s">
        <v>637</v>
      </c>
      <c r="M1548" s="21" t="s">
        <v>351</v>
      </c>
      <c r="N1548" s="18" t="s">
        <v>352</v>
      </c>
    </row>
    <row r="1549" spans="1:15" ht="13">
      <c r="A1549" s="18" t="s">
        <v>283</v>
      </c>
      <c r="B1549" s="18" t="s">
        <v>260</v>
      </c>
      <c r="C1549" s="18" t="s">
        <v>843</v>
      </c>
      <c r="D1549" s="18" t="s">
        <v>345</v>
      </c>
      <c r="E1549" s="63" t="s">
        <v>844</v>
      </c>
      <c r="F1549" s="18" t="s">
        <v>845</v>
      </c>
      <c r="G1549" s="18" t="s">
        <v>690</v>
      </c>
      <c r="H1549" s="18">
        <v>1990</v>
      </c>
      <c r="I1549" s="40">
        <v>2415</v>
      </c>
      <c r="J1549" s="40" t="s">
        <v>402</v>
      </c>
      <c r="K1549" s="18" t="s">
        <v>402</v>
      </c>
      <c r="L1549" s="38" t="s">
        <v>637</v>
      </c>
      <c r="M1549" s="21" t="s">
        <v>351</v>
      </c>
      <c r="N1549" s="18" t="s">
        <v>352</v>
      </c>
    </row>
    <row r="1550" spans="1:15" ht="13">
      <c r="A1550" s="18" t="s">
        <v>283</v>
      </c>
      <c r="B1550" s="18" t="s">
        <v>260</v>
      </c>
      <c r="C1550" s="18" t="s">
        <v>843</v>
      </c>
      <c r="D1550" s="18" t="s">
        <v>345</v>
      </c>
      <c r="E1550" s="63" t="s">
        <v>844</v>
      </c>
      <c r="F1550" s="18" t="s">
        <v>845</v>
      </c>
      <c r="G1550" s="18" t="s">
        <v>690</v>
      </c>
      <c r="H1550" s="18">
        <v>1991</v>
      </c>
      <c r="I1550" s="40">
        <v>2462</v>
      </c>
      <c r="J1550" s="40" t="s">
        <v>402</v>
      </c>
      <c r="K1550" s="18" t="s">
        <v>402</v>
      </c>
      <c r="L1550" s="38" t="s">
        <v>637</v>
      </c>
      <c r="M1550" s="21" t="s">
        <v>351</v>
      </c>
      <c r="N1550" s="18" t="s">
        <v>352</v>
      </c>
    </row>
    <row r="1551" spans="1:15" ht="13">
      <c r="A1551" s="18" t="s">
        <v>283</v>
      </c>
      <c r="B1551" s="18" t="s">
        <v>260</v>
      </c>
      <c r="C1551" s="18" t="s">
        <v>843</v>
      </c>
      <c r="D1551" s="18" t="s">
        <v>345</v>
      </c>
      <c r="E1551" s="63" t="s">
        <v>844</v>
      </c>
      <c r="F1551" s="18" t="s">
        <v>845</v>
      </c>
      <c r="G1551" s="18" t="s">
        <v>690</v>
      </c>
      <c r="H1551" s="18">
        <v>1992</v>
      </c>
      <c r="I1551" s="40">
        <v>2273</v>
      </c>
      <c r="J1551" s="40" t="s">
        <v>402</v>
      </c>
      <c r="K1551" s="18" t="s">
        <v>402</v>
      </c>
      <c r="L1551" s="38" t="s">
        <v>637</v>
      </c>
      <c r="M1551" s="21" t="s">
        <v>351</v>
      </c>
      <c r="N1551" s="18" t="s">
        <v>352</v>
      </c>
    </row>
    <row r="1552" spans="1:15" ht="13">
      <c r="A1552" s="18" t="s">
        <v>283</v>
      </c>
      <c r="B1552" s="18" t="s">
        <v>260</v>
      </c>
      <c r="C1552" s="18" t="s">
        <v>843</v>
      </c>
      <c r="D1552" s="18" t="s">
        <v>345</v>
      </c>
      <c r="E1552" s="63" t="s">
        <v>844</v>
      </c>
      <c r="F1552" s="18" t="s">
        <v>845</v>
      </c>
      <c r="G1552" s="18" t="s">
        <v>690</v>
      </c>
      <c r="H1552" s="18">
        <v>1993</v>
      </c>
      <c r="I1552" s="40">
        <v>2178</v>
      </c>
      <c r="J1552" s="40" t="s">
        <v>402</v>
      </c>
      <c r="K1552" s="18" t="s">
        <v>402</v>
      </c>
      <c r="L1552" s="38" t="s">
        <v>637</v>
      </c>
      <c r="M1552" s="21" t="s">
        <v>351</v>
      </c>
      <c r="N1552" s="18" t="s">
        <v>352</v>
      </c>
    </row>
    <row r="1553" spans="1:14" ht="13">
      <c r="A1553" s="18" t="s">
        <v>283</v>
      </c>
      <c r="B1553" s="18" t="s">
        <v>260</v>
      </c>
      <c r="C1553" s="18" t="s">
        <v>843</v>
      </c>
      <c r="D1553" s="18" t="s">
        <v>345</v>
      </c>
      <c r="E1553" s="63" t="s">
        <v>844</v>
      </c>
      <c r="F1553" s="18" t="s">
        <v>845</v>
      </c>
      <c r="G1553" s="18" t="s">
        <v>690</v>
      </c>
      <c r="H1553" s="18">
        <v>1994</v>
      </c>
      <c r="I1553" s="40">
        <v>2083</v>
      </c>
      <c r="J1553" s="40" t="s">
        <v>402</v>
      </c>
      <c r="K1553" s="18" t="s">
        <v>402</v>
      </c>
      <c r="L1553" s="38" t="s">
        <v>637</v>
      </c>
      <c r="M1553" s="21" t="s">
        <v>351</v>
      </c>
      <c r="N1553" s="18" t="s">
        <v>352</v>
      </c>
    </row>
    <row r="1554" spans="1:14" ht="13">
      <c r="A1554" s="18" t="s">
        <v>283</v>
      </c>
      <c r="B1554" s="18" t="s">
        <v>260</v>
      </c>
      <c r="C1554" s="18" t="s">
        <v>843</v>
      </c>
      <c r="D1554" s="18" t="s">
        <v>345</v>
      </c>
      <c r="E1554" s="63" t="s">
        <v>844</v>
      </c>
      <c r="F1554" s="18" t="s">
        <v>845</v>
      </c>
      <c r="G1554" s="18" t="s">
        <v>690</v>
      </c>
      <c r="H1554" s="18">
        <v>1995</v>
      </c>
      <c r="I1554" s="40">
        <v>2036</v>
      </c>
      <c r="J1554" s="40" t="s">
        <v>402</v>
      </c>
      <c r="K1554" s="18" t="s">
        <v>402</v>
      </c>
      <c r="L1554" s="38" t="s">
        <v>637</v>
      </c>
      <c r="M1554" s="21" t="s">
        <v>351</v>
      </c>
      <c r="N1554" s="18" t="s">
        <v>352</v>
      </c>
    </row>
    <row r="1555" spans="1:14" ht="13">
      <c r="A1555" s="18" t="s">
        <v>283</v>
      </c>
      <c r="B1555" s="18" t="s">
        <v>260</v>
      </c>
      <c r="C1555" s="18" t="s">
        <v>843</v>
      </c>
      <c r="D1555" s="18" t="s">
        <v>345</v>
      </c>
      <c r="E1555" s="63" t="s">
        <v>844</v>
      </c>
      <c r="F1555" s="18" t="s">
        <v>845</v>
      </c>
      <c r="G1555" s="18" t="s">
        <v>690</v>
      </c>
      <c r="H1555" s="18">
        <v>1996</v>
      </c>
      <c r="I1555" s="40">
        <v>2083</v>
      </c>
      <c r="J1555" s="40" t="s">
        <v>402</v>
      </c>
      <c r="K1555" s="18" t="s">
        <v>402</v>
      </c>
      <c r="L1555" s="38" t="s">
        <v>637</v>
      </c>
      <c r="M1555" s="21" t="s">
        <v>351</v>
      </c>
      <c r="N1555" s="18" t="s">
        <v>352</v>
      </c>
    </row>
    <row r="1556" spans="1:14" ht="13">
      <c r="A1556" s="18" t="s">
        <v>283</v>
      </c>
      <c r="B1556" s="18" t="s">
        <v>260</v>
      </c>
      <c r="C1556" s="18" t="s">
        <v>843</v>
      </c>
      <c r="D1556" s="18" t="s">
        <v>345</v>
      </c>
      <c r="E1556" s="63" t="s">
        <v>844</v>
      </c>
      <c r="F1556" s="18" t="s">
        <v>845</v>
      </c>
      <c r="G1556" s="18" t="s">
        <v>690</v>
      </c>
      <c r="H1556" s="18">
        <v>1997</v>
      </c>
      <c r="I1556" s="40">
        <v>1799</v>
      </c>
      <c r="J1556" s="40" t="s">
        <v>402</v>
      </c>
      <c r="K1556" s="18" t="s">
        <v>402</v>
      </c>
      <c r="L1556" s="38" t="s">
        <v>637</v>
      </c>
      <c r="M1556" s="21" t="s">
        <v>351</v>
      </c>
      <c r="N1556" s="18" t="s">
        <v>352</v>
      </c>
    </row>
    <row r="1557" spans="1:14" ht="13">
      <c r="A1557" s="18" t="s">
        <v>283</v>
      </c>
      <c r="B1557" s="18" t="s">
        <v>260</v>
      </c>
      <c r="C1557" s="18" t="s">
        <v>843</v>
      </c>
      <c r="D1557" s="18" t="s">
        <v>345</v>
      </c>
      <c r="E1557" s="63" t="s">
        <v>844</v>
      </c>
      <c r="F1557" s="18" t="s">
        <v>845</v>
      </c>
      <c r="G1557" s="18" t="s">
        <v>690</v>
      </c>
      <c r="H1557" s="18">
        <v>1998</v>
      </c>
      <c r="I1557" s="40">
        <v>1705</v>
      </c>
      <c r="J1557" s="40" t="s">
        <v>402</v>
      </c>
      <c r="K1557" s="18" t="s">
        <v>402</v>
      </c>
      <c r="L1557" s="38" t="s">
        <v>637</v>
      </c>
      <c r="M1557" s="21" t="s">
        <v>351</v>
      </c>
      <c r="N1557" s="18" t="s">
        <v>352</v>
      </c>
    </row>
    <row r="1558" spans="1:14" ht="13">
      <c r="A1558" s="18" t="s">
        <v>283</v>
      </c>
      <c r="B1558" s="18" t="s">
        <v>260</v>
      </c>
      <c r="C1558" s="18" t="s">
        <v>843</v>
      </c>
      <c r="D1558" s="18" t="s">
        <v>345</v>
      </c>
      <c r="E1558" s="63" t="s">
        <v>844</v>
      </c>
      <c r="F1558" s="18" t="s">
        <v>845</v>
      </c>
      <c r="G1558" s="18" t="s">
        <v>690</v>
      </c>
      <c r="H1558" s="18">
        <v>2000</v>
      </c>
      <c r="I1558" s="40">
        <v>1799</v>
      </c>
      <c r="J1558" s="40" t="s">
        <v>402</v>
      </c>
      <c r="K1558" s="18" t="s">
        <v>402</v>
      </c>
      <c r="L1558" s="38" t="s">
        <v>637</v>
      </c>
      <c r="M1558" s="21" t="s">
        <v>351</v>
      </c>
      <c r="N1558" s="18" t="s">
        <v>352</v>
      </c>
    </row>
    <row r="1559" spans="1:14" ht="13">
      <c r="A1559" s="18" t="s">
        <v>283</v>
      </c>
      <c r="B1559" s="18" t="s">
        <v>260</v>
      </c>
      <c r="C1559" s="18" t="s">
        <v>843</v>
      </c>
      <c r="D1559" s="18" t="s">
        <v>345</v>
      </c>
      <c r="E1559" s="63" t="s">
        <v>844</v>
      </c>
      <c r="F1559" s="18" t="s">
        <v>845</v>
      </c>
      <c r="G1559" s="18" t="s">
        <v>690</v>
      </c>
      <c r="H1559" s="18">
        <v>2001</v>
      </c>
      <c r="I1559" s="40">
        <v>1847</v>
      </c>
      <c r="J1559" s="40" t="s">
        <v>402</v>
      </c>
      <c r="K1559" s="18" t="s">
        <v>402</v>
      </c>
      <c r="L1559" s="38" t="s">
        <v>637</v>
      </c>
      <c r="M1559" s="21" t="s">
        <v>351</v>
      </c>
      <c r="N1559" s="18" t="s">
        <v>352</v>
      </c>
    </row>
    <row r="1560" spans="1:14" ht="13">
      <c r="A1560" s="18" t="s">
        <v>283</v>
      </c>
      <c r="B1560" s="18" t="s">
        <v>260</v>
      </c>
      <c r="C1560" s="18" t="s">
        <v>843</v>
      </c>
      <c r="D1560" s="18" t="s">
        <v>345</v>
      </c>
      <c r="E1560" s="63" t="s">
        <v>844</v>
      </c>
      <c r="F1560" s="18" t="s">
        <v>845</v>
      </c>
      <c r="G1560" s="18" t="s">
        <v>690</v>
      </c>
      <c r="H1560" s="18">
        <v>2002</v>
      </c>
      <c r="I1560" s="40">
        <v>1705</v>
      </c>
      <c r="J1560" s="40" t="s">
        <v>402</v>
      </c>
      <c r="K1560" s="18" t="s">
        <v>402</v>
      </c>
      <c r="L1560" s="38" t="s">
        <v>637</v>
      </c>
      <c r="M1560" s="21" t="s">
        <v>351</v>
      </c>
      <c r="N1560" s="18" t="s">
        <v>352</v>
      </c>
    </row>
    <row r="1561" spans="1:14" ht="13">
      <c r="A1561" s="18" t="s">
        <v>283</v>
      </c>
      <c r="B1561" s="18" t="s">
        <v>260</v>
      </c>
      <c r="C1561" s="18" t="s">
        <v>843</v>
      </c>
      <c r="D1561" s="18" t="s">
        <v>345</v>
      </c>
      <c r="E1561" s="63" t="s">
        <v>844</v>
      </c>
      <c r="F1561" s="18" t="s">
        <v>845</v>
      </c>
      <c r="G1561" s="18" t="s">
        <v>690</v>
      </c>
      <c r="H1561" s="18">
        <v>2003</v>
      </c>
      <c r="I1561" s="40">
        <v>1894</v>
      </c>
      <c r="J1561" s="40" t="s">
        <v>402</v>
      </c>
      <c r="K1561" s="18" t="s">
        <v>402</v>
      </c>
      <c r="L1561" s="38" t="s">
        <v>637</v>
      </c>
      <c r="M1561" s="21" t="s">
        <v>351</v>
      </c>
      <c r="N1561" s="18" t="s">
        <v>352</v>
      </c>
    </row>
    <row r="1562" spans="1:14" ht="13">
      <c r="A1562" s="18" t="s">
        <v>283</v>
      </c>
      <c r="B1562" s="18" t="s">
        <v>260</v>
      </c>
      <c r="C1562" s="18" t="s">
        <v>843</v>
      </c>
      <c r="D1562" s="18" t="s">
        <v>345</v>
      </c>
      <c r="E1562" s="63" t="s">
        <v>844</v>
      </c>
      <c r="F1562" s="18" t="s">
        <v>845</v>
      </c>
      <c r="G1562" s="18" t="s">
        <v>690</v>
      </c>
      <c r="H1562" s="18">
        <v>2004</v>
      </c>
      <c r="I1562" s="40">
        <v>1989</v>
      </c>
      <c r="J1562" s="40" t="s">
        <v>402</v>
      </c>
      <c r="K1562" s="18" t="s">
        <v>402</v>
      </c>
      <c r="L1562" s="38" t="s">
        <v>637</v>
      </c>
      <c r="M1562" s="21" t="s">
        <v>351</v>
      </c>
      <c r="N1562" s="18" t="s">
        <v>352</v>
      </c>
    </row>
    <row r="1563" spans="1:14" ht="13">
      <c r="A1563" s="18" t="s">
        <v>283</v>
      </c>
      <c r="B1563" s="18" t="s">
        <v>260</v>
      </c>
      <c r="C1563" s="18" t="s">
        <v>843</v>
      </c>
      <c r="D1563" s="18" t="s">
        <v>345</v>
      </c>
      <c r="E1563" s="63" t="s">
        <v>844</v>
      </c>
      <c r="F1563" s="18" t="s">
        <v>845</v>
      </c>
      <c r="G1563" s="18" t="s">
        <v>690</v>
      </c>
      <c r="H1563" s="18">
        <v>2005</v>
      </c>
      <c r="I1563" s="40">
        <v>2273</v>
      </c>
      <c r="J1563" s="40" t="s">
        <v>402</v>
      </c>
      <c r="K1563" s="18" t="s">
        <v>402</v>
      </c>
      <c r="L1563" s="38" t="s">
        <v>637</v>
      </c>
      <c r="M1563" s="21" t="s">
        <v>351</v>
      </c>
      <c r="N1563" s="18" t="s">
        <v>352</v>
      </c>
    </row>
    <row r="1564" spans="1:14" ht="13">
      <c r="A1564" s="18" t="s">
        <v>283</v>
      </c>
      <c r="B1564" s="18" t="s">
        <v>260</v>
      </c>
      <c r="C1564" s="18" t="s">
        <v>843</v>
      </c>
      <c r="D1564" s="18" t="s">
        <v>345</v>
      </c>
      <c r="E1564" s="63" t="s">
        <v>844</v>
      </c>
      <c r="F1564" s="18" t="s">
        <v>845</v>
      </c>
      <c r="G1564" s="18" t="s">
        <v>690</v>
      </c>
      <c r="H1564" s="18">
        <v>2007</v>
      </c>
      <c r="I1564" s="40">
        <v>2462</v>
      </c>
      <c r="J1564" s="40" t="s">
        <v>402</v>
      </c>
      <c r="K1564" s="18" t="s">
        <v>402</v>
      </c>
      <c r="L1564" s="38" t="s">
        <v>637</v>
      </c>
      <c r="M1564" s="21" t="s">
        <v>351</v>
      </c>
      <c r="N1564" s="18" t="s">
        <v>352</v>
      </c>
    </row>
    <row r="1565" spans="1:14" ht="13">
      <c r="A1565" s="18" t="s">
        <v>283</v>
      </c>
      <c r="B1565" s="18" t="s">
        <v>260</v>
      </c>
      <c r="C1565" s="18" t="s">
        <v>843</v>
      </c>
      <c r="D1565" s="18" t="s">
        <v>345</v>
      </c>
      <c r="E1565" s="63" t="s">
        <v>844</v>
      </c>
      <c r="F1565" s="18" t="s">
        <v>845</v>
      </c>
      <c r="G1565" s="18" t="s">
        <v>690</v>
      </c>
      <c r="H1565" s="18">
        <v>2009</v>
      </c>
      <c r="I1565" s="40">
        <v>2604</v>
      </c>
      <c r="J1565" s="40" t="s">
        <v>402</v>
      </c>
      <c r="K1565" s="18" t="s">
        <v>402</v>
      </c>
      <c r="L1565" s="38" t="s">
        <v>637</v>
      </c>
      <c r="M1565" s="21" t="s">
        <v>351</v>
      </c>
      <c r="N1565" s="18" t="s">
        <v>352</v>
      </c>
    </row>
    <row r="1566" spans="1:14" ht="13">
      <c r="A1566" s="18" t="s">
        <v>283</v>
      </c>
      <c r="B1566" s="18" t="s">
        <v>260</v>
      </c>
      <c r="C1566" s="18" t="s">
        <v>843</v>
      </c>
      <c r="D1566" s="18" t="s">
        <v>345</v>
      </c>
      <c r="E1566" s="63" t="s">
        <v>844</v>
      </c>
      <c r="F1566" s="18" t="s">
        <v>845</v>
      </c>
      <c r="G1566" s="18" t="s">
        <v>690</v>
      </c>
      <c r="H1566" s="18">
        <v>2010</v>
      </c>
      <c r="I1566" s="40">
        <v>2652</v>
      </c>
      <c r="J1566" s="40" t="s">
        <v>402</v>
      </c>
      <c r="K1566" s="18" t="s">
        <v>402</v>
      </c>
      <c r="L1566" s="38" t="s">
        <v>637</v>
      </c>
      <c r="M1566" s="21" t="s">
        <v>351</v>
      </c>
      <c r="N1566" s="18" t="s">
        <v>352</v>
      </c>
    </row>
    <row r="1567" spans="1:14" ht="13">
      <c r="A1567" s="18" t="s">
        <v>283</v>
      </c>
      <c r="B1567" s="18" t="s">
        <v>260</v>
      </c>
      <c r="C1567" s="18" t="s">
        <v>843</v>
      </c>
      <c r="D1567" s="18" t="s">
        <v>345</v>
      </c>
      <c r="E1567" s="63" t="s">
        <v>844</v>
      </c>
      <c r="F1567" s="18" t="s">
        <v>845</v>
      </c>
      <c r="G1567" s="18" t="s">
        <v>690</v>
      </c>
      <c r="H1567" s="18">
        <v>2011</v>
      </c>
      <c r="I1567" s="40">
        <v>2699</v>
      </c>
      <c r="J1567" s="40" t="s">
        <v>402</v>
      </c>
      <c r="K1567" s="18" t="s">
        <v>402</v>
      </c>
      <c r="L1567" s="38" t="s">
        <v>637</v>
      </c>
      <c r="M1567" s="21" t="s">
        <v>351</v>
      </c>
      <c r="N1567" s="18" t="s">
        <v>352</v>
      </c>
    </row>
    <row r="1568" spans="1:14" ht="13">
      <c r="A1568" s="18" t="s">
        <v>283</v>
      </c>
      <c r="B1568" s="18" t="s">
        <v>260</v>
      </c>
      <c r="C1568" s="18" t="s">
        <v>843</v>
      </c>
      <c r="D1568" s="18" t="s">
        <v>345</v>
      </c>
      <c r="E1568" s="63" t="s">
        <v>844</v>
      </c>
      <c r="F1568" s="18" t="s">
        <v>845</v>
      </c>
      <c r="G1568" s="18" t="s">
        <v>690</v>
      </c>
      <c r="H1568" s="18">
        <v>2014</v>
      </c>
      <c r="I1568" s="40">
        <v>2746</v>
      </c>
      <c r="J1568" s="40" t="s">
        <v>402</v>
      </c>
      <c r="K1568" s="18" t="s">
        <v>402</v>
      </c>
      <c r="L1568" s="38" t="s">
        <v>637</v>
      </c>
      <c r="M1568" s="21" t="s">
        <v>351</v>
      </c>
      <c r="N1568" s="18" t="s">
        <v>352</v>
      </c>
    </row>
    <row r="1569" spans="1:14" ht="13">
      <c r="A1569" s="18" t="s">
        <v>283</v>
      </c>
      <c r="B1569" s="18" t="s">
        <v>260</v>
      </c>
      <c r="C1569" s="18" t="s">
        <v>843</v>
      </c>
      <c r="D1569" s="18" t="s">
        <v>345</v>
      </c>
      <c r="E1569" s="63" t="s">
        <v>844</v>
      </c>
      <c r="F1569" s="18" t="s">
        <v>845</v>
      </c>
      <c r="G1569" s="18" t="s">
        <v>690</v>
      </c>
      <c r="H1569" s="18">
        <v>2015</v>
      </c>
      <c r="I1569" s="40">
        <v>2841</v>
      </c>
      <c r="J1569" s="40" t="s">
        <v>402</v>
      </c>
      <c r="K1569" s="18" t="s">
        <v>402</v>
      </c>
      <c r="L1569" s="38" t="s">
        <v>637</v>
      </c>
      <c r="M1569" s="21" t="s">
        <v>351</v>
      </c>
      <c r="N1569" s="18" t="s">
        <v>352</v>
      </c>
    </row>
    <row r="1570" spans="1:14" ht="13">
      <c r="A1570" s="18" t="s">
        <v>283</v>
      </c>
      <c r="B1570" s="18" t="s">
        <v>260</v>
      </c>
      <c r="C1570" s="18" t="s">
        <v>843</v>
      </c>
      <c r="D1570" s="18" t="s">
        <v>345</v>
      </c>
      <c r="E1570" s="63" t="s">
        <v>844</v>
      </c>
      <c r="F1570" s="18" t="s">
        <v>845</v>
      </c>
      <c r="G1570" s="18" t="s">
        <v>690</v>
      </c>
      <c r="H1570" s="18">
        <v>2016</v>
      </c>
      <c r="I1570" s="40">
        <v>2794</v>
      </c>
      <c r="J1570" s="40" t="s">
        <v>402</v>
      </c>
      <c r="K1570" s="18" t="s">
        <v>402</v>
      </c>
      <c r="L1570" s="38" t="s">
        <v>637</v>
      </c>
      <c r="M1570" s="21" t="s">
        <v>351</v>
      </c>
      <c r="N1570" s="18" t="s">
        <v>352</v>
      </c>
    </row>
    <row r="1571" spans="1:14" ht="13">
      <c r="A1571" s="18" t="s">
        <v>283</v>
      </c>
      <c r="B1571" s="18" t="s">
        <v>260</v>
      </c>
      <c r="C1571" s="18" t="s">
        <v>843</v>
      </c>
      <c r="D1571" s="18" t="s">
        <v>345</v>
      </c>
      <c r="E1571" s="63" t="s">
        <v>844</v>
      </c>
      <c r="F1571" s="18" t="s">
        <v>845</v>
      </c>
      <c r="G1571" s="18" t="s">
        <v>690</v>
      </c>
      <c r="H1571" s="18">
        <v>2018</v>
      </c>
      <c r="I1571" s="40">
        <v>2841</v>
      </c>
      <c r="J1571" s="40" t="s">
        <v>402</v>
      </c>
      <c r="K1571" s="18" t="s">
        <v>402</v>
      </c>
      <c r="L1571" s="38" t="s">
        <v>637</v>
      </c>
      <c r="M1571" s="21" t="s">
        <v>351</v>
      </c>
      <c r="N1571" s="18" t="s">
        <v>352</v>
      </c>
    </row>
    <row r="1572" spans="1:14" ht="13">
      <c r="A1572" s="18" t="s">
        <v>283</v>
      </c>
      <c r="B1572" s="18" t="s">
        <v>260</v>
      </c>
      <c r="C1572" s="18" t="s">
        <v>847</v>
      </c>
      <c r="D1572" s="18" t="s">
        <v>345</v>
      </c>
      <c r="E1572" s="63" t="s">
        <v>848</v>
      </c>
      <c r="F1572" s="18" t="s">
        <v>845</v>
      </c>
      <c r="G1572" s="18" t="s">
        <v>690</v>
      </c>
      <c r="H1572" s="18">
        <v>1979</v>
      </c>
      <c r="I1572" s="40">
        <v>4167</v>
      </c>
      <c r="J1572" s="40">
        <v>2841</v>
      </c>
      <c r="K1572" s="18">
        <v>5114</v>
      </c>
      <c r="L1572" s="38" t="s">
        <v>637</v>
      </c>
      <c r="M1572" s="21" t="s">
        <v>351</v>
      </c>
      <c r="N1572" s="18" t="s">
        <v>352</v>
      </c>
    </row>
    <row r="1573" spans="1:14" ht="13">
      <c r="A1573" s="18" t="s">
        <v>283</v>
      </c>
      <c r="B1573" s="18" t="s">
        <v>260</v>
      </c>
      <c r="C1573" s="18" t="s">
        <v>847</v>
      </c>
      <c r="D1573" s="18" t="s">
        <v>345</v>
      </c>
      <c r="E1573" s="63" t="s">
        <v>848</v>
      </c>
      <c r="F1573" s="18" t="s">
        <v>845</v>
      </c>
      <c r="G1573" s="18" t="s">
        <v>690</v>
      </c>
      <c r="H1573" s="18">
        <v>1989</v>
      </c>
      <c r="I1573" s="40">
        <v>2083</v>
      </c>
      <c r="J1573" s="40" t="s">
        <v>402</v>
      </c>
      <c r="K1573" s="18" t="s">
        <v>402</v>
      </c>
      <c r="L1573" s="38" t="s">
        <v>637</v>
      </c>
      <c r="M1573" s="21" t="s">
        <v>351</v>
      </c>
      <c r="N1573" s="18" t="s">
        <v>352</v>
      </c>
    </row>
    <row r="1574" spans="1:14" ht="13">
      <c r="A1574" s="18" t="s">
        <v>283</v>
      </c>
      <c r="B1574" s="18" t="s">
        <v>260</v>
      </c>
      <c r="C1574" s="18" t="s">
        <v>847</v>
      </c>
      <c r="D1574" s="18" t="s">
        <v>345</v>
      </c>
      <c r="E1574" s="63" t="s">
        <v>848</v>
      </c>
      <c r="F1574" s="18" t="s">
        <v>845</v>
      </c>
      <c r="G1574" s="18" t="s">
        <v>690</v>
      </c>
      <c r="H1574" s="18">
        <v>1990</v>
      </c>
      <c r="I1574" s="40">
        <v>1894</v>
      </c>
      <c r="J1574" s="40" t="s">
        <v>402</v>
      </c>
      <c r="K1574" s="18" t="s">
        <v>402</v>
      </c>
      <c r="L1574" s="38" t="s">
        <v>637</v>
      </c>
      <c r="M1574" s="21" t="s">
        <v>351</v>
      </c>
      <c r="N1574" s="18" t="s">
        <v>352</v>
      </c>
    </row>
    <row r="1575" spans="1:14" ht="13">
      <c r="A1575" s="18" t="s">
        <v>283</v>
      </c>
      <c r="B1575" s="18" t="s">
        <v>260</v>
      </c>
      <c r="C1575" s="18" t="s">
        <v>847</v>
      </c>
      <c r="D1575" s="18" t="s">
        <v>345</v>
      </c>
      <c r="E1575" s="63" t="s">
        <v>848</v>
      </c>
      <c r="F1575" s="18" t="s">
        <v>845</v>
      </c>
      <c r="G1575" s="18" t="s">
        <v>690</v>
      </c>
      <c r="H1575" s="18">
        <v>1994</v>
      </c>
      <c r="I1575" s="40">
        <v>1326</v>
      </c>
      <c r="J1575" s="40" t="s">
        <v>402</v>
      </c>
      <c r="K1575" s="18" t="s">
        <v>402</v>
      </c>
      <c r="L1575" s="38" t="s">
        <v>637</v>
      </c>
      <c r="M1575" s="21" t="s">
        <v>351</v>
      </c>
      <c r="N1575" s="18" t="s">
        <v>352</v>
      </c>
    </row>
    <row r="1576" spans="1:14" ht="13">
      <c r="A1576" s="18" t="s">
        <v>283</v>
      </c>
      <c r="B1576" s="18" t="s">
        <v>260</v>
      </c>
      <c r="C1576" s="18" t="s">
        <v>847</v>
      </c>
      <c r="D1576" s="18" t="s">
        <v>345</v>
      </c>
      <c r="E1576" s="63" t="s">
        <v>848</v>
      </c>
      <c r="F1576" s="18" t="s">
        <v>845</v>
      </c>
      <c r="G1576" s="18" t="s">
        <v>690</v>
      </c>
      <c r="H1576" s="18">
        <v>1997</v>
      </c>
      <c r="I1576" s="40">
        <v>947</v>
      </c>
      <c r="J1576" s="40" t="s">
        <v>402</v>
      </c>
      <c r="K1576" s="18" t="s">
        <v>402</v>
      </c>
      <c r="L1576" s="38" t="s">
        <v>637</v>
      </c>
      <c r="M1576" s="21" t="s">
        <v>351</v>
      </c>
      <c r="N1576" s="18" t="s">
        <v>352</v>
      </c>
    </row>
    <row r="1577" spans="1:14" ht="13">
      <c r="A1577" s="18" t="s">
        <v>283</v>
      </c>
      <c r="B1577" s="18" t="s">
        <v>260</v>
      </c>
      <c r="C1577" s="18" t="s">
        <v>847</v>
      </c>
      <c r="D1577" s="18" t="s">
        <v>345</v>
      </c>
      <c r="E1577" s="63" t="s">
        <v>848</v>
      </c>
      <c r="F1577" s="18" t="s">
        <v>845</v>
      </c>
      <c r="G1577" s="18" t="s">
        <v>690</v>
      </c>
      <c r="H1577" s="18">
        <v>1998</v>
      </c>
      <c r="I1577" s="40">
        <v>758</v>
      </c>
      <c r="J1577" s="40" t="s">
        <v>402</v>
      </c>
      <c r="K1577" s="18" t="s">
        <v>402</v>
      </c>
      <c r="L1577" s="38" t="s">
        <v>637</v>
      </c>
      <c r="M1577" s="21" t="s">
        <v>351</v>
      </c>
      <c r="N1577" s="18" t="s">
        <v>352</v>
      </c>
    </row>
    <row r="1578" spans="1:14" ht="13">
      <c r="A1578" s="18" t="s">
        <v>283</v>
      </c>
      <c r="B1578" s="18" t="s">
        <v>260</v>
      </c>
      <c r="C1578" s="18" t="s">
        <v>847</v>
      </c>
      <c r="D1578" s="18" t="s">
        <v>345</v>
      </c>
      <c r="E1578" s="63" t="s">
        <v>848</v>
      </c>
      <c r="F1578" s="18" t="s">
        <v>845</v>
      </c>
      <c r="G1578" s="18" t="s">
        <v>690</v>
      </c>
      <c r="H1578" s="18">
        <v>2002</v>
      </c>
      <c r="I1578" s="40">
        <v>473</v>
      </c>
      <c r="J1578" s="40" t="s">
        <v>402</v>
      </c>
      <c r="K1578" s="18" t="s">
        <v>402</v>
      </c>
      <c r="L1578" s="38" t="s">
        <v>637</v>
      </c>
      <c r="M1578" s="21" t="s">
        <v>351</v>
      </c>
      <c r="N1578" s="18" t="s">
        <v>352</v>
      </c>
    </row>
    <row r="1579" spans="1:14" ht="13">
      <c r="A1579" s="18" t="s">
        <v>283</v>
      </c>
      <c r="B1579" s="18" t="s">
        <v>260</v>
      </c>
      <c r="C1579" s="18" t="s">
        <v>847</v>
      </c>
      <c r="D1579" s="18" t="s">
        <v>345</v>
      </c>
      <c r="E1579" s="63" t="s">
        <v>848</v>
      </c>
      <c r="F1579" s="18" t="s">
        <v>845</v>
      </c>
      <c r="G1579" s="18" t="s">
        <v>690</v>
      </c>
      <c r="H1579" s="18">
        <v>2004</v>
      </c>
      <c r="I1579" s="40">
        <v>379</v>
      </c>
      <c r="J1579" s="40" t="s">
        <v>402</v>
      </c>
      <c r="K1579" s="18" t="s">
        <v>402</v>
      </c>
      <c r="L1579" s="38" t="s">
        <v>637</v>
      </c>
      <c r="M1579" s="21" t="s">
        <v>351</v>
      </c>
      <c r="N1579" s="18" t="s">
        <v>352</v>
      </c>
    </row>
    <row r="1580" spans="1:14" ht="13">
      <c r="A1580" s="18" t="s">
        <v>283</v>
      </c>
      <c r="B1580" s="18" t="s">
        <v>260</v>
      </c>
      <c r="C1580" s="18" t="s">
        <v>847</v>
      </c>
      <c r="D1580" s="18" t="s">
        <v>345</v>
      </c>
      <c r="E1580" s="63" t="s">
        <v>848</v>
      </c>
      <c r="F1580" s="18" t="s">
        <v>845</v>
      </c>
      <c r="G1580" s="18" t="s">
        <v>690</v>
      </c>
      <c r="H1580" s="18">
        <v>2005</v>
      </c>
      <c r="I1580" s="40">
        <v>331</v>
      </c>
      <c r="J1580" s="40" t="s">
        <v>402</v>
      </c>
      <c r="K1580" s="18" t="s">
        <v>402</v>
      </c>
      <c r="L1580" s="38" t="s">
        <v>637</v>
      </c>
      <c r="M1580" s="21" t="s">
        <v>351</v>
      </c>
      <c r="N1580" s="18" t="s">
        <v>352</v>
      </c>
    </row>
    <row r="1581" spans="1:14" ht="13">
      <c r="A1581" s="18" t="s">
        <v>283</v>
      </c>
      <c r="B1581" s="18" t="s">
        <v>260</v>
      </c>
      <c r="C1581" s="18" t="s">
        <v>847</v>
      </c>
      <c r="D1581" s="18" t="s">
        <v>345</v>
      </c>
      <c r="E1581" s="63" t="s">
        <v>848</v>
      </c>
      <c r="F1581" s="18" t="s">
        <v>845</v>
      </c>
      <c r="G1581" s="18" t="s">
        <v>690</v>
      </c>
      <c r="H1581" s="18">
        <v>2008</v>
      </c>
      <c r="I1581" s="40">
        <v>189</v>
      </c>
      <c r="J1581" s="40" t="s">
        <v>402</v>
      </c>
      <c r="K1581" s="18" t="s">
        <v>402</v>
      </c>
      <c r="L1581" s="38" t="s">
        <v>637</v>
      </c>
      <c r="M1581" s="21" t="s">
        <v>351</v>
      </c>
      <c r="N1581" s="18" t="s">
        <v>352</v>
      </c>
    </row>
    <row r="1582" spans="1:14" ht="13">
      <c r="A1582" s="18" t="s">
        <v>283</v>
      </c>
      <c r="B1582" s="18" t="s">
        <v>260</v>
      </c>
      <c r="C1582" s="18" t="s">
        <v>847</v>
      </c>
      <c r="D1582" s="18" t="s">
        <v>345</v>
      </c>
      <c r="E1582" s="63" t="s">
        <v>848</v>
      </c>
      <c r="F1582" s="18" t="s">
        <v>845</v>
      </c>
      <c r="G1582" s="18" t="s">
        <v>690</v>
      </c>
      <c r="H1582" s="18">
        <v>2009</v>
      </c>
      <c r="I1582" s="40">
        <v>189</v>
      </c>
      <c r="J1582" s="40" t="s">
        <v>402</v>
      </c>
      <c r="K1582" s="18" t="s">
        <v>402</v>
      </c>
      <c r="L1582" s="38" t="s">
        <v>637</v>
      </c>
      <c r="M1582" s="21" t="s">
        <v>351</v>
      </c>
      <c r="N1582" s="18" t="s">
        <v>352</v>
      </c>
    </row>
    <row r="1583" spans="1:14" ht="13">
      <c r="A1583" s="18" t="s">
        <v>283</v>
      </c>
      <c r="B1583" s="18" t="s">
        <v>260</v>
      </c>
      <c r="C1583" s="18" t="s">
        <v>847</v>
      </c>
      <c r="D1583" s="18" t="s">
        <v>345</v>
      </c>
      <c r="E1583" s="63" t="s">
        <v>848</v>
      </c>
      <c r="F1583" s="18" t="s">
        <v>845</v>
      </c>
      <c r="G1583" s="18" t="s">
        <v>690</v>
      </c>
      <c r="H1583" s="18">
        <v>2011</v>
      </c>
      <c r="I1583" s="40">
        <v>189</v>
      </c>
      <c r="J1583" s="40" t="s">
        <v>402</v>
      </c>
      <c r="K1583" s="18" t="s">
        <v>402</v>
      </c>
      <c r="L1583" s="38" t="s">
        <v>637</v>
      </c>
      <c r="M1583" s="21" t="s">
        <v>351</v>
      </c>
      <c r="N1583" s="18" t="s">
        <v>352</v>
      </c>
    </row>
    <row r="1584" spans="1:14" ht="13">
      <c r="A1584" s="18" t="s">
        <v>283</v>
      </c>
      <c r="B1584" s="18" t="s">
        <v>260</v>
      </c>
      <c r="C1584" s="18" t="s">
        <v>847</v>
      </c>
      <c r="D1584" s="18" t="s">
        <v>345</v>
      </c>
      <c r="E1584" s="63" t="s">
        <v>848</v>
      </c>
      <c r="F1584" s="18" t="s">
        <v>845</v>
      </c>
      <c r="G1584" s="18" t="s">
        <v>690</v>
      </c>
      <c r="H1584" s="18">
        <v>2012</v>
      </c>
      <c r="I1584" s="40">
        <v>189</v>
      </c>
      <c r="J1584" s="40" t="s">
        <v>402</v>
      </c>
      <c r="K1584" s="18" t="s">
        <v>402</v>
      </c>
      <c r="L1584" s="38" t="s">
        <v>637</v>
      </c>
      <c r="M1584" s="21" t="s">
        <v>351</v>
      </c>
      <c r="N1584" s="18" t="s">
        <v>352</v>
      </c>
    </row>
    <row r="1585" spans="1:14" ht="13">
      <c r="A1585" s="18" t="s">
        <v>283</v>
      </c>
      <c r="B1585" s="18" t="s">
        <v>260</v>
      </c>
      <c r="C1585" s="18" t="s">
        <v>847</v>
      </c>
      <c r="D1585" s="18" t="s">
        <v>345</v>
      </c>
      <c r="E1585" s="63" t="s">
        <v>848</v>
      </c>
      <c r="F1585" s="18" t="s">
        <v>845</v>
      </c>
      <c r="G1585" s="18" t="s">
        <v>690</v>
      </c>
      <c r="H1585" s="18">
        <v>2013</v>
      </c>
      <c r="I1585" s="40">
        <v>142</v>
      </c>
      <c r="J1585" s="40" t="s">
        <v>402</v>
      </c>
      <c r="K1585" s="18" t="s">
        <v>402</v>
      </c>
      <c r="L1585" s="38" t="s">
        <v>637</v>
      </c>
      <c r="M1585" s="21" t="s">
        <v>351</v>
      </c>
      <c r="N1585" s="18" t="s">
        <v>352</v>
      </c>
    </row>
    <row r="1586" spans="1:14" ht="13">
      <c r="A1586" s="18" t="s">
        <v>283</v>
      </c>
      <c r="B1586" s="18" t="s">
        <v>260</v>
      </c>
      <c r="C1586" s="18" t="s">
        <v>847</v>
      </c>
      <c r="D1586" s="18" t="s">
        <v>345</v>
      </c>
      <c r="E1586" s="63" t="s">
        <v>848</v>
      </c>
      <c r="F1586" s="18" t="s">
        <v>845</v>
      </c>
      <c r="G1586" s="18" t="s">
        <v>690</v>
      </c>
      <c r="H1586" s="18">
        <v>2014</v>
      </c>
      <c r="I1586" s="40">
        <v>95</v>
      </c>
      <c r="J1586" s="40" t="s">
        <v>402</v>
      </c>
      <c r="K1586" s="18" t="s">
        <v>402</v>
      </c>
      <c r="L1586" s="38" t="s">
        <v>637</v>
      </c>
      <c r="M1586" s="21" t="s">
        <v>351</v>
      </c>
      <c r="N1586" s="18" t="s">
        <v>352</v>
      </c>
    </row>
    <row r="1587" spans="1:14" ht="13">
      <c r="A1587" s="18" t="s">
        <v>283</v>
      </c>
      <c r="B1587" s="18" t="s">
        <v>260</v>
      </c>
      <c r="C1587" s="18" t="s">
        <v>847</v>
      </c>
      <c r="D1587" s="18" t="s">
        <v>345</v>
      </c>
      <c r="E1587" s="63" t="s">
        <v>848</v>
      </c>
      <c r="F1587" s="18" t="s">
        <v>845</v>
      </c>
      <c r="G1587" s="18" t="s">
        <v>690</v>
      </c>
      <c r="H1587" s="18">
        <v>2016</v>
      </c>
      <c r="I1587" s="40">
        <v>189</v>
      </c>
      <c r="J1587" s="40" t="s">
        <v>402</v>
      </c>
      <c r="K1587" s="18" t="s">
        <v>402</v>
      </c>
      <c r="L1587" s="38" t="s">
        <v>637</v>
      </c>
      <c r="M1587" s="21" t="s">
        <v>351</v>
      </c>
      <c r="N1587" s="18" t="s">
        <v>352</v>
      </c>
    </row>
    <row r="1588" spans="1:14" ht="13">
      <c r="A1588" s="18" t="s">
        <v>283</v>
      </c>
      <c r="B1588" s="18" t="s">
        <v>260</v>
      </c>
      <c r="C1588" s="18" t="s">
        <v>847</v>
      </c>
      <c r="D1588" s="18" t="s">
        <v>345</v>
      </c>
      <c r="E1588" s="63" t="s">
        <v>848</v>
      </c>
      <c r="F1588" s="18" t="s">
        <v>845</v>
      </c>
      <c r="G1588" s="18" t="s">
        <v>690</v>
      </c>
      <c r="H1588" s="18">
        <v>2017</v>
      </c>
      <c r="I1588" s="40">
        <v>95</v>
      </c>
      <c r="J1588" s="40" t="s">
        <v>402</v>
      </c>
      <c r="K1588" s="18" t="s">
        <v>402</v>
      </c>
      <c r="L1588" s="38" t="s">
        <v>637</v>
      </c>
      <c r="M1588" s="21" t="s">
        <v>351</v>
      </c>
      <c r="N1588" s="18" t="s">
        <v>352</v>
      </c>
    </row>
    <row r="1589" spans="1:14" ht="13">
      <c r="A1589" s="18" t="s">
        <v>283</v>
      </c>
      <c r="B1589" s="18" t="s">
        <v>260</v>
      </c>
      <c r="C1589" s="18" t="s">
        <v>847</v>
      </c>
      <c r="D1589" s="18" t="s">
        <v>345</v>
      </c>
      <c r="E1589" s="63" t="s">
        <v>848</v>
      </c>
      <c r="F1589" s="18" t="s">
        <v>845</v>
      </c>
      <c r="G1589" s="18" t="s">
        <v>690</v>
      </c>
      <c r="H1589" s="18">
        <v>2018</v>
      </c>
      <c r="I1589" s="40">
        <v>189</v>
      </c>
      <c r="J1589" s="40" t="s">
        <v>402</v>
      </c>
      <c r="K1589" s="18" t="s">
        <v>402</v>
      </c>
      <c r="L1589" s="38" t="s">
        <v>637</v>
      </c>
      <c r="M1589" s="21" t="s">
        <v>351</v>
      </c>
      <c r="N1589" s="18" t="s">
        <v>352</v>
      </c>
    </row>
    <row r="1590" spans="1:14" ht="13">
      <c r="A1590" s="18" t="s">
        <v>283</v>
      </c>
      <c r="B1590" s="18" t="s">
        <v>260</v>
      </c>
      <c r="C1590" s="18" t="s">
        <v>849</v>
      </c>
      <c r="D1590" s="18" t="s">
        <v>345</v>
      </c>
      <c r="E1590" s="63" t="s">
        <v>850</v>
      </c>
      <c r="F1590" s="18" t="s">
        <v>845</v>
      </c>
      <c r="G1590" s="18" t="s">
        <v>690</v>
      </c>
      <c r="H1590" s="18">
        <v>1979</v>
      </c>
      <c r="I1590" s="40">
        <v>8333</v>
      </c>
      <c r="J1590" s="40">
        <v>7197</v>
      </c>
      <c r="K1590" s="18">
        <v>9659</v>
      </c>
      <c r="L1590" s="37" t="s">
        <v>637</v>
      </c>
      <c r="M1590" s="21" t="s">
        <v>351</v>
      </c>
      <c r="N1590" s="18" t="s">
        <v>352</v>
      </c>
    </row>
    <row r="1591" spans="1:14" ht="13">
      <c r="A1591" s="18" t="s">
        <v>283</v>
      </c>
      <c r="B1591" s="18" t="s">
        <v>260</v>
      </c>
      <c r="C1591" s="18" t="s">
        <v>849</v>
      </c>
      <c r="D1591" s="18" t="s">
        <v>345</v>
      </c>
      <c r="E1591" s="63" t="s">
        <v>850</v>
      </c>
      <c r="F1591" s="18" t="s">
        <v>845</v>
      </c>
      <c r="G1591" s="18" t="s">
        <v>690</v>
      </c>
      <c r="H1591" s="18">
        <v>1985</v>
      </c>
      <c r="I1591" s="40">
        <v>9801</v>
      </c>
      <c r="J1591" s="40" t="s">
        <v>402</v>
      </c>
      <c r="K1591" s="18" t="s">
        <v>402</v>
      </c>
      <c r="L1591" s="38" t="s">
        <v>637</v>
      </c>
      <c r="M1591" s="21" t="s">
        <v>351</v>
      </c>
      <c r="N1591" s="18" t="s">
        <v>352</v>
      </c>
    </row>
    <row r="1592" spans="1:14" ht="13">
      <c r="A1592" s="18" t="s">
        <v>283</v>
      </c>
      <c r="B1592" s="18" t="s">
        <v>260</v>
      </c>
      <c r="C1592" s="18" t="s">
        <v>849</v>
      </c>
      <c r="D1592" s="18" t="s">
        <v>345</v>
      </c>
      <c r="E1592" s="63" t="s">
        <v>850</v>
      </c>
      <c r="F1592" s="18" t="s">
        <v>845</v>
      </c>
      <c r="G1592" s="18" t="s">
        <v>690</v>
      </c>
      <c r="H1592" s="18">
        <v>1989</v>
      </c>
      <c r="I1592" s="40">
        <v>4356</v>
      </c>
      <c r="J1592" s="40">
        <v>3788</v>
      </c>
      <c r="K1592" s="18">
        <v>4924</v>
      </c>
      <c r="L1592" s="38" t="s">
        <v>637</v>
      </c>
      <c r="M1592" s="21" t="s">
        <v>351</v>
      </c>
      <c r="N1592" s="18" t="s">
        <v>352</v>
      </c>
    </row>
    <row r="1593" spans="1:14" ht="13">
      <c r="A1593" s="18" t="s">
        <v>283</v>
      </c>
      <c r="B1593" s="18" t="s">
        <v>260</v>
      </c>
      <c r="C1593" s="18" t="s">
        <v>849</v>
      </c>
      <c r="D1593" s="18" t="s">
        <v>345</v>
      </c>
      <c r="E1593" s="63" t="s">
        <v>850</v>
      </c>
      <c r="F1593" s="18" t="s">
        <v>845</v>
      </c>
      <c r="G1593" s="18" t="s">
        <v>690</v>
      </c>
      <c r="H1593" s="18">
        <v>1990</v>
      </c>
      <c r="I1593" s="40">
        <v>3788</v>
      </c>
      <c r="J1593" s="40" t="s">
        <v>402</v>
      </c>
      <c r="K1593" s="18" t="s">
        <v>402</v>
      </c>
      <c r="L1593" s="38" t="s">
        <v>637</v>
      </c>
      <c r="M1593" s="21" t="s">
        <v>351</v>
      </c>
      <c r="N1593" s="18" t="s">
        <v>352</v>
      </c>
    </row>
    <row r="1594" spans="1:14" ht="13">
      <c r="A1594" s="18" t="s">
        <v>283</v>
      </c>
      <c r="B1594" s="18" t="s">
        <v>260</v>
      </c>
      <c r="C1594" s="18" t="s">
        <v>849</v>
      </c>
      <c r="D1594" s="18" t="s">
        <v>345</v>
      </c>
      <c r="E1594" s="63" t="s">
        <v>850</v>
      </c>
      <c r="F1594" s="18" t="s">
        <v>845</v>
      </c>
      <c r="G1594" s="18" t="s">
        <v>690</v>
      </c>
      <c r="H1594" s="18">
        <v>1994</v>
      </c>
      <c r="I1594" s="40">
        <v>3409</v>
      </c>
      <c r="J1594" s="40" t="s">
        <v>402</v>
      </c>
      <c r="K1594" s="18" t="s">
        <v>402</v>
      </c>
      <c r="L1594" s="38" t="s">
        <v>637</v>
      </c>
      <c r="M1594" s="21" t="s">
        <v>351</v>
      </c>
      <c r="N1594" s="18" t="s">
        <v>352</v>
      </c>
    </row>
    <row r="1595" spans="1:14" ht="13">
      <c r="A1595" s="18" t="s">
        <v>283</v>
      </c>
      <c r="B1595" s="18" t="s">
        <v>260</v>
      </c>
      <c r="C1595" s="18" t="s">
        <v>849</v>
      </c>
      <c r="D1595" s="18" t="s">
        <v>345</v>
      </c>
      <c r="E1595" s="63" t="s">
        <v>850</v>
      </c>
      <c r="F1595" s="18" t="s">
        <v>845</v>
      </c>
      <c r="G1595" s="18" t="s">
        <v>690</v>
      </c>
      <c r="H1595" s="18">
        <v>1997</v>
      </c>
      <c r="I1595" s="40">
        <v>3220</v>
      </c>
      <c r="J1595" s="40" t="s">
        <v>402</v>
      </c>
      <c r="K1595" s="18" t="s">
        <v>402</v>
      </c>
      <c r="L1595" s="38" t="s">
        <v>637</v>
      </c>
      <c r="M1595" s="21" t="s">
        <v>351</v>
      </c>
      <c r="N1595" s="18" t="s">
        <v>352</v>
      </c>
    </row>
    <row r="1596" spans="1:14" ht="13">
      <c r="A1596" s="18" t="s">
        <v>283</v>
      </c>
      <c r="B1596" s="18" t="s">
        <v>260</v>
      </c>
      <c r="C1596" s="18" t="s">
        <v>849</v>
      </c>
      <c r="D1596" s="18" t="s">
        <v>345</v>
      </c>
      <c r="E1596" s="63" t="s">
        <v>850</v>
      </c>
      <c r="F1596" s="18" t="s">
        <v>845</v>
      </c>
      <c r="G1596" s="18" t="s">
        <v>690</v>
      </c>
      <c r="H1596" s="18">
        <v>1998</v>
      </c>
      <c r="I1596" s="40">
        <v>3030</v>
      </c>
      <c r="J1596" s="40" t="s">
        <v>402</v>
      </c>
      <c r="K1596" s="18" t="s">
        <v>402</v>
      </c>
      <c r="L1596" s="38" t="s">
        <v>637</v>
      </c>
      <c r="M1596" s="21" t="s">
        <v>351</v>
      </c>
      <c r="N1596" s="18" t="s">
        <v>352</v>
      </c>
    </row>
    <row r="1597" spans="1:14" ht="13">
      <c r="A1597" s="18" t="s">
        <v>283</v>
      </c>
      <c r="B1597" s="18" t="s">
        <v>260</v>
      </c>
      <c r="C1597" s="18" t="s">
        <v>849</v>
      </c>
      <c r="D1597" s="18" t="s">
        <v>345</v>
      </c>
      <c r="E1597" s="63" t="s">
        <v>850</v>
      </c>
      <c r="F1597" s="18" t="s">
        <v>845</v>
      </c>
      <c r="G1597" s="18" t="s">
        <v>690</v>
      </c>
      <c r="H1597" s="18">
        <v>1999</v>
      </c>
      <c r="I1597" s="40">
        <v>3030</v>
      </c>
      <c r="J1597" s="40" t="s">
        <v>402</v>
      </c>
      <c r="K1597" s="18" t="s">
        <v>402</v>
      </c>
      <c r="L1597" s="38" t="s">
        <v>637</v>
      </c>
      <c r="M1597" s="21" t="s">
        <v>351</v>
      </c>
      <c r="N1597" s="18" t="s">
        <v>352</v>
      </c>
    </row>
    <row r="1598" spans="1:14" ht="13">
      <c r="A1598" s="18" t="s">
        <v>283</v>
      </c>
      <c r="B1598" s="18" t="s">
        <v>260</v>
      </c>
      <c r="C1598" s="18" t="s">
        <v>849</v>
      </c>
      <c r="D1598" s="18" t="s">
        <v>345</v>
      </c>
      <c r="E1598" s="63" t="s">
        <v>850</v>
      </c>
      <c r="F1598" s="18" t="s">
        <v>845</v>
      </c>
      <c r="G1598" s="18" t="s">
        <v>690</v>
      </c>
      <c r="H1598" s="18">
        <v>2000</v>
      </c>
      <c r="I1598" s="40">
        <v>2888</v>
      </c>
      <c r="J1598" s="40" t="s">
        <v>402</v>
      </c>
      <c r="K1598" s="18" t="s">
        <v>402</v>
      </c>
      <c r="L1598" s="38" t="s">
        <v>637</v>
      </c>
      <c r="M1598" s="21" t="s">
        <v>351</v>
      </c>
      <c r="N1598" s="18" t="s">
        <v>352</v>
      </c>
    </row>
    <row r="1599" spans="1:14" ht="13">
      <c r="A1599" s="18" t="s">
        <v>283</v>
      </c>
      <c r="B1599" s="18" t="s">
        <v>260</v>
      </c>
      <c r="C1599" s="18" t="s">
        <v>849</v>
      </c>
      <c r="D1599" s="18" t="s">
        <v>345</v>
      </c>
      <c r="E1599" s="63" t="s">
        <v>850</v>
      </c>
      <c r="F1599" s="18" t="s">
        <v>845</v>
      </c>
      <c r="G1599" s="18" t="s">
        <v>690</v>
      </c>
      <c r="H1599" s="18">
        <v>2001</v>
      </c>
      <c r="I1599" s="40">
        <v>2746</v>
      </c>
      <c r="J1599" s="40" t="s">
        <v>402</v>
      </c>
      <c r="K1599" s="18" t="s">
        <v>402</v>
      </c>
      <c r="L1599" s="38" t="s">
        <v>637</v>
      </c>
      <c r="M1599" s="21" t="s">
        <v>351</v>
      </c>
      <c r="N1599" s="18" t="s">
        <v>352</v>
      </c>
    </row>
    <row r="1600" spans="1:14" ht="13">
      <c r="A1600" s="18" t="s">
        <v>283</v>
      </c>
      <c r="B1600" s="18" t="s">
        <v>260</v>
      </c>
      <c r="C1600" s="18" t="s">
        <v>849</v>
      </c>
      <c r="D1600" s="18" t="s">
        <v>345</v>
      </c>
      <c r="E1600" s="63" t="s">
        <v>850</v>
      </c>
      <c r="F1600" s="18" t="s">
        <v>845</v>
      </c>
      <c r="G1600" s="18" t="s">
        <v>690</v>
      </c>
      <c r="H1600" s="18">
        <v>2002</v>
      </c>
      <c r="I1600" s="40">
        <v>2888</v>
      </c>
      <c r="J1600" s="40" t="s">
        <v>402</v>
      </c>
      <c r="K1600" s="18" t="s">
        <v>402</v>
      </c>
      <c r="L1600" s="38" t="s">
        <v>637</v>
      </c>
      <c r="M1600" s="21" t="s">
        <v>351</v>
      </c>
      <c r="N1600" s="18" t="s">
        <v>352</v>
      </c>
    </row>
    <row r="1601" spans="1:14" ht="13">
      <c r="A1601" s="18" t="s">
        <v>283</v>
      </c>
      <c r="B1601" s="18" t="s">
        <v>260</v>
      </c>
      <c r="C1601" s="18" t="s">
        <v>849</v>
      </c>
      <c r="D1601" s="18" t="s">
        <v>345</v>
      </c>
      <c r="E1601" s="63" t="s">
        <v>850</v>
      </c>
      <c r="F1601" s="18" t="s">
        <v>845</v>
      </c>
      <c r="G1601" s="18" t="s">
        <v>690</v>
      </c>
      <c r="H1601" s="18">
        <v>2004</v>
      </c>
      <c r="I1601" s="40">
        <v>2794</v>
      </c>
      <c r="J1601" s="40" t="s">
        <v>402</v>
      </c>
      <c r="K1601" s="18" t="s">
        <v>402</v>
      </c>
      <c r="L1601" s="38" t="s">
        <v>637</v>
      </c>
      <c r="M1601" s="21" t="s">
        <v>351</v>
      </c>
      <c r="N1601" s="18" t="s">
        <v>352</v>
      </c>
    </row>
    <row r="1602" spans="1:14" ht="13">
      <c r="A1602" s="18" t="s">
        <v>283</v>
      </c>
      <c r="B1602" s="18" t="s">
        <v>260</v>
      </c>
      <c r="C1602" s="18" t="s">
        <v>849</v>
      </c>
      <c r="D1602" s="18" t="s">
        <v>345</v>
      </c>
      <c r="E1602" s="63" t="s">
        <v>850</v>
      </c>
      <c r="F1602" s="18" t="s">
        <v>845</v>
      </c>
      <c r="G1602" s="18" t="s">
        <v>690</v>
      </c>
      <c r="H1602" s="18">
        <v>2005</v>
      </c>
      <c r="I1602" s="40">
        <v>2936</v>
      </c>
      <c r="J1602" s="40" t="s">
        <v>402</v>
      </c>
      <c r="K1602" s="18" t="s">
        <v>402</v>
      </c>
      <c r="L1602" s="38" t="s">
        <v>637</v>
      </c>
      <c r="M1602" s="21" t="s">
        <v>351</v>
      </c>
      <c r="N1602" s="18" t="s">
        <v>352</v>
      </c>
    </row>
    <row r="1603" spans="1:14" ht="13">
      <c r="A1603" s="18" t="s">
        <v>283</v>
      </c>
      <c r="B1603" s="18" t="s">
        <v>260</v>
      </c>
      <c r="C1603" s="18" t="s">
        <v>849</v>
      </c>
      <c r="D1603" s="18" t="s">
        <v>345</v>
      </c>
      <c r="E1603" s="63" t="s">
        <v>850</v>
      </c>
      <c r="F1603" s="18" t="s">
        <v>845</v>
      </c>
      <c r="G1603" s="18" t="s">
        <v>690</v>
      </c>
      <c r="H1603" s="18">
        <v>2007</v>
      </c>
      <c r="I1603" s="40">
        <v>2841</v>
      </c>
      <c r="J1603" s="40" t="s">
        <v>402</v>
      </c>
      <c r="K1603" s="18" t="s">
        <v>402</v>
      </c>
      <c r="L1603" s="38" t="s">
        <v>637</v>
      </c>
      <c r="M1603" s="21" t="s">
        <v>351</v>
      </c>
      <c r="N1603" s="18" t="s">
        <v>352</v>
      </c>
    </row>
    <row r="1604" spans="1:14" ht="13">
      <c r="A1604" s="18" t="s">
        <v>283</v>
      </c>
      <c r="B1604" s="18" t="s">
        <v>260</v>
      </c>
      <c r="C1604" s="18" t="s">
        <v>849</v>
      </c>
      <c r="D1604" s="18" t="s">
        <v>345</v>
      </c>
      <c r="E1604" s="63" t="s">
        <v>850</v>
      </c>
      <c r="F1604" s="18" t="s">
        <v>845</v>
      </c>
      <c r="G1604" s="18" t="s">
        <v>690</v>
      </c>
      <c r="H1604" s="18">
        <v>2009</v>
      </c>
      <c r="I1604" s="40">
        <v>2746</v>
      </c>
      <c r="J1604" s="40" t="s">
        <v>402</v>
      </c>
      <c r="K1604" s="18" t="s">
        <v>402</v>
      </c>
      <c r="L1604" s="38" t="s">
        <v>637</v>
      </c>
      <c r="M1604" s="21" t="s">
        <v>351</v>
      </c>
      <c r="N1604" s="18" t="s">
        <v>352</v>
      </c>
    </row>
    <row r="1605" spans="1:14" ht="13">
      <c r="A1605" s="18" t="s">
        <v>283</v>
      </c>
      <c r="B1605" s="18" t="s">
        <v>260</v>
      </c>
      <c r="C1605" s="18" t="s">
        <v>849</v>
      </c>
      <c r="D1605" s="18" t="s">
        <v>345</v>
      </c>
      <c r="E1605" s="63" t="s">
        <v>850</v>
      </c>
      <c r="F1605" s="18" t="s">
        <v>845</v>
      </c>
      <c r="G1605" s="18" t="s">
        <v>690</v>
      </c>
      <c r="H1605" s="18">
        <v>2010</v>
      </c>
      <c r="I1605" s="40">
        <v>2652</v>
      </c>
      <c r="J1605" s="40" t="s">
        <v>402</v>
      </c>
      <c r="K1605" s="18" t="s">
        <v>402</v>
      </c>
      <c r="L1605" s="38" t="s">
        <v>637</v>
      </c>
      <c r="M1605" s="21" t="s">
        <v>351</v>
      </c>
      <c r="N1605" s="18" t="s">
        <v>352</v>
      </c>
    </row>
    <row r="1606" spans="1:14" ht="13">
      <c r="A1606" s="18" t="s">
        <v>283</v>
      </c>
      <c r="B1606" s="18" t="s">
        <v>260</v>
      </c>
      <c r="C1606" s="18" t="s">
        <v>849</v>
      </c>
      <c r="D1606" s="18" t="s">
        <v>345</v>
      </c>
      <c r="E1606" s="63" t="s">
        <v>850</v>
      </c>
      <c r="F1606" s="18" t="s">
        <v>845</v>
      </c>
      <c r="G1606" s="18" t="s">
        <v>690</v>
      </c>
      <c r="H1606" s="18">
        <v>2011</v>
      </c>
      <c r="I1606" s="40">
        <v>2652</v>
      </c>
      <c r="J1606" s="40" t="s">
        <v>402</v>
      </c>
      <c r="K1606" s="18" t="s">
        <v>402</v>
      </c>
      <c r="L1606" s="38" t="s">
        <v>637</v>
      </c>
      <c r="M1606" s="21" t="s">
        <v>351</v>
      </c>
      <c r="N1606" s="18" t="s">
        <v>352</v>
      </c>
    </row>
    <row r="1607" spans="1:14" ht="13">
      <c r="A1607" s="18" t="s">
        <v>283</v>
      </c>
      <c r="B1607" s="18" t="s">
        <v>260</v>
      </c>
      <c r="C1607" s="18" t="s">
        <v>849</v>
      </c>
      <c r="D1607" s="18" t="s">
        <v>345</v>
      </c>
      <c r="E1607" s="63" t="s">
        <v>850</v>
      </c>
      <c r="F1607" s="18" t="s">
        <v>845</v>
      </c>
      <c r="G1607" s="18" t="s">
        <v>690</v>
      </c>
      <c r="H1607" s="18">
        <v>2013</v>
      </c>
      <c r="I1607" s="40">
        <v>2462</v>
      </c>
      <c r="J1607" s="40" t="s">
        <v>402</v>
      </c>
      <c r="K1607" s="18" t="s">
        <v>402</v>
      </c>
      <c r="L1607" s="38" t="s">
        <v>637</v>
      </c>
      <c r="M1607" s="21" t="s">
        <v>351</v>
      </c>
      <c r="N1607" s="18" t="s">
        <v>352</v>
      </c>
    </row>
    <row r="1608" spans="1:14" ht="13">
      <c r="A1608" s="18" t="s">
        <v>283</v>
      </c>
      <c r="B1608" s="18" t="s">
        <v>260</v>
      </c>
      <c r="C1608" s="18" t="s">
        <v>849</v>
      </c>
      <c r="D1608" s="18" t="s">
        <v>345</v>
      </c>
      <c r="E1608" s="63" t="s">
        <v>850</v>
      </c>
      <c r="F1608" s="18" t="s">
        <v>845</v>
      </c>
      <c r="G1608" s="18" t="s">
        <v>690</v>
      </c>
      <c r="H1608" s="18">
        <v>2014</v>
      </c>
      <c r="I1608" s="40">
        <v>2462</v>
      </c>
      <c r="J1608" s="40" t="s">
        <v>402</v>
      </c>
      <c r="K1608" s="18" t="s">
        <v>402</v>
      </c>
      <c r="L1608" s="38" t="s">
        <v>637</v>
      </c>
      <c r="M1608" s="21" t="s">
        <v>351</v>
      </c>
      <c r="N1608" s="18" t="s">
        <v>352</v>
      </c>
    </row>
    <row r="1609" spans="1:14" ht="13">
      <c r="A1609" s="18" t="s">
        <v>283</v>
      </c>
      <c r="B1609" s="18" t="s">
        <v>260</v>
      </c>
      <c r="C1609" s="18" t="s">
        <v>849</v>
      </c>
      <c r="D1609" s="18" t="s">
        <v>345</v>
      </c>
      <c r="E1609" s="63" t="s">
        <v>850</v>
      </c>
      <c r="F1609" s="18" t="s">
        <v>845</v>
      </c>
      <c r="G1609" s="18" t="s">
        <v>690</v>
      </c>
      <c r="H1609" s="18">
        <v>2015</v>
      </c>
      <c r="I1609" s="40">
        <v>2462</v>
      </c>
      <c r="J1609" s="40" t="s">
        <v>402</v>
      </c>
      <c r="K1609" s="18" t="s">
        <v>402</v>
      </c>
      <c r="L1609" s="38" t="s">
        <v>637</v>
      </c>
      <c r="M1609" s="21" t="s">
        <v>351</v>
      </c>
      <c r="N1609" s="18" t="s">
        <v>352</v>
      </c>
    </row>
    <row r="1610" spans="1:14" ht="13">
      <c r="A1610" s="18" t="s">
        <v>283</v>
      </c>
      <c r="B1610" s="18" t="s">
        <v>260</v>
      </c>
      <c r="C1610" s="18" t="s">
        <v>849</v>
      </c>
      <c r="D1610" s="18" t="s">
        <v>345</v>
      </c>
      <c r="E1610" s="63" t="s">
        <v>850</v>
      </c>
      <c r="F1610" s="18" t="s">
        <v>845</v>
      </c>
      <c r="G1610" s="18" t="s">
        <v>690</v>
      </c>
      <c r="H1610" s="18">
        <v>2016</v>
      </c>
      <c r="I1610" s="40">
        <v>2462</v>
      </c>
      <c r="J1610" s="40" t="s">
        <v>402</v>
      </c>
      <c r="K1610" s="18" t="s">
        <v>402</v>
      </c>
      <c r="L1610" s="38" t="s">
        <v>637</v>
      </c>
      <c r="M1610" s="21" t="s">
        <v>351</v>
      </c>
      <c r="N1610" s="18" t="s">
        <v>352</v>
      </c>
    </row>
    <row r="1611" spans="1:14" ht="13">
      <c r="A1611" s="18" t="s">
        <v>283</v>
      </c>
      <c r="B1611" s="18" t="s">
        <v>260</v>
      </c>
      <c r="C1611" s="18" t="s">
        <v>849</v>
      </c>
      <c r="D1611" s="18" t="s">
        <v>345</v>
      </c>
      <c r="E1611" s="63" t="s">
        <v>850</v>
      </c>
      <c r="F1611" s="18" t="s">
        <v>845</v>
      </c>
      <c r="G1611" s="18" t="s">
        <v>690</v>
      </c>
      <c r="H1611" s="18">
        <v>2017</v>
      </c>
      <c r="I1611" s="40">
        <v>2462</v>
      </c>
      <c r="J1611" s="40" t="s">
        <v>402</v>
      </c>
      <c r="K1611" s="18">
        <v>3030</v>
      </c>
      <c r="L1611" s="38" t="s">
        <v>637</v>
      </c>
      <c r="M1611" s="21" t="s">
        <v>351</v>
      </c>
      <c r="N1611" s="18" t="s">
        <v>352</v>
      </c>
    </row>
    <row r="1612" spans="1:14" ht="13">
      <c r="A1612" s="18" t="s">
        <v>283</v>
      </c>
      <c r="B1612" s="18" t="s">
        <v>260</v>
      </c>
      <c r="C1612" s="18" t="s">
        <v>849</v>
      </c>
      <c r="D1612" s="18" t="s">
        <v>345</v>
      </c>
      <c r="E1612" s="63" t="s">
        <v>850</v>
      </c>
      <c r="F1612" s="18" t="s">
        <v>845</v>
      </c>
      <c r="G1612" s="18" t="s">
        <v>690</v>
      </c>
      <c r="H1612" s="18">
        <v>2018</v>
      </c>
      <c r="I1612" s="40">
        <v>2273</v>
      </c>
      <c r="J1612" s="40" t="s">
        <v>402</v>
      </c>
      <c r="K1612" s="18">
        <v>3030</v>
      </c>
      <c r="L1612" s="38" t="s">
        <v>637</v>
      </c>
      <c r="M1612" s="21" t="s">
        <v>351</v>
      </c>
      <c r="N1612" s="18" t="s">
        <v>352</v>
      </c>
    </row>
    <row r="1613" spans="1:14" ht="13">
      <c r="A1613" s="18" t="s">
        <v>283</v>
      </c>
      <c r="B1613" s="18" t="s">
        <v>260</v>
      </c>
      <c r="C1613" s="18" t="s">
        <v>851</v>
      </c>
      <c r="D1613" s="18" t="s">
        <v>345</v>
      </c>
      <c r="E1613" s="63" t="s">
        <v>852</v>
      </c>
      <c r="F1613" s="18" t="s">
        <v>845</v>
      </c>
      <c r="G1613" s="18" t="s">
        <v>690</v>
      </c>
      <c r="H1613" s="18">
        <v>1978</v>
      </c>
      <c r="I1613" s="40">
        <v>8343</v>
      </c>
      <c r="J1613" s="40">
        <v>7206</v>
      </c>
      <c r="K1613" s="18">
        <v>9479</v>
      </c>
      <c r="L1613" s="38" t="s">
        <v>637</v>
      </c>
      <c r="M1613" s="21" t="s">
        <v>351</v>
      </c>
      <c r="N1613" s="18" t="s">
        <v>352</v>
      </c>
    </row>
    <row r="1614" spans="1:14" ht="13">
      <c r="A1614" s="18" t="s">
        <v>283</v>
      </c>
      <c r="B1614" s="18" t="s">
        <v>260</v>
      </c>
      <c r="C1614" s="18" t="s">
        <v>851</v>
      </c>
      <c r="D1614" s="18" t="s">
        <v>345</v>
      </c>
      <c r="E1614" s="63" t="s">
        <v>852</v>
      </c>
      <c r="F1614" s="18" t="s">
        <v>845</v>
      </c>
      <c r="G1614" s="18" t="s">
        <v>690</v>
      </c>
      <c r="H1614" s="18">
        <v>1979</v>
      </c>
      <c r="I1614" s="40">
        <v>9578</v>
      </c>
      <c r="J1614" s="40" t="s">
        <v>402</v>
      </c>
      <c r="K1614" s="18" t="s">
        <v>402</v>
      </c>
      <c r="L1614" s="38" t="s">
        <v>637</v>
      </c>
      <c r="M1614" s="21" t="s">
        <v>351</v>
      </c>
      <c r="N1614" s="18" t="s">
        <v>352</v>
      </c>
    </row>
    <row r="1615" spans="1:14" ht="13">
      <c r="A1615" s="18" t="s">
        <v>283</v>
      </c>
      <c r="B1615" s="18" t="s">
        <v>260</v>
      </c>
      <c r="C1615" s="18" t="s">
        <v>851</v>
      </c>
      <c r="D1615" s="18" t="s">
        <v>345</v>
      </c>
      <c r="E1615" s="63" t="s">
        <v>852</v>
      </c>
      <c r="F1615" s="18" t="s">
        <v>845</v>
      </c>
      <c r="G1615" s="18" t="s">
        <v>690</v>
      </c>
      <c r="H1615" s="18">
        <v>1984</v>
      </c>
      <c r="I1615" s="40">
        <v>5908</v>
      </c>
      <c r="J1615" s="40" t="s">
        <v>402</v>
      </c>
      <c r="K1615" s="18" t="s">
        <v>402</v>
      </c>
      <c r="L1615" s="38" t="s">
        <v>637</v>
      </c>
      <c r="M1615" s="21" t="s">
        <v>351</v>
      </c>
      <c r="N1615" s="18" t="s">
        <v>352</v>
      </c>
    </row>
    <row r="1616" spans="1:14" ht="13">
      <c r="A1616" s="18" t="s">
        <v>283</v>
      </c>
      <c r="B1616" s="18" t="s">
        <v>260</v>
      </c>
      <c r="C1616" s="18" t="s">
        <v>851</v>
      </c>
      <c r="D1616" s="18" t="s">
        <v>345</v>
      </c>
      <c r="E1616" s="63" t="s">
        <v>852</v>
      </c>
      <c r="F1616" s="18" t="s">
        <v>845</v>
      </c>
      <c r="G1616" s="18" t="s">
        <v>690</v>
      </c>
      <c r="H1616" s="18">
        <v>1986</v>
      </c>
      <c r="I1616" s="40">
        <v>4165</v>
      </c>
      <c r="J1616" s="40">
        <v>3454</v>
      </c>
      <c r="K1616" s="18">
        <v>4782</v>
      </c>
      <c r="L1616" s="38" t="s">
        <v>637</v>
      </c>
      <c r="M1616" s="21" t="s">
        <v>351</v>
      </c>
      <c r="N1616" s="18" t="s">
        <v>352</v>
      </c>
    </row>
    <row r="1617" spans="1:14" ht="13">
      <c r="A1617" s="18" t="s">
        <v>283</v>
      </c>
      <c r="B1617" s="18" t="s">
        <v>260</v>
      </c>
      <c r="C1617" s="18" t="s">
        <v>851</v>
      </c>
      <c r="D1617" s="18" t="s">
        <v>345</v>
      </c>
      <c r="E1617" s="63" t="s">
        <v>852</v>
      </c>
      <c r="F1617" s="18" t="s">
        <v>845</v>
      </c>
      <c r="G1617" s="18" t="s">
        <v>690</v>
      </c>
      <c r="H1617" s="18">
        <v>1990</v>
      </c>
      <c r="I1617" s="40">
        <v>2432</v>
      </c>
      <c r="J1617" s="40" t="s">
        <v>402</v>
      </c>
      <c r="K1617" s="18" t="s">
        <v>402</v>
      </c>
      <c r="L1617" s="38" t="s">
        <v>637</v>
      </c>
      <c r="M1617" s="21" t="s">
        <v>351</v>
      </c>
      <c r="N1617" s="18" t="s">
        <v>352</v>
      </c>
    </row>
    <row r="1618" spans="1:14" ht="13">
      <c r="A1618" s="18" t="s">
        <v>283</v>
      </c>
      <c r="B1618" s="18" t="s">
        <v>260</v>
      </c>
      <c r="C1618" s="18" t="s">
        <v>851</v>
      </c>
      <c r="D1618" s="18" t="s">
        <v>345</v>
      </c>
      <c r="E1618" s="63" t="s">
        <v>852</v>
      </c>
      <c r="F1618" s="18" t="s">
        <v>845</v>
      </c>
      <c r="G1618" s="18" t="s">
        <v>690</v>
      </c>
      <c r="H1618" s="18">
        <v>1991</v>
      </c>
      <c r="I1618" s="40">
        <v>2295</v>
      </c>
      <c r="J1618" s="40" t="s">
        <v>402</v>
      </c>
      <c r="K1618" s="18" t="s">
        <v>402</v>
      </c>
      <c r="L1618" s="38" t="s">
        <v>637</v>
      </c>
      <c r="M1618" s="21" t="s">
        <v>351</v>
      </c>
      <c r="N1618" s="18" t="s">
        <v>352</v>
      </c>
    </row>
    <row r="1619" spans="1:14" ht="13">
      <c r="A1619" s="18" t="s">
        <v>283</v>
      </c>
      <c r="B1619" s="18" t="s">
        <v>260</v>
      </c>
      <c r="C1619" s="18" t="s">
        <v>851</v>
      </c>
      <c r="D1619" s="18" t="s">
        <v>345</v>
      </c>
      <c r="E1619" s="63" t="s">
        <v>852</v>
      </c>
      <c r="F1619" s="18" t="s">
        <v>845</v>
      </c>
      <c r="G1619" s="18" t="s">
        <v>690</v>
      </c>
      <c r="H1619" s="18">
        <v>1992</v>
      </c>
      <c r="I1619" s="40">
        <v>2157</v>
      </c>
      <c r="J1619" s="40" t="s">
        <v>402</v>
      </c>
      <c r="K1619" s="18" t="s">
        <v>402</v>
      </c>
      <c r="L1619" s="38" t="s">
        <v>637</v>
      </c>
      <c r="M1619" s="21" t="s">
        <v>351</v>
      </c>
      <c r="N1619" s="18" t="s">
        <v>352</v>
      </c>
    </row>
    <row r="1620" spans="1:14" ht="13">
      <c r="A1620" s="18" t="s">
        <v>283</v>
      </c>
      <c r="B1620" s="18" t="s">
        <v>260</v>
      </c>
      <c r="C1620" s="18" t="s">
        <v>851</v>
      </c>
      <c r="D1620" s="18" t="s">
        <v>345</v>
      </c>
      <c r="E1620" s="63" t="s">
        <v>852</v>
      </c>
      <c r="F1620" s="18" t="s">
        <v>845</v>
      </c>
      <c r="G1620" s="18" t="s">
        <v>690</v>
      </c>
      <c r="H1620" s="18">
        <v>1993</v>
      </c>
      <c r="I1620" s="40">
        <v>2162</v>
      </c>
      <c r="J1620" s="40" t="s">
        <v>402</v>
      </c>
      <c r="K1620" s="18" t="s">
        <v>402</v>
      </c>
      <c r="L1620" s="38" t="s">
        <v>637</v>
      </c>
      <c r="M1620" s="21" t="s">
        <v>351</v>
      </c>
      <c r="N1620" s="18" t="s">
        <v>352</v>
      </c>
    </row>
    <row r="1621" spans="1:14" ht="13">
      <c r="A1621" s="18" t="s">
        <v>283</v>
      </c>
      <c r="B1621" s="18" t="s">
        <v>260</v>
      </c>
      <c r="C1621" s="18" t="s">
        <v>851</v>
      </c>
      <c r="D1621" s="18" t="s">
        <v>345</v>
      </c>
      <c r="E1621" s="63" t="s">
        <v>852</v>
      </c>
      <c r="F1621" s="18" t="s">
        <v>845</v>
      </c>
      <c r="G1621" s="18" t="s">
        <v>690</v>
      </c>
      <c r="H1621" s="18">
        <v>1994</v>
      </c>
      <c r="I1621" s="40">
        <v>1978</v>
      </c>
      <c r="J1621" s="40" t="s">
        <v>402</v>
      </c>
      <c r="K1621" s="18" t="s">
        <v>402</v>
      </c>
      <c r="L1621" s="38" t="s">
        <v>637</v>
      </c>
      <c r="M1621" s="21" t="s">
        <v>351</v>
      </c>
      <c r="N1621" s="18" t="s">
        <v>352</v>
      </c>
    </row>
    <row r="1622" spans="1:14" ht="13">
      <c r="A1622" s="18" t="s">
        <v>283</v>
      </c>
      <c r="B1622" s="18" t="s">
        <v>260</v>
      </c>
      <c r="C1622" s="18" t="s">
        <v>851</v>
      </c>
      <c r="D1622" s="18" t="s">
        <v>345</v>
      </c>
      <c r="E1622" s="63" t="s">
        <v>852</v>
      </c>
      <c r="F1622" s="18" t="s">
        <v>845</v>
      </c>
      <c r="G1622" s="18" t="s">
        <v>690</v>
      </c>
      <c r="H1622" s="18">
        <v>1996</v>
      </c>
      <c r="I1622" s="40">
        <v>1891</v>
      </c>
      <c r="J1622" s="40" t="s">
        <v>402</v>
      </c>
      <c r="K1622" s="18" t="s">
        <v>402</v>
      </c>
      <c r="L1622" s="38" t="s">
        <v>637</v>
      </c>
      <c r="M1622" s="21" t="s">
        <v>351</v>
      </c>
      <c r="N1622" s="18" t="s">
        <v>352</v>
      </c>
    </row>
    <row r="1623" spans="1:14" ht="13">
      <c r="A1623" s="18" t="s">
        <v>283</v>
      </c>
      <c r="B1623" s="18" t="s">
        <v>260</v>
      </c>
      <c r="C1623" s="18" t="s">
        <v>851</v>
      </c>
      <c r="D1623" s="18" t="s">
        <v>345</v>
      </c>
      <c r="E1623" s="63" t="s">
        <v>852</v>
      </c>
      <c r="F1623" s="18" t="s">
        <v>845</v>
      </c>
      <c r="G1623" s="18" t="s">
        <v>690</v>
      </c>
      <c r="H1623" s="18">
        <v>1998</v>
      </c>
      <c r="I1623" s="40">
        <v>1806</v>
      </c>
      <c r="J1623" s="40" t="s">
        <v>402</v>
      </c>
      <c r="K1623" s="18" t="s">
        <v>402</v>
      </c>
      <c r="L1623" s="38" t="s">
        <v>637</v>
      </c>
      <c r="M1623" s="21" t="s">
        <v>351</v>
      </c>
      <c r="N1623" s="18" t="s">
        <v>352</v>
      </c>
    </row>
    <row r="1624" spans="1:14" ht="13">
      <c r="A1624" s="18" t="s">
        <v>283</v>
      </c>
      <c r="B1624" s="18" t="s">
        <v>260</v>
      </c>
      <c r="C1624" s="18" t="s">
        <v>851</v>
      </c>
      <c r="D1624" s="18" t="s">
        <v>345</v>
      </c>
      <c r="E1624" s="63" t="s">
        <v>852</v>
      </c>
      <c r="F1624" s="18" t="s">
        <v>845</v>
      </c>
      <c r="G1624" s="18" t="s">
        <v>690</v>
      </c>
      <c r="H1624" s="18">
        <v>2000</v>
      </c>
      <c r="I1624" s="40">
        <v>1816</v>
      </c>
      <c r="J1624" s="40" t="s">
        <v>402</v>
      </c>
      <c r="K1624" s="18" t="s">
        <v>402</v>
      </c>
      <c r="L1624" s="38" t="s">
        <v>637</v>
      </c>
      <c r="M1624" s="21" t="s">
        <v>351</v>
      </c>
      <c r="N1624" s="18" t="s">
        <v>352</v>
      </c>
    </row>
    <row r="1625" spans="1:14" ht="13">
      <c r="A1625" s="18" t="s">
        <v>283</v>
      </c>
      <c r="B1625" s="18" t="s">
        <v>260</v>
      </c>
      <c r="C1625" s="18" t="s">
        <v>851</v>
      </c>
      <c r="D1625" s="18" t="s">
        <v>345</v>
      </c>
      <c r="E1625" s="63" t="s">
        <v>852</v>
      </c>
      <c r="F1625" s="18" t="s">
        <v>845</v>
      </c>
      <c r="G1625" s="18" t="s">
        <v>690</v>
      </c>
      <c r="H1625" s="18">
        <v>2001</v>
      </c>
      <c r="I1625" s="40">
        <v>1631</v>
      </c>
      <c r="J1625" s="40" t="s">
        <v>402</v>
      </c>
      <c r="K1625" s="18" t="s">
        <v>402</v>
      </c>
      <c r="L1625" s="38" t="s">
        <v>637</v>
      </c>
      <c r="M1625" s="21" t="s">
        <v>351</v>
      </c>
      <c r="N1625" s="18" t="s">
        <v>352</v>
      </c>
    </row>
    <row r="1626" spans="1:14" ht="13">
      <c r="A1626" s="18" t="s">
        <v>283</v>
      </c>
      <c r="B1626" s="18" t="s">
        <v>260</v>
      </c>
      <c r="C1626" s="18" t="s">
        <v>851</v>
      </c>
      <c r="D1626" s="18" t="s">
        <v>345</v>
      </c>
      <c r="E1626" s="63" t="s">
        <v>852</v>
      </c>
      <c r="F1626" s="18" t="s">
        <v>845</v>
      </c>
      <c r="G1626" s="18" t="s">
        <v>690</v>
      </c>
      <c r="H1626" s="18">
        <v>2002</v>
      </c>
      <c r="I1626" s="40">
        <v>2014</v>
      </c>
      <c r="J1626" s="40" t="s">
        <v>402</v>
      </c>
      <c r="K1626" s="18" t="s">
        <v>402</v>
      </c>
      <c r="L1626" s="38" t="s">
        <v>637</v>
      </c>
      <c r="M1626" s="21" t="s">
        <v>351</v>
      </c>
      <c r="N1626" s="18" t="s">
        <v>352</v>
      </c>
    </row>
    <row r="1627" spans="1:14" ht="13">
      <c r="A1627" s="18" t="s">
        <v>283</v>
      </c>
      <c r="B1627" s="18" t="s">
        <v>260</v>
      </c>
      <c r="C1627" s="18" t="s">
        <v>851</v>
      </c>
      <c r="D1627" s="18" t="s">
        <v>345</v>
      </c>
      <c r="E1627" s="63" t="s">
        <v>852</v>
      </c>
      <c r="F1627" s="18" t="s">
        <v>845</v>
      </c>
      <c r="G1627" s="18" t="s">
        <v>690</v>
      </c>
      <c r="H1627" s="18">
        <v>2003</v>
      </c>
      <c r="I1627" s="40">
        <v>1734</v>
      </c>
      <c r="J1627" s="40" t="s">
        <v>402</v>
      </c>
      <c r="K1627" s="18" t="s">
        <v>402</v>
      </c>
      <c r="L1627" s="38" t="s">
        <v>637</v>
      </c>
      <c r="M1627" s="21" t="s">
        <v>351</v>
      </c>
      <c r="N1627" s="18" t="s">
        <v>352</v>
      </c>
    </row>
    <row r="1628" spans="1:14" ht="13">
      <c r="A1628" s="18" t="s">
        <v>283</v>
      </c>
      <c r="B1628" s="18" t="s">
        <v>260</v>
      </c>
      <c r="C1628" s="18" t="s">
        <v>851</v>
      </c>
      <c r="D1628" s="18" t="s">
        <v>345</v>
      </c>
      <c r="E1628" s="63" t="s">
        <v>852</v>
      </c>
      <c r="F1628" s="18" t="s">
        <v>845</v>
      </c>
      <c r="G1628" s="18" t="s">
        <v>690</v>
      </c>
      <c r="H1628" s="18">
        <v>2004</v>
      </c>
      <c r="I1628" s="40">
        <v>2023</v>
      </c>
      <c r="J1628" s="40" t="s">
        <v>402</v>
      </c>
      <c r="K1628" s="18" t="s">
        <v>402</v>
      </c>
      <c r="L1628" s="38" t="s">
        <v>637</v>
      </c>
      <c r="M1628" s="21" t="s">
        <v>351</v>
      </c>
      <c r="N1628" s="18" t="s">
        <v>352</v>
      </c>
    </row>
    <row r="1629" spans="1:14" ht="13">
      <c r="A1629" s="18" t="s">
        <v>283</v>
      </c>
      <c r="B1629" s="18" t="s">
        <v>260</v>
      </c>
      <c r="C1629" s="18" t="s">
        <v>851</v>
      </c>
      <c r="D1629" s="18" t="s">
        <v>345</v>
      </c>
      <c r="E1629" s="63" t="s">
        <v>852</v>
      </c>
      <c r="F1629" s="18" t="s">
        <v>845</v>
      </c>
      <c r="G1629" s="18" t="s">
        <v>690</v>
      </c>
      <c r="H1629" s="18">
        <v>2005</v>
      </c>
      <c r="I1629" s="40">
        <v>2027</v>
      </c>
      <c r="J1629" s="40" t="s">
        <v>402</v>
      </c>
      <c r="K1629" s="18" t="s">
        <v>402</v>
      </c>
      <c r="L1629" s="38" t="s">
        <v>637</v>
      </c>
      <c r="M1629" s="21" t="s">
        <v>351</v>
      </c>
      <c r="N1629" s="18" t="s">
        <v>352</v>
      </c>
    </row>
    <row r="1630" spans="1:14" ht="13">
      <c r="A1630" s="18" t="s">
        <v>283</v>
      </c>
      <c r="B1630" s="18" t="s">
        <v>260</v>
      </c>
      <c r="C1630" s="18" t="s">
        <v>851</v>
      </c>
      <c r="D1630" s="18" t="s">
        <v>345</v>
      </c>
      <c r="E1630" s="63" t="s">
        <v>852</v>
      </c>
      <c r="F1630" s="18" t="s">
        <v>845</v>
      </c>
      <c r="G1630" s="18" t="s">
        <v>690</v>
      </c>
      <c r="H1630" s="18">
        <v>2009</v>
      </c>
      <c r="I1630" s="40">
        <v>2614</v>
      </c>
      <c r="J1630" s="40" t="s">
        <v>402</v>
      </c>
      <c r="K1630" s="18" t="s">
        <v>402</v>
      </c>
      <c r="L1630" s="38" t="s">
        <v>637</v>
      </c>
      <c r="M1630" s="21" t="s">
        <v>351</v>
      </c>
      <c r="N1630" s="18" t="s">
        <v>352</v>
      </c>
    </row>
    <row r="1631" spans="1:14" ht="13">
      <c r="A1631" s="18" t="s">
        <v>283</v>
      </c>
      <c r="B1631" s="18" t="s">
        <v>260</v>
      </c>
      <c r="C1631" s="18" t="s">
        <v>851</v>
      </c>
      <c r="D1631" s="18" t="s">
        <v>345</v>
      </c>
      <c r="E1631" s="63" t="s">
        <v>852</v>
      </c>
      <c r="F1631" s="18" t="s">
        <v>845</v>
      </c>
      <c r="G1631" s="18" t="s">
        <v>690</v>
      </c>
      <c r="H1631" s="18">
        <v>2011</v>
      </c>
      <c r="I1631" s="40">
        <v>2908</v>
      </c>
      <c r="J1631" s="40" t="s">
        <v>402</v>
      </c>
      <c r="K1631" s="18" t="s">
        <v>402</v>
      </c>
      <c r="L1631" s="38" t="s">
        <v>637</v>
      </c>
      <c r="M1631" s="21" t="s">
        <v>351</v>
      </c>
      <c r="N1631" s="18" t="s">
        <v>352</v>
      </c>
    </row>
    <row r="1632" spans="1:14" ht="13">
      <c r="A1632" s="18" t="s">
        <v>283</v>
      </c>
      <c r="B1632" s="18" t="s">
        <v>260</v>
      </c>
      <c r="C1632" s="18" t="s">
        <v>851</v>
      </c>
      <c r="D1632" s="18" t="s">
        <v>345</v>
      </c>
      <c r="E1632" s="63" t="s">
        <v>852</v>
      </c>
      <c r="F1632" s="18" t="s">
        <v>845</v>
      </c>
      <c r="G1632" s="18" t="s">
        <v>690</v>
      </c>
      <c r="H1632" s="18">
        <v>2013</v>
      </c>
      <c r="I1632" s="40">
        <v>3012</v>
      </c>
      <c r="J1632" s="40" t="s">
        <v>402</v>
      </c>
      <c r="K1632" s="18" t="s">
        <v>402</v>
      </c>
      <c r="L1632" s="38" t="s">
        <v>637</v>
      </c>
      <c r="M1632" s="21" t="s">
        <v>351</v>
      </c>
      <c r="N1632" s="18" t="s">
        <v>352</v>
      </c>
    </row>
    <row r="1633" spans="1:14" ht="13">
      <c r="A1633" s="18" t="s">
        <v>283</v>
      </c>
      <c r="B1633" s="18" t="s">
        <v>260</v>
      </c>
      <c r="C1633" s="18" t="s">
        <v>851</v>
      </c>
      <c r="D1633" s="18" t="s">
        <v>345</v>
      </c>
      <c r="E1633" s="63" t="s">
        <v>852</v>
      </c>
      <c r="F1633" s="18" t="s">
        <v>845</v>
      </c>
      <c r="G1633" s="18" t="s">
        <v>690</v>
      </c>
      <c r="H1633" s="18">
        <v>2014</v>
      </c>
      <c r="I1633" s="40">
        <v>2685</v>
      </c>
      <c r="J1633" s="40" t="s">
        <v>402</v>
      </c>
      <c r="K1633" s="18" t="s">
        <v>402</v>
      </c>
      <c r="L1633" s="38" t="s">
        <v>637</v>
      </c>
      <c r="M1633" s="21" t="s">
        <v>351</v>
      </c>
      <c r="N1633" s="18" t="s">
        <v>352</v>
      </c>
    </row>
    <row r="1634" spans="1:14" ht="13">
      <c r="A1634" s="18" t="s">
        <v>283</v>
      </c>
      <c r="B1634" s="18" t="s">
        <v>260</v>
      </c>
      <c r="C1634" s="18" t="s">
        <v>851</v>
      </c>
      <c r="D1634" s="18" t="s">
        <v>345</v>
      </c>
      <c r="E1634" s="63" t="s">
        <v>852</v>
      </c>
      <c r="F1634" s="18" t="s">
        <v>845</v>
      </c>
      <c r="G1634" s="18" t="s">
        <v>690</v>
      </c>
      <c r="H1634" s="18">
        <v>2015</v>
      </c>
      <c r="I1634" s="40">
        <v>2926</v>
      </c>
      <c r="J1634" s="40" t="s">
        <v>402</v>
      </c>
      <c r="K1634" s="18">
        <v>3589</v>
      </c>
      <c r="L1634" s="38" t="s">
        <v>637</v>
      </c>
      <c r="M1634" s="21" t="s">
        <v>351</v>
      </c>
      <c r="N1634" s="18" t="s">
        <v>352</v>
      </c>
    </row>
    <row r="1635" spans="1:14" ht="13">
      <c r="A1635" s="18" t="s">
        <v>283</v>
      </c>
      <c r="B1635" s="18" t="s">
        <v>260</v>
      </c>
      <c r="C1635" s="18" t="s">
        <v>851</v>
      </c>
      <c r="D1635" s="18" t="s">
        <v>345</v>
      </c>
      <c r="E1635" s="63" t="s">
        <v>852</v>
      </c>
      <c r="F1635" s="18" t="s">
        <v>845</v>
      </c>
      <c r="G1635" s="18" t="s">
        <v>690</v>
      </c>
      <c r="H1635" s="18">
        <v>2016</v>
      </c>
      <c r="I1635" s="40">
        <v>3025</v>
      </c>
      <c r="J1635" s="40" t="s">
        <v>402</v>
      </c>
      <c r="K1635" s="18" t="s">
        <v>402</v>
      </c>
      <c r="L1635" s="38" t="s">
        <v>637</v>
      </c>
      <c r="M1635" s="21" t="s">
        <v>351</v>
      </c>
      <c r="N1635" s="18" t="s">
        <v>352</v>
      </c>
    </row>
    <row r="1636" spans="1:14" ht="13">
      <c r="A1636" s="18" t="s">
        <v>283</v>
      </c>
      <c r="B1636" s="18" t="s">
        <v>260</v>
      </c>
      <c r="C1636" s="18" t="s">
        <v>851</v>
      </c>
      <c r="D1636" s="18" t="s">
        <v>345</v>
      </c>
      <c r="E1636" s="63" t="s">
        <v>852</v>
      </c>
      <c r="F1636" s="18" t="s">
        <v>845</v>
      </c>
      <c r="G1636" s="18" t="s">
        <v>690</v>
      </c>
      <c r="H1636" s="18">
        <v>2017</v>
      </c>
      <c r="I1636" s="40">
        <v>3030</v>
      </c>
      <c r="J1636" s="40" t="s">
        <v>402</v>
      </c>
      <c r="K1636" s="18">
        <v>3602</v>
      </c>
      <c r="L1636" s="38" t="s">
        <v>637</v>
      </c>
      <c r="M1636" s="21" t="s">
        <v>351</v>
      </c>
      <c r="N1636" s="18" t="s">
        <v>352</v>
      </c>
    </row>
    <row r="1637" spans="1:14" ht="13">
      <c r="A1637" s="18" t="s">
        <v>283</v>
      </c>
      <c r="B1637" s="18" t="s">
        <v>260</v>
      </c>
      <c r="C1637" s="18" t="s">
        <v>851</v>
      </c>
      <c r="D1637" s="18" t="s">
        <v>345</v>
      </c>
      <c r="E1637" s="63" t="s">
        <v>852</v>
      </c>
      <c r="F1637" s="18" t="s">
        <v>845</v>
      </c>
      <c r="G1637" s="18" t="s">
        <v>690</v>
      </c>
      <c r="H1637" s="18">
        <v>2018</v>
      </c>
      <c r="I1637" s="40">
        <v>3034</v>
      </c>
      <c r="J1637" s="40" t="s">
        <v>402</v>
      </c>
      <c r="K1637" s="18" t="s">
        <v>402</v>
      </c>
      <c r="L1637" s="38" t="s">
        <v>637</v>
      </c>
      <c r="M1637" s="21" t="s">
        <v>351</v>
      </c>
      <c r="N1637" s="18" t="s">
        <v>352</v>
      </c>
    </row>
    <row r="1638" spans="1:14" ht="13">
      <c r="A1638" s="18" t="s">
        <v>283</v>
      </c>
      <c r="B1638" s="18" t="s">
        <v>260</v>
      </c>
      <c r="C1638" s="18" t="s">
        <v>851</v>
      </c>
      <c r="D1638" s="18" t="s">
        <v>345</v>
      </c>
      <c r="E1638" s="63" t="s">
        <v>852</v>
      </c>
      <c r="F1638" s="18" t="s">
        <v>845</v>
      </c>
      <c r="G1638" s="18" t="s">
        <v>690</v>
      </c>
      <c r="H1638" s="18">
        <v>2019</v>
      </c>
      <c r="I1638" s="40">
        <v>3229</v>
      </c>
      <c r="J1638" s="40" t="s">
        <v>402</v>
      </c>
      <c r="K1638" s="18" t="s">
        <v>402</v>
      </c>
      <c r="L1638" s="38" t="s">
        <v>637</v>
      </c>
      <c r="M1638" s="21" t="s">
        <v>351</v>
      </c>
      <c r="N1638" s="18" t="s">
        <v>352</v>
      </c>
    </row>
    <row r="1639" spans="1:14" ht="13">
      <c r="A1639" s="18" t="s">
        <v>283</v>
      </c>
      <c r="B1639" s="18" t="s">
        <v>260</v>
      </c>
      <c r="C1639" s="18" t="s">
        <v>853</v>
      </c>
      <c r="D1639" s="18" t="s">
        <v>345</v>
      </c>
      <c r="E1639" s="63" t="s">
        <v>854</v>
      </c>
      <c r="F1639" s="18" t="s">
        <v>845</v>
      </c>
      <c r="G1639" s="18" t="s">
        <v>690</v>
      </c>
      <c r="H1639" s="18">
        <v>1978</v>
      </c>
      <c r="I1639" s="40">
        <v>568</v>
      </c>
      <c r="J1639" s="40" t="s">
        <v>402</v>
      </c>
      <c r="K1639" s="18" t="s">
        <v>402</v>
      </c>
      <c r="L1639" s="38" t="s">
        <v>637</v>
      </c>
      <c r="M1639" s="21" t="s">
        <v>351</v>
      </c>
      <c r="N1639" s="18" t="s">
        <v>352</v>
      </c>
    </row>
    <row r="1640" spans="1:14" ht="13">
      <c r="A1640" s="18" t="s">
        <v>283</v>
      </c>
      <c r="B1640" s="18" t="s">
        <v>260</v>
      </c>
      <c r="C1640" s="18" t="s">
        <v>853</v>
      </c>
      <c r="D1640" s="18" t="s">
        <v>345</v>
      </c>
      <c r="E1640" s="63" t="s">
        <v>854</v>
      </c>
      <c r="F1640" s="18" t="s">
        <v>845</v>
      </c>
      <c r="G1640" s="18" t="s">
        <v>690</v>
      </c>
      <c r="H1640" s="18">
        <v>1989</v>
      </c>
      <c r="I1640" s="40">
        <v>1136</v>
      </c>
      <c r="J1640" s="40" t="s">
        <v>402</v>
      </c>
      <c r="K1640" s="18">
        <v>1515</v>
      </c>
      <c r="L1640" s="38" t="s">
        <v>637</v>
      </c>
      <c r="M1640" s="21" t="s">
        <v>351</v>
      </c>
      <c r="N1640" s="18" t="s">
        <v>352</v>
      </c>
    </row>
    <row r="1641" spans="1:14" ht="13">
      <c r="A1641" s="18" t="s">
        <v>283</v>
      </c>
      <c r="B1641" s="18" t="s">
        <v>260</v>
      </c>
      <c r="C1641" s="18" t="s">
        <v>853</v>
      </c>
      <c r="D1641" s="18" t="s">
        <v>345</v>
      </c>
      <c r="E1641" s="63" t="s">
        <v>854</v>
      </c>
      <c r="F1641" s="18" t="s">
        <v>845</v>
      </c>
      <c r="G1641" s="18" t="s">
        <v>690</v>
      </c>
      <c r="H1641" s="18">
        <v>1990</v>
      </c>
      <c r="I1641" s="40">
        <v>1136</v>
      </c>
      <c r="J1641" s="40" t="s">
        <v>402</v>
      </c>
      <c r="K1641" s="18">
        <v>1515</v>
      </c>
      <c r="L1641" s="38" t="s">
        <v>637</v>
      </c>
      <c r="M1641" s="21" t="s">
        <v>351</v>
      </c>
      <c r="N1641" s="18" t="s">
        <v>352</v>
      </c>
    </row>
    <row r="1642" spans="1:14" ht="13">
      <c r="A1642" s="18" t="s">
        <v>283</v>
      </c>
      <c r="B1642" s="18" t="s">
        <v>260</v>
      </c>
      <c r="C1642" s="18" t="s">
        <v>853</v>
      </c>
      <c r="D1642" s="18" t="s">
        <v>345</v>
      </c>
      <c r="E1642" s="63" t="s">
        <v>854</v>
      </c>
      <c r="F1642" s="18" t="s">
        <v>845</v>
      </c>
      <c r="G1642" s="18" t="s">
        <v>690</v>
      </c>
      <c r="H1642" s="18">
        <v>1991</v>
      </c>
      <c r="I1642" s="40">
        <v>1184</v>
      </c>
      <c r="J1642" s="40" t="s">
        <v>402</v>
      </c>
      <c r="K1642" s="18">
        <v>1705</v>
      </c>
      <c r="L1642" s="38" t="s">
        <v>637</v>
      </c>
      <c r="M1642" s="21" t="s">
        <v>351</v>
      </c>
      <c r="N1642" s="18" t="s">
        <v>352</v>
      </c>
    </row>
    <row r="1643" spans="1:14" ht="13">
      <c r="A1643" s="18" t="s">
        <v>283</v>
      </c>
      <c r="B1643" s="18" t="s">
        <v>260</v>
      </c>
      <c r="C1643" s="18" t="s">
        <v>853</v>
      </c>
      <c r="D1643" s="18" t="s">
        <v>345</v>
      </c>
      <c r="E1643" s="63" t="s">
        <v>854</v>
      </c>
      <c r="F1643" s="18" t="s">
        <v>845</v>
      </c>
      <c r="G1643" s="18" t="s">
        <v>690</v>
      </c>
      <c r="H1643" s="18">
        <v>1993</v>
      </c>
      <c r="I1643" s="40">
        <v>1136</v>
      </c>
      <c r="J1643" s="40" t="s">
        <v>402</v>
      </c>
      <c r="K1643" s="18" t="s">
        <v>402</v>
      </c>
      <c r="L1643" s="38" t="s">
        <v>637</v>
      </c>
      <c r="M1643" s="21" t="s">
        <v>351</v>
      </c>
      <c r="N1643" s="18" t="s">
        <v>352</v>
      </c>
    </row>
    <row r="1644" spans="1:14" ht="13">
      <c r="A1644" s="18" t="s">
        <v>283</v>
      </c>
      <c r="B1644" s="18" t="s">
        <v>260</v>
      </c>
      <c r="C1644" s="18" t="s">
        <v>853</v>
      </c>
      <c r="D1644" s="18" t="s">
        <v>345</v>
      </c>
      <c r="E1644" s="63" t="s">
        <v>854</v>
      </c>
      <c r="F1644" s="18" t="s">
        <v>845</v>
      </c>
      <c r="G1644" s="18" t="s">
        <v>690</v>
      </c>
      <c r="H1644" s="18">
        <v>1994</v>
      </c>
      <c r="I1644" s="40">
        <v>947</v>
      </c>
      <c r="J1644" s="40" t="s">
        <v>402</v>
      </c>
      <c r="K1644" s="18" t="s">
        <v>402</v>
      </c>
      <c r="L1644" s="38" t="s">
        <v>637</v>
      </c>
      <c r="M1644" s="21" t="s">
        <v>351</v>
      </c>
      <c r="N1644" s="18" t="s">
        <v>352</v>
      </c>
    </row>
    <row r="1645" spans="1:14" ht="13">
      <c r="A1645" s="18" t="s">
        <v>283</v>
      </c>
      <c r="B1645" s="18" t="s">
        <v>260</v>
      </c>
      <c r="C1645" s="18" t="s">
        <v>853</v>
      </c>
      <c r="D1645" s="18" t="s">
        <v>345</v>
      </c>
      <c r="E1645" s="63" t="s">
        <v>854</v>
      </c>
      <c r="F1645" s="18" t="s">
        <v>845</v>
      </c>
      <c r="G1645" s="18" t="s">
        <v>690</v>
      </c>
      <c r="H1645" s="18">
        <v>1996</v>
      </c>
      <c r="I1645" s="40">
        <v>663</v>
      </c>
      <c r="J1645" s="40" t="s">
        <v>402</v>
      </c>
      <c r="K1645" s="18" t="s">
        <v>402</v>
      </c>
      <c r="L1645" s="38" t="s">
        <v>637</v>
      </c>
      <c r="M1645" s="21" t="s">
        <v>351</v>
      </c>
      <c r="N1645" s="18" t="s">
        <v>352</v>
      </c>
    </row>
    <row r="1646" spans="1:14" ht="13">
      <c r="A1646" s="18" t="s">
        <v>283</v>
      </c>
      <c r="B1646" s="18" t="s">
        <v>260</v>
      </c>
      <c r="C1646" s="18" t="s">
        <v>853</v>
      </c>
      <c r="D1646" s="18" t="s">
        <v>345</v>
      </c>
      <c r="E1646" s="63" t="s">
        <v>854</v>
      </c>
      <c r="F1646" s="18" t="s">
        <v>845</v>
      </c>
      <c r="G1646" s="18" t="s">
        <v>690</v>
      </c>
      <c r="H1646" s="18">
        <v>1997</v>
      </c>
      <c r="I1646" s="40">
        <v>758</v>
      </c>
      <c r="J1646" s="40" t="s">
        <v>402</v>
      </c>
      <c r="K1646" s="18" t="s">
        <v>402</v>
      </c>
      <c r="L1646" s="38" t="s">
        <v>637</v>
      </c>
      <c r="M1646" s="21" t="s">
        <v>351</v>
      </c>
      <c r="N1646" s="18" t="s">
        <v>352</v>
      </c>
    </row>
    <row r="1647" spans="1:14" ht="13">
      <c r="A1647" s="18" t="s">
        <v>283</v>
      </c>
      <c r="B1647" s="18" t="s">
        <v>260</v>
      </c>
      <c r="C1647" s="18" t="s">
        <v>853</v>
      </c>
      <c r="D1647" s="18" t="s">
        <v>345</v>
      </c>
      <c r="E1647" s="63" t="s">
        <v>854</v>
      </c>
      <c r="F1647" s="18" t="s">
        <v>845</v>
      </c>
      <c r="G1647" s="18" t="s">
        <v>690</v>
      </c>
      <c r="H1647" s="18">
        <v>1998</v>
      </c>
      <c r="I1647" s="40">
        <v>758</v>
      </c>
      <c r="J1647" s="40" t="s">
        <v>402</v>
      </c>
      <c r="K1647" s="18" t="s">
        <v>402</v>
      </c>
      <c r="L1647" s="38" t="s">
        <v>637</v>
      </c>
      <c r="M1647" s="21" t="s">
        <v>351</v>
      </c>
      <c r="N1647" s="18" t="s">
        <v>352</v>
      </c>
    </row>
    <row r="1648" spans="1:14" ht="13">
      <c r="A1648" s="18" t="s">
        <v>283</v>
      </c>
      <c r="B1648" s="18" t="s">
        <v>260</v>
      </c>
      <c r="C1648" s="18" t="s">
        <v>853</v>
      </c>
      <c r="D1648" s="18" t="s">
        <v>345</v>
      </c>
      <c r="E1648" s="63" t="s">
        <v>854</v>
      </c>
      <c r="F1648" s="18" t="s">
        <v>845</v>
      </c>
      <c r="G1648" s="18" t="s">
        <v>690</v>
      </c>
      <c r="H1648" s="18">
        <v>2000</v>
      </c>
      <c r="I1648" s="40">
        <v>758</v>
      </c>
      <c r="J1648" s="40" t="s">
        <v>402</v>
      </c>
      <c r="K1648" s="18" t="s">
        <v>402</v>
      </c>
      <c r="L1648" s="38" t="s">
        <v>637</v>
      </c>
      <c r="M1648" s="21" t="s">
        <v>351</v>
      </c>
      <c r="N1648" s="18" t="s">
        <v>352</v>
      </c>
    </row>
    <row r="1649" spans="1:14" ht="13">
      <c r="A1649" s="18" t="s">
        <v>283</v>
      </c>
      <c r="B1649" s="18" t="s">
        <v>260</v>
      </c>
      <c r="C1649" s="18" t="s">
        <v>853</v>
      </c>
      <c r="D1649" s="18" t="s">
        <v>345</v>
      </c>
      <c r="E1649" s="63" t="s">
        <v>854</v>
      </c>
      <c r="F1649" s="18" t="s">
        <v>845</v>
      </c>
      <c r="G1649" s="18" t="s">
        <v>690</v>
      </c>
      <c r="H1649" s="18">
        <v>2001</v>
      </c>
      <c r="I1649" s="40">
        <v>710</v>
      </c>
      <c r="J1649" s="40" t="s">
        <v>402</v>
      </c>
      <c r="K1649" s="18" t="s">
        <v>402</v>
      </c>
      <c r="L1649" s="38" t="s">
        <v>637</v>
      </c>
      <c r="M1649" s="21" t="s">
        <v>351</v>
      </c>
      <c r="N1649" s="18" t="s">
        <v>352</v>
      </c>
    </row>
    <row r="1650" spans="1:14" ht="13">
      <c r="A1650" s="18" t="s">
        <v>283</v>
      </c>
      <c r="B1650" s="18" t="s">
        <v>260</v>
      </c>
      <c r="C1650" s="18" t="s">
        <v>853</v>
      </c>
      <c r="D1650" s="18" t="s">
        <v>345</v>
      </c>
      <c r="E1650" s="63" t="s">
        <v>854</v>
      </c>
      <c r="F1650" s="18" t="s">
        <v>845</v>
      </c>
      <c r="G1650" s="18" t="s">
        <v>690</v>
      </c>
      <c r="H1650" s="18">
        <v>2002</v>
      </c>
      <c r="I1650" s="40">
        <v>663</v>
      </c>
      <c r="J1650" s="40" t="s">
        <v>402</v>
      </c>
      <c r="K1650" s="18" t="s">
        <v>402</v>
      </c>
      <c r="L1650" s="38" t="s">
        <v>637</v>
      </c>
      <c r="M1650" s="21" t="s">
        <v>351</v>
      </c>
      <c r="N1650" s="18" t="s">
        <v>352</v>
      </c>
    </row>
    <row r="1651" spans="1:14" ht="13">
      <c r="A1651" s="18" t="s">
        <v>283</v>
      </c>
      <c r="B1651" s="18" t="s">
        <v>260</v>
      </c>
      <c r="C1651" s="18" t="s">
        <v>853</v>
      </c>
      <c r="D1651" s="18" t="s">
        <v>345</v>
      </c>
      <c r="E1651" s="63" t="s">
        <v>854</v>
      </c>
      <c r="F1651" s="18" t="s">
        <v>845</v>
      </c>
      <c r="G1651" s="18" t="s">
        <v>690</v>
      </c>
      <c r="H1651" s="18">
        <v>2003</v>
      </c>
      <c r="I1651" s="40">
        <v>758</v>
      </c>
      <c r="J1651" s="40" t="s">
        <v>402</v>
      </c>
      <c r="K1651" s="18" t="s">
        <v>402</v>
      </c>
      <c r="L1651" s="38" t="s">
        <v>637</v>
      </c>
      <c r="M1651" s="21" t="s">
        <v>351</v>
      </c>
      <c r="N1651" s="18" t="s">
        <v>352</v>
      </c>
    </row>
    <row r="1652" spans="1:14" ht="13">
      <c r="A1652" s="18" t="s">
        <v>283</v>
      </c>
      <c r="B1652" s="18" t="s">
        <v>260</v>
      </c>
      <c r="C1652" s="18" t="s">
        <v>853</v>
      </c>
      <c r="D1652" s="18" t="s">
        <v>345</v>
      </c>
      <c r="E1652" s="63" t="s">
        <v>854</v>
      </c>
      <c r="F1652" s="18" t="s">
        <v>845</v>
      </c>
      <c r="G1652" s="18" t="s">
        <v>690</v>
      </c>
      <c r="H1652" s="18">
        <v>2004</v>
      </c>
      <c r="I1652" s="40">
        <v>758</v>
      </c>
      <c r="J1652" s="40" t="s">
        <v>402</v>
      </c>
      <c r="K1652" s="18" t="s">
        <v>402</v>
      </c>
      <c r="L1652" s="38" t="s">
        <v>637</v>
      </c>
      <c r="M1652" s="21" t="s">
        <v>351</v>
      </c>
      <c r="N1652" s="18" t="s">
        <v>352</v>
      </c>
    </row>
    <row r="1653" spans="1:14" ht="13">
      <c r="A1653" s="18" t="s">
        <v>283</v>
      </c>
      <c r="B1653" s="18" t="s">
        <v>260</v>
      </c>
      <c r="C1653" s="18" t="s">
        <v>853</v>
      </c>
      <c r="D1653" s="18" t="s">
        <v>345</v>
      </c>
      <c r="E1653" s="63" t="s">
        <v>854</v>
      </c>
      <c r="F1653" s="18" t="s">
        <v>845</v>
      </c>
      <c r="G1653" s="18" t="s">
        <v>690</v>
      </c>
      <c r="H1653" s="18">
        <v>2005</v>
      </c>
      <c r="I1653" s="40">
        <v>758</v>
      </c>
      <c r="J1653" s="40" t="s">
        <v>402</v>
      </c>
      <c r="K1653" s="18" t="s">
        <v>402</v>
      </c>
      <c r="L1653" s="38" t="s">
        <v>637</v>
      </c>
      <c r="M1653" s="21" t="s">
        <v>351</v>
      </c>
      <c r="N1653" s="18" t="s">
        <v>352</v>
      </c>
    </row>
    <row r="1654" spans="1:14" ht="13">
      <c r="A1654" s="18" t="s">
        <v>283</v>
      </c>
      <c r="B1654" s="18" t="s">
        <v>260</v>
      </c>
      <c r="C1654" s="18" t="s">
        <v>853</v>
      </c>
      <c r="D1654" s="18" t="s">
        <v>345</v>
      </c>
      <c r="E1654" s="63" t="s">
        <v>854</v>
      </c>
      <c r="F1654" s="18" t="s">
        <v>845</v>
      </c>
      <c r="G1654" s="18" t="s">
        <v>690</v>
      </c>
      <c r="H1654" s="18">
        <v>2009</v>
      </c>
      <c r="I1654" s="40">
        <v>1089</v>
      </c>
      <c r="J1654" s="40" t="s">
        <v>402</v>
      </c>
      <c r="K1654" s="18" t="s">
        <v>402</v>
      </c>
      <c r="L1654" s="38" t="s">
        <v>637</v>
      </c>
      <c r="M1654" s="21" t="s">
        <v>351</v>
      </c>
      <c r="N1654" s="18" t="s">
        <v>352</v>
      </c>
    </row>
    <row r="1655" spans="1:14" ht="13">
      <c r="A1655" s="18" t="s">
        <v>283</v>
      </c>
      <c r="B1655" s="18" t="s">
        <v>260</v>
      </c>
      <c r="C1655" s="18" t="s">
        <v>853</v>
      </c>
      <c r="D1655" s="18" t="s">
        <v>345</v>
      </c>
      <c r="E1655" s="63" t="s">
        <v>854</v>
      </c>
      <c r="F1655" s="18" t="s">
        <v>845</v>
      </c>
      <c r="G1655" s="18" t="s">
        <v>690</v>
      </c>
      <c r="H1655" s="18">
        <v>2010</v>
      </c>
      <c r="I1655" s="40">
        <v>947</v>
      </c>
      <c r="J1655" s="40" t="s">
        <v>402</v>
      </c>
      <c r="K1655" s="18" t="s">
        <v>402</v>
      </c>
      <c r="L1655" s="38" t="s">
        <v>637</v>
      </c>
      <c r="M1655" s="21" t="s">
        <v>351</v>
      </c>
      <c r="N1655" s="18" t="s">
        <v>352</v>
      </c>
    </row>
    <row r="1656" spans="1:14" ht="13">
      <c r="A1656" s="18" t="s">
        <v>283</v>
      </c>
      <c r="B1656" s="18" t="s">
        <v>260</v>
      </c>
      <c r="C1656" s="18" t="s">
        <v>853</v>
      </c>
      <c r="D1656" s="18" t="s">
        <v>345</v>
      </c>
      <c r="E1656" s="63" t="s">
        <v>854</v>
      </c>
      <c r="F1656" s="18" t="s">
        <v>845</v>
      </c>
      <c r="G1656" s="18" t="s">
        <v>690</v>
      </c>
      <c r="H1656" s="18">
        <v>2011</v>
      </c>
      <c r="I1656" s="40">
        <v>1136</v>
      </c>
      <c r="J1656" s="40" t="s">
        <v>402</v>
      </c>
      <c r="K1656" s="18" t="s">
        <v>402</v>
      </c>
      <c r="L1656" s="38" t="s">
        <v>637</v>
      </c>
      <c r="M1656" s="21" t="s">
        <v>351</v>
      </c>
      <c r="N1656" s="18" t="s">
        <v>352</v>
      </c>
    </row>
    <row r="1657" spans="1:14" ht="13">
      <c r="A1657" s="18" t="s">
        <v>283</v>
      </c>
      <c r="B1657" s="18" t="s">
        <v>260</v>
      </c>
      <c r="C1657" s="18" t="s">
        <v>853</v>
      </c>
      <c r="D1657" s="18" t="s">
        <v>345</v>
      </c>
      <c r="E1657" s="63" t="s">
        <v>854</v>
      </c>
      <c r="F1657" s="18" t="s">
        <v>845</v>
      </c>
      <c r="G1657" s="18" t="s">
        <v>690</v>
      </c>
      <c r="H1657" s="18">
        <v>2013</v>
      </c>
      <c r="I1657" s="40">
        <v>1231</v>
      </c>
      <c r="J1657" s="40" t="s">
        <v>402</v>
      </c>
      <c r="K1657" s="18" t="s">
        <v>402</v>
      </c>
      <c r="L1657" s="38" t="s">
        <v>637</v>
      </c>
      <c r="M1657" s="21" t="s">
        <v>351</v>
      </c>
      <c r="N1657" s="18" t="s">
        <v>352</v>
      </c>
    </row>
    <row r="1658" spans="1:14" ht="13">
      <c r="A1658" s="18" t="s">
        <v>283</v>
      </c>
      <c r="B1658" s="18" t="s">
        <v>260</v>
      </c>
      <c r="C1658" s="18" t="s">
        <v>853</v>
      </c>
      <c r="D1658" s="18" t="s">
        <v>345</v>
      </c>
      <c r="E1658" s="63" t="s">
        <v>854</v>
      </c>
      <c r="F1658" s="18" t="s">
        <v>845</v>
      </c>
      <c r="G1658" s="18" t="s">
        <v>690</v>
      </c>
      <c r="H1658" s="18">
        <v>2015</v>
      </c>
      <c r="I1658" s="40">
        <v>1231</v>
      </c>
      <c r="J1658" s="40" t="s">
        <v>402</v>
      </c>
      <c r="K1658" s="18" t="s">
        <v>402</v>
      </c>
      <c r="L1658" s="38" t="s">
        <v>637</v>
      </c>
      <c r="M1658" s="21" t="s">
        <v>351</v>
      </c>
      <c r="N1658" s="18" t="s">
        <v>352</v>
      </c>
    </row>
    <row r="1659" spans="1:14" ht="13">
      <c r="A1659" s="18" t="s">
        <v>283</v>
      </c>
      <c r="B1659" s="18" t="s">
        <v>260</v>
      </c>
      <c r="C1659" s="18" t="s">
        <v>853</v>
      </c>
      <c r="D1659" s="18" t="s">
        <v>345</v>
      </c>
      <c r="E1659" s="63" t="s">
        <v>854</v>
      </c>
      <c r="F1659" s="18" t="s">
        <v>845</v>
      </c>
      <c r="G1659" s="18" t="s">
        <v>690</v>
      </c>
      <c r="H1659" s="18">
        <v>2017</v>
      </c>
      <c r="I1659" s="40">
        <v>758</v>
      </c>
      <c r="J1659" s="40" t="s">
        <v>402</v>
      </c>
      <c r="K1659" s="18" t="s">
        <v>402</v>
      </c>
      <c r="L1659" s="38" t="s">
        <v>637</v>
      </c>
      <c r="M1659" s="21" t="s">
        <v>351</v>
      </c>
      <c r="N1659" s="18" t="s">
        <v>352</v>
      </c>
    </row>
    <row r="1660" spans="1:14" ht="13">
      <c r="A1660" s="18" t="s">
        <v>283</v>
      </c>
      <c r="B1660" s="18" t="s">
        <v>260</v>
      </c>
      <c r="C1660" s="18" t="s">
        <v>853</v>
      </c>
      <c r="D1660" s="18" t="s">
        <v>345</v>
      </c>
      <c r="E1660" s="63" t="s">
        <v>854</v>
      </c>
      <c r="F1660" s="18" t="s">
        <v>845</v>
      </c>
      <c r="G1660" s="18" t="s">
        <v>690</v>
      </c>
      <c r="H1660" s="18">
        <v>2019</v>
      </c>
      <c r="I1660" s="40">
        <v>1184</v>
      </c>
      <c r="J1660" s="40" t="s">
        <v>402</v>
      </c>
      <c r="K1660" s="18" t="s">
        <v>402</v>
      </c>
      <c r="L1660" s="38" t="s">
        <v>637</v>
      </c>
      <c r="M1660" s="21" t="s">
        <v>351</v>
      </c>
      <c r="N1660" s="18" t="s">
        <v>352</v>
      </c>
    </row>
    <row r="1661" spans="1:14" ht="13">
      <c r="A1661" s="18" t="s">
        <v>283</v>
      </c>
      <c r="B1661" s="18" t="s">
        <v>260</v>
      </c>
      <c r="C1661" s="18" t="s">
        <v>855</v>
      </c>
      <c r="D1661" s="18" t="s">
        <v>345</v>
      </c>
      <c r="E1661" s="63" t="s">
        <v>856</v>
      </c>
      <c r="F1661" s="18" t="s">
        <v>845</v>
      </c>
      <c r="G1661" s="18" t="s">
        <v>690</v>
      </c>
      <c r="H1661" s="18">
        <v>1978</v>
      </c>
      <c r="I1661" s="40">
        <v>17992</v>
      </c>
      <c r="J1661" s="40">
        <v>14773</v>
      </c>
      <c r="K1661" s="18" t="s">
        <v>402</v>
      </c>
      <c r="L1661" s="38" t="s">
        <v>637</v>
      </c>
      <c r="M1661" s="21" t="s">
        <v>351</v>
      </c>
      <c r="N1661" s="18" t="s">
        <v>352</v>
      </c>
    </row>
    <row r="1662" spans="1:14" ht="13">
      <c r="A1662" s="18" t="s">
        <v>283</v>
      </c>
      <c r="B1662" s="18" t="s">
        <v>260</v>
      </c>
      <c r="C1662" s="18" t="s">
        <v>855</v>
      </c>
      <c r="D1662" s="18" t="s">
        <v>345</v>
      </c>
      <c r="E1662" s="63" t="s">
        <v>856</v>
      </c>
      <c r="F1662" s="18" t="s">
        <v>845</v>
      </c>
      <c r="G1662" s="18" t="s">
        <v>690</v>
      </c>
      <c r="H1662" s="18">
        <v>1979</v>
      </c>
      <c r="I1662" s="40">
        <v>18182</v>
      </c>
      <c r="J1662" s="40" t="s">
        <v>402</v>
      </c>
      <c r="K1662" s="18">
        <v>22348</v>
      </c>
      <c r="L1662" s="38" t="s">
        <v>637</v>
      </c>
      <c r="M1662" s="21" t="s">
        <v>351</v>
      </c>
      <c r="N1662" s="18" t="s">
        <v>352</v>
      </c>
    </row>
    <row r="1663" spans="1:14" ht="13">
      <c r="A1663" s="18" t="s">
        <v>283</v>
      </c>
      <c r="B1663" s="18" t="s">
        <v>260</v>
      </c>
      <c r="C1663" s="18" t="s">
        <v>855</v>
      </c>
      <c r="D1663" s="18" t="s">
        <v>345</v>
      </c>
      <c r="E1663" s="63" t="s">
        <v>856</v>
      </c>
      <c r="F1663" s="18" t="s">
        <v>845</v>
      </c>
      <c r="G1663" s="18" t="s">
        <v>690</v>
      </c>
      <c r="H1663" s="18">
        <v>1984</v>
      </c>
      <c r="I1663" s="40">
        <v>12879</v>
      </c>
      <c r="J1663" s="40">
        <v>10985</v>
      </c>
      <c r="K1663" s="18">
        <v>15341</v>
      </c>
      <c r="L1663" s="38" t="s">
        <v>637</v>
      </c>
      <c r="M1663" s="21" t="s">
        <v>351</v>
      </c>
      <c r="N1663" s="18" t="s">
        <v>352</v>
      </c>
    </row>
    <row r="1664" spans="1:14" ht="13">
      <c r="A1664" s="18" t="s">
        <v>283</v>
      </c>
      <c r="B1664" s="18" t="s">
        <v>260</v>
      </c>
      <c r="C1664" s="18" t="s">
        <v>855</v>
      </c>
      <c r="D1664" s="18" t="s">
        <v>345</v>
      </c>
      <c r="E1664" s="63" t="s">
        <v>856</v>
      </c>
      <c r="F1664" s="18" t="s">
        <v>845</v>
      </c>
      <c r="G1664" s="18" t="s">
        <v>690</v>
      </c>
      <c r="H1664" s="18">
        <v>1986</v>
      </c>
      <c r="I1664" s="40">
        <v>10985</v>
      </c>
      <c r="J1664" s="40">
        <v>9848</v>
      </c>
      <c r="K1664" s="18">
        <v>12121</v>
      </c>
      <c r="L1664" s="38" t="s">
        <v>637</v>
      </c>
      <c r="M1664" s="21" t="s">
        <v>351</v>
      </c>
      <c r="N1664" s="18" t="s">
        <v>352</v>
      </c>
    </row>
    <row r="1665" spans="1:14" ht="13">
      <c r="A1665" s="18" t="s">
        <v>283</v>
      </c>
      <c r="B1665" s="18" t="s">
        <v>260</v>
      </c>
      <c r="C1665" s="18" t="s">
        <v>855</v>
      </c>
      <c r="D1665" s="18" t="s">
        <v>345</v>
      </c>
      <c r="E1665" s="63" t="s">
        <v>856</v>
      </c>
      <c r="F1665" s="18" t="s">
        <v>845</v>
      </c>
      <c r="G1665" s="18" t="s">
        <v>690</v>
      </c>
      <c r="H1665" s="18">
        <v>1989</v>
      </c>
      <c r="I1665" s="40">
        <v>6487</v>
      </c>
      <c r="J1665" s="40" t="s">
        <v>402</v>
      </c>
      <c r="K1665" s="18" t="s">
        <v>402</v>
      </c>
      <c r="L1665" s="38" t="s">
        <v>637</v>
      </c>
      <c r="M1665" s="21" t="s">
        <v>351</v>
      </c>
      <c r="N1665" s="18" t="s">
        <v>352</v>
      </c>
    </row>
    <row r="1666" spans="1:14" ht="13">
      <c r="A1666" s="18" t="s">
        <v>283</v>
      </c>
      <c r="B1666" s="18" t="s">
        <v>260</v>
      </c>
      <c r="C1666" s="18" t="s">
        <v>855</v>
      </c>
      <c r="D1666" s="18" t="s">
        <v>345</v>
      </c>
      <c r="E1666" s="63" t="s">
        <v>856</v>
      </c>
      <c r="F1666" s="18" t="s">
        <v>845</v>
      </c>
      <c r="G1666" s="18" t="s">
        <v>690</v>
      </c>
      <c r="H1666" s="18">
        <v>1990</v>
      </c>
      <c r="I1666" s="40">
        <v>4924</v>
      </c>
      <c r="J1666" s="40" t="s">
        <v>402</v>
      </c>
      <c r="K1666" s="18" t="s">
        <v>402</v>
      </c>
      <c r="L1666" s="38" t="s">
        <v>637</v>
      </c>
      <c r="M1666" s="21" t="s">
        <v>351</v>
      </c>
      <c r="N1666" s="18" t="s">
        <v>352</v>
      </c>
    </row>
    <row r="1667" spans="1:14" ht="13">
      <c r="A1667" s="18" t="s">
        <v>283</v>
      </c>
      <c r="B1667" s="18" t="s">
        <v>260</v>
      </c>
      <c r="C1667" s="18" t="s">
        <v>855</v>
      </c>
      <c r="D1667" s="18" t="s">
        <v>345</v>
      </c>
      <c r="E1667" s="63" t="s">
        <v>856</v>
      </c>
      <c r="F1667" s="18" t="s">
        <v>845</v>
      </c>
      <c r="G1667" s="18" t="s">
        <v>690</v>
      </c>
      <c r="H1667" s="18">
        <v>1991</v>
      </c>
      <c r="I1667" s="40">
        <v>4545</v>
      </c>
      <c r="J1667" s="40">
        <v>3977</v>
      </c>
      <c r="K1667" s="18">
        <v>5303</v>
      </c>
      <c r="L1667" s="38" t="s">
        <v>637</v>
      </c>
      <c r="M1667" s="21" t="s">
        <v>351</v>
      </c>
      <c r="N1667" s="18" t="s">
        <v>352</v>
      </c>
    </row>
    <row r="1668" spans="1:14" ht="13">
      <c r="A1668" s="18" t="s">
        <v>283</v>
      </c>
      <c r="B1668" s="18" t="s">
        <v>260</v>
      </c>
      <c r="C1668" s="18" t="s">
        <v>855</v>
      </c>
      <c r="D1668" s="18" t="s">
        <v>345</v>
      </c>
      <c r="E1668" s="63" t="s">
        <v>856</v>
      </c>
      <c r="F1668" s="18" t="s">
        <v>845</v>
      </c>
      <c r="G1668" s="18" t="s">
        <v>690</v>
      </c>
      <c r="H1668" s="18">
        <v>1992</v>
      </c>
      <c r="I1668" s="40">
        <v>3598</v>
      </c>
      <c r="J1668" s="40" t="s">
        <v>402</v>
      </c>
      <c r="K1668" s="18" t="s">
        <v>402</v>
      </c>
      <c r="L1668" s="38" t="s">
        <v>637</v>
      </c>
      <c r="M1668" s="21" t="s">
        <v>351</v>
      </c>
      <c r="N1668" s="18" t="s">
        <v>352</v>
      </c>
    </row>
    <row r="1669" spans="1:14" ht="13">
      <c r="A1669" s="18" t="s">
        <v>283</v>
      </c>
      <c r="B1669" s="18" t="s">
        <v>260</v>
      </c>
      <c r="C1669" s="18" t="s">
        <v>855</v>
      </c>
      <c r="D1669" s="18" t="s">
        <v>345</v>
      </c>
      <c r="E1669" s="63" t="s">
        <v>856</v>
      </c>
      <c r="F1669" s="18" t="s">
        <v>845</v>
      </c>
      <c r="G1669" s="18" t="s">
        <v>690</v>
      </c>
      <c r="H1669" s="18">
        <v>1993</v>
      </c>
      <c r="I1669" s="40">
        <v>3220</v>
      </c>
      <c r="J1669" s="40">
        <v>2841</v>
      </c>
      <c r="K1669" s="18">
        <v>3788</v>
      </c>
      <c r="L1669" s="38" t="s">
        <v>637</v>
      </c>
      <c r="M1669" s="21" t="s">
        <v>351</v>
      </c>
      <c r="N1669" s="18" t="s">
        <v>352</v>
      </c>
    </row>
    <row r="1670" spans="1:14" ht="13">
      <c r="A1670" s="18" t="s">
        <v>283</v>
      </c>
      <c r="B1670" s="18" t="s">
        <v>260</v>
      </c>
      <c r="C1670" s="18" t="s">
        <v>855</v>
      </c>
      <c r="D1670" s="18" t="s">
        <v>345</v>
      </c>
      <c r="E1670" s="63" t="s">
        <v>856</v>
      </c>
      <c r="F1670" s="18" t="s">
        <v>845</v>
      </c>
      <c r="G1670" s="18" t="s">
        <v>690</v>
      </c>
      <c r="H1670" s="18">
        <v>1994</v>
      </c>
      <c r="I1670" s="40">
        <v>2983</v>
      </c>
      <c r="J1670" s="40" t="s">
        <v>402</v>
      </c>
      <c r="K1670" s="18" t="s">
        <v>402</v>
      </c>
      <c r="L1670" s="38" t="s">
        <v>637</v>
      </c>
      <c r="M1670" s="21" t="s">
        <v>351</v>
      </c>
      <c r="N1670" s="18" t="s">
        <v>352</v>
      </c>
    </row>
    <row r="1671" spans="1:14" ht="13">
      <c r="A1671" s="18" t="s">
        <v>283</v>
      </c>
      <c r="B1671" s="18" t="s">
        <v>260</v>
      </c>
      <c r="C1671" s="18" t="s">
        <v>855</v>
      </c>
      <c r="D1671" s="18" t="s">
        <v>345</v>
      </c>
      <c r="E1671" s="63" t="s">
        <v>856</v>
      </c>
      <c r="F1671" s="18" t="s">
        <v>845</v>
      </c>
      <c r="G1671" s="18" t="s">
        <v>690</v>
      </c>
      <c r="H1671" s="18">
        <v>1996</v>
      </c>
      <c r="I1671" s="40">
        <v>2273</v>
      </c>
      <c r="J1671" s="40" t="s">
        <v>402</v>
      </c>
      <c r="K1671" s="18">
        <v>2841</v>
      </c>
      <c r="L1671" s="38" t="s">
        <v>637</v>
      </c>
      <c r="M1671" s="21" t="s">
        <v>351</v>
      </c>
      <c r="N1671" s="18" t="s">
        <v>352</v>
      </c>
    </row>
    <row r="1672" spans="1:14" ht="13">
      <c r="A1672" s="18" t="s">
        <v>283</v>
      </c>
      <c r="B1672" s="18" t="s">
        <v>260</v>
      </c>
      <c r="C1672" s="18" t="s">
        <v>855</v>
      </c>
      <c r="D1672" s="18" t="s">
        <v>345</v>
      </c>
      <c r="E1672" s="63" t="s">
        <v>856</v>
      </c>
      <c r="F1672" s="18" t="s">
        <v>845</v>
      </c>
      <c r="G1672" s="18" t="s">
        <v>690</v>
      </c>
      <c r="H1672" s="18">
        <v>1997</v>
      </c>
      <c r="I1672" s="40">
        <v>2273</v>
      </c>
      <c r="J1672" s="40" t="s">
        <v>402</v>
      </c>
      <c r="K1672" s="18" t="s">
        <v>402</v>
      </c>
      <c r="L1672" s="38" t="s">
        <v>637</v>
      </c>
      <c r="M1672" s="21" t="s">
        <v>351</v>
      </c>
      <c r="N1672" s="18" t="s">
        <v>352</v>
      </c>
    </row>
    <row r="1673" spans="1:14" ht="13">
      <c r="A1673" s="18" t="s">
        <v>283</v>
      </c>
      <c r="B1673" s="18" t="s">
        <v>260</v>
      </c>
      <c r="C1673" s="18" t="s">
        <v>855</v>
      </c>
      <c r="D1673" s="18" t="s">
        <v>345</v>
      </c>
      <c r="E1673" s="63" t="s">
        <v>856</v>
      </c>
      <c r="F1673" s="18" t="s">
        <v>845</v>
      </c>
      <c r="G1673" s="18" t="s">
        <v>690</v>
      </c>
      <c r="H1673" s="18">
        <v>1998</v>
      </c>
      <c r="I1673" s="40">
        <v>1941</v>
      </c>
      <c r="J1673" s="40" t="s">
        <v>402</v>
      </c>
      <c r="K1673" s="18" t="s">
        <v>402</v>
      </c>
      <c r="L1673" s="38" t="s">
        <v>637</v>
      </c>
      <c r="M1673" s="21" t="s">
        <v>351</v>
      </c>
      <c r="N1673" s="18" t="s">
        <v>352</v>
      </c>
    </row>
    <row r="1674" spans="1:14" ht="13">
      <c r="A1674" s="18" t="s">
        <v>283</v>
      </c>
      <c r="B1674" s="18" t="s">
        <v>260</v>
      </c>
      <c r="C1674" s="18" t="s">
        <v>855</v>
      </c>
      <c r="D1674" s="18" t="s">
        <v>345</v>
      </c>
      <c r="E1674" s="63" t="s">
        <v>856</v>
      </c>
      <c r="F1674" s="18" t="s">
        <v>845</v>
      </c>
      <c r="G1674" s="18" t="s">
        <v>690</v>
      </c>
      <c r="H1674" s="18">
        <v>2000</v>
      </c>
      <c r="I1674" s="40">
        <v>1989</v>
      </c>
      <c r="J1674" s="40" t="s">
        <v>402</v>
      </c>
      <c r="K1674" s="18" t="s">
        <v>402</v>
      </c>
      <c r="L1674" s="38" t="s">
        <v>637</v>
      </c>
      <c r="M1674" s="21" t="s">
        <v>351</v>
      </c>
      <c r="N1674" s="18" t="s">
        <v>352</v>
      </c>
    </row>
    <row r="1675" spans="1:14" ht="13">
      <c r="A1675" s="18" t="s">
        <v>283</v>
      </c>
      <c r="B1675" s="18" t="s">
        <v>260</v>
      </c>
      <c r="C1675" s="18" t="s">
        <v>855</v>
      </c>
      <c r="D1675" s="18" t="s">
        <v>345</v>
      </c>
      <c r="E1675" s="63" t="s">
        <v>856</v>
      </c>
      <c r="F1675" s="18" t="s">
        <v>845</v>
      </c>
      <c r="G1675" s="18" t="s">
        <v>690</v>
      </c>
      <c r="H1675" s="18">
        <v>2001</v>
      </c>
      <c r="I1675" s="40">
        <v>1657</v>
      </c>
      <c r="J1675" s="40" t="s">
        <v>402</v>
      </c>
      <c r="K1675" s="18" t="s">
        <v>402</v>
      </c>
      <c r="L1675" s="38" t="s">
        <v>637</v>
      </c>
      <c r="M1675" s="21" t="s">
        <v>351</v>
      </c>
      <c r="N1675" s="18" t="s">
        <v>352</v>
      </c>
    </row>
    <row r="1676" spans="1:14" ht="13">
      <c r="A1676" s="18" t="s">
        <v>283</v>
      </c>
      <c r="B1676" s="18" t="s">
        <v>260</v>
      </c>
      <c r="C1676" s="18" t="s">
        <v>855</v>
      </c>
      <c r="D1676" s="18" t="s">
        <v>345</v>
      </c>
      <c r="E1676" s="63" t="s">
        <v>856</v>
      </c>
      <c r="F1676" s="18" t="s">
        <v>845</v>
      </c>
      <c r="G1676" s="18" t="s">
        <v>690</v>
      </c>
      <c r="H1676" s="18">
        <v>2002</v>
      </c>
      <c r="I1676" s="40">
        <v>1752</v>
      </c>
      <c r="J1676" s="40" t="s">
        <v>402</v>
      </c>
      <c r="K1676" s="18" t="s">
        <v>402</v>
      </c>
      <c r="L1676" s="38" t="s">
        <v>637</v>
      </c>
      <c r="M1676" s="21" t="s">
        <v>351</v>
      </c>
      <c r="N1676" s="18" t="s">
        <v>352</v>
      </c>
    </row>
    <row r="1677" spans="1:14" ht="13">
      <c r="A1677" s="18" t="s">
        <v>283</v>
      </c>
      <c r="B1677" s="18" t="s">
        <v>260</v>
      </c>
      <c r="C1677" s="18" t="s">
        <v>855</v>
      </c>
      <c r="D1677" s="18" t="s">
        <v>345</v>
      </c>
      <c r="E1677" s="63" t="s">
        <v>856</v>
      </c>
      <c r="F1677" s="18" t="s">
        <v>845</v>
      </c>
      <c r="G1677" s="18" t="s">
        <v>690</v>
      </c>
      <c r="H1677" s="18">
        <v>2003</v>
      </c>
      <c r="I1677" s="40">
        <v>1705</v>
      </c>
      <c r="J1677" s="40" t="s">
        <v>402</v>
      </c>
      <c r="K1677" s="18" t="s">
        <v>402</v>
      </c>
      <c r="L1677" s="38" t="s">
        <v>637</v>
      </c>
      <c r="M1677" s="21" t="s">
        <v>351</v>
      </c>
      <c r="N1677" s="18" t="s">
        <v>352</v>
      </c>
    </row>
    <row r="1678" spans="1:14" ht="13">
      <c r="A1678" s="18" t="s">
        <v>283</v>
      </c>
      <c r="B1678" s="18" t="s">
        <v>260</v>
      </c>
      <c r="C1678" s="18" t="s">
        <v>855</v>
      </c>
      <c r="D1678" s="18" t="s">
        <v>345</v>
      </c>
      <c r="E1678" s="63" t="s">
        <v>856</v>
      </c>
      <c r="F1678" s="18" t="s">
        <v>845</v>
      </c>
      <c r="G1678" s="18" t="s">
        <v>690</v>
      </c>
      <c r="H1678" s="18">
        <v>2004</v>
      </c>
      <c r="I1678" s="40">
        <v>1705</v>
      </c>
      <c r="J1678" s="40" t="s">
        <v>402</v>
      </c>
      <c r="K1678" s="18" t="s">
        <v>402</v>
      </c>
      <c r="L1678" s="38" t="s">
        <v>637</v>
      </c>
      <c r="M1678" s="21" t="s">
        <v>351</v>
      </c>
      <c r="N1678" s="18" t="s">
        <v>352</v>
      </c>
    </row>
    <row r="1679" spans="1:14" ht="13">
      <c r="A1679" s="18" t="s">
        <v>283</v>
      </c>
      <c r="B1679" s="18" t="s">
        <v>260</v>
      </c>
      <c r="C1679" s="18" t="s">
        <v>855</v>
      </c>
      <c r="D1679" s="18" t="s">
        <v>345</v>
      </c>
      <c r="E1679" s="63" t="s">
        <v>856</v>
      </c>
      <c r="F1679" s="18" t="s">
        <v>845</v>
      </c>
      <c r="G1679" s="18" t="s">
        <v>690</v>
      </c>
      <c r="H1679" s="18">
        <v>2005</v>
      </c>
      <c r="I1679" s="40">
        <v>1705</v>
      </c>
      <c r="J1679" s="40" t="s">
        <v>402</v>
      </c>
      <c r="K1679" s="18" t="s">
        <v>402</v>
      </c>
      <c r="L1679" s="38" t="s">
        <v>637</v>
      </c>
      <c r="M1679" s="21" t="s">
        <v>351</v>
      </c>
      <c r="N1679" s="18" t="s">
        <v>352</v>
      </c>
    </row>
    <row r="1680" spans="1:14" ht="13">
      <c r="A1680" s="18" t="s">
        <v>283</v>
      </c>
      <c r="B1680" s="18" t="s">
        <v>260</v>
      </c>
      <c r="C1680" s="18" t="s">
        <v>855</v>
      </c>
      <c r="D1680" s="18" t="s">
        <v>345</v>
      </c>
      <c r="E1680" s="63" t="s">
        <v>856</v>
      </c>
      <c r="F1680" s="18" t="s">
        <v>845</v>
      </c>
      <c r="G1680" s="18" t="s">
        <v>690</v>
      </c>
      <c r="H1680" s="18">
        <v>2007</v>
      </c>
      <c r="I1680" s="40">
        <v>1894</v>
      </c>
      <c r="J1680" s="40" t="s">
        <v>402</v>
      </c>
      <c r="K1680" s="18" t="s">
        <v>402</v>
      </c>
      <c r="L1680" s="38" t="s">
        <v>637</v>
      </c>
      <c r="M1680" s="21" t="s">
        <v>351</v>
      </c>
      <c r="N1680" s="18" t="s">
        <v>352</v>
      </c>
    </row>
    <row r="1681" spans="1:14" ht="13">
      <c r="A1681" s="18" t="s">
        <v>283</v>
      </c>
      <c r="B1681" s="18" t="s">
        <v>260</v>
      </c>
      <c r="C1681" s="18" t="s">
        <v>855</v>
      </c>
      <c r="D1681" s="18" t="s">
        <v>345</v>
      </c>
      <c r="E1681" s="63" t="s">
        <v>856</v>
      </c>
      <c r="F1681" s="18" t="s">
        <v>845</v>
      </c>
      <c r="G1681" s="18" t="s">
        <v>690</v>
      </c>
      <c r="H1681" s="18">
        <v>2009</v>
      </c>
      <c r="I1681" s="40">
        <v>1941</v>
      </c>
      <c r="J1681" s="40" t="s">
        <v>402</v>
      </c>
      <c r="K1681" s="18" t="s">
        <v>402</v>
      </c>
      <c r="L1681" s="38" t="s">
        <v>637</v>
      </c>
      <c r="M1681" s="21" t="s">
        <v>351</v>
      </c>
      <c r="N1681" s="18" t="s">
        <v>352</v>
      </c>
    </row>
    <row r="1682" spans="1:14" ht="13">
      <c r="A1682" s="18" t="s">
        <v>283</v>
      </c>
      <c r="B1682" s="18" t="s">
        <v>260</v>
      </c>
      <c r="C1682" s="18" t="s">
        <v>855</v>
      </c>
      <c r="D1682" s="18" t="s">
        <v>345</v>
      </c>
      <c r="E1682" s="63" t="s">
        <v>856</v>
      </c>
      <c r="F1682" s="18" t="s">
        <v>845</v>
      </c>
      <c r="G1682" s="18" t="s">
        <v>690</v>
      </c>
      <c r="H1682" s="18">
        <v>2010</v>
      </c>
      <c r="I1682" s="40">
        <v>2083</v>
      </c>
      <c r="J1682" s="40" t="s">
        <v>402</v>
      </c>
      <c r="K1682" s="18" t="s">
        <v>402</v>
      </c>
      <c r="L1682" s="38" t="s">
        <v>637</v>
      </c>
      <c r="M1682" s="21" t="s">
        <v>351</v>
      </c>
      <c r="N1682" s="18" t="s">
        <v>352</v>
      </c>
    </row>
    <row r="1683" spans="1:14" ht="13">
      <c r="A1683" s="18" t="s">
        <v>283</v>
      </c>
      <c r="B1683" s="18" t="s">
        <v>260</v>
      </c>
      <c r="C1683" s="18" t="s">
        <v>855</v>
      </c>
      <c r="D1683" s="18" t="s">
        <v>345</v>
      </c>
      <c r="E1683" s="63" t="s">
        <v>856</v>
      </c>
      <c r="F1683" s="18" t="s">
        <v>845</v>
      </c>
      <c r="G1683" s="18" t="s">
        <v>690</v>
      </c>
      <c r="H1683" s="18">
        <v>2011</v>
      </c>
      <c r="I1683" s="40">
        <v>2273</v>
      </c>
      <c r="J1683" s="40" t="s">
        <v>402</v>
      </c>
      <c r="K1683" s="18" t="s">
        <v>402</v>
      </c>
      <c r="L1683" s="38" t="s">
        <v>637</v>
      </c>
      <c r="M1683" s="21" t="s">
        <v>351</v>
      </c>
      <c r="N1683" s="18" t="s">
        <v>352</v>
      </c>
    </row>
    <row r="1684" spans="1:14" ht="13">
      <c r="A1684" s="18" t="s">
        <v>283</v>
      </c>
      <c r="B1684" s="18" t="s">
        <v>260</v>
      </c>
      <c r="C1684" s="18" t="s">
        <v>855</v>
      </c>
      <c r="D1684" s="18" t="s">
        <v>345</v>
      </c>
      <c r="E1684" s="63" t="s">
        <v>856</v>
      </c>
      <c r="F1684" s="18" t="s">
        <v>845</v>
      </c>
      <c r="G1684" s="18" t="s">
        <v>690</v>
      </c>
      <c r="H1684" s="18">
        <v>2013</v>
      </c>
      <c r="I1684" s="40">
        <v>2652</v>
      </c>
      <c r="J1684" s="40" t="s">
        <v>402</v>
      </c>
      <c r="K1684" s="18" t="s">
        <v>402</v>
      </c>
      <c r="L1684" s="38" t="s">
        <v>637</v>
      </c>
      <c r="M1684" s="21" t="s">
        <v>351</v>
      </c>
      <c r="N1684" s="18" t="s">
        <v>352</v>
      </c>
    </row>
    <row r="1685" spans="1:14" ht="1.5" customHeight="1">
      <c r="A1685" s="18" t="s">
        <v>283</v>
      </c>
      <c r="B1685" s="18" t="s">
        <v>260</v>
      </c>
      <c r="C1685" s="18" t="s">
        <v>855</v>
      </c>
      <c r="D1685" s="18" t="s">
        <v>345</v>
      </c>
      <c r="E1685" s="63" t="s">
        <v>856</v>
      </c>
      <c r="F1685" s="18" t="s">
        <v>845</v>
      </c>
      <c r="G1685" s="18" t="s">
        <v>690</v>
      </c>
      <c r="H1685" s="18">
        <v>2015</v>
      </c>
      <c r="I1685" s="40">
        <v>2699</v>
      </c>
      <c r="J1685" s="40" t="s">
        <v>402</v>
      </c>
      <c r="K1685" s="18" t="s">
        <v>402</v>
      </c>
      <c r="L1685" s="38" t="s">
        <v>637</v>
      </c>
      <c r="M1685" s="21" t="s">
        <v>351</v>
      </c>
      <c r="N1685" s="18" t="s">
        <v>352</v>
      </c>
    </row>
    <row r="1686" spans="1:14" ht="13">
      <c r="A1686" s="18" t="s">
        <v>283</v>
      </c>
      <c r="B1686" s="18" t="s">
        <v>260</v>
      </c>
      <c r="C1686" s="18" t="s">
        <v>855</v>
      </c>
      <c r="D1686" s="18" t="s">
        <v>345</v>
      </c>
      <c r="E1686" s="63" t="s">
        <v>856</v>
      </c>
      <c r="F1686" s="18" t="s">
        <v>845</v>
      </c>
      <c r="G1686" s="18" t="s">
        <v>690</v>
      </c>
      <c r="H1686" s="18">
        <v>2017</v>
      </c>
      <c r="I1686" s="40">
        <v>2225</v>
      </c>
      <c r="J1686" s="40" t="s">
        <v>402</v>
      </c>
      <c r="K1686" s="18" t="s">
        <v>402</v>
      </c>
      <c r="L1686" s="38" t="s">
        <v>637</v>
      </c>
      <c r="M1686" s="21" t="s">
        <v>351</v>
      </c>
      <c r="N1686" s="18" t="s">
        <v>352</v>
      </c>
    </row>
    <row r="1687" spans="1:14" ht="13">
      <c r="A1687" s="18" t="s">
        <v>283</v>
      </c>
      <c r="B1687" s="18" t="s">
        <v>260</v>
      </c>
      <c r="C1687" s="18" t="s">
        <v>855</v>
      </c>
      <c r="D1687" s="18" t="s">
        <v>345</v>
      </c>
      <c r="E1687" s="63" t="s">
        <v>856</v>
      </c>
      <c r="F1687" s="18" t="s">
        <v>845</v>
      </c>
      <c r="G1687" s="18" t="s">
        <v>690</v>
      </c>
      <c r="H1687" s="18">
        <v>2018</v>
      </c>
      <c r="I1687" s="40">
        <v>2557</v>
      </c>
      <c r="J1687" s="40" t="s">
        <v>402</v>
      </c>
      <c r="K1687" s="18">
        <v>3220</v>
      </c>
      <c r="L1687" s="38" t="s">
        <v>637</v>
      </c>
      <c r="M1687" s="21" t="s">
        <v>351</v>
      </c>
      <c r="N1687" s="18" t="s">
        <v>352</v>
      </c>
    </row>
    <row r="1688" spans="1:14" ht="13">
      <c r="A1688" s="18" t="s">
        <v>283</v>
      </c>
      <c r="B1688" s="18" t="s">
        <v>260</v>
      </c>
      <c r="C1688" s="18" t="s">
        <v>855</v>
      </c>
      <c r="D1688" s="18" t="s">
        <v>345</v>
      </c>
      <c r="E1688" s="63" t="s">
        <v>856</v>
      </c>
      <c r="F1688" s="18" t="s">
        <v>845</v>
      </c>
      <c r="G1688" s="18" t="s">
        <v>690</v>
      </c>
      <c r="H1688" s="18">
        <v>2019</v>
      </c>
      <c r="I1688" s="40">
        <v>2699</v>
      </c>
      <c r="J1688" s="40" t="s">
        <v>402</v>
      </c>
      <c r="K1688" s="18" t="s">
        <v>402</v>
      </c>
      <c r="L1688" s="38" t="s">
        <v>637</v>
      </c>
      <c r="M1688" s="21" t="s">
        <v>351</v>
      </c>
      <c r="N1688" s="18" t="s">
        <v>352</v>
      </c>
    </row>
    <row r="1689" spans="1:14" ht="13">
      <c r="A1689" s="18" t="s">
        <v>283</v>
      </c>
      <c r="B1689" s="18" t="s">
        <v>260</v>
      </c>
      <c r="C1689" s="18" t="s">
        <v>843</v>
      </c>
      <c r="D1689" s="18" t="s">
        <v>345</v>
      </c>
      <c r="E1689" s="63" t="s">
        <v>844</v>
      </c>
      <c r="F1689" s="18" t="s">
        <v>845</v>
      </c>
      <c r="G1689" s="18" t="s">
        <v>647</v>
      </c>
      <c r="H1689" s="18">
        <v>1978</v>
      </c>
      <c r="I1689" s="40">
        <v>17083</v>
      </c>
      <c r="J1689" s="40">
        <v>13750</v>
      </c>
      <c r="K1689" s="18">
        <v>20833</v>
      </c>
      <c r="L1689" s="38" t="s">
        <v>637</v>
      </c>
      <c r="M1689" s="21" t="s">
        <v>351</v>
      </c>
      <c r="N1689" s="18" t="s">
        <v>352</v>
      </c>
    </row>
    <row r="1690" spans="1:14" ht="13">
      <c r="A1690" s="18" t="s">
        <v>283</v>
      </c>
      <c r="B1690" s="18" t="s">
        <v>260</v>
      </c>
      <c r="C1690" s="18" t="s">
        <v>843</v>
      </c>
      <c r="D1690" s="18" t="s">
        <v>345</v>
      </c>
      <c r="E1690" s="63" t="s">
        <v>844</v>
      </c>
      <c r="F1690" s="18" t="s">
        <v>845</v>
      </c>
      <c r="G1690" s="18" t="s">
        <v>647</v>
      </c>
      <c r="H1690" s="18">
        <v>1979</v>
      </c>
      <c r="I1690" s="40">
        <v>15833</v>
      </c>
      <c r="J1690" s="40">
        <v>12500</v>
      </c>
      <c r="K1690" s="18">
        <v>20000</v>
      </c>
      <c r="L1690" s="38" t="s">
        <v>637</v>
      </c>
      <c r="M1690" s="21" t="s">
        <v>351</v>
      </c>
      <c r="N1690" s="18" t="s">
        <v>352</v>
      </c>
    </row>
    <row r="1691" spans="1:14" ht="13">
      <c r="A1691" s="18" t="s">
        <v>283</v>
      </c>
      <c r="B1691" s="18" t="s">
        <v>260</v>
      </c>
      <c r="C1691" s="18" t="s">
        <v>843</v>
      </c>
      <c r="D1691" s="18" t="s">
        <v>345</v>
      </c>
      <c r="E1691" s="63" t="s">
        <v>844</v>
      </c>
      <c r="F1691" s="18" t="s">
        <v>845</v>
      </c>
      <c r="G1691" s="18" t="s">
        <v>647</v>
      </c>
      <c r="H1691" s="18">
        <v>1982</v>
      </c>
      <c r="I1691" s="40">
        <v>13333</v>
      </c>
      <c r="J1691" s="40">
        <v>10417</v>
      </c>
      <c r="K1691" s="18">
        <v>15833</v>
      </c>
      <c r="L1691" s="38" t="s">
        <v>637</v>
      </c>
      <c r="M1691" s="21" t="s">
        <v>351</v>
      </c>
      <c r="N1691" s="18" t="s">
        <v>352</v>
      </c>
    </row>
    <row r="1692" spans="1:14" ht="13">
      <c r="A1692" s="18" t="s">
        <v>283</v>
      </c>
      <c r="B1692" s="18" t="s">
        <v>260</v>
      </c>
      <c r="C1692" s="18" t="s">
        <v>843</v>
      </c>
      <c r="D1692" s="18" t="s">
        <v>345</v>
      </c>
      <c r="E1692" s="63" t="s">
        <v>844</v>
      </c>
      <c r="F1692" s="18" t="s">
        <v>845</v>
      </c>
      <c r="G1692" s="18" t="s">
        <v>647</v>
      </c>
      <c r="H1692" s="18">
        <v>1983</v>
      </c>
      <c r="I1692" s="40">
        <v>12083</v>
      </c>
      <c r="J1692" s="40">
        <v>10000</v>
      </c>
      <c r="K1692" s="18">
        <v>15000</v>
      </c>
      <c r="L1692" s="38" t="s">
        <v>637</v>
      </c>
      <c r="M1692" s="21" t="s">
        <v>351</v>
      </c>
      <c r="N1692" s="18" t="s">
        <v>352</v>
      </c>
    </row>
    <row r="1693" spans="1:14" ht="13">
      <c r="A1693" s="18" t="s">
        <v>283</v>
      </c>
      <c r="B1693" s="18" t="s">
        <v>260</v>
      </c>
      <c r="C1693" s="18" t="s">
        <v>843</v>
      </c>
      <c r="D1693" s="18" t="s">
        <v>345</v>
      </c>
      <c r="E1693" s="63" t="s">
        <v>844</v>
      </c>
      <c r="F1693" s="18" t="s">
        <v>845</v>
      </c>
      <c r="G1693" s="18" t="s">
        <v>647</v>
      </c>
      <c r="H1693" s="18">
        <v>1984</v>
      </c>
      <c r="I1693" s="40">
        <v>13542</v>
      </c>
      <c r="J1693" s="40">
        <v>12083</v>
      </c>
      <c r="K1693" s="18">
        <v>14583</v>
      </c>
      <c r="L1693" s="38" t="s">
        <v>637</v>
      </c>
      <c r="M1693" s="21" t="s">
        <v>351</v>
      </c>
      <c r="N1693" s="18" t="s">
        <v>352</v>
      </c>
    </row>
    <row r="1694" spans="1:14" ht="13">
      <c r="A1694" s="18" t="s">
        <v>283</v>
      </c>
      <c r="B1694" s="18" t="s">
        <v>260</v>
      </c>
      <c r="C1694" s="18" t="s">
        <v>843</v>
      </c>
      <c r="D1694" s="18" t="s">
        <v>345</v>
      </c>
      <c r="E1694" s="63" t="s">
        <v>844</v>
      </c>
      <c r="F1694" s="18" t="s">
        <v>845</v>
      </c>
      <c r="G1694" s="18" t="s">
        <v>647</v>
      </c>
      <c r="H1694" s="18">
        <v>1985</v>
      </c>
      <c r="I1694" s="40">
        <v>12708</v>
      </c>
      <c r="J1694" s="40" t="s">
        <v>402</v>
      </c>
      <c r="K1694" s="18" t="s">
        <v>402</v>
      </c>
      <c r="L1694" s="38" t="s">
        <v>637</v>
      </c>
      <c r="M1694" s="21" t="s">
        <v>351</v>
      </c>
      <c r="N1694" s="18" t="s">
        <v>352</v>
      </c>
    </row>
    <row r="1695" spans="1:14" ht="13">
      <c r="A1695" s="18" t="s">
        <v>283</v>
      </c>
      <c r="B1695" s="18" t="s">
        <v>260</v>
      </c>
      <c r="C1695" s="18" t="s">
        <v>843</v>
      </c>
      <c r="D1695" s="18" t="s">
        <v>345</v>
      </c>
      <c r="E1695" s="63" t="s">
        <v>844</v>
      </c>
      <c r="F1695" s="18" t="s">
        <v>845</v>
      </c>
      <c r="G1695" s="18" t="s">
        <v>647</v>
      </c>
      <c r="H1695" s="18">
        <v>1986</v>
      </c>
      <c r="I1695" s="40">
        <v>10417</v>
      </c>
      <c r="J1695" s="40" t="s">
        <v>402</v>
      </c>
      <c r="K1695" s="18">
        <v>11667</v>
      </c>
      <c r="L1695" s="38" t="s">
        <v>637</v>
      </c>
      <c r="M1695" s="21" t="s">
        <v>351</v>
      </c>
      <c r="N1695" s="18" t="s">
        <v>352</v>
      </c>
    </row>
    <row r="1696" spans="1:14" ht="13">
      <c r="A1696" s="18" t="s">
        <v>283</v>
      </c>
      <c r="B1696" s="18" t="s">
        <v>260</v>
      </c>
      <c r="C1696" s="18" t="s">
        <v>843</v>
      </c>
      <c r="D1696" s="18" t="s">
        <v>345</v>
      </c>
      <c r="E1696" s="63" t="s">
        <v>844</v>
      </c>
      <c r="F1696" s="18" t="s">
        <v>845</v>
      </c>
      <c r="G1696" s="18" t="s">
        <v>647</v>
      </c>
      <c r="H1696" s="18">
        <v>1987</v>
      </c>
      <c r="I1696" s="40">
        <v>8333</v>
      </c>
      <c r="J1696" s="40">
        <v>7083</v>
      </c>
      <c r="K1696" s="18">
        <v>10417</v>
      </c>
      <c r="L1696" s="38" t="s">
        <v>637</v>
      </c>
      <c r="M1696" s="21" t="s">
        <v>351</v>
      </c>
      <c r="N1696" s="18" t="s">
        <v>352</v>
      </c>
    </row>
    <row r="1697" spans="1:14" ht="13">
      <c r="A1697" s="18" t="s">
        <v>283</v>
      </c>
      <c r="B1697" s="18" t="s">
        <v>260</v>
      </c>
      <c r="C1697" s="18" t="s">
        <v>843</v>
      </c>
      <c r="D1697" s="18" t="s">
        <v>345</v>
      </c>
      <c r="E1697" s="63" t="s">
        <v>844</v>
      </c>
      <c r="F1697" s="18" t="s">
        <v>845</v>
      </c>
      <c r="G1697" s="18" t="s">
        <v>647</v>
      </c>
      <c r="H1697" s="18">
        <v>1988</v>
      </c>
      <c r="I1697" s="40">
        <v>7500</v>
      </c>
      <c r="J1697" s="40">
        <v>6250</v>
      </c>
      <c r="K1697" s="18">
        <v>9167</v>
      </c>
      <c r="L1697" s="38" t="s">
        <v>637</v>
      </c>
      <c r="M1697" s="21" t="s">
        <v>351</v>
      </c>
      <c r="N1697" s="18" t="s">
        <v>352</v>
      </c>
    </row>
    <row r="1698" spans="1:14" ht="13">
      <c r="A1698" s="18" t="s">
        <v>283</v>
      </c>
      <c r="B1698" s="18" t="s">
        <v>260</v>
      </c>
      <c r="C1698" s="18" t="s">
        <v>843</v>
      </c>
      <c r="D1698" s="18" t="s">
        <v>345</v>
      </c>
      <c r="E1698" s="63" t="s">
        <v>844</v>
      </c>
      <c r="F1698" s="18" t="s">
        <v>845</v>
      </c>
      <c r="G1698" s="18" t="s">
        <v>647</v>
      </c>
      <c r="H1698" s="18">
        <v>1989</v>
      </c>
      <c r="I1698" s="40">
        <v>4375</v>
      </c>
      <c r="J1698" s="40" t="s">
        <v>402</v>
      </c>
      <c r="K1698" s="18" t="s">
        <v>402</v>
      </c>
      <c r="L1698" s="38" t="s">
        <v>637</v>
      </c>
      <c r="M1698" s="21" t="s">
        <v>351</v>
      </c>
      <c r="N1698" s="18" t="s">
        <v>352</v>
      </c>
    </row>
    <row r="1699" spans="1:14" ht="13">
      <c r="A1699" s="18" t="s">
        <v>283</v>
      </c>
      <c r="B1699" s="18" t="s">
        <v>260</v>
      </c>
      <c r="C1699" s="18" t="s">
        <v>843</v>
      </c>
      <c r="D1699" s="18" t="s">
        <v>345</v>
      </c>
      <c r="E1699" s="63" t="s">
        <v>844</v>
      </c>
      <c r="F1699" s="18" t="s">
        <v>845</v>
      </c>
      <c r="G1699" s="18" t="s">
        <v>647</v>
      </c>
      <c r="H1699" s="18">
        <v>1990</v>
      </c>
      <c r="I1699" s="40">
        <v>6250</v>
      </c>
      <c r="J1699" s="40" t="s">
        <v>402</v>
      </c>
      <c r="K1699" s="18" t="s">
        <v>402</v>
      </c>
      <c r="L1699" s="38" t="s">
        <v>637</v>
      </c>
      <c r="M1699" s="21" t="s">
        <v>351</v>
      </c>
      <c r="N1699" s="18" t="s">
        <v>352</v>
      </c>
    </row>
    <row r="1700" spans="1:14" ht="13">
      <c r="A1700" s="18" t="s">
        <v>283</v>
      </c>
      <c r="B1700" s="18" t="s">
        <v>260</v>
      </c>
      <c r="C1700" s="18" t="s">
        <v>843</v>
      </c>
      <c r="D1700" s="18" t="s">
        <v>345</v>
      </c>
      <c r="E1700" s="63" t="s">
        <v>844</v>
      </c>
      <c r="F1700" s="18" t="s">
        <v>845</v>
      </c>
      <c r="G1700" s="18" t="s">
        <v>647</v>
      </c>
      <c r="H1700" s="18">
        <v>1991</v>
      </c>
      <c r="I1700" s="40">
        <v>6250</v>
      </c>
      <c r="J1700" s="40" t="s">
        <v>402</v>
      </c>
      <c r="K1700" s="18" t="s">
        <v>402</v>
      </c>
      <c r="L1700" s="38" t="s">
        <v>637</v>
      </c>
      <c r="M1700" s="21" t="s">
        <v>351</v>
      </c>
      <c r="N1700" s="18" t="s">
        <v>352</v>
      </c>
    </row>
    <row r="1701" spans="1:14" ht="13">
      <c r="A1701" s="18" t="s">
        <v>283</v>
      </c>
      <c r="B1701" s="18" t="s">
        <v>260</v>
      </c>
      <c r="C1701" s="18" t="s">
        <v>843</v>
      </c>
      <c r="D1701" s="18" t="s">
        <v>345</v>
      </c>
      <c r="E1701" s="63" t="s">
        <v>844</v>
      </c>
      <c r="F1701" s="18" t="s">
        <v>845</v>
      </c>
      <c r="G1701" s="18" t="s">
        <v>647</v>
      </c>
      <c r="H1701" s="18">
        <v>1992</v>
      </c>
      <c r="I1701" s="40">
        <v>6875</v>
      </c>
      <c r="J1701" s="40" t="s">
        <v>402</v>
      </c>
      <c r="K1701" s="18" t="s">
        <v>402</v>
      </c>
      <c r="L1701" s="38" t="s">
        <v>637</v>
      </c>
      <c r="M1701" s="21" t="s">
        <v>351</v>
      </c>
      <c r="N1701" s="18" t="s">
        <v>352</v>
      </c>
    </row>
    <row r="1702" spans="1:14" ht="13">
      <c r="A1702" s="18" t="s">
        <v>283</v>
      </c>
      <c r="B1702" s="18" t="s">
        <v>260</v>
      </c>
      <c r="C1702" s="18" t="s">
        <v>843</v>
      </c>
      <c r="D1702" s="18" t="s">
        <v>345</v>
      </c>
      <c r="E1702" s="63" t="s">
        <v>844</v>
      </c>
      <c r="F1702" s="18" t="s">
        <v>845</v>
      </c>
      <c r="G1702" s="18" t="s">
        <v>647</v>
      </c>
      <c r="H1702" s="18">
        <v>1993</v>
      </c>
      <c r="I1702" s="40">
        <v>6667</v>
      </c>
      <c r="J1702" s="40">
        <v>5417</v>
      </c>
      <c r="K1702" s="18">
        <v>8333</v>
      </c>
      <c r="L1702" s="38" t="s">
        <v>637</v>
      </c>
      <c r="M1702" s="21" t="s">
        <v>351</v>
      </c>
      <c r="N1702" s="18" t="s">
        <v>352</v>
      </c>
    </row>
    <row r="1703" spans="1:14" ht="13">
      <c r="A1703" s="18" t="s">
        <v>283</v>
      </c>
      <c r="B1703" s="18" t="s">
        <v>260</v>
      </c>
      <c r="C1703" s="18" t="s">
        <v>843</v>
      </c>
      <c r="D1703" s="18" t="s">
        <v>345</v>
      </c>
      <c r="E1703" s="63" t="s">
        <v>844</v>
      </c>
      <c r="F1703" s="18" t="s">
        <v>845</v>
      </c>
      <c r="G1703" s="18" t="s">
        <v>647</v>
      </c>
      <c r="H1703" s="18">
        <v>1994</v>
      </c>
      <c r="I1703" s="40">
        <v>6771</v>
      </c>
      <c r="J1703" s="40" t="s">
        <v>402</v>
      </c>
      <c r="K1703" s="18" t="s">
        <v>402</v>
      </c>
      <c r="L1703" s="38" t="s">
        <v>637</v>
      </c>
      <c r="M1703" s="21" t="s">
        <v>351</v>
      </c>
      <c r="N1703" s="18" t="s">
        <v>352</v>
      </c>
    </row>
    <row r="1704" spans="1:14" ht="13">
      <c r="A1704" s="18" t="s">
        <v>283</v>
      </c>
      <c r="B1704" s="18" t="s">
        <v>260</v>
      </c>
      <c r="C1704" s="18" t="s">
        <v>843</v>
      </c>
      <c r="D1704" s="18" t="s">
        <v>345</v>
      </c>
      <c r="E1704" s="63" t="s">
        <v>844</v>
      </c>
      <c r="F1704" s="18" t="s">
        <v>845</v>
      </c>
      <c r="G1704" s="18" t="s">
        <v>647</v>
      </c>
      <c r="H1704" s="18">
        <v>1996</v>
      </c>
      <c r="I1704" s="40">
        <v>6979</v>
      </c>
      <c r="J1704" s="40" t="s">
        <v>402</v>
      </c>
      <c r="K1704" s="18" t="s">
        <v>402</v>
      </c>
      <c r="L1704" s="38" t="s">
        <v>637</v>
      </c>
      <c r="M1704" s="21" t="s">
        <v>351</v>
      </c>
      <c r="N1704" s="18" t="s">
        <v>352</v>
      </c>
    </row>
    <row r="1705" spans="1:14" ht="13">
      <c r="A1705" s="18" t="s">
        <v>283</v>
      </c>
      <c r="B1705" s="18" t="s">
        <v>260</v>
      </c>
      <c r="C1705" s="18" t="s">
        <v>843</v>
      </c>
      <c r="D1705" s="18" t="s">
        <v>345</v>
      </c>
      <c r="E1705" s="63" t="s">
        <v>844</v>
      </c>
      <c r="F1705" s="18" t="s">
        <v>845</v>
      </c>
      <c r="G1705" s="18" t="s">
        <v>647</v>
      </c>
      <c r="H1705" s="18">
        <v>1997</v>
      </c>
      <c r="I1705" s="40">
        <v>6562</v>
      </c>
      <c r="J1705" s="40" t="s">
        <v>402</v>
      </c>
      <c r="K1705" s="18" t="s">
        <v>402</v>
      </c>
      <c r="L1705" s="38" t="s">
        <v>637</v>
      </c>
      <c r="M1705" s="21" t="s">
        <v>351</v>
      </c>
      <c r="N1705" s="18" t="s">
        <v>352</v>
      </c>
    </row>
    <row r="1706" spans="1:14" ht="13">
      <c r="A1706" s="18" t="s">
        <v>283</v>
      </c>
      <c r="B1706" s="18" t="s">
        <v>260</v>
      </c>
      <c r="C1706" s="18" t="s">
        <v>843</v>
      </c>
      <c r="D1706" s="18" t="s">
        <v>345</v>
      </c>
      <c r="E1706" s="63" t="s">
        <v>844</v>
      </c>
      <c r="F1706" s="18" t="s">
        <v>845</v>
      </c>
      <c r="G1706" s="18" t="s">
        <v>647</v>
      </c>
      <c r="H1706" s="18">
        <v>1998</v>
      </c>
      <c r="I1706" s="40">
        <v>6667</v>
      </c>
      <c r="J1706" s="40" t="s">
        <v>402</v>
      </c>
      <c r="K1706" s="18" t="s">
        <v>402</v>
      </c>
      <c r="L1706" s="38" t="s">
        <v>637</v>
      </c>
      <c r="M1706" s="21" t="s">
        <v>351</v>
      </c>
      <c r="N1706" s="18" t="s">
        <v>352</v>
      </c>
    </row>
    <row r="1707" spans="1:14" ht="13">
      <c r="A1707" s="18" t="s">
        <v>283</v>
      </c>
      <c r="B1707" s="18" t="s">
        <v>260</v>
      </c>
      <c r="C1707" s="18" t="s">
        <v>843</v>
      </c>
      <c r="D1707" s="18" t="s">
        <v>345</v>
      </c>
      <c r="E1707" s="63" t="s">
        <v>844</v>
      </c>
      <c r="F1707" s="18" t="s">
        <v>845</v>
      </c>
      <c r="G1707" s="18" t="s">
        <v>647</v>
      </c>
      <c r="H1707" s="18">
        <v>1999</v>
      </c>
      <c r="I1707" s="40">
        <v>6667</v>
      </c>
      <c r="J1707" s="40">
        <v>5000</v>
      </c>
      <c r="K1707" s="18">
        <v>8333</v>
      </c>
      <c r="L1707" s="38" t="s">
        <v>637</v>
      </c>
      <c r="M1707" s="21" t="s">
        <v>351</v>
      </c>
      <c r="N1707" s="18" t="s">
        <v>352</v>
      </c>
    </row>
    <row r="1708" spans="1:14" ht="13">
      <c r="A1708" s="18" t="s">
        <v>283</v>
      </c>
      <c r="B1708" s="18" t="s">
        <v>260</v>
      </c>
      <c r="C1708" s="18" t="s">
        <v>843</v>
      </c>
      <c r="D1708" s="18" t="s">
        <v>345</v>
      </c>
      <c r="E1708" s="63" t="s">
        <v>844</v>
      </c>
      <c r="F1708" s="18" t="s">
        <v>845</v>
      </c>
      <c r="G1708" s="18" t="s">
        <v>647</v>
      </c>
      <c r="H1708" s="18">
        <v>2000</v>
      </c>
      <c r="I1708" s="40">
        <v>5833</v>
      </c>
      <c r="J1708" s="40" t="s">
        <v>402</v>
      </c>
      <c r="K1708" s="18" t="s">
        <v>402</v>
      </c>
      <c r="L1708" s="38" t="s">
        <v>637</v>
      </c>
      <c r="M1708" s="21" t="s">
        <v>351</v>
      </c>
      <c r="N1708" s="18" t="s">
        <v>352</v>
      </c>
    </row>
    <row r="1709" spans="1:14" ht="13">
      <c r="A1709" s="18" t="s">
        <v>283</v>
      </c>
      <c r="B1709" s="18" t="s">
        <v>260</v>
      </c>
      <c r="C1709" s="18" t="s">
        <v>843</v>
      </c>
      <c r="D1709" s="18" t="s">
        <v>345</v>
      </c>
      <c r="E1709" s="63" t="s">
        <v>844</v>
      </c>
      <c r="F1709" s="18" t="s">
        <v>845</v>
      </c>
      <c r="G1709" s="18" t="s">
        <v>647</v>
      </c>
      <c r="H1709" s="18">
        <v>2001</v>
      </c>
      <c r="I1709" s="40">
        <v>6667</v>
      </c>
      <c r="J1709" s="40">
        <v>5000</v>
      </c>
      <c r="K1709" s="18">
        <v>8333</v>
      </c>
      <c r="L1709" s="38" t="s">
        <v>637</v>
      </c>
      <c r="M1709" s="21" t="s">
        <v>351</v>
      </c>
      <c r="N1709" s="18" t="s">
        <v>352</v>
      </c>
    </row>
    <row r="1710" spans="1:14" ht="13">
      <c r="A1710" s="18" t="s">
        <v>283</v>
      </c>
      <c r="B1710" s="18" t="s">
        <v>260</v>
      </c>
      <c r="C1710" s="18" t="s">
        <v>843</v>
      </c>
      <c r="D1710" s="18" t="s">
        <v>345</v>
      </c>
      <c r="E1710" s="63" t="s">
        <v>844</v>
      </c>
      <c r="F1710" s="18" t="s">
        <v>845</v>
      </c>
      <c r="G1710" s="18" t="s">
        <v>647</v>
      </c>
      <c r="H1710" s="18">
        <v>2002</v>
      </c>
      <c r="I1710" s="40">
        <v>6042</v>
      </c>
      <c r="J1710" s="40" t="s">
        <v>402</v>
      </c>
      <c r="K1710" s="18" t="s">
        <v>402</v>
      </c>
      <c r="L1710" s="38" t="s">
        <v>637</v>
      </c>
      <c r="M1710" s="21" t="s">
        <v>351</v>
      </c>
      <c r="N1710" s="18" t="s">
        <v>352</v>
      </c>
    </row>
    <row r="1711" spans="1:14" ht="13">
      <c r="A1711" s="18" t="s">
        <v>283</v>
      </c>
      <c r="B1711" s="18" t="s">
        <v>260</v>
      </c>
      <c r="C1711" s="18" t="s">
        <v>843</v>
      </c>
      <c r="D1711" s="18" t="s">
        <v>345</v>
      </c>
      <c r="E1711" s="63" t="s">
        <v>844</v>
      </c>
      <c r="F1711" s="18" t="s">
        <v>845</v>
      </c>
      <c r="G1711" s="18" t="s">
        <v>647</v>
      </c>
      <c r="H1711" s="18">
        <v>2004</v>
      </c>
      <c r="I1711" s="40">
        <v>7083</v>
      </c>
      <c r="J1711" s="40" t="s">
        <v>402</v>
      </c>
      <c r="K1711" s="18" t="s">
        <v>402</v>
      </c>
      <c r="L1711" s="38" t="s">
        <v>637</v>
      </c>
      <c r="M1711" s="21" t="s">
        <v>351</v>
      </c>
      <c r="N1711" s="18" t="s">
        <v>352</v>
      </c>
    </row>
    <row r="1712" spans="1:14" ht="13">
      <c r="A1712" s="18" t="s">
        <v>283</v>
      </c>
      <c r="B1712" s="18" t="s">
        <v>260</v>
      </c>
      <c r="C1712" s="18" t="s">
        <v>843</v>
      </c>
      <c r="D1712" s="18" t="s">
        <v>345</v>
      </c>
      <c r="E1712" s="63" t="s">
        <v>844</v>
      </c>
      <c r="F1712" s="18" t="s">
        <v>845</v>
      </c>
      <c r="G1712" s="18" t="s">
        <v>647</v>
      </c>
      <c r="H1712" s="18">
        <v>2005</v>
      </c>
      <c r="I1712" s="40">
        <v>7083</v>
      </c>
      <c r="J1712" s="40" t="s">
        <v>402</v>
      </c>
      <c r="K1712" s="18" t="s">
        <v>402</v>
      </c>
      <c r="L1712" s="38" t="s">
        <v>637</v>
      </c>
      <c r="M1712" s="21" t="s">
        <v>351</v>
      </c>
      <c r="N1712" s="18" t="s">
        <v>352</v>
      </c>
    </row>
    <row r="1713" spans="1:14" ht="13">
      <c r="A1713" s="18" t="s">
        <v>283</v>
      </c>
      <c r="B1713" s="18" t="s">
        <v>260</v>
      </c>
      <c r="C1713" s="18" t="s">
        <v>843</v>
      </c>
      <c r="D1713" s="18" t="s">
        <v>345</v>
      </c>
      <c r="E1713" s="63" t="s">
        <v>844</v>
      </c>
      <c r="F1713" s="18" t="s">
        <v>845</v>
      </c>
      <c r="G1713" s="18" t="s">
        <v>647</v>
      </c>
      <c r="H1713" s="18">
        <v>2006</v>
      </c>
      <c r="I1713" s="40">
        <v>7083</v>
      </c>
      <c r="J1713" s="40" t="s">
        <v>402</v>
      </c>
      <c r="K1713" s="18" t="s">
        <v>402</v>
      </c>
      <c r="L1713" s="38" t="s">
        <v>637</v>
      </c>
      <c r="M1713" s="21" t="s">
        <v>351</v>
      </c>
      <c r="N1713" s="18" t="s">
        <v>352</v>
      </c>
    </row>
    <row r="1714" spans="1:14" ht="13">
      <c r="A1714" s="18" t="s">
        <v>283</v>
      </c>
      <c r="B1714" s="18" t="s">
        <v>260</v>
      </c>
      <c r="C1714" s="18" t="s">
        <v>843</v>
      </c>
      <c r="D1714" s="18" t="s">
        <v>345</v>
      </c>
      <c r="E1714" s="63" t="s">
        <v>844</v>
      </c>
      <c r="F1714" s="18" t="s">
        <v>845</v>
      </c>
      <c r="G1714" s="18" t="s">
        <v>647</v>
      </c>
      <c r="H1714" s="18">
        <v>2007</v>
      </c>
      <c r="I1714" s="40">
        <v>7083</v>
      </c>
      <c r="J1714" s="40" t="s">
        <v>402</v>
      </c>
      <c r="K1714" s="18" t="s">
        <v>402</v>
      </c>
      <c r="L1714" s="38" t="s">
        <v>637</v>
      </c>
      <c r="M1714" s="21" t="s">
        <v>351</v>
      </c>
      <c r="N1714" s="18" t="s">
        <v>352</v>
      </c>
    </row>
    <row r="1715" spans="1:14" ht="13">
      <c r="A1715" s="18" t="s">
        <v>283</v>
      </c>
      <c r="B1715" s="18" t="s">
        <v>260</v>
      </c>
      <c r="C1715" s="18" t="s">
        <v>843</v>
      </c>
      <c r="D1715" s="18" t="s">
        <v>345</v>
      </c>
      <c r="E1715" s="63" t="s">
        <v>844</v>
      </c>
      <c r="F1715" s="18" t="s">
        <v>845</v>
      </c>
      <c r="G1715" s="18" t="s">
        <v>647</v>
      </c>
      <c r="H1715" s="18">
        <v>2008</v>
      </c>
      <c r="I1715" s="40">
        <v>7500</v>
      </c>
      <c r="J1715" s="40" t="s">
        <v>402</v>
      </c>
      <c r="K1715" s="18" t="s">
        <v>402</v>
      </c>
      <c r="L1715" s="38" t="s">
        <v>637</v>
      </c>
      <c r="M1715" s="21" t="s">
        <v>351</v>
      </c>
      <c r="N1715" s="18" t="s">
        <v>352</v>
      </c>
    </row>
    <row r="1716" spans="1:14" ht="13">
      <c r="A1716" s="18" t="s">
        <v>283</v>
      </c>
      <c r="B1716" s="18" t="s">
        <v>260</v>
      </c>
      <c r="C1716" s="18" t="s">
        <v>843</v>
      </c>
      <c r="D1716" s="18" t="s">
        <v>345</v>
      </c>
      <c r="E1716" s="63" t="s">
        <v>844</v>
      </c>
      <c r="F1716" s="18" t="s">
        <v>845</v>
      </c>
      <c r="G1716" s="18" t="s">
        <v>647</v>
      </c>
      <c r="H1716" s="18">
        <v>2009</v>
      </c>
      <c r="I1716" s="40">
        <v>7500</v>
      </c>
      <c r="J1716" s="40" t="s">
        <v>402</v>
      </c>
      <c r="K1716" s="18" t="s">
        <v>402</v>
      </c>
      <c r="L1716" s="38" t="s">
        <v>637</v>
      </c>
      <c r="M1716" s="21" t="s">
        <v>351</v>
      </c>
      <c r="N1716" s="18" t="s">
        <v>352</v>
      </c>
    </row>
    <row r="1717" spans="1:14" ht="13">
      <c r="A1717" s="18" t="s">
        <v>283</v>
      </c>
      <c r="B1717" s="18" t="s">
        <v>260</v>
      </c>
      <c r="C1717" s="18" t="s">
        <v>843</v>
      </c>
      <c r="D1717" s="18" t="s">
        <v>345</v>
      </c>
      <c r="E1717" s="63" t="s">
        <v>844</v>
      </c>
      <c r="F1717" s="18" t="s">
        <v>845</v>
      </c>
      <c r="G1717" s="18" t="s">
        <v>647</v>
      </c>
      <c r="H1717" s="18">
        <v>2010</v>
      </c>
      <c r="I1717" s="40">
        <v>7917</v>
      </c>
      <c r="J1717" s="40">
        <v>6667</v>
      </c>
      <c r="K1717" s="18">
        <v>9167</v>
      </c>
      <c r="L1717" s="38" t="s">
        <v>637</v>
      </c>
      <c r="M1717" s="21" t="s">
        <v>351</v>
      </c>
      <c r="N1717" s="18" t="s">
        <v>352</v>
      </c>
    </row>
    <row r="1718" spans="1:14" ht="13">
      <c r="A1718" s="18" t="s">
        <v>283</v>
      </c>
      <c r="B1718" s="18" t="s">
        <v>260</v>
      </c>
      <c r="C1718" s="18" t="s">
        <v>843</v>
      </c>
      <c r="D1718" s="18" t="s">
        <v>345</v>
      </c>
      <c r="E1718" s="63" t="s">
        <v>844</v>
      </c>
      <c r="F1718" s="18" t="s">
        <v>845</v>
      </c>
      <c r="G1718" s="18" t="s">
        <v>647</v>
      </c>
      <c r="H1718" s="18">
        <v>2011</v>
      </c>
      <c r="I1718" s="40">
        <v>7500</v>
      </c>
      <c r="J1718" s="40" t="s">
        <v>402</v>
      </c>
      <c r="K1718" s="18" t="s">
        <v>402</v>
      </c>
      <c r="L1718" s="38" t="s">
        <v>637</v>
      </c>
      <c r="M1718" s="21" t="s">
        <v>351</v>
      </c>
      <c r="N1718" s="18" t="s">
        <v>352</v>
      </c>
    </row>
    <row r="1719" spans="1:14" ht="13">
      <c r="A1719" s="18" t="s">
        <v>283</v>
      </c>
      <c r="B1719" s="18" t="s">
        <v>260</v>
      </c>
      <c r="C1719" s="18" t="s">
        <v>843</v>
      </c>
      <c r="D1719" s="18" t="s">
        <v>345</v>
      </c>
      <c r="E1719" s="63" t="s">
        <v>844</v>
      </c>
      <c r="F1719" s="18" t="s">
        <v>845</v>
      </c>
      <c r="G1719" s="18" t="s">
        <v>647</v>
      </c>
      <c r="H1719" s="18">
        <v>2012</v>
      </c>
      <c r="I1719" s="40">
        <v>7917</v>
      </c>
      <c r="J1719" s="40">
        <v>6667</v>
      </c>
      <c r="K1719" s="18">
        <v>9167</v>
      </c>
      <c r="L1719" s="38" t="s">
        <v>637</v>
      </c>
      <c r="M1719" s="21" t="s">
        <v>351</v>
      </c>
      <c r="N1719" s="18" t="s">
        <v>352</v>
      </c>
    </row>
    <row r="1720" spans="1:14" ht="13">
      <c r="A1720" s="18" t="s">
        <v>283</v>
      </c>
      <c r="B1720" s="18" t="s">
        <v>260</v>
      </c>
      <c r="C1720" s="18" t="s">
        <v>843</v>
      </c>
      <c r="D1720" s="18" t="s">
        <v>345</v>
      </c>
      <c r="E1720" s="63" t="s">
        <v>844</v>
      </c>
      <c r="F1720" s="18" t="s">
        <v>845</v>
      </c>
      <c r="G1720" s="18" t="s">
        <v>647</v>
      </c>
      <c r="H1720" s="18">
        <v>2013</v>
      </c>
      <c r="I1720" s="40">
        <v>7917</v>
      </c>
      <c r="J1720" s="40">
        <v>6667</v>
      </c>
      <c r="K1720" s="18">
        <v>9583</v>
      </c>
      <c r="L1720" s="38" t="s">
        <v>637</v>
      </c>
      <c r="M1720" s="21" t="s">
        <v>351</v>
      </c>
      <c r="N1720" s="18" t="s">
        <v>352</v>
      </c>
    </row>
    <row r="1721" spans="1:14" ht="13">
      <c r="A1721" s="18" t="s">
        <v>283</v>
      </c>
      <c r="B1721" s="18" t="s">
        <v>260</v>
      </c>
      <c r="C1721" s="18" t="s">
        <v>843</v>
      </c>
      <c r="D1721" s="18" t="s">
        <v>345</v>
      </c>
      <c r="E1721" s="63" t="s">
        <v>844</v>
      </c>
      <c r="F1721" s="18" t="s">
        <v>845</v>
      </c>
      <c r="G1721" s="18" t="s">
        <v>647</v>
      </c>
      <c r="H1721" s="18">
        <v>2014</v>
      </c>
      <c r="I1721" s="40">
        <v>7812</v>
      </c>
      <c r="J1721" s="40" t="s">
        <v>402</v>
      </c>
      <c r="K1721" s="18" t="s">
        <v>402</v>
      </c>
      <c r="L1721" s="38" t="s">
        <v>637</v>
      </c>
      <c r="M1721" s="21" t="s">
        <v>351</v>
      </c>
      <c r="N1721" s="18" t="s">
        <v>352</v>
      </c>
    </row>
    <row r="1722" spans="1:14" ht="13">
      <c r="A1722" s="18" t="s">
        <v>283</v>
      </c>
      <c r="B1722" s="18" t="s">
        <v>260</v>
      </c>
      <c r="C1722" s="18" t="s">
        <v>843</v>
      </c>
      <c r="D1722" s="18" t="s">
        <v>345</v>
      </c>
      <c r="E1722" s="63" t="s">
        <v>844</v>
      </c>
      <c r="F1722" s="18" t="s">
        <v>845</v>
      </c>
      <c r="G1722" s="18" t="s">
        <v>647</v>
      </c>
      <c r="H1722" s="18">
        <v>2015</v>
      </c>
      <c r="I1722" s="40">
        <v>8333</v>
      </c>
      <c r="J1722" s="40">
        <v>6667</v>
      </c>
      <c r="K1722" s="18">
        <v>10000</v>
      </c>
      <c r="L1722" s="38" t="s">
        <v>637</v>
      </c>
      <c r="M1722" s="21" t="s">
        <v>351</v>
      </c>
      <c r="N1722" s="18" t="s">
        <v>352</v>
      </c>
    </row>
    <row r="1723" spans="1:14" ht="13">
      <c r="A1723" s="18" t="s">
        <v>283</v>
      </c>
      <c r="B1723" s="18" t="s">
        <v>260</v>
      </c>
      <c r="C1723" s="18" t="s">
        <v>843</v>
      </c>
      <c r="D1723" s="18" t="s">
        <v>345</v>
      </c>
      <c r="E1723" s="63" t="s">
        <v>844</v>
      </c>
      <c r="F1723" s="18" t="s">
        <v>845</v>
      </c>
      <c r="G1723" s="18" t="s">
        <v>647</v>
      </c>
      <c r="H1723" s="18">
        <v>2016</v>
      </c>
      <c r="I1723" s="40">
        <v>8333</v>
      </c>
      <c r="J1723" s="40" t="s">
        <v>402</v>
      </c>
      <c r="K1723" s="18" t="s">
        <v>402</v>
      </c>
      <c r="L1723" s="38" t="s">
        <v>637</v>
      </c>
      <c r="M1723" s="21" t="s">
        <v>351</v>
      </c>
      <c r="N1723" s="18" t="s">
        <v>352</v>
      </c>
    </row>
    <row r="1724" spans="1:14" ht="13">
      <c r="A1724" s="18" t="s">
        <v>283</v>
      </c>
      <c r="B1724" s="18" t="s">
        <v>260</v>
      </c>
      <c r="C1724" s="18" t="s">
        <v>843</v>
      </c>
      <c r="D1724" s="18" t="s">
        <v>345</v>
      </c>
      <c r="E1724" s="63" t="s">
        <v>844</v>
      </c>
      <c r="F1724" s="18" t="s">
        <v>845</v>
      </c>
      <c r="G1724" s="18" t="s">
        <v>647</v>
      </c>
      <c r="H1724" s="18">
        <v>2017</v>
      </c>
      <c r="I1724" s="40">
        <v>8750</v>
      </c>
      <c r="J1724" s="40">
        <v>6667</v>
      </c>
      <c r="K1724" s="18">
        <v>10833</v>
      </c>
      <c r="L1724" s="38" t="s">
        <v>637</v>
      </c>
      <c r="M1724" s="21" t="s">
        <v>351</v>
      </c>
      <c r="N1724" s="18" t="s">
        <v>352</v>
      </c>
    </row>
    <row r="1725" spans="1:14" ht="13">
      <c r="A1725" s="18" t="s">
        <v>283</v>
      </c>
      <c r="B1725" s="18" t="s">
        <v>260</v>
      </c>
      <c r="C1725" s="18" t="s">
        <v>843</v>
      </c>
      <c r="D1725" s="18" t="s">
        <v>345</v>
      </c>
      <c r="E1725" s="63" t="s">
        <v>844</v>
      </c>
      <c r="F1725" s="18" t="s">
        <v>845</v>
      </c>
      <c r="G1725" s="18" t="s">
        <v>647</v>
      </c>
      <c r="H1725" s="18">
        <v>2018</v>
      </c>
      <c r="I1725" s="40">
        <v>8750</v>
      </c>
      <c r="J1725" s="40" t="s">
        <v>402</v>
      </c>
      <c r="K1725" s="18" t="s">
        <v>402</v>
      </c>
      <c r="L1725" s="38" t="s">
        <v>637</v>
      </c>
      <c r="M1725" s="21" t="s">
        <v>351</v>
      </c>
      <c r="N1725" s="18" t="s">
        <v>352</v>
      </c>
    </row>
    <row r="1726" spans="1:14" ht="13">
      <c r="A1726" s="18" t="s">
        <v>283</v>
      </c>
      <c r="B1726" s="18" t="s">
        <v>260</v>
      </c>
      <c r="C1726" s="18" t="s">
        <v>847</v>
      </c>
      <c r="D1726" s="18" t="s">
        <v>345</v>
      </c>
      <c r="E1726" s="63" t="s">
        <v>848</v>
      </c>
      <c r="F1726" s="18" t="s">
        <v>845</v>
      </c>
      <c r="G1726" s="18" t="s">
        <v>647</v>
      </c>
      <c r="H1726" s="18">
        <v>1978</v>
      </c>
      <c r="I1726" s="40">
        <v>28542</v>
      </c>
      <c r="J1726" s="40">
        <v>22083</v>
      </c>
      <c r="K1726" s="18">
        <v>37083</v>
      </c>
      <c r="L1726" s="38" t="s">
        <v>637</v>
      </c>
      <c r="M1726" s="21" t="s">
        <v>351</v>
      </c>
      <c r="N1726" s="18" t="s">
        <v>352</v>
      </c>
    </row>
    <row r="1727" spans="1:14" ht="13">
      <c r="A1727" s="18" t="s">
        <v>283</v>
      </c>
      <c r="B1727" s="18" t="s">
        <v>260</v>
      </c>
      <c r="C1727" s="18" t="s">
        <v>847</v>
      </c>
      <c r="D1727" s="18" t="s">
        <v>345</v>
      </c>
      <c r="E1727" s="63" t="s">
        <v>848</v>
      </c>
      <c r="F1727" s="18" t="s">
        <v>845</v>
      </c>
      <c r="G1727" s="18" t="s">
        <v>647</v>
      </c>
      <c r="H1727" s="18">
        <v>1979</v>
      </c>
      <c r="I1727" s="40">
        <v>22396</v>
      </c>
      <c r="J1727" s="40" t="s">
        <v>402</v>
      </c>
      <c r="K1727" s="18" t="s">
        <v>402</v>
      </c>
      <c r="L1727" s="38" t="s">
        <v>637</v>
      </c>
      <c r="M1727" s="21" t="s">
        <v>351</v>
      </c>
      <c r="N1727" s="18" t="s">
        <v>352</v>
      </c>
    </row>
    <row r="1728" spans="1:14" ht="13">
      <c r="A1728" s="18" t="s">
        <v>283</v>
      </c>
      <c r="B1728" s="18" t="s">
        <v>260</v>
      </c>
      <c r="C1728" s="18" t="s">
        <v>847</v>
      </c>
      <c r="D1728" s="18" t="s">
        <v>345</v>
      </c>
      <c r="E1728" s="63" t="s">
        <v>848</v>
      </c>
      <c r="F1728" s="18" t="s">
        <v>845</v>
      </c>
      <c r="G1728" s="18" t="s">
        <v>647</v>
      </c>
      <c r="H1728" s="18">
        <v>1985</v>
      </c>
      <c r="I1728" s="40">
        <v>8750</v>
      </c>
      <c r="J1728" s="40">
        <v>5833</v>
      </c>
      <c r="K1728" s="18">
        <v>14583</v>
      </c>
      <c r="L1728" s="38" t="s">
        <v>637</v>
      </c>
      <c r="M1728" s="21" t="s">
        <v>351</v>
      </c>
      <c r="N1728" s="18" t="s">
        <v>352</v>
      </c>
    </row>
    <row r="1729" spans="1:14" ht="13">
      <c r="A1729" s="18" t="s">
        <v>283</v>
      </c>
      <c r="B1729" s="18" t="s">
        <v>260</v>
      </c>
      <c r="C1729" s="18" t="s">
        <v>847</v>
      </c>
      <c r="D1729" s="18" t="s">
        <v>345</v>
      </c>
      <c r="E1729" s="63" t="s">
        <v>848</v>
      </c>
      <c r="F1729" s="18" t="s">
        <v>845</v>
      </c>
      <c r="G1729" s="18" t="s">
        <v>647</v>
      </c>
      <c r="H1729" s="18">
        <v>1988</v>
      </c>
      <c r="I1729" s="40">
        <v>5521</v>
      </c>
      <c r="J1729" s="40" t="s">
        <v>402</v>
      </c>
      <c r="K1729" s="18">
        <v>7083</v>
      </c>
      <c r="L1729" s="38" t="s">
        <v>637</v>
      </c>
      <c r="M1729" s="21" t="s">
        <v>351</v>
      </c>
      <c r="N1729" s="18" t="s">
        <v>352</v>
      </c>
    </row>
    <row r="1730" spans="1:14" ht="13">
      <c r="A1730" s="18" t="s">
        <v>283</v>
      </c>
      <c r="B1730" s="18" t="s">
        <v>260</v>
      </c>
      <c r="C1730" s="18" t="s">
        <v>847</v>
      </c>
      <c r="D1730" s="18" t="s">
        <v>345</v>
      </c>
      <c r="E1730" s="63" t="s">
        <v>848</v>
      </c>
      <c r="F1730" s="18" t="s">
        <v>845</v>
      </c>
      <c r="G1730" s="18" t="s">
        <v>647</v>
      </c>
      <c r="H1730" s="18">
        <v>1989</v>
      </c>
      <c r="I1730" s="40">
        <v>5833</v>
      </c>
      <c r="J1730" s="40" t="s">
        <v>402</v>
      </c>
      <c r="K1730" s="18">
        <v>7083</v>
      </c>
      <c r="L1730" s="38" t="s">
        <v>637</v>
      </c>
      <c r="M1730" s="21" t="s">
        <v>351</v>
      </c>
      <c r="N1730" s="18" t="s">
        <v>352</v>
      </c>
    </row>
    <row r="1731" spans="1:14" ht="13">
      <c r="A1731" s="18" t="s">
        <v>283</v>
      </c>
      <c r="B1731" s="18" t="s">
        <v>260</v>
      </c>
      <c r="C1731" s="18" t="s">
        <v>847</v>
      </c>
      <c r="D1731" s="18" t="s">
        <v>345</v>
      </c>
      <c r="E1731" s="63" t="s">
        <v>848</v>
      </c>
      <c r="F1731" s="18" t="s">
        <v>845</v>
      </c>
      <c r="G1731" s="18" t="s">
        <v>647</v>
      </c>
      <c r="H1731" s="18">
        <v>1991</v>
      </c>
      <c r="I1731" s="40">
        <v>5000</v>
      </c>
      <c r="J1731" s="40" t="s">
        <v>402</v>
      </c>
      <c r="K1731" s="18" t="s">
        <v>402</v>
      </c>
      <c r="L1731" s="38" t="s">
        <v>637</v>
      </c>
      <c r="M1731" s="21" t="s">
        <v>351</v>
      </c>
      <c r="N1731" s="18" t="s">
        <v>352</v>
      </c>
    </row>
    <row r="1732" spans="1:14" ht="13">
      <c r="A1732" s="18" t="s">
        <v>283</v>
      </c>
      <c r="B1732" s="18" t="s">
        <v>260</v>
      </c>
      <c r="C1732" s="18" t="s">
        <v>847</v>
      </c>
      <c r="D1732" s="18" t="s">
        <v>345</v>
      </c>
      <c r="E1732" s="63" t="s">
        <v>848</v>
      </c>
      <c r="F1732" s="18" t="s">
        <v>845</v>
      </c>
      <c r="G1732" s="18" t="s">
        <v>647</v>
      </c>
      <c r="H1732" s="18">
        <v>1992</v>
      </c>
      <c r="I1732" s="40">
        <v>4583</v>
      </c>
      <c r="J1732" s="40" t="s">
        <v>402</v>
      </c>
      <c r="K1732" s="18" t="s">
        <v>402</v>
      </c>
      <c r="L1732" s="38" t="s">
        <v>637</v>
      </c>
      <c r="M1732" s="21" t="s">
        <v>351</v>
      </c>
      <c r="N1732" s="18" t="s">
        <v>352</v>
      </c>
    </row>
    <row r="1733" spans="1:14" ht="13">
      <c r="A1733" s="18" t="s">
        <v>283</v>
      </c>
      <c r="B1733" s="18" t="s">
        <v>260</v>
      </c>
      <c r="C1733" s="18" t="s">
        <v>847</v>
      </c>
      <c r="D1733" s="18" t="s">
        <v>345</v>
      </c>
      <c r="E1733" s="63" t="s">
        <v>848</v>
      </c>
      <c r="F1733" s="18" t="s">
        <v>845</v>
      </c>
      <c r="G1733" s="18" t="s">
        <v>647</v>
      </c>
      <c r="H1733" s="18">
        <v>1994</v>
      </c>
      <c r="I1733" s="40">
        <v>3333</v>
      </c>
      <c r="J1733" s="40" t="s">
        <v>402</v>
      </c>
      <c r="K1733" s="18" t="s">
        <v>402</v>
      </c>
      <c r="L1733" s="38" t="s">
        <v>637</v>
      </c>
      <c r="M1733" s="21" t="s">
        <v>351</v>
      </c>
      <c r="N1733" s="18" t="s">
        <v>352</v>
      </c>
    </row>
    <row r="1734" spans="1:14" ht="13">
      <c r="A1734" s="18" t="s">
        <v>283</v>
      </c>
      <c r="B1734" s="18" t="s">
        <v>260</v>
      </c>
      <c r="C1734" s="18" t="s">
        <v>847</v>
      </c>
      <c r="D1734" s="18" t="s">
        <v>345</v>
      </c>
      <c r="E1734" s="63" t="s">
        <v>848</v>
      </c>
      <c r="F1734" s="18" t="s">
        <v>845</v>
      </c>
      <c r="G1734" s="18" t="s">
        <v>647</v>
      </c>
      <c r="H1734" s="18">
        <v>1996</v>
      </c>
      <c r="I1734" s="40">
        <v>3333</v>
      </c>
      <c r="J1734" s="40" t="s">
        <v>402</v>
      </c>
      <c r="K1734" s="18" t="s">
        <v>402</v>
      </c>
      <c r="L1734" s="38" t="s">
        <v>637</v>
      </c>
      <c r="M1734" s="21" t="s">
        <v>351</v>
      </c>
      <c r="N1734" s="18" t="s">
        <v>352</v>
      </c>
    </row>
    <row r="1735" spans="1:14" ht="13">
      <c r="A1735" s="18" t="s">
        <v>283</v>
      </c>
      <c r="B1735" s="18" t="s">
        <v>260</v>
      </c>
      <c r="C1735" s="18" t="s">
        <v>847</v>
      </c>
      <c r="D1735" s="18" t="s">
        <v>345</v>
      </c>
      <c r="E1735" s="63" t="s">
        <v>848</v>
      </c>
      <c r="F1735" s="18" t="s">
        <v>845</v>
      </c>
      <c r="G1735" s="18" t="s">
        <v>647</v>
      </c>
      <c r="H1735" s="18">
        <v>1998</v>
      </c>
      <c r="I1735" s="40">
        <v>2917</v>
      </c>
      <c r="J1735" s="40" t="s">
        <v>402</v>
      </c>
      <c r="K1735" s="18" t="s">
        <v>402</v>
      </c>
      <c r="L1735" s="38" t="s">
        <v>637</v>
      </c>
      <c r="M1735" s="21" t="s">
        <v>351</v>
      </c>
      <c r="N1735" s="18" t="s">
        <v>352</v>
      </c>
    </row>
    <row r="1736" spans="1:14" ht="13">
      <c r="A1736" s="18" t="s">
        <v>283</v>
      </c>
      <c r="B1736" s="18" t="s">
        <v>260</v>
      </c>
      <c r="C1736" s="18" t="s">
        <v>847</v>
      </c>
      <c r="D1736" s="18" t="s">
        <v>345</v>
      </c>
      <c r="E1736" s="63" t="s">
        <v>848</v>
      </c>
      <c r="F1736" s="18" t="s">
        <v>845</v>
      </c>
      <c r="G1736" s="18" t="s">
        <v>647</v>
      </c>
      <c r="H1736" s="18">
        <v>2000</v>
      </c>
      <c r="I1736" s="40">
        <v>1667</v>
      </c>
      <c r="J1736" s="40" t="s">
        <v>402</v>
      </c>
      <c r="K1736" s="18" t="s">
        <v>402</v>
      </c>
      <c r="L1736" s="38" t="s">
        <v>637</v>
      </c>
      <c r="M1736" s="21" t="s">
        <v>351</v>
      </c>
      <c r="N1736" s="18" t="s">
        <v>352</v>
      </c>
    </row>
    <row r="1737" spans="1:14" ht="13">
      <c r="A1737" s="18" t="s">
        <v>283</v>
      </c>
      <c r="B1737" s="18" t="s">
        <v>260</v>
      </c>
      <c r="C1737" s="18" t="s">
        <v>847</v>
      </c>
      <c r="D1737" s="18" t="s">
        <v>345</v>
      </c>
      <c r="E1737" s="63" t="s">
        <v>848</v>
      </c>
      <c r="F1737" s="18" t="s">
        <v>845</v>
      </c>
      <c r="G1737" s="18" t="s">
        <v>647</v>
      </c>
      <c r="H1737" s="18">
        <v>2002</v>
      </c>
      <c r="I1737" s="40">
        <v>1042</v>
      </c>
      <c r="J1737" s="40" t="s">
        <v>402</v>
      </c>
      <c r="K1737" s="18" t="s">
        <v>402</v>
      </c>
      <c r="L1737" s="38" t="s">
        <v>637</v>
      </c>
      <c r="M1737" s="21" t="s">
        <v>351</v>
      </c>
      <c r="N1737" s="18" t="s">
        <v>352</v>
      </c>
    </row>
    <row r="1738" spans="1:14" ht="13">
      <c r="A1738" s="18" t="s">
        <v>283</v>
      </c>
      <c r="B1738" s="18" t="s">
        <v>260</v>
      </c>
      <c r="C1738" s="18" t="s">
        <v>847</v>
      </c>
      <c r="D1738" s="18" t="s">
        <v>345</v>
      </c>
      <c r="E1738" s="63" t="s">
        <v>848</v>
      </c>
      <c r="F1738" s="18" t="s">
        <v>845</v>
      </c>
      <c r="G1738" s="18" t="s">
        <v>647</v>
      </c>
      <c r="H1738" s="18">
        <v>2004</v>
      </c>
      <c r="I1738" s="40">
        <v>1250</v>
      </c>
      <c r="J1738" s="40" t="s">
        <v>402</v>
      </c>
      <c r="K1738" s="18" t="s">
        <v>402</v>
      </c>
      <c r="L1738" s="38" t="s">
        <v>637</v>
      </c>
      <c r="M1738" s="21" t="s">
        <v>351</v>
      </c>
      <c r="N1738" s="18" t="s">
        <v>352</v>
      </c>
    </row>
    <row r="1739" spans="1:14" ht="13">
      <c r="A1739" s="18" t="s">
        <v>283</v>
      </c>
      <c r="B1739" s="18" t="s">
        <v>260</v>
      </c>
      <c r="C1739" s="18" t="s">
        <v>847</v>
      </c>
      <c r="D1739" s="18" t="s">
        <v>345</v>
      </c>
      <c r="E1739" s="63" t="s">
        <v>848</v>
      </c>
      <c r="F1739" s="18" t="s">
        <v>845</v>
      </c>
      <c r="G1739" s="18" t="s">
        <v>647</v>
      </c>
      <c r="H1739" s="18">
        <v>2005</v>
      </c>
      <c r="I1739" s="40">
        <v>1042</v>
      </c>
      <c r="J1739" s="40" t="s">
        <v>402</v>
      </c>
      <c r="K1739" s="18" t="s">
        <v>402</v>
      </c>
      <c r="L1739" s="38" t="s">
        <v>637</v>
      </c>
      <c r="M1739" s="21" t="s">
        <v>351</v>
      </c>
      <c r="N1739" s="18" t="s">
        <v>352</v>
      </c>
    </row>
    <row r="1740" spans="1:14" ht="13">
      <c r="A1740" s="18" t="s">
        <v>283</v>
      </c>
      <c r="B1740" s="18" t="s">
        <v>260</v>
      </c>
      <c r="C1740" s="18" t="s">
        <v>847</v>
      </c>
      <c r="D1740" s="18" t="s">
        <v>345</v>
      </c>
      <c r="E1740" s="63" t="s">
        <v>848</v>
      </c>
      <c r="F1740" s="18" t="s">
        <v>845</v>
      </c>
      <c r="G1740" s="18" t="s">
        <v>647</v>
      </c>
      <c r="H1740" s="18">
        <v>2006</v>
      </c>
      <c r="I1740" s="40">
        <v>833</v>
      </c>
      <c r="J1740" s="40" t="s">
        <v>402</v>
      </c>
      <c r="K1740" s="18" t="s">
        <v>402</v>
      </c>
      <c r="L1740" s="38" t="s">
        <v>637</v>
      </c>
      <c r="M1740" s="21" t="s">
        <v>351</v>
      </c>
      <c r="N1740" s="18" t="s">
        <v>352</v>
      </c>
    </row>
    <row r="1741" spans="1:14" ht="13">
      <c r="A1741" s="18" t="s">
        <v>283</v>
      </c>
      <c r="B1741" s="18" t="s">
        <v>260</v>
      </c>
      <c r="C1741" s="18" t="s">
        <v>847</v>
      </c>
      <c r="D1741" s="18" t="s">
        <v>345</v>
      </c>
      <c r="E1741" s="63" t="s">
        <v>848</v>
      </c>
      <c r="F1741" s="18" t="s">
        <v>845</v>
      </c>
      <c r="G1741" s="18" t="s">
        <v>647</v>
      </c>
      <c r="H1741" s="18">
        <v>2008</v>
      </c>
      <c r="I1741" s="40">
        <v>833</v>
      </c>
      <c r="J1741" s="40" t="s">
        <v>402</v>
      </c>
      <c r="K1741" s="18" t="s">
        <v>402</v>
      </c>
      <c r="L1741" s="38" t="s">
        <v>637</v>
      </c>
      <c r="M1741" s="21" t="s">
        <v>351</v>
      </c>
      <c r="N1741" s="18" t="s">
        <v>352</v>
      </c>
    </row>
    <row r="1742" spans="1:14" ht="13">
      <c r="A1742" s="18" t="s">
        <v>283</v>
      </c>
      <c r="B1742" s="18" t="s">
        <v>260</v>
      </c>
      <c r="C1742" s="18" t="s">
        <v>847</v>
      </c>
      <c r="D1742" s="18" t="s">
        <v>345</v>
      </c>
      <c r="E1742" s="63" t="s">
        <v>848</v>
      </c>
      <c r="F1742" s="18" t="s">
        <v>845</v>
      </c>
      <c r="G1742" s="18" t="s">
        <v>647</v>
      </c>
      <c r="H1742" s="18">
        <v>2010</v>
      </c>
      <c r="I1742" s="40">
        <v>833</v>
      </c>
      <c r="J1742" s="40" t="s">
        <v>402</v>
      </c>
      <c r="K1742" s="18" t="s">
        <v>402</v>
      </c>
      <c r="L1742" s="38" t="s">
        <v>637</v>
      </c>
      <c r="M1742" s="21" t="s">
        <v>351</v>
      </c>
      <c r="N1742" s="18" t="s">
        <v>352</v>
      </c>
    </row>
    <row r="1743" spans="1:14" ht="13">
      <c r="A1743" s="18" t="s">
        <v>283</v>
      </c>
      <c r="B1743" s="18" t="s">
        <v>260</v>
      </c>
      <c r="C1743" s="18" t="s">
        <v>847</v>
      </c>
      <c r="D1743" s="18" t="s">
        <v>345</v>
      </c>
      <c r="E1743" s="63" t="s">
        <v>848</v>
      </c>
      <c r="F1743" s="18" t="s">
        <v>845</v>
      </c>
      <c r="G1743" s="18" t="s">
        <v>647</v>
      </c>
      <c r="H1743" s="18">
        <v>2011</v>
      </c>
      <c r="I1743" s="40">
        <v>729</v>
      </c>
      <c r="J1743" s="40" t="s">
        <v>402</v>
      </c>
      <c r="K1743" s="18" t="s">
        <v>402</v>
      </c>
      <c r="L1743" s="38" t="s">
        <v>637</v>
      </c>
      <c r="M1743" s="21" t="s">
        <v>351</v>
      </c>
      <c r="N1743" s="18" t="s">
        <v>352</v>
      </c>
    </row>
    <row r="1744" spans="1:14" ht="13">
      <c r="A1744" s="18" t="s">
        <v>283</v>
      </c>
      <c r="B1744" s="18" t="s">
        <v>260</v>
      </c>
      <c r="C1744" s="18" t="s">
        <v>847</v>
      </c>
      <c r="D1744" s="18" t="s">
        <v>345</v>
      </c>
      <c r="E1744" s="63" t="s">
        <v>848</v>
      </c>
      <c r="F1744" s="18" t="s">
        <v>845</v>
      </c>
      <c r="G1744" s="18" t="s">
        <v>647</v>
      </c>
      <c r="H1744" s="18">
        <v>2012</v>
      </c>
      <c r="I1744" s="40">
        <v>625</v>
      </c>
      <c r="J1744" s="40" t="s">
        <v>402</v>
      </c>
      <c r="K1744" s="18" t="s">
        <v>402</v>
      </c>
      <c r="L1744" s="38" t="s">
        <v>637</v>
      </c>
      <c r="M1744" s="21" t="s">
        <v>351</v>
      </c>
      <c r="N1744" s="18" t="s">
        <v>352</v>
      </c>
    </row>
    <row r="1745" spans="1:14" ht="13">
      <c r="A1745" s="18" t="s">
        <v>283</v>
      </c>
      <c r="B1745" s="18" t="s">
        <v>260</v>
      </c>
      <c r="C1745" s="18" t="s">
        <v>847</v>
      </c>
      <c r="D1745" s="18" t="s">
        <v>345</v>
      </c>
      <c r="E1745" s="63" t="s">
        <v>848</v>
      </c>
      <c r="F1745" s="18" t="s">
        <v>845</v>
      </c>
      <c r="G1745" s="18" t="s">
        <v>647</v>
      </c>
      <c r="H1745" s="18">
        <v>2013</v>
      </c>
      <c r="I1745" s="40">
        <v>625</v>
      </c>
      <c r="J1745" s="40" t="s">
        <v>402</v>
      </c>
      <c r="K1745" s="18" t="s">
        <v>402</v>
      </c>
      <c r="L1745" s="38" t="s">
        <v>637</v>
      </c>
      <c r="M1745" s="21" t="s">
        <v>351</v>
      </c>
      <c r="N1745" s="18" t="s">
        <v>352</v>
      </c>
    </row>
    <row r="1746" spans="1:14" ht="13">
      <c r="A1746" s="18" t="s">
        <v>283</v>
      </c>
      <c r="B1746" s="18" t="s">
        <v>260</v>
      </c>
      <c r="C1746" s="18" t="s">
        <v>847</v>
      </c>
      <c r="D1746" s="18" t="s">
        <v>345</v>
      </c>
      <c r="E1746" s="63" t="s">
        <v>848</v>
      </c>
      <c r="F1746" s="18" t="s">
        <v>845</v>
      </c>
      <c r="G1746" s="18" t="s">
        <v>647</v>
      </c>
      <c r="H1746" s="18">
        <v>2014</v>
      </c>
      <c r="I1746" s="40">
        <v>417</v>
      </c>
      <c r="J1746" s="40" t="s">
        <v>402</v>
      </c>
      <c r="K1746" s="18" t="s">
        <v>402</v>
      </c>
      <c r="L1746" s="38" t="s">
        <v>637</v>
      </c>
      <c r="M1746" s="21" t="s">
        <v>351</v>
      </c>
      <c r="N1746" s="18" t="s">
        <v>352</v>
      </c>
    </row>
    <row r="1747" spans="1:14" ht="13">
      <c r="A1747" s="18" t="s">
        <v>283</v>
      </c>
      <c r="B1747" s="18" t="s">
        <v>260</v>
      </c>
      <c r="C1747" s="18" t="s">
        <v>847</v>
      </c>
      <c r="D1747" s="18" t="s">
        <v>345</v>
      </c>
      <c r="E1747" s="63" t="s">
        <v>848</v>
      </c>
      <c r="F1747" s="18" t="s">
        <v>845</v>
      </c>
      <c r="G1747" s="18" t="s">
        <v>647</v>
      </c>
      <c r="H1747" s="18">
        <v>2015</v>
      </c>
      <c r="I1747" s="40">
        <v>417</v>
      </c>
      <c r="J1747" s="40" t="s">
        <v>402</v>
      </c>
      <c r="K1747" s="18" t="s">
        <v>402</v>
      </c>
      <c r="L1747" s="38" t="s">
        <v>637</v>
      </c>
      <c r="M1747" s="21" t="s">
        <v>351</v>
      </c>
      <c r="N1747" s="18" t="s">
        <v>352</v>
      </c>
    </row>
    <row r="1748" spans="1:14" ht="13">
      <c r="A1748" s="18" t="s">
        <v>283</v>
      </c>
      <c r="B1748" s="18" t="s">
        <v>260</v>
      </c>
      <c r="C1748" s="18" t="s">
        <v>847</v>
      </c>
      <c r="D1748" s="18" t="s">
        <v>345</v>
      </c>
      <c r="E1748" s="63" t="s">
        <v>848</v>
      </c>
      <c r="F1748" s="18" t="s">
        <v>845</v>
      </c>
      <c r="G1748" s="18" t="s">
        <v>647</v>
      </c>
      <c r="H1748" s="18">
        <v>2016</v>
      </c>
      <c r="I1748" s="40">
        <v>417</v>
      </c>
      <c r="J1748" s="40" t="s">
        <v>402</v>
      </c>
      <c r="K1748" s="18" t="s">
        <v>402</v>
      </c>
      <c r="L1748" s="38" t="s">
        <v>637</v>
      </c>
      <c r="M1748" s="21" t="s">
        <v>351</v>
      </c>
      <c r="N1748" s="18" t="s">
        <v>352</v>
      </c>
    </row>
    <row r="1749" spans="1:14" ht="13">
      <c r="A1749" s="18" t="s">
        <v>283</v>
      </c>
      <c r="B1749" s="18" t="s">
        <v>260</v>
      </c>
      <c r="C1749" s="18" t="s">
        <v>847</v>
      </c>
      <c r="D1749" s="18" t="s">
        <v>345</v>
      </c>
      <c r="E1749" s="63" t="s">
        <v>848</v>
      </c>
      <c r="F1749" s="18" t="s">
        <v>845</v>
      </c>
      <c r="G1749" s="18" t="s">
        <v>647</v>
      </c>
      <c r="H1749" s="18">
        <v>2017</v>
      </c>
      <c r="I1749" s="40">
        <v>417</v>
      </c>
      <c r="J1749" s="40" t="s">
        <v>402</v>
      </c>
      <c r="K1749" s="18" t="s">
        <v>402</v>
      </c>
      <c r="L1749" s="38" t="s">
        <v>637</v>
      </c>
      <c r="M1749" s="21" t="s">
        <v>351</v>
      </c>
      <c r="N1749" s="18" t="s">
        <v>352</v>
      </c>
    </row>
    <row r="1750" spans="1:14" ht="13">
      <c r="A1750" s="18" t="s">
        <v>283</v>
      </c>
      <c r="B1750" s="18" t="s">
        <v>260</v>
      </c>
      <c r="C1750" s="18" t="s">
        <v>847</v>
      </c>
      <c r="D1750" s="18" t="s">
        <v>345</v>
      </c>
      <c r="E1750" s="63" t="s">
        <v>848</v>
      </c>
      <c r="F1750" s="18" t="s">
        <v>845</v>
      </c>
      <c r="G1750" s="18" t="s">
        <v>647</v>
      </c>
      <c r="H1750" s="18">
        <v>2018</v>
      </c>
      <c r="I1750" s="40">
        <v>417</v>
      </c>
      <c r="J1750" s="40" t="s">
        <v>402</v>
      </c>
      <c r="K1750" s="18" t="s">
        <v>402</v>
      </c>
      <c r="L1750" s="38" t="s">
        <v>637</v>
      </c>
      <c r="M1750" s="21" t="s">
        <v>351</v>
      </c>
      <c r="N1750" s="18" t="s">
        <v>352</v>
      </c>
    </row>
    <row r="1751" spans="1:14" ht="13">
      <c r="A1751" s="18" t="s">
        <v>283</v>
      </c>
      <c r="B1751" s="18" t="s">
        <v>260</v>
      </c>
      <c r="C1751" s="18" t="s">
        <v>849</v>
      </c>
      <c r="D1751" s="18" t="s">
        <v>345</v>
      </c>
      <c r="E1751" s="63" t="s">
        <v>850</v>
      </c>
      <c r="F1751" s="18" t="s">
        <v>845</v>
      </c>
      <c r="G1751" s="18" t="s">
        <v>647</v>
      </c>
      <c r="H1751" s="18">
        <v>1978</v>
      </c>
      <c r="I1751" s="40">
        <v>45067</v>
      </c>
      <c r="J1751" s="40">
        <v>37570</v>
      </c>
      <c r="K1751" s="18">
        <v>52567</v>
      </c>
      <c r="L1751" s="38" t="s">
        <v>637</v>
      </c>
      <c r="M1751" s="21" t="s">
        <v>351</v>
      </c>
      <c r="N1751" s="18" t="s">
        <v>352</v>
      </c>
    </row>
    <row r="1752" spans="1:14" ht="13">
      <c r="A1752" s="18" t="s">
        <v>283</v>
      </c>
      <c r="B1752" s="18" t="s">
        <v>260</v>
      </c>
      <c r="C1752" s="18" t="s">
        <v>849</v>
      </c>
      <c r="D1752" s="18" t="s">
        <v>345</v>
      </c>
      <c r="E1752" s="63" t="s">
        <v>850</v>
      </c>
      <c r="F1752" s="18" t="s">
        <v>845</v>
      </c>
      <c r="G1752" s="18" t="s">
        <v>647</v>
      </c>
      <c r="H1752" s="18">
        <v>1979</v>
      </c>
      <c r="I1752" s="40">
        <v>41745</v>
      </c>
      <c r="J1752" s="40" t="s">
        <v>402</v>
      </c>
      <c r="K1752" s="18" t="s">
        <v>402</v>
      </c>
      <c r="L1752" s="38" t="s">
        <v>637</v>
      </c>
      <c r="M1752" s="21" t="s">
        <v>351</v>
      </c>
      <c r="N1752" s="18" t="s">
        <v>352</v>
      </c>
    </row>
    <row r="1753" spans="1:14" ht="13">
      <c r="A1753" s="18" t="s">
        <v>283</v>
      </c>
      <c r="B1753" s="18" t="s">
        <v>260</v>
      </c>
      <c r="C1753" s="18" t="s">
        <v>849</v>
      </c>
      <c r="D1753" s="18" t="s">
        <v>345</v>
      </c>
      <c r="E1753" s="63" t="s">
        <v>850</v>
      </c>
      <c r="F1753" s="18" t="s">
        <v>845</v>
      </c>
      <c r="G1753" s="18" t="s">
        <v>647</v>
      </c>
      <c r="H1753" s="18">
        <v>1985</v>
      </c>
      <c r="I1753" s="40">
        <v>28264</v>
      </c>
      <c r="J1753" s="40" t="s">
        <v>402</v>
      </c>
      <c r="K1753" s="18" t="s">
        <v>402</v>
      </c>
      <c r="L1753" s="38" t="s">
        <v>637</v>
      </c>
      <c r="M1753" s="21" t="s">
        <v>351</v>
      </c>
      <c r="N1753" s="18" t="s">
        <v>352</v>
      </c>
    </row>
    <row r="1754" spans="1:14" ht="13">
      <c r="A1754" s="18" t="s">
        <v>283</v>
      </c>
      <c r="B1754" s="18" t="s">
        <v>260</v>
      </c>
      <c r="C1754" s="18" t="s">
        <v>849</v>
      </c>
      <c r="D1754" s="18" t="s">
        <v>345</v>
      </c>
      <c r="E1754" s="63" t="s">
        <v>850</v>
      </c>
      <c r="F1754" s="18" t="s">
        <v>845</v>
      </c>
      <c r="G1754" s="18" t="s">
        <v>647</v>
      </c>
      <c r="H1754" s="18">
        <v>1987</v>
      </c>
      <c r="I1754" s="40">
        <v>16827</v>
      </c>
      <c r="J1754" s="40">
        <v>14744</v>
      </c>
      <c r="K1754" s="18">
        <v>19327</v>
      </c>
      <c r="L1754" s="38" t="s">
        <v>637</v>
      </c>
      <c r="M1754" s="21" t="s">
        <v>351</v>
      </c>
      <c r="N1754" s="18" t="s">
        <v>352</v>
      </c>
    </row>
    <row r="1755" spans="1:14" ht="13">
      <c r="A1755" s="18" t="s">
        <v>283</v>
      </c>
      <c r="B1755" s="18" t="s">
        <v>260</v>
      </c>
      <c r="C1755" s="18" t="s">
        <v>849</v>
      </c>
      <c r="D1755" s="18" t="s">
        <v>345</v>
      </c>
      <c r="E1755" s="63" t="s">
        <v>850</v>
      </c>
      <c r="F1755" s="18" t="s">
        <v>845</v>
      </c>
      <c r="G1755" s="18" t="s">
        <v>647</v>
      </c>
      <c r="H1755" s="18">
        <v>1989</v>
      </c>
      <c r="I1755" s="40">
        <v>10178</v>
      </c>
      <c r="J1755" s="40" t="s">
        <v>402</v>
      </c>
      <c r="K1755" s="18" t="s">
        <v>402</v>
      </c>
      <c r="L1755" s="38" t="s">
        <v>637</v>
      </c>
      <c r="M1755" s="21" t="s">
        <v>351</v>
      </c>
      <c r="N1755" s="18" t="s">
        <v>352</v>
      </c>
    </row>
    <row r="1756" spans="1:14" ht="13">
      <c r="A1756" s="18" t="s">
        <v>283</v>
      </c>
      <c r="B1756" s="18" t="s">
        <v>260</v>
      </c>
      <c r="C1756" s="18" t="s">
        <v>849</v>
      </c>
      <c r="D1756" s="18" t="s">
        <v>345</v>
      </c>
      <c r="E1756" s="63" t="s">
        <v>850</v>
      </c>
      <c r="F1756" s="18" t="s">
        <v>845</v>
      </c>
      <c r="G1756" s="18" t="s">
        <v>647</v>
      </c>
      <c r="H1756" s="18">
        <v>1990</v>
      </c>
      <c r="I1756" s="40">
        <v>11023</v>
      </c>
      <c r="J1756" s="40" t="s">
        <v>402</v>
      </c>
      <c r="K1756" s="18" t="s">
        <v>402</v>
      </c>
      <c r="L1756" s="38" t="s">
        <v>637</v>
      </c>
      <c r="M1756" s="21" t="s">
        <v>351</v>
      </c>
      <c r="N1756" s="18" t="s">
        <v>352</v>
      </c>
    </row>
    <row r="1757" spans="1:14" ht="13">
      <c r="A1757" s="18" t="s">
        <v>283</v>
      </c>
      <c r="B1757" s="18" t="s">
        <v>260</v>
      </c>
      <c r="C1757" s="18" t="s">
        <v>849</v>
      </c>
      <c r="D1757" s="18" t="s">
        <v>345</v>
      </c>
      <c r="E1757" s="63" t="s">
        <v>850</v>
      </c>
      <c r="F1757" s="18" t="s">
        <v>845</v>
      </c>
      <c r="G1757" s="18" t="s">
        <v>647</v>
      </c>
      <c r="H1757" s="18">
        <v>1991</v>
      </c>
      <c r="I1757" s="40">
        <v>10615</v>
      </c>
      <c r="J1757" s="40" t="s">
        <v>402</v>
      </c>
      <c r="K1757" s="18" t="s">
        <v>402</v>
      </c>
      <c r="L1757" s="38" t="s">
        <v>637</v>
      </c>
      <c r="M1757" s="21" t="s">
        <v>351</v>
      </c>
      <c r="N1757" s="18" t="s">
        <v>352</v>
      </c>
    </row>
    <row r="1758" spans="1:14" ht="13">
      <c r="A1758" s="18" t="s">
        <v>283</v>
      </c>
      <c r="B1758" s="18" t="s">
        <v>260</v>
      </c>
      <c r="C1758" s="18" t="s">
        <v>849</v>
      </c>
      <c r="D1758" s="18" t="s">
        <v>345</v>
      </c>
      <c r="E1758" s="63" t="s">
        <v>850</v>
      </c>
      <c r="F1758" s="18" t="s">
        <v>845</v>
      </c>
      <c r="G1758" s="18" t="s">
        <v>647</v>
      </c>
      <c r="H1758" s="18">
        <v>1992</v>
      </c>
      <c r="I1758" s="40">
        <v>9376</v>
      </c>
      <c r="J1758" s="40" t="s">
        <v>402</v>
      </c>
      <c r="K1758" s="18" t="s">
        <v>402</v>
      </c>
      <c r="L1758" s="38" t="s">
        <v>637</v>
      </c>
      <c r="M1758" s="21" t="s">
        <v>351</v>
      </c>
      <c r="N1758" s="18" t="s">
        <v>352</v>
      </c>
    </row>
    <row r="1759" spans="1:14" ht="13">
      <c r="A1759" s="18" t="s">
        <v>283</v>
      </c>
      <c r="B1759" s="18" t="s">
        <v>260</v>
      </c>
      <c r="C1759" s="18" t="s">
        <v>849</v>
      </c>
      <c r="D1759" s="18" t="s">
        <v>345</v>
      </c>
      <c r="E1759" s="63" t="s">
        <v>850</v>
      </c>
      <c r="F1759" s="18" t="s">
        <v>845</v>
      </c>
      <c r="G1759" s="18" t="s">
        <v>647</v>
      </c>
      <c r="H1759" s="18">
        <v>1994</v>
      </c>
      <c r="I1759" s="40">
        <v>8564</v>
      </c>
      <c r="J1759" s="40" t="s">
        <v>402</v>
      </c>
      <c r="K1759" s="18" t="s">
        <v>402</v>
      </c>
      <c r="L1759" s="38" t="s">
        <v>637</v>
      </c>
      <c r="M1759" s="21" t="s">
        <v>351</v>
      </c>
      <c r="N1759" s="18" t="s">
        <v>352</v>
      </c>
    </row>
    <row r="1760" spans="1:14" ht="13">
      <c r="A1760" s="18" t="s">
        <v>283</v>
      </c>
      <c r="B1760" s="18" t="s">
        <v>260</v>
      </c>
      <c r="C1760" s="18" t="s">
        <v>849</v>
      </c>
      <c r="D1760" s="18" t="s">
        <v>345</v>
      </c>
      <c r="E1760" s="63" t="s">
        <v>850</v>
      </c>
      <c r="F1760" s="18" t="s">
        <v>845</v>
      </c>
      <c r="G1760" s="18" t="s">
        <v>647</v>
      </c>
      <c r="H1760" s="18">
        <v>1996</v>
      </c>
      <c r="I1760" s="40">
        <v>8167</v>
      </c>
      <c r="J1760" s="40" t="s">
        <v>402</v>
      </c>
      <c r="K1760" s="18" t="s">
        <v>402</v>
      </c>
      <c r="L1760" s="38" t="s">
        <v>637</v>
      </c>
      <c r="M1760" s="21" t="s">
        <v>351</v>
      </c>
      <c r="N1760" s="18" t="s">
        <v>352</v>
      </c>
    </row>
    <row r="1761" spans="1:14" ht="13">
      <c r="A1761" s="18" t="s">
        <v>283</v>
      </c>
      <c r="B1761" s="18" t="s">
        <v>260</v>
      </c>
      <c r="C1761" s="18" t="s">
        <v>849</v>
      </c>
      <c r="D1761" s="18" t="s">
        <v>345</v>
      </c>
      <c r="E1761" s="63" t="s">
        <v>850</v>
      </c>
      <c r="F1761" s="18" t="s">
        <v>845</v>
      </c>
      <c r="G1761" s="18" t="s">
        <v>647</v>
      </c>
      <c r="H1761" s="18">
        <v>1998</v>
      </c>
      <c r="I1761" s="40">
        <v>8604</v>
      </c>
      <c r="J1761" s="40" t="s">
        <v>402</v>
      </c>
      <c r="K1761" s="18" t="s">
        <v>402</v>
      </c>
      <c r="L1761" s="38" t="s">
        <v>637</v>
      </c>
      <c r="M1761" s="21" t="s">
        <v>351</v>
      </c>
      <c r="N1761" s="18" t="s">
        <v>352</v>
      </c>
    </row>
    <row r="1762" spans="1:14" ht="13">
      <c r="A1762" s="18" t="s">
        <v>283</v>
      </c>
      <c r="B1762" s="18" t="s">
        <v>260</v>
      </c>
      <c r="C1762" s="18" t="s">
        <v>849</v>
      </c>
      <c r="D1762" s="18" t="s">
        <v>345</v>
      </c>
      <c r="E1762" s="63" t="s">
        <v>850</v>
      </c>
      <c r="F1762" s="18" t="s">
        <v>845</v>
      </c>
      <c r="G1762" s="18" t="s">
        <v>647</v>
      </c>
      <c r="H1762" s="18">
        <v>2000</v>
      </c>
      <c r="I1762" s="40">
        <v>7791</v>
      </c>
      <c r="J1762" s="40" t="s">
        <v>402</v>
      </c>
      <c r="K1762" s="18" t="s">
        <v>402</v>
      </c>
      <c r="L1762" s="38" t="s">
        <v>637</v>
      </c>
      <c r="M1762" s="21" t="s">
        <v>351</v>
      </c>
      <c r="N1762" s="18" t="s">
        <v>352</v>
      </c>
    </row>
    <row r="1763" spans="1:14" ht="13">
      <c r="A1763" s="18" t="s">
        <v>283</v>
      </c>
      <c r="B1763" s="18" t="s">
        <v>260</v>
      </c>
      <c r="C1763" s="18" t="s">
        <v>849</v>
      </c>
      <c r="D1763" s="18" t="s">
        <v>345</v>
      </c>
      <c r="E1763" s="63" t="s">
        <v>850</v>
      </c>
      <c r="F1763" s="18" t="s">
        <v>845</v>
      </c>
      <c r="G1763" s="18" t="s">
        <v>647</v>
      </c>
      <c r="H1763" s="18">
        <v>2002</v>
      </c>
      <c r="I1763" s="40">
        <v>7809</v>
      </c>
      <c r="J1763" s="40" t="s">
        <v>402</v>
      </c>
      <c r="K1763" s="18" t="s">
        <v>402</v>
      </c>
      <c r="L1763" s="38" t="s">
        <v>637</v>
      </c>
      <c r="M1763" s="21" t="s">
        <v>351</v>
      </c>
      <c r="N1763" s="18" t="s">
        <v>352</v>
      </c>
    </row>
    <row r="1764" spans="1:14" ht="13">
      <c r="A1764" s="18" t="s">
        <v>283</v>
      </c>
      <c r="B1764" s="18" t="s">
        <v>260</v>
      </c>
      <c r="C1764" s="18" t="s">
        <v>849</v>
      </c>
      <c r="D1764" s="18" t="s">
        <v>345</v>
      </c>
      <c r="E1764" s="63" t="s">
        <v>850</v>
      </c>
      <c r="F1764" s="18" t="s">
        <v>845</v>
      </c>
      <c r="G1764" s="18" t="s">
        <v>647</v>
      </c>
      <c r="H1764" s="18">
        <v>2004</v>
      </c>
      <c r="I1764" s="40">
        <v>8246</v>
      </c>
      <c r="J1764" s="40" t="s">
        <v>402</v>
      </c>
      <c r="K1764" s="18" t="s">
        <v>402</v>
      </c>
      <c r="L1764" s="38" t="s">
        <v>637</v>
      </c>
      <c r="M1764" s="21" t="s">
        <v>351</v>
      </c>
      <c r="N1764" s="18" t="s">
        <v>352</v>
      </c>
    </row>
    <row r="1765" spans="1:14" ht="13">
      <c r="A1765" s="18" t="s">
        <v>283</v>
      </c>
      <c r="B1765" s="18" t="s">
        <v>260</v>
      </c>
      <c r="C1765" s="18" t="s">
        <v>849</v>
      </c>
      <c r="D1765" s="18" t="s">
        <v>345</v>
      </c>
      <c r="E1765" s="63" t="s">
        <v>850</v>
      </c>
      <c r="F1765" s="18" t="s">
        <v>845</v>
      </c>
      <c r="G1765" s="18" t="s">
        <v>647</v>
      </c>
      <c r="H1765" s="18">
        <v>2005</v>
      </c>
      <c r="I1765" s="40">
        <v>7841</v>
      </c>
      <c r="J1765" s="40" t="s">
        <v>402</v>
      </c>
      <c r="K1765" s="18" t="s">
        <v>402</v>
      </c>
      <c r="L1765" s="38" t="s">
        <v>637</v>
      </c>
      <c r="M1765" s="21" t="s">
        <v>351</v>
      </c>
      <c r="N1765" s="18" t="s">
        <v>352</v>
      </c>
    </row>
    <row r="1766" spans="1:14" ht="13">
      <c r="A1766" s="18" t="s">
        <v>283</v>
      </c>
      <c r="B1766" s="18" t="s">
        <v>260</v>
      </c>
      <c r="C1766" s="18" t="s">
        <v>849</v>
      </c>
      <c r="D1766" s="18" t="s">
        <v>345</v>
      </c>
      <c r="E1766" s="63" t="s">
        <v>850</v>
      </c>
      <c r="F1766" s="18" t="s">
        <v>845</v>
      </c>
      <c r="G1766" s="18" t="s">
        <v>647</v>
      </c>
      <c r="H1766" s="18">
        <v>2006</v>
      </c>
      <c r="I1766" s="40">
        <v>7850</v>
      </c>
      <c r="J1766" s="40" t="s">
        <v>402</v>
      </c>
      <c r="K1766" s="18" t="s">
        <v>402</v>
      </c>
      <c r="L1766" s="38" t="s">
        <v>637</v>
      </c>
      <c r="M1766" s="21" t="s">
        <v>351</v>
      </c>
      <c r="N1766" s="18" t="s">
        <v>352</v>
      </c>
    </row>
    <row r="1767" spans="1:14" ht="13">
      <c r="A1767" s="18" t="s">
        <v>283</v>
      </c>
      <c r="B1767" s="18" t="s">
        <v>260</v>
      </c>
      <c r="C1767" s="18" t="s">
        <v>849</v>
      </c>
      <c r="D1767" s="18" t="s">
        <v>345</v>
      </c>
      <c r="E1767" s="63" t="s">
        <v>850</v>
      </c>
      <c r="F1767" s="18" t="s">
        <v>845</v>
      </c>
      <c r="G1767" s="18" t="s">
        <v>647</v>
      </c>
      <c r="H1767" s="18">
        <v>2007</v>
      </c>
      <c r="I1767" s="40">
        <v>7442</v>
      </c>
      <c r="J1767" s="40" t="s">
        <v>402</v>
      </c>
      <c r="K1767" s="18" t="s">
        <v>402</v>
      </c>
      <c r="L1767" s="38" t="s">
        <v>637</v>
      </c>
      <c r="M1767" s="21" t="s">
        <v>351</v>
      </c>
      <c r="N1767" s="18" t="s">
        <v>352</v>
      </c>
    </row>
    <row r="1768" spans="1:14" ht="13">
      <c r="A1768" s="18" t="s">
        <v>283</v>
      </c>
      <c r="B1768" s="18" t="s">
        <v>260</v>
      </c>
      <c r="C1768" s="18" t="s">
        <v>849</v>
      </c>
      <c r="D1768" s="18" t="s">
        <v>345</v>
      </c>
      <c r="E1768" s="63" t="s">
        <v>850</v>
      </c>
      <c r="F1768" s="18" t="s">
        <v>845</v>
      </c>
      <c r="G1768" s="18" t="s">
        <v>647</v>
      </c>
      <c r="H1768" s="18">
        <v>2008</v>
      </c>
      <c r="I1768" s="40">
        <v>7453</v>
      </c>
      <c r="J1768" s="40" t="s">
        <v>402</v>
      </c>
      <c r="K1768" s="18" t="s">
        <v>402</v>
      </c>
      <c r="L1768" s="38" t="s">
        <v>637</v>
      </c>
      <c r="M1768" s="21" t="s">
        <v>351</v>
      </c>
      <c r="N1768" s="18" t="s">
        <v>352</v>
      </c>
    </row>
    <row r="1769" spans="1:14" ht="13">
      <c r="A1769" s="18" t="s">
        <v>283</v>
      </c>
      <c r="B1769" s="18" t="s">
        <v>260</v>
      </c>
      <c r="C1769" s="18" t="s">
        <v>849</v>
      </c>
      <c r="D1769" s="18" t="s">
        <v>345</v>
      </c>
      <c r="E1769" s="63" t="s">
        <v>850</v>
      </c>
      <c r="F1769" s="18" t="s">
        <v>845</v>
      </c>
      <c r="G1769" s="18" t="s">
        <v>647</v>
      </c>
      <c r="H1769" s="18">
        <v>2009</v>
      </c>
      <c r="I1769" s="40">
        <v>7465</v>
      </c>
      <c r="J1769" s="40" t="s">
        <v>402</v>
      </c>
      <c r="K1769" s="18" t="s">
        <v>402</v>
      </c>
      <c r="L1769" s="38" t="s">
        <v>637</v>
      </c>
      <c r="M1769" s="21" t="s">
        <v>351</v>
      </c>
      <c r="N1769" s="18" t="s">
        <v>352</v>
      </c>
    </row>
    <row r="1770" spans="1:14" ht="13">
      <c r="A1770" s="18" t="s">
        <v>283</v>
      </c>
      <c r="B1770" s="18" t="s">
        <v>260</v>
      </c>
      <c r="C1770" s="18" t="s">
        <v>849</v>
      </c>
      <c r="D1770" s="18" t="s">
        <v>345</v>
      </c>
      <c r="E1770" s="63" t="s">
        <v>850</v>
      </c>
      <c r="F1770" s="18" t="s">
        <v>845</v>
      </c>
      <c r="G1770" s="18" t="s">
        <v>647</v>
      </c>
      <c r="H1770" s="18">
        <v>2010</v>
      </c>
      <c r="I1770" s="40">
        <v>7682</v>
      </c>
      <c r="J1770" s="40" t="s">
        <v>402</v>
      </c>
      <c r="K1770" s="18" t="s">
        <v>402</v>
      </c>
      <c r="L1770" s="38" t="s">
        <v>637</v>
      </c>
      <c r="M1770" s="21" t="s">
        <v>351</v>
      </c>
      <c r="N1770" s="18" t="s">
        <v>352</v>
      </c>
    </row>
    <row r="1771" spans="1:14" ht="13">
      <c r="A1771" s="18" t="s">
        <v>283</v>
      </c>
      <c r="B1771" s="18" t="s">
        <v>260</v>
      </c>
      <c r="C1771" s="18" t="s">
        <v>849</v>
      </c>
      <c r="D1771" s="18" t="s">
        <v>345</v>
      </c>
      <c r="E1771" s="63" t="s">
        <v>850</v>
      </c>
      <c r="F1771" s="18" t="s">
        <v>845</v>
      </c>
      <c r="G1771" s="18" t="s">
        <v>647</v>
      </c>
      <c r="H1771" s="18">
        <v>2011</v>
      </c>
      <c r="I1771" s="40">
        <v>7692</v>
      </c>
      <c r="J1771" s="40" t="s">
        <v>402</v>
      </c>
      <c r="K1771" s="18" t="s">
        <v>402</v>
      </c>
      <c r="L1771" s="38" t="s">
        <v>637</v>
      </c>
      <c r="M1771" s="21" t="s">
        <v>351</v>
      </c>
      <c r="N1771" s="18" t="s">
        <v>352</v>
      </c>
    </row>
    <row r="1772" spans="1:14" ht="13">
      <c r="A1772" s="18" t="s">
        <v>283</v>
      </c>
      <c r="B1772" s="18" t="s">
        <v>260</v>
      </c>
      <c r="C1772" s="18" t="s">
        <v>849</v>
      </c>
      <c r="D1772" s="18" t="s">
        <v>345</v>
      </c>
      <c r="E1772" s="63" t="s">
        <v>850</v>
      </c>
      <c r="F1772" s="18" t="s">
        <v>845</v>
      </c>
      <c r="G1772" s="18" t="s">
        <v>647</v>
      </c>
      <c r="H1772" s="18">
        <v>2012</v>
      </c>
      <c r="I1772" s="40">
        <v>7494</v>
      </c>
      <c r="J1772" s="40" t="s">
        <v>402</v>
      </c>
      <c r="K1772" s="18">
        <v>8328</v>
      </c>
      <c r="L1772" s="38" t="s">
        <v>637</v>
      </c>
      <c r="M1772" s="21" t="s">
        <v>351</v>
      </c>
      <c r="N1772" s="18" t="s">
        <v>352</v>
      </c>
    </row>
    <row r="1773" spans="1:14" ht="13">
      <c r="A1773" s="18" t="s">
        <v>283</v>
      </c>
      <c r="B1773" s="18" t="s">
        <v>260</v>
      </c>
      <c r="C1773" s="18" t="s">
        <v>849</v>
      </c>
      <c r="D1773" s="18" t="s">
        <v>345</v>
      </c>
      <c r="E1773" s="63" t="s">
        <v>850</v>
      </c>
      <c r="F1773" s="18" t="s">
        <v>845</v>
      </c>
      <c r="G1773" s="18" t="s">
        <v>647</v>
      </c>
      <c r="H1773" s="18">
        <v>2013</v>
      </c>
      <c r="I1773" s="40">
        <v>7503</v>
      </c>
      <c r="J1773" s="40" t="s">
        <v>402</v>
      </c>
      <c r="K1773" s="18">
        <v>8339</v>
      </c>
      <c r="L1773" s="38" t="s">
        <v>637</v>
      </c>
      <c r="M1773" s="21" t="s">
        <v>351</v>
      </c>
      <c r="N1773" s="18" t="s">
        <v>352</v>
      </c>
    </row>
    <row r="1774" spans="1:14" ht="13">
      <c r="A1774" s="18" t="s">
        <v>283</v>
      </c>
      <c r="B1774" s="18" t="s">
        <v>260</v>
      </c>
      <c r="C1774" s="18" t="s">
        <v>849</v>
      </c>
      <c r="D1774" s="18" t="s">
        <v>345</v>
      </c>
      <c r="E1774" s="63" t="s">
        <v>850</v>
      </c>
      <c r="F1774" s="18" t="s">
        <v>845</v>
      </c>
      <c r="G1774" s="18" t="s">
        <v>647</v>
      </c>
      <c r="H1774" s="18">
        <v>2014</v>
      </c>
      <c r="I1774" s="40">
        <v>6681</v>
      </c>
      <c r="J1774" s="40" t="s">
        <v>402</v>
      </c>
      <c r="K1774" s="18" t="s">
        <v>402</v>
      </c>
      <c r="L1774" s="38" t="s">
        <v>637</v>
      </c>
      <c r="M1774" s="21" t="s">
        <v>351</v>
      </c>
      <c r="N1774" s="18" t="s">
        <v>352</v>
      </c>
    </row>
    <row r="1775" spans="1:14" ht="13">
      <c r="A1775" s="18" t="s">
        <v>283</v>
      </c>
      <c r="B1775" s="18" t="s">
        <v>260</v>
      </c>
      <c r="C1775" s="18" t="s">
        <v>849</v>
      </c>
      <c r="D1775" s="18" t="s">
        <v>345</v>
      </c>
      <c r="E1775" s="63" t="s">
        <v>850</v>
      </c>
      <c r="F1775" s="18" t="s">
        <v>845</v>
      </c>
      <c r="G1775" s="18" t="s">
        <v>647</v>
      </c>
      <c r="H1775" s="18">
        <v>2015</v>
      </c>
      <c r="I1775" s="40">
        <v>7107</v>
      </c>
      <c r="J1775" s="40" t="s">
        <v>402</v>
      </c>
      <c r="K1775" s="18">
        <v>8357</v>
      </c>
      <c r="L1775" s="38" t="s">
        <v>637</v>
      </c>
      <c r="M1775" s="21" t="s">
        <v>351</v>
      </c>
      <c r="N1775" s="18" t="s">
        <v>352</v>
      </c>
    </row>
    <row r="1776" spans="1:14" ht="13">
      <c r="A1776" s="18" t="s">
        <v>283</v>
      </c>
      <c r="B1776" s="18" t="s">
        <v>260</v>
      </c>
      <c r="C1776" s="18" t="s">
        <v>849</v>
      </c>
      <c r="D1776" s="18" t="s">
        <v>345</v>
      </c>
      <c r="E1776" s="63" t="s">
        <v>850</v>
      </c>
      <c r="F1776" s="18" t="s">
        <v>845</v>
      </c>
      <c r="G1776" s="18" t="s">
        <v>647</v>
      </c>
      <c r="H1776" s="18">
        <v>2016</v>
      </c>
      <c r="I1776" s="40">
        <v>7535</v>
      </c>
      <c r="J1776" s="40" t="s">
        <v>402</v>
      </c>
      <c r="K1776" s="18" t="s">
        <v>402</v>
      </c>
      <c r="L1776" s="38" t="s">
        <v>637</v>
      </c>
      <c r="M1776" s="21" t="s">
        <v>351</v>
      </c>
      <c r="N1776" s="18" t="s">
        <v>352</v>
      </c>
    </row>
    <row r="1777" spans="1:14" ht="13">
      <c r="A1777" s="18" t="s">
        <v>283</v>
      </c>
      <c r="B1777" s="18" t="s">
        <v>260</v>
      </c>
      <c r="C1777" s="18" t="s">
        <v>849</v>
      </c>
      <c r="D1777" s="18" t="s">
        <v>345</v>
      </c>
      <c r="E1777" s="63" t="s">
        <v>850</v>
      </c>
      <c r="F1777" s="18" t="s">
        <v>845</v>
      </c>
      <c r="G1777" s="18" t="s">
        <v>647</v>
      </c>
      <c r="H1777" s="18">
        <v>2017</v>
      </c>
      <c r="I1777" s="40">
        <v>7547</v>
      </c>
      <c r="J1777" s="40">
        <v>6294</v>
      </c>
      <c r="K1777" s="18">
        <v>8797</v>
      </c>
      <c r="L1777" s="38" t="s">
        <v>637</v>
      </c>
      <c r="M1777" s="21" t="s">
        <v>351</v>
      </c>
      <c r="N1777" s="18" t="s">
        <v>352</v>
      </c>
    </row>
    <row r="1778" spans="1:14" ht="13">
      <c r="A1778" s="18" t="s">
        <v>283</v>
      </c>
      <c r="B1778" s="18" t="s">
        <v>260</v>
      </c>
      <c r="C1778" s="18" t="s">
        <v>849</v>
      </c>
      <c r="D1778" s="18" t="s">
        <v>345</v>
      </c>
      <c r="E1778" s="63" t="s">
        <v>850</v>
      </c>
      <c r="F1778" s="18" t="s">
        <v>845</v>
      </c>
      <c r="G1778" s="18" t="s">
        <v>647</v>
      </c>
      <c r="H1778" s="18">
        <v>2018</v>
      </c>
      <c r="I1778" s="40">
        <v>7555</v>
      </c>
      <c r="J1778" s="40" t="s">
        <v>402</v>
      </c>
      <c r="K1778" s="18" t="s">
        <v>402</v>
      </c>
      <c r="L1778" s="38" t="s">
        <v>637</v>
      </c>
      <c r="M1778" s="21" t="s">
        <v>351</v>
      </c>
      <c r="N1778" s="18" t="s">
        <v>352</v>
      </c>
    </row>
    <row r="1779" spans="1:14" ht="13">
      <c r="A1779" s="18" t="s">
        <v>283</v>
      </c>
      <c r="B1779" s="18" t="s">
        <v>260</v>
      </c>
      <c r="C1779" s="18" t="s">
        <v>853</v>
      </c>
      <c r="D1779" s="18" t="s">
        <v>345</v>
      </c>
      <c r="E1779" s="63" t="s">
        <v>854</v>
      </c>
      <c r="F1779" s="18" t="s">
        <v>845</v>
      </c>
      <c r="G1779" s="18" t="s">
        <v>647</v>
      </c>
      <c r="H1779" s="18">
        <v>1978</v>
      </c>
      <c r="I1779" s="40">
        <v>9583</v>
      </c>
      <c r="J1779" s="40">
        <v>5833</v>
      </c>
      <c r="K1779" s="18">
        <v>13333</v>
      </c>
      <c r="L1779" s="38" t="s">
        <v>637</v>
      </c>
      <c r="M1779" s="21" t="s">
        <v>351</v>
      </c>
      <c r="N1779" s="18" t="s">
        <v>352</v>
      </c>
    </row>
    <row r="1780" spans="1:14" ht="13">
      <c r="A1780" s="18" t="s">
        <v>283</v>
      </c>
      <c r="B1780" s="18" t="s">
        <v>260</v>
      </c>
      <c r="C1780" s="18" t="s">
        <v>853</v>
      </c>
      <c r="D1780" s="18" t="s">
        <v>345</v>
      </c>
      <c r="E1780" s="63" t="s">
        <v>854</v>
      </c>
      <c r="F1780" s="18" t="s">
        <v>845</v>
      </c>
      <c r="G1780" s="18" t="s">
        <v>647</v>
      </c>
      <c r="H1780" s="18">
        <v>1979</v>
      </c>
      <c r="I1780" s="40">
        <v>10000</v>
      </c>
      <c r="J1780" s="40">
        <v>6667</v>
      </c>
      <c r="K1780" s="18">
        <v>13333</v>
      </c>
      <c r="L1780" s="38" t="s">
        <v>637</v>
      </c>
      <c r="M1780" s="21" t="s">
        <v>351</v>
      </c>
      <c r="N1780" s="18" t="s">
        <v>352</v>
      </c>
    </row>
    <row r="1781" spans="1:14" ht="13">
      <c r="A1781" s="18" t="s">
        <v>283</v>
      </c>
      <c r="B1781" s="18" t="s">
        <v>260</v>
      </c>
      <c r="C1781" s="18" t="s">
        <v>853</v>
      </c>
      <c r="D1781" s="18" t="s">
        <v>345</v>
      </c>
      <c r="E1781" s="63" t="s">
        <v>854</v>
      </c>
      <c r="F1781" s="18" t="s">
        <v>845</v>
      </c>
      <c r="G1781" s="18" t="s">
        <v>647</v>
      </c>
      <c r="H1781" s="18">
        <v>1989</v>
      </c>
      <c r="I1781" s="40">
        <v>7917</v>
      </c>
      <c r="J1781" s="40" t="s">
        <v>402</v>
      </c>
      <c r="K1781" s="18" t="s">
        <v>402</v>
      </c>
      <c r="L1781" s="38" t="s">
        <v>637</v>
      </c>
      <c r="M1781" s="21" t="s">
        <v>351</v>
      </c>
      <c r="N1781" s="18" t="s">
        <v>352</v>
      </c>
    </row>
    <row r="1782" spans="1:14" ht="13">
      <c r="A1782" s="18" t="s">
        <v>283</v>
      </c>
      <c r="B1782" s="18" t="s">
        <v>260</v>
      </c>
      <c r="C1782" s="18" t="s">
        <v>853</v>
      </c>
      <c r="D1782" s="18" t="s">
        <v>345</v>
      </c>
      <c r="E1782" s="63" t="s">
        <v>854</v>
      </c>
      <c r="F1782" s="18" t="s">
        <v>845</v>
      </c>
      <c r="G1782" s="18" t="s">
        <v>647</v>
      </c>
      <c r="H1782" s="18">
        <v>1990</v>
      </c>
      <c r="I1782" s="40">
        <v>6250</v>
      </c>
      <c r="J1782" s="40" t="s">
        <v>402</v>
      </c>
      <c r="K1782" s="18" t="s">
        <v>402</v>
      </c>
      <c r="L1782" s="38" t="s">
        <v>637</v>
      </c>
      <c r="M1782" s="21" t="s">
        <v>351</v>
      </c>
      <c r="N1782" s="18" t="s">
        <v>352</v>
      </c>
    </row>
    <row r="1783" spans="1:14" ht="13">
      <c r="A1783" s="18" t="s">
        <v>283</v>
      </c>
      <c r="B1783" s="18" t="s">
        <v>260</v>
      </c>
      <c r="C1783" s="18" t="s">
        <v>853</v>
      </c>
      <c r="D1783" s="18" t="s">
        <v>345</v>
      </c>
      <c r="E1783" s="63" t="s">
        <v>854</v>
      </c>
      <c r="F1783" s="18" t="s">
        <v>845</v>
      </c>
      <c r="G1783" s="18" t="s">
        <v>647</v>
      </c>
      <c r="H1783" s="18">
        <v>1991</v>
      </c>
      <c r="I1783" s="40">
        <v>5417</v>
      </c>
      <c r="J1783" s="40" t="s">
        <v>402</v>
      </c>
      <c r="K1783" s="18" t="s">
        <v>402</v>
      </c>
      <c r="L1783" s="38" t="s">
        <v>637</v>
      </c>
      <c r="M1783" s="21" t="s">
        <v>351</v>
      </c>
      <c r="N1783" s="18" t="s">
        <v>352</v>
      </c>
    </row>
    <row r="1784" spans="1:14" ht="13">
      <c r="A1784" s="18" t="s">
        <v>283</v>
      </c>
      <c r="B1784" s="18" t="s">
        <v>260</v>
      </c>
      <c r="C1784" s="18" t="s">
        <v>853</v>
      </c>
      <c r="D1784" s="18" t="s">
        <v>345</v>
      </c>
      <c r="E1784" s="63" t="s">
        <v>854</v>
      </c>
      <c r="F1784" s="18" t="s">
        <v>845</v>
      </c>
      <c r="G1784" s="18" t="s">
        <v>647</v>
      </c>
      <c r="H1784" s="18">
        <v>1992</v>
      </c>
      <c r="I1784" s="40">
        <v>4583</v>
      </c>
      <c r="J1784" s="40" t="s">
        <v>402</v>
      </c>
      <c r="K1784" s="18" t="s">
        <v>402</v>
      </c>
      <c r="L1784" s="38" t="s">
        <v>637</v>
      </c>
      <c r="M1784" s="21" t="s">
        <v>351</v>
      </c>
      <c r="N1784" s="18" t="s">
        <v>352</v>
      </c>
    </row>
    <row r="1785" spans="1:14" ht="13">
      <c r="A1785" s="18" t="s">
        <v>283</v>
      </c>
      <c r="B1785" s="18" t="s">
        <v>260</v>
      </c>
      <c r="C1785" s="18" t="s">
        <v>853</v>
      </c>
      <c r="D1785" s="18" t="s">
        <v>345</v>
      </c>
      <c r="E1785" s="63" t="s">
        <v>854</v>
      </c>
      <c r="F1785" s="18" t="s">
        <v>845</v>
      </c>
      <c r="G1785" s="18" t="s">
        <v>647</v>
      </c>
      <c r="H1785" s="18">
        <v>1994</v>
      </c>
      <c r="I1785" s="40">
        <v>4271</v>
      </c>
      <c r="J1785" s="40" t="s">
        <v>402</v>
      </c>
      <c r="K1785" s="18" t="s">
        <v>402</v>
      </c>
      <c r="L1785" s="38" t="s">
        <v>637</v>
      </c>
      <c r="M1785" s="21" t="s">
        <v>351</v>
      </c>
      <c r="N1785" s="18" t="s">
        <v>352</v>
      </c>
    </row>
    <row r="1786" spans="1:14" ht="13">
      <c r="A1786" s="18" t="s">
        <v>283</v>
      </c>
      <c r="B1786" s="18" t="s">
        <v>260</v>
      </c>
      <c r="C1786" s="18" t="s">
        <v>853</v>
      </c>
      <c r="D1786" s="18" t="s">
        <v>345</v>
      </c>
      <c r="E1786" s="63" t="s">
        <v>854</v>
      </c>
      <c r="F1786" s="18" t="s">
        <v>845</v>
      </c>
      <c r="G1786" s="18" t="s">
        <v>647</v>
      </c>
      <c r="H1786" s="18">
        <v>1996</v>
      </c>
      <c r="I1786" s="40">
        <v>2604</v>
      </c>
      <c r="J1786" s="40" t="s">
        <v>402</v>
      </c>
      <c r="K1786" s="18" t="s">
        <v>402</v>
      </c>
      <c r="L1786" s="38" t="s">
        <v>637</v>
      </c>
      <c r="M1786" s="21" t="s">
        <v>351</v>
      </c>
      <c r="N1786" s="18" t="s">
        <v>352</v>
      </c>
    </row>
    <row r="1787" spans="1:14" ht="13">
      <c r="A1787" s="18" t="s">
        <v>283</v>
      </c>
      <c r="B1787" s="18" t="s">
        <v>260</v>
      </c>
      <c r="C1787" s="18" t="s">
        <v>853</v>
      </c>
      <c r="D1787" s="18" t="s">
        <v>345</v>
      </c>
      <c r="E1787" s="63" t="s">
        <v>854</v>
      </c>
      <c r="F1787" s="18" t="s">
        <v>845</v>
      </c>
      <c r="G1787" s="18" t="s">
        <v>647</v>
      </c>
      <c r="H1787" s="18">
        <v>1997</v>
      </c>
      <c r="I1787" s="40">
        <v>3333</v>
      </c>
      <c r="J1787" s="40" t="s">
        <v>402</v>
      </c>
      <c r="K1787" s="18">
        <v>4583</v>
      </c>
      <c r="L1787" s="38" t="s">
        <v>637</v>
      </c>
      <c r="M1787" s="21" t="s">
        <v>351</v>
      </c>
      <c r="N1787" s="18" t="s">
        <v>352</v>
      </c>
    </row>
    <row r="1788" spans="1:14" ht="13">
      <c r="A1788" s="18" t="s">
        <v>283</v>
      </c>
      <c r="B1788" s="18" t="s">
        <v>260</v>
      </c>
      <c r="C1788" s="18" t="s">
        <v>853</v>
      </c>
      <c r="D1788" s="18" t="s">
        <v>345</v>
      </c>
      <c r="E1788" s="63" t="s">
        <v>854</v>
      </c>
      <c r="F1788" s="18" t="s">
        <v>845</v>
      </c>
      <c r="G1788" s="18" t="s">
        <v>647</v>
      </c>
      <c r="H1788" s="18">
        <v>1998</v>
      </c>
      <c r="I1788" s="40">
        <v>2500</v>
      </c>
      <c r="J1788" s="40" t="s">
        <v>402</v>
      </c>
      <c r="K1788" s="18" t="s">
        <v>402</v>
      </c>
      <c r="L1788" s="38" t="s">
        <v>637</v>
      </c>
      <c r="M1788" s="21" t="s">
        <v>351</v>
      </c>
      <c r="N1788" s="18" t="s">
        <v>352</v>
      </c>
    </row>
    <row r="1789" spans="1:14" ht="13">
      <c r="A1789" s="18" t="s">
        <v>283</v>
      </c>
      <c r="B1789" s="18" t="s">
        <v>260</v>
      </c>
      <c r="C1789" s="18" t="s">
        <v>853</v>
      </c>
      <c r="D1789" s="18" t="s">
        <v>345</v>
      </c>
      <c r="E1789" s="63" t="s">
        <v>854</v>
      </c>
      <c r="F1789" s="18" t="s">
        <v>845</v>
      </c>
      <c r="G1789" s="18" t="s">
        <v>647</v>
      </c>
      <c r="H1789" s="18">
        <v>2000</v>
      </c>
      <c r="I1789" s="40">
        <v>2500</v>
      </c>
      <c r="J1789" s="40" t="s">
        <v>402</v>
      </c>
      <c r="K1789" s="18" t="s">
        <v>402</v>
      </c>
      <c r="L1789" s="38" t="s">
        <v>637</v>
      </c>
      <c r="M1789" s="21" t="s">
        <v>351</v>
      </c>
      <c r="N1789" s="18" t="s">
        <v>352</v>
      </c>
    </row>
    <row r="1790" spans="1:14" ht="13">
      <c r="A1790" s="18" t="s">
        <v>283</v>
      </c>
      <c r="B1790" s="18" t="s">
        <v>260</v>
      </c>
      <c r="C1790" s="18" t="s">
        <v>853</v>
      </c>
      <c r="D1790" s="18" t="s">
        <v>345</v>
      </c>
      <c r="E1790" s="63" t="s">
        <v>854</v>
      </c>
      <c r="F1790" s="18" t="s">
        <v>845</v>
      </c>
      <c r="G1790" s="18" t="s">
        <v>647</v>
      </c>
      <c r="H1790" s="18">
        <v>2002</v>
      </c>
      <c r="I1790" s="40">
        <v>3333</v>
      </c>
      <c r="J1790" s="40" t="s">
        <v>402</v>
      </c>
      <c r="K1790" s="18" t="s">
        <v>402</v>
      </c>
      <c r="L1790" s="38" t="s">
        <v>637</v>
      </c>
      <c r="M1790" s="21" t="s">
        <v>351</v>
      </c>
      <c r="N1790" s="18" t="s">
        <v>352</v>
      </c>
    </row>
    <row r="1791" spans="1:14" ht="13">
      <c r="A1791" s="18" t="s">
        <v>283</v>
      </c>
      <c r="B1791" s="18" t="s">
        <v>260</v>
      </c>
      <c r="C1791" s="18" t="s">
        <v>853</v>
      </c>
      <c r="D1791" s="18" t="s">
        <v>345</v>
      </c>
      <c r="E1791" s="63" t="s">
        <v>854</v>
      </c>
      <c r="F1791" s="18" t="s">
        <v>845</v>
      </c>
      <c r="G1791" s="18" t="s">
        <v>647</v>
      </c>
      <c r="H1791" s="18">
        <v>2004</v>
      </c>
      <c r="I1791" s="40">
        <v>3333</v>
      </c>
      <c r="J1791" s="40" t="s">
        <v>402</v>
      </c>
      <c r="K1791" s="18" t="s">
        <v>402</v>
      </c>
      <c r="L1791" s="38" t="s">
        <v>637</v>
      </c>
      <c r="M1791" s="21" t="s">
        <v>351</v>
      </c>
      <c r="N1791" s="18" t="s">
        <v>352</v>
      </c>
    </row>
    <row r="1792" spans="1:14" ht="13">
      <c r="A1792" s="18" t="s">
        <v>283</v>
      </c>
      <c r="B1792" s="18" t="s">
        <v>260</v>
      </c>
      <c r="C1792" s="18" t="s">
        <v>853</v>
      </c>
      <c r="D1792" s="18" t="s">
        <v>345</v>
      </c>
      <c r="E1792" s="63" t="s">
        <v>854</v>
      </c>
      <c r="F1792" s="18" t="s">
        <v>845</v>
      </c>
      <c r="G1792" s="18" t="s">
        <v>647</v>
      </c>
      <c r="H1792" s="18">
        <v>2005</v>
      </c>
      <c r="I1792" s="40">
        <v>3750</v>
      </c>
      <c r="J1792" s="40" t="s">
        <v>402</v>
      </c>
      <c r="K1792" s="18">
        <v>5000</v>
      </c>
      <c r="L1792" s="38" t="s">
        <v>637</v>
      </c>
      <c r="M1792" s="21" t="s">
        <v>351</v>
      </c>
      <c r="N1792" s="18" t="s">
        <v>352</v>
      </c>
    </row>
    <row r="1793" spans="1:14" ht="13">
      <c r="A1793" s="18" t="s">
        <v>283</v>
      </c>
      <c r="B1793" s="18" t="s">
        <v>260</v>
      </c>
      <c r="C1793" s="18" t="s">
        <v>853</v>
      </c>
      <c r="D1793" s="18" t="s">
        <v>345</v>
      </c>
      <c r="E1793" s="63" t="s">
        <v>854</v>
      </c>
      <c r="F1793" s="18" t="s">
        <v>845</v>
      </c>
      <c r="G1793" s="18" t="s">
        <v>647</v>
      </c>
      <c r="H1793" s="18">
        <v>2006</v>
      </c>
      <c r="I1793" s="40">
        <v>3750</v>
      </c>
      <c r="J1793" s="40" t="s">
        <v>402</v>
      </c>
      <c r="K1793" s="18" t="s">
        <v>402</v>
      </c>
      <c r="L1793" s="38" t="s">
        <v>637</v>
      </c>
      <c r="M1793" s="21" t="s">
        <v>351</v>
      </c>
      <c r="N1793" s="18" t="s">
        <v>352</v>
      </c>
    </row>
    <row r="1794" spans="1:14" ht="13">
      <c r="A1794" s="18" t="s">
        <v>283</v>
      </c>
      <c r="B1794" s="18" t="s">
        <v>260</v>
      </c>
      <c r="C1794" s="18" t="s">
        <v>853</v>
      </c>
      <c r="D1794" s="18" t="s">
        <v>345</v>
      </c>
      <c r="E1794" s="63" t="s">
        <v>854</v>
      </c>
      <c r="F1794" s="18" t="s">
        <v>845</v>
      </c>
      <c r="G1794" s="18" t="s">
        <v>647</v>
      </c>
      <c r="H1794" s="18">
        <v>2007</v>
      </c>
      <c r="I1794" s="40">
        <v>3750</v>
      </c>
      <c r="J1794" s="40" t="s">
        <v>402</v>
      </c>
      <c r="K1794" s="18" t="s">
        <v>402</v>
      </c>
      <c r="L1794" s="38" t="s">
        <v>637</v>
      </c>
      <c r="M1794" s="21" t="s">
        <v>351</v>
      </c>
      <c r="N1794" s="18" t="s">
        <v>352</v>
      </c>
    </row>
    <row r="1795" spans="1:14" ht="13">
      <c r="A1795" s="18" t="s">
        <v>283</v>
      </c>
      <c r="B1795" s="18" t="s">
        <v>260</v>
      </c>
      <c r="C1795" s="18" t="s">
        <v>853</v>
      </c>
      <c r="D1795" s="18" t="s">
        <v>345</v>
      </c>
      <c r="E1795" s="63" t="s">
        <v>854</v>
      </c>
      <c r="F1795" s="18" t="s">
        <v>845</v>
      </c>
      <c r="G1795" s="18" t="s">
        <v>647</v>
      </c>
      <c r="H1795" s="18">
        <v>2008</v>
      </c>
      <c r="I1795" s="40">
        <v>5000</v>
      </c>
      <c r="J1795" s="40" t="s">
        <v>402</v>
      </c>
      <c r="K1795" s="18" t="s">
        <v>402</v>
      </c>
      <c r="L1795" s="38" t="s">
        <v>637</v>
      </c>
      <c r="M1795" s="21" t="s">
        <v>351</v>
      </c>
      <c r="N1795" s="18" t="s">
        <v>352</v>
      </c>
    </row>
    <row r="1796" spans="1:14" ht="13">
      <c r="A1796" s="18" t="s">
        <v>283</v>
      </c>
      <c r="B1796" s="18" t="s">
        <v>260</v>
      </c>
      <c r="C1796" s="18" t="s">
        <v>853</v>
      </c>
      <c r="D1796" s="18" t="s">
        <v>345</v>
      </c>
      <c r="E1796" s="63" t="s">
        <v>854</v>
      </c>
      <c r="F1796" s="18" t="s">
        <v>845</v>
      </c>
      <c r="G1796" s="18" t="s">
        <v>647</v>
      </c>
      <c r="H1796" s="18">
        <v>2009</v>
      </c>
      <c r="I1796" s="40">
        <v>4167</v>
      </c>
      <c r="J1796" s="40" t="s">
        <v>402</v>
      </c>
      <c r="K1796" s="18" t="s">
        <v>402</v>
      </c>
      <c r="L1796" s="38" t="s">
        <v>637</v>
      </c>
      <c r="M1796" s="21" t="s">
        <v>351</v>
      </c>
      <c r="N1796" s="18" t="s">
        <v>352</v>
      </c>
    </row>
    <row r="1797" spans="1:14" ht="13">
      <c r="A1797" s="18" t="s">
        <v>283</v>
      </c>
      <c r="B1797" s="18" t="s">
        <v>260</v>
      </c>
      <c r="C1797" s="18" t="s">
        <v>853</v>
      </c>
      <c r="D1797" s="18" t="s">
        <v>345</v>
      </c>
      <c r="E1797" s="63" t="s">
        <v>854</v>
      </c>
      <c r="F1797" s="18" t="s">
        <v>845</v>
      </c>
      <c r="G1797" s="18" t="s">
        <v>647</v>
      </c>
      <c r="H1797" s="18">
        <v>2010</v>
      </c>
      <c r="I1797" s="40">
        <v>4167</v>
      </c>
      <c r="J1797" s="40" t="s">
        <v>402</v>
      </c>
      <c r="K1797" s="18" t="s">
        <v>402</v>
      </c>
      <c r="L1797" s="38" t="s">
        <v>637</v>
      </c>
      <c r="M1797" s="21" t="s">
        <v>351</v>
      </c>
      <c r="N1797" s="18" t="s">
        <v>352</v>
      </c>
    </row>
    <row r="1798" spans="1:14" ht="13">
      <c r="A1798" s="18" t="s">
        <v>283</v>
      </c>
      <c r="B1798" s="18" t="s">
        <v>260</v>
      </c>
      <c r="C1798" s="18" t="s">
        <v>853</v>
      </c>
      <c r="D1798" s="18" t="s">
        <v>345</v>
      </c>
      <c r="E1798" s="63" t="s">
        <v>854</v>
      </c>
      <c r="F1798" s="18" t="s">
        <v>845</v>
      </c>
      <c r="G1798" s="18" t="s">
        <v>647</v>
      </c>
      <c r="H1798" s="18">
        <v>2011</v>
      </c>
      <c r="I1798" s="40">
        <v>5417</v>
      </c>
      <c r="J1798" s="40" t="s">
        <v>402</v>
      </c>
      <c r="K1798" s="18" t="s">
        <v>402</v>
      </c>
      <c r="L1798" s="38" t="s">
        <v>637</v>
      </c>
      <c r="M1798" s="21" t="s">
        <v>351</v>
      </c>
      <c r="N1798" s="18" t="s">
        <v>352</v>
      </c>
    </row>
    <row r="1799" spans="1:14" ht="13">
      <c r="A1799" s="18" t="s">
        <v>283</v>
      </c>
      <c r="B1799" s="18" t="s">
        <v>260</v>
      </c>
      <c r="C1799" s="18" t="s">
        <v>853</v>
      </c>
      <c r="D1799" s="18" t="s">
        <v>345</v>
      </c>
      <c r="E1799" s="63" t="s">
        <v>854</v>
      </c>
      <c r="F1799" s="18" t="s">
        <v>845</v>
      </c>
      <c r="G1799" s="18" t="s">
        <v>647</v>
      </c>
      <c r="H1799" s="18">
        <v>2013</v>
      </c>
      <c r="I1799" s="40">
        <v>5417</v>
      </c>
      <c r="J1799" s="40" t="s">
        <v>402</v>
      </c>
      <c r="K1799" s="18" t="s">
        <v>402</v>
      </c>
      <c r="L1799" s="38" t="s">
        <v>637</v>
      </c>
      <c r="M1799" s="21" t="s">
        <v>351</v>
      </c>
      <c r="N1799" s="18" t="s">
        <v>352</v>
      </c>
    </row>
    <row r="1800" spans="1:14" ht="13">
      <c r="A1800" s="18" t="s">
        <v>283</v>
      </c>
      <c r="B1800" s="18" t="s">
        <v>260</v>
      </c>
      <c r="C1800" s="18" t="s">
        <v>853</v>
      </c>
      <c r="D1800" s="18" t="s">
        <v>345</v>
      </c>
      <c r="E1800" s="63" t="s">
        <v>854</v>
      </c>
      <c r="F1800" s="18" t="s">
        <v>845</v>
      </c>
      <c r="G1800" s="18" t="s">
        <v>647</v>
      </c>
      <c r="H1800" s="18">
        <v>2015</v>
      </c>
      <c r="I1800" s="40">
        <v>6250</v>
      </c>
      <c r="J1800" s="40" t="s">
        <v>402</v>
      </c>
      <c r="K1800" s="18" t="s">
        <v>402</v>
      </c>
      <c r="L1800" s="38" t="s">
        <v>637</v>
      </c>
      <c r="M1800" s="21" t="s">
        <v>351</v>
      </c>
      <c r="N1800" s="18" t="s">
        <v>352</v>
      </c>
    </row>
    <row r="1801" spans="1:14" ht="13">
      <c r="A1801" s="18" t="s">
        <v>283</v>
      </c>
      <c r="B1801" s="18" t="s">
        <v>260</v>
      </c>
      <c r="C1801" s="18" t="s">
        <v>853</v>
      </c>
      <c r="D1801" s="18" t="s">
        <v>345</v>
      </c>
      <c r="E1801" s="63" t="s">
        <v>854</v>
      </c>
      <c r="F1801" s="18" t="s">
        <v>845</v>
      </c>
      <c r="G1801" s="18" t="s">
        <v>647</v>
      </c>
      <c r="H1801" s="18">
        <v>2017</v>
      </c>
      <c r="I1801" s="40">
        <v>5000</v>
      </c>
      <c r="J1801" s="40" t="s">
        <v>402</v>
      </c>
      <c r="K1801" s="18" t="s">
        <v>402</v>
      </c>
      <c r="L1801" s="38" t="s">
        <v>637</v>
      </c>
      <c r="M1801" s="21" t="s">
        <v>351</v>
      </c>
      <c r="N1801" s="18" t="s">
        <v>352</v>
      </c>
    </row>
    <row r="1802" spans="1:14" ht="13">
      <c r="A1802" s="18" t="s">
        <v>283</v>
      </c>
      <c r="B1802" s="18" t="s">
        <v>260</v>
      </c>
      <c r="C1802" s="18" t="s">
        <v>853</v>
      </c>
      <c r="D1802" s="18" t="s">
        <v>345</v>
      </c>
      <c r="E1802" s="63" t="s">
        <v>854</v>
      </c>
      <c r="F1802" s="18" t="s">
        <v>845</v>
      </c>
      <c r="G1802" s="18" t="s">
        <v>647</v>
      </c>
      <c r="H1802" s="18">
        <v>2019</v>
      </c>
      <c r="I1802" s="40">
        <v>4167</v>
      </c>
      <c r="J1802" s="40" t="s">
        <v>402</v>
      </c>
      <c r="K1802" s="18" t="s">
        <v>402</v>
      </c>
      <c r="L1802" s="38" t="s">
        <v>637</v>
      </c>
      <c r="M1802" s="21" t="s">
        <v>351</v>
      </c>
      <c r="N1802" s="18" t="s">
        <v>352</v>
      </c>
    </row>
    <row r="1803" spans="1:14" ht="13">
      <c r="A1803" s="18" t="s">
        <v>283</v>
      </c>
      <c r="B1803" s="18" t="s">
        <v>260</v>
      </c>
      <c r="C1803" s="18" t="s">
        <v>851</v>
      </c>
      <c r="D1803" s="18" t="s">
        <v>345</v>
      </c>
      <c r="E1803" s="63" t="s">
        <v>852</v>
      </c>
      <c r="F1803" s="18" t="s">
        <v>845</v>
      </c>
      <c r="G1803" s="18" t="s">
        <v>647</v>
      </c>
      <c r="H1803" s="18">
        <v>1978</v>
      </c>
      <c r="I1803" s="40">
        <v>18354</v>
      </c>
      <c r="J1803" s="40">
        <v>17107</v>
      </c>
      <c r="K1803" s="18">
        <v>20021</v>
      </c>
      <c r="L1803" s="38" t="s">
        <v>637</v>
      </c>
      <c r="M1803" s="21" t="s">
        <v>351</v>
      </c>
      <c r="N1803" s="18" t="s">
        <v>352</v>
      </c>
    </row>
    <row r="1804" spans="1:14" ht="13">
      <c r="A1804" s="18" t="s">
        <v>283</v>
      </c>
      <c r="B1804" s="18" t="s">
        <v>260</v>
      </c>
      <c r="C1804" s="18" t="s">
        <v>851</v>
      </c>
      <c r="D1804" s="18" t="s">
        <v>345</v>
      </c>
      <c r="E1804" s="63" t="s">
        <v>852</v>
      </c>
      <c r="F1804" s="18" t="s">
        <v>845</v>
      </c>
      <c r="G1804" s="18" t="s">
        <v>647</v>
      </c>
      <c r="H1804" s="18">
        <v>1979</v>
      </c>
      <c r="I1804" s="40">
        <v>15030</v>
      </c>
      <c r="J1804" s="40">
        <v>13363</v>
      </c>
      <c r="K1804" s="18">
        <v>17113</v>
      </c>
      <c r="L1804" s="38" t="s">
        <v>637</v>
      </c>
      <c r="M1804" s="21" t="s">
        <v>351</v>
      </c>
      <c r="N1804" s="18" t="s">
        <v>352</v>
      </c>
    </row>
    <row r="1805" spans="1:14" ht="13">
      <c r="A1805" s="18" t="s">
        <v>283</v>
      </c>
      <c r="B1805" s="18" t="s">
        <v>260</v>
      </c>
      <c r="C1805" s="18" t="s">
        <v>851</v>
      </c>
      <c r="D1805" s="18" t="s">
        <v>345</v>
      </c>
      <c r="E1805" s="63" t="s">
        <v>852</v>
      </c>
      <c r="F1805" s="18" t="s">
        <v>845</v>
      </c>
      <c r="G1805" s="18" t="s">
        <v>647</v>
      </c>
      <c r="H1805" s="18">
        <v>1985</v>
      </c>
      <c r="I1805" s="40">
        <v>8842</v>
      </c>
      <c r="J1805" s="40" t="s">
        <v>402</v>
      </c>
      <c r="K1805" s="18">
        <v>10092</v>
      </c>
      <c r="L1805" s="38" t="s">
        <v>637</v>
      </c>
      <c r="M1805" s="21" t="s">
        <v>351</v>
      </c>
      <c r="N1805" s="18" t="s">
        <v>352</v>
      </c>
    </row>
    <row r="1806" spans="1:14" ht="13">
      <c r="A1806" s="18" t="s">
        <v>283</v>
      </c>
      <c r="B1806" s="18" t="s">
        <v>260</v>
      </c>
      <c r="C1806" s="18" t="s">
        <v>851</v>
      </c>
      <c r="D1806" s="18" t="s">
        <v>345</v>
      </c>
      <c r="E1806" s="63" t="s">
        <v>852</v>
      </c>
      <c r="F1806" s="18" t="s">
        <v>845</v>
      </c>
      <c r="G1806" s="18" t="s">
        <v>647</v>
      </c>
      <c r="H1806" s="18">
        <v>1986</v>
      </c>
      <c r="I1806" s="40">
        <v>8437</v>
      </c>
      <c r="J1806" s="40" t="s">
        <v>402</v>
      </c>
      <c r="K1806" s="18">
        <v>9687</v>
      </c>
      <c r="L1806" s="38" t="s">
        <v>637</v>
      </c>
      <c r="M1806" s="21" t="s">
        <v>351</v>
      </c>
      <c r="N1806" s="18" t="s">
        <v>352</v>
      </c>
    </row>
    <row r="1807" spans="1:14" ht="13">
      <c r="A1807" s="18" t="s">
        <v>283</v>
      </c>
      <c r="B1807" s="18" t="s">
        <v>260</v>
      </c>
      <c r="C1807" s="18" t="s">
        <v>851</v>
      </c>
      <c r="D1807" s="18" t="s">
        <v>345</v>
      </c>
      <c r="E1807" s="63" t="s">
        <v>852</v>
      </c>
      <c r="F1807" s="18" t="s">
        <v>845</v>
      </c>
      <c r="G1807" s="18" t="s">
        <v>647</v>
      </c>
      <c r="H1807" s="18">
        <v>1987</v>
      </c>
      <c r="I1807" s="40">
        <v>6779</v>
      </c>
      <c r="J1807" s="40">
        <v>5529</v>
      </c>
      <c r="K1807" s="18">
        <v>8029</v>
      </c>
      <c r="L1807" s="38" t="s">
        <v>637</v>
      </c>
      <c r="M1807" s="21" t="s">
        <v>351</v>
      </c>
      <c r="N1807" s="18" t="s">
        <v>352</v>
      </c>
    </row>
    <row r="1808" spans="1:14" ht="13">
      <c r="A1808" s="18" t="s">
        <v>283</v>
      </c>
      <c r="B1808" s="18" t="s">
        <v>260</v>
      </c>
      <c r="C1808" s="18" t="s">
        <v>851</v>
      </c>
      <c r="D1808" s="18" t="s">
        <v>345</v>
      </c>
      <c r="E1808" s="63" t="s">
        <v>852</v>
      </c>
      <c r="F1808" s="18" t="s">
        <v>845</v>
      </c>
      <c r="G1808" s="18" t="s">
        <v>647</v>
      </c>
      <c r="H1808" s="18">
        <v>1988</v>
      </c>
      <c r="I1808" s="40">
        <v>7207</v>
      </c>
      <c r="J1808" s="40">
        <v>5541</v>
      </c>
      <c r="K1808" s="18">
        <v>8871</v>
      </c>
      <c r="L1808" s="38" t="s">
        <v>637</v>
      </c>
      <c r="M1808" s="21" t="s">
        <v>351</v>
      </c>
      <c r="N1808" s="18" t="s">
        <v>352</v>
      </c>
    </row>
    <row r="1809" spans="1:14" ht="13">
      <c r="A1809" s="18" t="s">
        <v>283</v>
      </c>
      <c r="B1809" s="18" t="s">
        <v>260</v>
      </c>
      <c r="C1809" s="18" t="s">
        <v>851</v>
      </c>
      <c r="D1809" s="18" t="s">
        <v>345</v>
      </c>
      <c r="E1809" s="63" t="s">
        <v>852</v>
      </c>
      <c r="F1809" s="18" t="s">
        <v>845</v>
      </c>
      <c r="G1809" s="18" t="s">
        <v>647</v>
      </c>
      <c r="H1809" s="18">
        <v>1989</v>
      </c>
      <c r="I1809" s="40">
        <v>6175</v>
      </c>
      <c r="J1809" s="40" t="s">
        <v>402</v>
      </c>
      <c r="K1809" s="18" t="s">
        <v>402</v>
      </c>
      <c r="L1809" s="38" t="s">
        <v>637</v>
      </c>
      <c r="M1809" s="21" t="s">
        <v>351</v>
      </c>
      <c r="N1809" s="18" t="s">
        <v>352</v>
      </c>
    </row>
    <row r="1810" spans="1:14" ht="13">
      <c r="A1810" s="18" t="s">
        <v>283</v>
      </c>
      <c r="B1810" s="18" t="s">
        <v>260</v>
      </c>
      <c r="C1810" s="18" t="s">
        <v>851</v>
      </c>
      <c r="D1810" s="18" t="s">
        <v>345</v>
      </c>
      <c r="E1810" s="63" t="s">
        <v>852</v>
      </c>
      <c r="F1810" s="18" t="s">
        <v>845</v>
      </c>
      <c r="G1810" s="18" t="s">
        <v>647</v>
      </c>
      <c r="H1810" s="18">
        <v>1990</v>
      </c>
      <c r="I1810" s="40">
        <v>5978</v>
      </c>
      <c r="J1810" s="40" t="s">
        <v>402</v>
      </c>
      <c r="K1810" s="18">
        <v>7225</v>
      </c>
      <c r="L1810" s="38" t="s">
        <v>637</v>
      </c>
      <c r="M1810" s="21" t="s">
        <v>351</v>
      </c>
      <c r="N1810" s="18" t="s">
        <v>352</v>
      </c>
    </row>
    <row r="1811" spans="1:14" ht="13">
      <c r="A1811" s="18" t="s">
        <v>283</v>
      </c>
      <c r="B1811" s="18" t="s">
        <v>260</v>
      </c>
      <c r="C1811" s="18" t="s">
        <v>851</v>
      </c>
      <c r="D1811" s="18" t="s">
        <v>345</v>
      </c>
      <c r="E1811" s="63" t="s">
        <v>852</v>
      </c>
      <c r="F1811" s="18" t="s">
        <v>845</v>
      </c>
      <c r="G1811" s="18" t="s">
        <v>647</v>
      </c>
      <c r="H1811" s="18">
        <v>1991</v>
      </c>
      <c r="I1811" s="40">
        <v>5987</v>
      </c>
      <c r="J1811" s="40" t="s">
        <v>402</v>
      </c>
      <c r="K1811" s="18">
        <v>7237</v>
      </c>
      <c r="L1811" s="38" t="s">
        <v>637</v>
      </c>
      <c r="M1811" s="21" t="s">
        <v>351</v>
      </c>
      <c r="N1811" s="18" t="s">
        <v>352</v>
      </c>
    </row>
    <row r="1812" spans="1:14" ht="13">
      <c r="A1812" s="18" t="s">
        <v>283</v>
      </c>
      <c r="B1812" s="18" t="s">
        <v>260</v>
      </c>
      <c r="C1812" s="18" t="s">
        <v>851</v>
      </c>
      <c r="D1812" s="18" t="s">
        <v>345</v>
      </c>
      <c r="E1812" s="63" t="s">
        <v>852</v>
      </c>
      <c r="F1812" s="18" t="s">
        <v>845</v>
      </c>
      <c r="G1812" s="18" t="s">
        <v>647</v>
      </c>
      <c r="H1812" s="18">
        <v>1992</v>
      </c>
      <c r="I1812" s="40">
        <v>5996</v>
      </c>
      <c r="J1812" s="40" t="s">
        <v>402</v>
      </c>
      <c r="K1812" s="18" t="s">
        <v>402</v>
      </c>
      <c r="L1812" s="38" t="s">
        <v>637</v>
      </c>
      <c r="M1812" s="21" t="s">
        <v>351</v>
      </c>
      <c r="N1812" s="18" t="s">
        <v>352</v>
      </c>
    </row>
    <row r="1813" spans="1:14" ht="13">
      <c r="A1813" s="18" t="s">
        <v>283</v>
      </c>
      <c r="B1813" s="18" t="s">
        <v>260</v>
      </c>
      <c r="C1813" s="18" t="s">
        <v>851</v>
      </c>
      <c r="D1813" s="18" t="s">
        <v>345</v>
      </c>
      <c r="E1813" s="63" t="s">
        <v>852</v>
      </c>
      <c r="F1813" s="18" t="s">
        <v>845</v>
      </c>
      <c r="G1813" s="18" t="s">
        <v>647</v>
      </c>
      <c r="H1813" s="18">
        <v>1994</v>
      </c>
      <c r="I1813" s="40">
        <v>6746</v>
      </c>
      <c r="J1813" s="40" t="s">
        <v>402</v>
      </c>
      <c r="K1813" s="18">
        <v>7683</v>
      </c>
      <c r="L1813" s="38" t="s">
        <v>637</v>
      </c>
      <c r="M1813" s="21" t="s">
        <v>351</v>
      </c>
      <c r="N1813" s="18" t="s">
        <v>352</v>
      </c>
    </row>
    <row r="1814" spans="1:14" ht="13">
      <c r="A1814" s="18" t="s">
        <v>283</v>
      </c>
      <c r="B1814" s="18" t="s">
        <v>260</v>
      </c>
      <c r="C1814" s="18" t="s">
        <v>851</v>
      </c>
      <c r="D1814" s="18" t="s">
        <v>345</v>
      </c>
      <c r="E1814" s="63" t="s">
        <v>852</v>
      </c>
      <c r="F1814" s="18" t="s">
        <v>845</v>
      </c>
      <c r="G1814" s="18" t="s">
        <v>647</v>
      </c>
      <c r="H1814" s="18">
        <v>1996</v>
      </c>
      <c r="I1814" s="40">
        <v>6454</v>
      </c>
      <c r="J1814" s="40" t="s">
        <v>402</v>
      </c>
      <c r="K1814" s="18" t="s">
        <v>402</v>
      </c>
      <c r="L1814" s="38" t="s">
        <v>637</v>
      </c>
      <c r="M1814" s="21" t="s">
        <v>351</v>
      </c>
      <c r="N1814" s="18" t="s">
        <v>352</v>
      </c>
    </row>
    <row r="1815" spans="1:14" ht="13">
      <c r="A1815" s="18" t="s">
        <v>283</v>
      </c>
      <c r="B1815" s="18" t="s">
        <v>260</v>
      </c>
      <c r="C1815" s="18" t="s">
        <v>851</v>
      </c>
      <c r="D1815" s="18" t="s">
        <v>345</v>
      </c>
      <c r="E1815" s="63" t="s">
        <v>852</v>
      </c>
      <c r="F1815" s="18" t="s">
        <v>845</v>
      </c>
      <c r="G1815" s="18" t="s">
        <v>647</v>
      </c>
      <c r="H1815" s="18">
        <v>1997</v>
      </c>
      <c r="I1815" s="40">
        <v>6463</v>
      </c>
      <c r="J1815" s="40" t="s">
        <v>402</v>
      </c>
      <c r="K1815" s="18" t="s">
        <v>402</v>
      </c>
      <c r="L1815" s="38" t="s">
        <v>637</v>
      </c>
      <c r="M1815" s="21" t="s">
        <v>351</v>
      </c>
      <c r="N1815" s="18" t="s">
        <v>352</v>
      </c>
    </row>
    <row r="1816" spans="1:14" ht="13">
      <c r="A1816" s="18" t="s">
        <v>283</v>
      </c>
      <c r="B1816" s="18" t="s">
        <v>260</v>
      </c>
      <c r="C1816" s="18" t="s">
        <v>851</v>
      </c>
      <c r="D1816" s="18" t="s">
        <v>345</v>
      </c>
      <c r="E1816" s="63" t="s">
        <v>852</v>
      </c>
      <c r="F1816" s="18" t="s">
        <v>845</v>
      </c>
      <c r="G1816" s="18" t="s">
        <v>647</v>
      </c>
      <c r="H1816" s="18">
        <v>1998</v>
      </c>
      <c r="I1816" s="40">
        <v>6475</v>
      </c>
      <c r="J1816" s="40" t="s">
        <v>402</v>
      </c>
      <c r="K1816" s="18" t="s">
        <v>402</v>
      </c>
      <c r="L1816" s="38" t="s">
        <v>637</v>
      </c>
      <c r="M1816" s="21" t="s">
        <v>351</v>
      </c>
      <c r="N1816" s="18" t="s">
        <v>352</v>
      </c>
    </row>
    <row r="1817" spans="1:14" ht="13">
      <c r="A1817" s="18" t="s">
        <v>283</v>
      </c>
      <c r="B1817" s="18" t="s">
        <v>260</v>
      </c>
      <c r="C1817" s="18" t="s">
        <v>851</v>
      </c>
      <c r="D1817" s="18" t="s">
        <v>345</v>
      </c>
      <c r="E1817" s="63" t="s">
        <v>852</v>
      </c>
      <c r="F1817" s="18" t="s">
        <v>845</v>
      </c>
      <c r="G1817" s="18" t="s">
        <v>647</v>
      </c>
      <c r="H1817" s="18">
        <v>2000</v>
      </c>
      <c r="I1817" s="40">
        <v>4829</v>
      </c>
      <c r="J1817" s="40" t="s">
        <v>402</v>
      </c>
      <c r="K1817" s="18" t="s">
        <v>402</v>
      </c>
      <c r="L1817" s="38" t="s">
        <v>637</v>
      </c>
      <c r="M1817" s="21" t="s">
        <v>351</v>
      </c>
      <c r="N1817" s="18" t="s">
        <v>352</v>
      </c>
    </row>
    <row r="1818" spans="1:14" ht="13">
      <c r="A1818" s="18" t="s">
        <v>283</v>
      </c>
      <c r="B1818" s="18" t="s">
        <v>260</v>
      </c>
      <c r="C1818" s="18" t="s">
        <v>851</v>
      </c>
      <c r="D1818" s="18" t="s">
        <v>345</v>
      </c>
      <c r="E1818" s="63" t="s">
        <v>852</v>
      </c>
      <c r="F1818" s="18" t="s">
        <v>845</v>
      </c>
      <c r="G1818" s="18" t="s">
        <v>647</v>
      </c>
      <c r="H1818" s="18">
        <v>2002</v>
      </c>
      <c r="I1818" s="40">
        <v>5683</v>
      </c>
      <c r="J1818" s="40" t="s">
        <v>402</v>
      </c>
      <c r="K1818" s="18" t="s">
        <v>402</v>
      </c>
      <c r="L1818" s="38" t="s">
        <v>637</v>
      </c>
      <c r="M1818" s="21" t="s">
        <v>351</v>
      </c>
      <c r="N1818" s="18" t="s">
        <v>352</v>
      </c>
    </row>
    <row r="1819" spans="1:14" ht="13">
      <c r="A1819" s="18" t="s">
        <v>283</v>
      </c>
      <c r="B1819" s="18" t="s">
        <v>260</v>
      </c>
      <c r="C1819" s="18" t="s">
        <v>851</v>
      </c>
      <c r="D1819" s="18" t="s">
        <v>345</v>
      </c>
      <c r="E1819" s="63" t="s">
        <v>852</v>
      </c>
      <c r="F1819" s="18" t="s">
        <v>845</v>
      </c>
      <c r="G1819" s="18" t="s">
        <v>647</v>
      </c>
      <c r="H1819" s="18">
        <v>2004</v>
      </c>
      <c r="I1819" s="40">
        <v>6537</v>
      </c>
      <c r="J1819" s="40" t="s">
        <v>402</v>
      </c>
      <c r="K1819" s="18" t="s">
        <v>402</v>
      </c>
      <c r="L1819" s="38" t="s">
        <v>637</v>
      </c>
      <c r="M1819" s="21" t="s">
        <v>351</v>
      </c>
      <c r="N1819" s="18" t="s">
        <v>352</v>
      </c>
    </row>
    <row r="1820" spans="1:14" ht="13">
      <c r="A1820" s="18" t="s">
        <v>283</v>
      </c>
      <c r="B1820" s="18" t="s">
        <v>260</v>
      </c>
      <c r="C1820" s="18" t="s">
        <v>851</v>
      </c>
      <c r="D1820" s="18" t="s">
        <v>345</v>
      </c>
      <c r="E1820" s="63" t="s">
        <v>852</v>
      </c>
      <c r="F1820" s="18" t="s">
        <v>845</v>
      </c>
      <c r="G1820" s="18" t="s">
        <v>647</v>
      </c>
      <c r="H1820" s="18">
        <v>2005</v>
      </c>
      <c r="I1820" s="40">
        <v>5818</v>
      </c>
      <c r="J1820" s="40" t="s">
        <v>402</v>
      </c>
      <c r="K1820" s="18" t="s">
        <v>402</v>
      </c>
      <c r="L1820" s="38" t="s">
        <v>637</v>
      </c>
      <c r="M1820" s="21" t="s">
        <v>351</v>
      </c>
      <c r="N1820" s="18" t="s">
        <v>352</v>
      </c>
    </row>
    <row r="1821" spans="1:14" ht="13">
      <c r="A1821" s="18" t="s">
        <v>283</v>
      </c>
      <c r="B1821" s="18" t="s">
        <v>260</v>
      </c>
      <c r="C1821" s="18" t="s">
        <v>851</v>
      </c>
      <c r="D1821" s="18" t="s">
        <v>345</v>
      </c>
      <c r="E1821" s="63" t="s">
        <v>852</v>
      </c>
      <c r="F1821" s="18" t="s">
        <v>845</v>
      </c>
      <c r="G1821" s="18" t="s">
        <v>647</v>
      </c>
      <c r="H1821" s="18">
        <v>2006</v>
      </c>
      <c r="I1821" s="40">
        <v>6557</v>
      </c>
      <c r="J1821" s="40" t="s">
        <v>402</v>
      </c>
      <c r="K1821" s="18" t="s">
        <v>402</v>
      </c>
      <c r="L1821" s="38" t="s">
        <v>637</v>
      </c>
      <c r="M1821" s="21" t="s">
        <v>351</v>
      </c>
      <c r="N1821" s="18" t="s">
        <v>352</v>
      </c>
    </row>
    <row r="1822" spans="1:14" ht="13">
      <c r="A1822" s="18" t="s">
        <v>283</v>
      </c>
      <c r="B1822" s="18" t="s">
        <v>260</v>
      </c>
      <c r="C1822" s="18" t="s">
        <v>851</v>
      </c>
      <c r="D1822" s="18" t="s">
        <v>345</v>
      </c>
      <c r="E1822" s="63" t="s">
        <v>852</v>
      </c>
      <c r="F1822" s="18" t="s">
        <v>845</v>
      </c>
      <c r="G1822" s="18" t="s">
        <v>647</v>
      </c>
      <c r="H1822" s="18">
        <v>2007</v>
      </c>
      <c r="I1822" s="40">
        <v>6983</v>
      </c>
      <c r="J1822" s="40" t="s">
        <v>402</v>
      </c>
      <c r="K1822" s="18" t="s">
        <v>402</v>
      </c>
      <c r="L1822" s="38" t="s">
        <v>637</v>
      </c>
      <c r="M1822" s="21" t="s">
        <v>351</v>
      </c>
      <c r="N1822" s="18" t="s">
        <v>352</v>
      </c>
    </row>
    <row r="1823" spans="1:14" ht="13">
      <c r="A1823" s="18" t="s">
        <v>283</v>
      </c>
      <c r="B1823" s="18" t="s">
        <v>260</v>
      </c>
      <c r="C1823" s="18" t="s">
        <v>851</v>
      </c>
      <c r="D1823" s="18" t="s">
        <v>345</v>
      </c>
      <c r="E1823" s="63" t="s">
        <v>852</v>
      </c>
      <c r="F1823" s="18" t="s">
        <v>845</v>
      </c>
      <c r="G1823" s="18" t="s">
        <v>647</v>
      </c>
      <c r="H1823" s="18">
        <v>2008</v>
      </c>
      <c r="I1823" s="40">
        <v>6995</v>
      </c>
      <c r="J1823" s="40" t="s">
        <v>402</v>
      </c>
      <c r="K1823" s="18" t="s">
        <v>402</v>
      </c>
      <c r="L1823" s="38" t="s">
        <v>637</v>
      </c>
      <c r="M1823" s="21" t="s">
        <v>351</v>
      </c>
      <c r="N1823" s="18" t="s">
        <v>352</v>
      </c>
    </row>
    <row r="1824" spans="1:14" ht="13">
      <c r="A1824" s="18" t="s">
        <v>283</v>
      </c>
      <c r="B1824" s="18" t="s">
        <v>260</v>
      </c>
      <c r="C1824" s="18" t="s">
        <v>851</v>
      </c>
      <c r="D1824" s="18" t="s">
        <v>345</v>
      </c>
      <c r="E1824" s="63" t="s">
        <v>852</v>
      </c>
      <c r="F1824" s="18" t="s">
        <v>845</v>
      </c>
      <c r="G1824" s="18" t="s">
        <v>647</v>
      </c>
      <c r="H1824" s="18">
        <v>2009</v>
      </c>
      <c r="I1824" s="40">
        <v>7420</v>
      </c>
      <c r="J1824" s="40" t="s">
        <v>402</v>
      </c>
      <c r="K1824" s="18" t="s">
        <v>402</v>
      </c>
      <c r="L1824" s="38" t="s">
        <v>637</v>
      </c>
      <c r="M1824" s="21" t="s">
        <v>351</v>
      </c>
      <c r="N1824" s="18" t="s">
        <v>352</v>
      </c>
    </row>
    <row r="1825" spans="1:14" ht="13">
      <c r="A1825" s="18" t="s">
        <v>283</v>
      </c>
      <c r="B1825" s="18" t="s">
        <v>260</v>
      </c>
      <c r="C1825" s="18" t="s">
        <v>851</v>
      </c>
      <c r="D1825" s="18" t="s">
        <v>345</v>
      </c>
      <c r="E1825" s="63" t="s">
        <v>852</v>
      </c>
      <c r="F1825" s="18" t="s">
        <v>845</v>
      </c>
      <c r="G1825" s="18" t="s">
        <v>647</v>
      </c>
      <c r="H1825" s="18">
        <v>2010</v>
      </c>
      <c r="I1825" s="40">
        <v>7849</v>
      </c>
      <c r="J1825" s="40">
        <v>6599</v>
      </c>
      <c r="K1825" s="18">
        <v>9932</v>
      </c>
      <c r="L1825" s="38" t="s">
        <v>637</v>
      </c>
      <c r="M1825" s="21" t="s">
        <v>351</v>
      </c>
      <c r="N1825" s="18" t="s">
        <v>352</v>
      </c>
    </row>
    <row r="1826" spans="1:14" ht="13">
      <c r="A1826" s="18" t="s">
        <v>283</v>
      </c>
      <c r="B1826" s="18" t="s">
        <v>260</v>
      </c>
      <c r="C1826" s="18" t="s">
        <v>851</v>
      </c>
      <c r="D1826" s="18" t="s">
        <v>345</v>
      </c>
      <c r="E1826" s="63" t="s">
        <v>852</v>
      </c>
      <c r="F1826" s="18" t="s">
        <v>845</v>
      </c>
      <c r="G1826" s="18" t="s">
        <v>647</v>
      </c>
      <c r="H1826" s="18">
        <v>2011</v>
      </c>
      <c r="I1826" s="40">
        <v>8899</v>
      </c>
      <c r="J1826" s="40" t="s">
        <v>402</v>
      </c>
      <c r="K1826" s="18" t="s">
        <v>402</v>
      </c>
      <c r="L1826" s="38" t="s">
        <v>637</v>
      </c>
      <c r="M1826" s="21" t="s">
        <v>351</v>
      </c>
      <c r="N1826" s="18" t="s">
        <v>352</v>
      </c>
    </row>
    <row r="1827" spans="1:14" ht="13">
      <c r="A1827" s="18" t="s">
        <v>283</v>
      </c>
      <c r="B1827" s="18" t="s">
        <v>260</v>
      </c>
      <c r="C1827" s="18" t="s">
        <v>851</v>
      </c>
      <c r="D1827" s="18" t="s">
        <v>345</v>
      </c>
      <c r="E1827" s="63" t="s">
        <v>852</v>
      </c>
      <c r="F1827" s="18" t="s">
        <v>845</v>
      </c>
      <c r="G1827" s="18" t="s">
        <v>647</v>
      </c>
      <c r="H1827" s="18">
        <v>2013</v>
      </c>
      <c r="I1827" s="40">
        <v>8712</v>
      </c>
      <c r="J1827" s="40" t="s">
        <v>402</v>
      </c>
      <c r="K1827" s="18" t="s">
        <v>402</v>
      </c>
      <c r="L1827" s="38" t="s">
        <v>637</v>
      </c>
      <c r="M1827" s="21" t="s">
        <v>351</v>
      </c>
      <c r="N1827" s="18" t="s">
        <v>352</v>
      </c>
    </row>
    <row r="1828" spans="1:14" ht="13">
      <c r="A1828" s="18" t="s">
        <v>283</v>
      </c>
      <c r="B1828" s="18" t="s">
        <v>260</v>
      </c>
      <c r="C1828" s="18" t="s">
        <v>851</v>
      </c>
      <c r="D1828" s="18" t="s">
        <v>345</v>
      </c>
      <c r="E1828" s="63" t="s">
        <v>852</v>
      </c>
      <c r="F1828" s="18" t="s">
        <v>845</v>
      </c>
      <c r="G1828" s="18" t="s">
        <v>647</v>
      </c>
      <c r="H1828" s="18">
        <v>2014</v>
      </c>
      <c r="I1828" s="40">
        <v>8409</v>
      </c>
      <c r="J1828" s="40" t="s">
        <v>402</v>
      </c>
      <c r="K1828" s="18" t="s">
        <v>402</v>
      </c>
      <c r="L1828" s="38" t="s">
        <v>637</v>
      </c>
      <c r="M1828" s="21" t="s">
        <v>351</v>
      </c>
      <c r="N1828" s="18" t="s">
        <v>352</v>
      </c>
    </row>
    <row r="1829" spans="1:14" ht="13">
      <c r="A1829" s="18" t="s">
        <v>283</v>
      </c>
      <c r="B1829" s="18" t="s">
        <v>260</v>
      </c>
      <c r="C1829" s="18" t="s">
        <v>851</v>
      </c>
      <c r="D1829" s="18" t="s">
        <v>345</v>
      </c>
      <c r="E1829" s="63" t="s">
        <v>852</v>
      </c>
      <c r="F1829" s="18" t="s">
        <v>845</v>
      </c>
      <c r="G1829" s="18" t="s">
        <v>647</v>
      </c>
      <c r="H1829" s="18">
        <v>2015</v>
      </c>
      <c r="I1829" s="40">
        <v>8732</v>
      </c>
      <c r="J1829" s="40">
        <v>7066</v>
      </c>
      <c r="K1829" s="18">
        <v>11232</v>
      </c>
      <c r="L1829" s="38" t="s">
        <v>637</v>
      </c>
      <c r="M1829" s="21" t="s">
        <v>351</v>
      </c>
      <c r="N1829" s="18" t="s">
        <v>352</v>
      </c>
    </row>
    <row r="1830" spans="1:14" ht="13">
      <c r="A1830" s="18" t="s">
        <v>283</v>
      </c>
      <c r="B1830" s="18" t="s">
        <v>260</v>
      </c>
      <c r="C1830" s="18" t="s">
        <v>851</v>
      </c>
      <c r="D1830" s="18" t="s">
        <v>345</v>
      </c>
      <c r="E1830" s="63" t="s">
        <v>852</v>
      </c>
      <c r="F1830" s="18" t="s">
        <v>845</v>
      </c>
      <c r="G1830" s="18" t="s">
        <v>647</v>
      </c>
      <c r="H1830" s="18">
        <v>2016</v>
      </c>
      <c r="I1830" s="40">
        <v>8743</v>
      </c>
      <c r="J1830" s="40" t="s">
        <v>402</v>
      </c>
      <c r="K1830" s="18" t="s">
        <v>402</v>
      </c>
      <c r="L1830" s="38" t="s">
        <v>637</v>
      </c>
      <c r="M1830" s="21" t="s">
        <v>351</v>
      </c>
      <c r="N1830" s="18" t="s">
        <v>352</v>
      </c>
    </row>
    <row r="1831" spans="1:14" ht="13">
      <c r="A1831" s="18" t="s">
        <v>283</v>
      </c>
      <c r="B1831" s="18" t="s">
        <v>260</v>
      </c>
      <c r="C1831" s="18" t="s">
        <v>851</v>
      </c>
      <c r="D1831" s="18" t="s">
        <v>345</v>
      </c>
      <c r="E1831" s="63" t="s">
        <v>852</v>
      </c>
      <c r="F1831" s="18" t="s">
        <v>845</v>
      </c>
      <c r="G1831" s="18" t="s">
        <v>647</v>
      </c>
      <c r="H1831" s="18">
        <v>2017</v>
      </c>
      <c r="I1831" s="40">
        <v>9170</v>
      </c>
      <c r="J1831" s="40" t="s">
        <v>402</v>
      </c>
      <c r="K1831" s="18">
        <v>10420</v>
      </c>
      <c r="L1831" s="38" t="s">
        <v>637</v>
      </c>
      <c r="M1831" s="21" t="s">
        <v>351</v>
      </c>
      <c r="N1831" s="18" t="s">
        <v>352</v>
      </c>
    </row>
    <row r="1832" spans="1:14" ht="13">
      <c r="A1832" s="18" t="s">
        <v>283</v>
      </c>
      <c r="B1832" s="18" t="s">
        <v>260</v>
      </c>
      <c r="C1832" s="18" t="s">
        <v>851</v>
      </c>
      <c r="D1832" s="18" t="s">
        <v>345</v>
      </c>
      <c r="E1832" s="63" t="s">
        <v>852</v>
      </c>
      <c r="F1832" s="18" t="s">
        <v>845</v>
      </c>
      <c r="G1832" s="18" t="s">
        <v>647</v>
      </c>
      <c r="H1832" s="18">
        <v>2018</v>
      </c>
      <c r="I1832" s="40">
        <v>9178</v>
      </c>
      <c r="J1832" s="40">
        <v>7928</v>
      </c>
      <c r="K1832" s="18">
        <v>11262</v>
      </c>
      <c r="L1832" s="38" t="s">
        <v>637</v>
      </c>
      <c r="M1832" s="21" t="s">
        <v>351</v>
      </c>
      <c r="N1832" s="18" t="s">
        <v>352</v>
      </c>
    </row>
    <row r="1833" spans="1:14" ht="13">
      <c r="A1833" s="18" t="s">
        <v>283</v>
      </c>
      <c r="B1833" s="18" t="s">
        <v>260</v>
      </c>
      <c r="C1833" s="18" t="s">
        <v>851</v>
      </c>
      <c r="D1833" s="18" t="s">
        <v>345</v>
      </c>
      <c r="E1833" s="63" t="s">
        <v>852</v>
      </c>
      <c r="F1833" s="18" t="s">
        <v>845</v>
      </c>
      <c r="G1833" s="18" t="s">
        <v>647</v>
      </c>
      <c r="H1833" s="18">
        <v>2019</v>
      </c>
      <c r="I1833" s="40">
        <v>9086</v>
      </c>
      <c r="J1833" s="40" t="s">
        <v>402</v>
      </c>
      <c r="K1833" s="18" t="s">
        <v>402</v>
      </c>
      <c r="L1833" s="38" t="s">
        <v>637</v>
      </c>
      <c r="M1833" s="21" t="s">
        <v>351</v>
      </c>
      <c r="N1833" s="18" t="s">
        <v>352</v>
      </c>
    </row>
    <row r="1834" spans="1:14" ht="13">
      <c r="A1834" s="18" t="s">
        <v>283</v>
      </c>
      <c r="B1834" s="18" t="s">
        <v>260</v>
      </c>
      <c r="C1834" s="18" t="s">
        <v>855</v>
      </c>
      <c r="D1834" s="18" t="s">
        <v>345</v>
      </c>
      <c r="E1834" s="63" t="s">
        <v>856</v>
      </c>
      <c r="F1834" s="18" t="s">
        <v>845</v>
      </c>
      <c r="G1834" s="18" t="s">
        <v>647</v>
      </c>
      <c r="H1834" s="18">
        <v>1978</v>
      </c>
      <c r="I1834" s="40">
        <v>37571</v>
      </c>
      <c r="J1834" s="40">
        <v>33404</v>
      </c>
      <c r="K1834" s="18">
        <v>41740</v>
      </c>
      <c r="L1834" s="38" t="s">
        <v>637</v>
      </c>
      <c r="M1834" s="21" t="s">
        <v>351</v>
      </c>
      <c r="N1834" s="18" t="s">
        <v>352</v>
      </c>
    </row>
    <row r="1835" spans="1:14" ht="13">
      <c r="A1835" s="18" t="s">
        <v>283</v>
      </c>
      <c r="B1835" s="18" t="s">
        <v>260</v>
      </c>
      <c r="C1835" s="18" t="s">
        <v>855</v>
      </c>
      <c r="D1835" s="18" t="s">
        <v>345</v>
      </c>
      <c r="E1835" s="63" t="s">
        <v>856</v>
      </c>
      <c r="F1835" s="18" t="s">
        <v>845</v>
      </c>
      <c r="G1835" s="18" t="s">
        <v>647</v>
      </c>
      <c r="H1835" s="18">
        <v>1979</v>
      </c>
      <c r="I1835" s="40">
        <v>37999</v>
      </c>
      <c r="J1835" s="40">
        <v>33832</v>
      </c>
      <c r="K1835" s="18">
        <v>42165</v>
      </c>
      <c r="L1835" s="38" t="s">
        <v>637</v>
      </c>
      <c r="M1835" s="21" t="s">
        <v>351</v>
      </c>
      <c r="N1835" s="18" t="s">
        <v>352</v>
      </c>
    </row>
    <row r="1836" spans="1:14" ht="13">
      <c r="A1836" s="18" t="s">
        <v>283</v>
      </c>
      <c r="B1836" s="18" t="s">
        <v>260</v>
      </c>
      <c r="C1836" s="18" t="s">
        <v>855</v>
      </c>
      <c r="D1836" s="18" t="s">
        <v>345</v>
      </c>
      <c r="E1836" s="63" t="s">
        <v>856</v>
      </c>
      <c r="F1836" s="18" t="s">
        <v>845</v>
      </c>
      <c r="G1836" s="18" t="s">
        <v>647</v>
      </c>
      <c r="H1836" s="18">
        <v>1985</v>
      </c>
      <c r="I1836" s="40">
        <v>27435</v>
      </c>
      <c r="J1836" s="40" t="s">
        <v>402</v>
      </c>
      <c r="K1836" s="18">
        <v>28477</v>
      </c>
      <c r="L1836" s="38" t="s">
        <v>637</v>
      </c>
      <c r="M1836" s="21" t="s">
        <v>351</v>
      </c>
      <c r="N1836" s="18" t="s">
        <v>352</v>
      </c>
    </row>
    <row r="1837" spans="1:14" ht="13">
      <c r="A1837" s="18" t="s">
        <v>283</v>
      </c>
      <c r="B1837" s="18" t="s">
        <v>260</v>
      </c>
      <c r="C1837" s="18" t="s">
        <v>855</v>
      </c>
      <c r="D1837" s="18" t="s">
        <v>345</v>
      </c>
      <c r="E1837" s="63" t="s">
        <v>856</v>
      </c>
      <c r="F1837" s="18" t="s">
        <v>845</v>
      </c>
      <c r="G1837" s="18" t="s">
        <v>647</v>
      </c>
      <c r="H1837" s="18">
        <v>1986</v>
      </c>
      <c r="I1837" s="40">
        <v>23903</v>
      </c>
      <c r="J1837" s="40">
        <v>21819</v>
      </c>
      <c r="K1837" s="18">
        <v>26403</v>
      </c>
      <c r="L1837" s="38" t="s">
        <v>637</v>
      </c>
      <c r="M1837" s="21" t="s">
        <v>351</v>
      </c>
      <c r="N1837" s="18" t="s">
        <v>352</v>
      </c>
    </row>
    <row r="1838" spans="1:14" ht="13">
      <c r="A1838" s="18" t="s">
        <v>283</v>
      </c>
      <c r="B1838" s="18" t="s">
        <v>260</v>
      </c>
      <c r="C1838" s="18" t="s">
        <v>855</v>
      </c>
      <c r="D1838" s="18" t="s">
        <v>345</v>
      </c>
      <c r="E1838" s="63" t="s">
        <v>856</v>
      </c>
      <c r="F1838" s="18" t="s">
        <v>845</v>
      </c>
      <c r="G1838" s="18" t="s">
        <v>647</v>
      </c>
      <c r="H1838" s="18">
        <v>1988</v>
      </c>
      <c r="I1838" s="40">
        <v>15173</v>
      </c>
      <c r="J1838" s="40">
        <v>13506</v>
      </c>
      <c r="K1838" s="18">
        <v>16840</v>
      </c>
      <c r="L1838" s="38" t="s">
        <v>637</v>
      </c>
      <c r="M1838" s="21" t="s">
        <v>351</v>
      </c>
      <c r="N1838" s="18" t="s">
        <v>352</v>
      </c>
    </row>
    <row r="1839" spans="1:14" ht="13">
      <c r="A1839" s="18" t="s">
        <v>283</v>
      </c>
      <c r="B1839" s="18" t="s">
        <v>260</v>
      </c>
      <c r="C1839" s="18" t="s">
        <v>855</v>
      </c>
      <c r="D1839" s="18" t="s">
        <v>345</v>
      </c>
      <c r="E1839" s="63" t="s">
        <v>856</v>
      </c>
      <c r="F1839" s="18" t="s">
        <v>845</v>
      </c>
      <c r="G1839" s="18" t="s">
        <v>647</v>
      </c>
      <c r="H1839" s="18">
        <v>1989</v>
      </c>
      <c r="I1839" s="40">
        <v>12268</v>
      </c>
      <c r="J1839" s="40" t="s">
        <v>402</v>
      </c>
      <c r="K1839" s="18" t="s">
        <v>402</v>
      </c>
      <c r="L1839" s="38" t="s">
        <v>637</v>
      </c>
      <c r="M1839" s="21" t="s">
        <v>351</v>
      </c>
      <c r="N1839" s="18" t="s">
        <v>352</v>
      </c>
    </row>
    <row r="1840" spans="1:14" ht="13">
      <c r="A1840" s="18" t="s">
        <v>283</v>
      </c>
      <c r="B1840" s="18" t="s">
        <v>260</v>
      </c>
      <c r="C1840" s="18" t="s">
        <v>855</v>
      </c>
      <c r="D1840" s="18" t="s">
        <v>345</v>
      </c>
      <c r="E1840" s="63" t="s">
        <v>856</v>
      </c>
      <c r="F1840" s="18" t="s">
        <v>845</v>
      </c>
      <c r="G1840" s="18" t="s">
        <v>647</v>
      </c>
      <c r="H1840" s="18">
        <v>1990</v>
      </c>
      <c r="I1840" s="40">
        <v>10402</v>
      </c>
      <c r="J1840" s="40" t="s">
        <v>402</v>
      </c>
      <c r="K1840" s="18" t="s">
        <v>402</v>
      </c>
      <c r="L1840" s="38" t="s">
        <v>637</v>
      </c>
      <c r="M1840" s="21" t="s">
        <v>351</v>
      </c>
      <c r="N1840" s="18" t="s">
        <v>352</v>
      </c>
    </row>
    <row r="1841" spans="1:14" ht="13">
      <c r="A1841" s="18" t="s">
        <v>283</v>
      </c>
      <c r="B1841" s="18" t="s">
        <v>260</v>
      </c>
      <c r="C1841" s="18" t="s">
        <v>855</v>
      </c>
      <c r="D1841" s="18" t="s">
        <v>345</v>
      </c>
      <c r="E1841" s="63" t="s">
        <v>856</v>
      </c>
      <c r="F1841" s="18" t="s">
        <v>845</v>
      </c>
      <c r="G1841" s="18" t="s">
        <v>647</v>
      </c>
      <c r="H1841" s="18">
        <v>1991</v>
      </c>
      <c r="I1841" s="40">
        <v>8953</v>
      </c>
      <c r="J1841" s="40" t="s">
        <v>402</v>
      </c>
      <c r="K1841" s="18" t="s">
        <v>402</v>
      </c>
      <c r="L1841" s="38" t="s">
        <v>637</v>
      </c>
      <c r="M1841" s="21" t="s">
        <v>351</v>
      </c>
      <c r="N1841" s="18" t="s">
        <v>352</v>
      </c>
    </row>
    <row r="1842" spans="1:14" ht="13">
      <c r="A1842" s="18" t="s">
        <v>283</v>
      </c>
      <c r="B1842" s="18" t="s">
        <v>260</v>
      </c>
      <c r="C1842" s="18" t="s">
        <v>855</v>
      </c>
      <c r="D1842" s="18" t="s">
        <v>345</v>
      </c>
      <c r="E1842" s="63" t="s">
        <v>856</v>
      </c>
      <c r="F1842" s="18" t="s">
        <v>845</v>
      </c>
      <c r="G1842" s="18" t="s">
        <v>647</v>
      </c>
      <c r="H1842" s="18">
        <v>1992</v>
      </c>
      <c r="I1842" s="40">
        <v>8548</v>
      </c>
      <c r="J1842" s="40" t="s">
        <v>402</v>
      </c>
      <c r="K1842" s="18" t="s">
        <v>402</v>
      </c>
      <c r="L1842" s="38" t="s">
        <v>637</v>
      </c>
      <c r="M1842" s="21" t="s">
        <v>351</v>
      </c>
      <c r="N1842" s="18" t="s">
        <v>352</v>
      </c>
    </row>
    <row r="1843" spans="1:14" ht="13">
      <c r="A1843" s="18" t="s">
        <v>283</v>
      </c>
      <c r="B1843" s="18" t="s">
        <v>260</v>
      </c>
      <c r="C1843" s="18" t="s">
        <v>855</v>
      </c>
      <c r="D1843" s="18" t="s">
        <v>345</v>
      </c>
      <c r="E1843" s="63" t="s">
        <v>856</v>
      </c>
      <c r="F1843" s="18" t="s">
        <v>845</v>
      </c>
      <c r="G1843" s="18" t="s">
        <v>647</v>
      </c>
      <c r="H1843" s="18">
        <v>1994</v>
      </c>
      <c r="I1843" s="40">
        <v>7735</v>
      </c>
      <c r="J1843" s="40" t="s">
        <v>402</v>
      </c>
      <c r="K1843" s="18" t="s">
        <v>402</v>
      </c>
      <c r="L1843" s="38" t="s">
        <v>637</v>
      </c>
      <c r="M1843" s="21" t="s">
        <v>351</v>
      </c>
      <c r="N1843" s="18" t="s">
        <v>352</v>
      </c>
    </row>
    <row r="1844" spans="1:14" ht="13">
      <c r="A1844" s="18" t="s">
        <v>283</v>
      </c>
      <c r="B1844" s="18" t="s">
        <v>260</v>
      </c>
      <c r="C1844" s="18" t="s">
        <v>855</v>
      </c>
      <c r="D1844" s="18" t="s">
        <v>345</v>
      </c>
      <c r="E1844" s="63" t="s">
        <v>856</v>
      </c>
      <c r="F1844" s="18" t="s">
        <v>845</v>
      </c>
      <c r="G1844" s="18" t="s">
        <v>647</v>
      </c>
      <c r="H1844" s="18">
        <v>1996</v>
      </c>
      <c r="I1844" s="40">
        <v>6505</v>
      </c>
      <c r="J1844" s="40" t="s">
        <v>402</v>
      </c>
      <c r="K1844" s="18" t="s">
        <v>402</v>
      </c>
      <c r="L1844" s="38" t="s">
        <v>637</v>
      </c>
      <c r="M1844" s="21" t="s">
        <v>351</v>
      </c>
      <c r="N1844" s="18" t="s">
        <v>352</v>
      </c>
    </row>
    <row r="1845" spans="1:14" ht="13">
      <c r="A1845" s="18" t="s">
        <v>283</v>
      </c>
      <c r="B1845" s="18" t="s">
        <v>260</v>
      </c>
      <c r="C1845" s="18" t="s">
        <v>855</v>
      </c>
      <c r="D1845" s="18" t="s">
        <v>345</v>
      </c>
      <c r="E1845" s="63" t="s">
        <v>856</v>
      </c>
      <c r="F1845" s="18" t="s">
        <v>845</v>
      </c>
      <c r="G1845" s="18" t="s">
        <v>647</v>
      </c>
      <c r="H1845" s="18">
        <v>1997</v>
      </c>
      <c r="I1845" s="40">
        <v>5889</v>
      </c>
      <c r="J1845" s="40" t="s">
        <v>402</v>
      </c>
      <c r="K1845" s="18" t="s">
        <v>402</v>
      </c>
      <c r="L1845" s="38" t="s">
        <v>637</v>
      </c>
      <c r="M1845" s="21" t="s">
        <v>351</v>
      </c>
      <c r="N1845" s="18" t="s">
        <v>352</v>
      </c>
    </row>
    <row r="1846" spans="1:14" ht="13">
      <c r="A1846" s="18" t="s">
        <v>283</v>
      </c>
      <c r="B1846" s="18" t="s">
        <v>260</v>
      </c>
      <c r="C1846" s="18" t="s">
        <v>855</v>
      </c>
      <c r="D1846" s="18" t="s">
        <v>345</v>
      </c>
      <c r="E1846" s="63" t="s">
        <v>856</v>
      </c>
      <c r="F1846" s="18" t="s">
        <v>845</v>
      </c>
      <c r="G1846" s="18" t="s">
        <v>647</v>
      </c>
      <c r="H1846" s="18">
        <v>1998</v>
      </c>
      <c r="I1846" s="40">
        <v>5692</v>
      </c>
      <c r="J1846" s="40" t="s">
        <v>402</v>
      </c>
      <c r="K1846" s="18" t="s">
        <v>402</v>
      </c>
      <c r="L1846" s="38" t="s">
        <v>637</v>
      </c>
      <c r="M1846" s="21" t="s">
        <v>351</v>
      </c>
      <c r="N1846" s="18" t="s">
        <v>352</v>
      </c>
    </row>
    <row r="1847" spans="1:14" ht="13">
      <c r="A1847" s="18" t="s">
        <v>283</v>
      </c>
      <c r="B1847" s="18" t="s">
        <v>260</v>
      </c>
      <c r="C1847" s="18" t="s">
        <v>855</v>
      </c>
      <c r="D1847" s="18" t="s">
        <v>345</v>
      </c>
      <c r="E1847" s="63" t="s">
        <v>856</v>
      </c>
      <c r="F1847" s="18" t="s">
        <v>845</v>
      </c>
      <c r="G1847" s="18" t="s">
        <v>647</v>
      </c>
      <c r="H1847" s="18">
        <v>2000</v>
      </c>
      <c r="I1847" s="40">
        <v>5713</v>
      </c>
      <c r="J1847" s="40" t="s">
        <v>402</v>
      </c>
      <c r="K1847" s="18" t="s">
        <v>402</v>
      </c>
      <c r="L1847" s="38" t="s">
        <v>637</v>
      </c>
      <c r="M1847" s="21" t="s">
        <v>351</v>
      </c>
      <c r="N1847" s="18" t="s">
        <v>352</v>
      </c>
    </row>
    <row r="1848" spans="1:14" ht="13">
      <c r="A1848" s="18" t="s">
        <v>283</v>
      </c>
      <c r="B1848" s="18" t="s">
        <v>260</v>
      </c>
      <c r="C1848" s="18" t="s">
        <v>855</v>
      </c>
      <c r="D1848" s="18" t="s">
        <v>345</v>
      </c>
      <c r="E1848" s="63" t="s">
        <v>856</v>
      </c>
      <c r="F1848" s="18" t="s">
        <v>845</v>
      </c>
      <c r="G1848" s="18" t="s">
        <v>647</v>
      </c>
      <c r="H1848" s="18">
        <v>2002</v>
      </c>
      <c r="I1848" s="40">
        <v>5524</v>
      </c>
      <c r="J1848" s="40" t="s">
        <v>402</v>
      </c>
      <c r="K1848" s="18" t="s">
        <v>402</v>
      </c>
      <c r="L1848" s="38" t="s">
        <v>637</v>
      </c>
      <c r="M1848" s="21" t="s">
        <v>351</v>
      </c>
      <c r="N1848" s="18" t="s">
        <v>352</v>
      </c>
    </row>
    <row r="1849" spans="1:14" ht="13">
      <c r="A1849" s="18" t="s">
        <v>283</v>
      </c>
      <c r="B1849" s="18" t="s">
        <v>260</v>
      </c>
      <c r="C1849" s="18" t="s">
        <v>855</v>
      </c>
      <c r="D1849" s="18" t="s">
        <v>345</v>
      </c>
      <c r="E1849" s="63" t="s">
        <v>856</v>
      </c>
      <c r="F1849" s="18" t="s">
        <v>845</v>
      </c>
      <c r="G1849" s="18" t="s">
        <v>647</v>
      </c>
      <c r="H1849" s="18">
        <v>2004</v>
      </c>
      <c r="I1849" s="40">
        <v>5335</v>
      </c>
      <c r="J1849" s="40" t="s">
        <v>402</v>
      </c>
      <c r="K1849" s="18" t="s">
        <v>402</v>
      </c>
      <c r="L1849" s="38" t="s">
        <v>637</v>
      </c>
      <c r="M1849" s="21" t="s">
        <v>351</v>
      </c>
      <c r="N1849" s="18" t="s">
        <v>352</v>
      </c>
    </row>
    <row r="1850" spans="1:14" ht="13">
      <c r="A1850" s="18" t="s">
        <v>283</v>
      </c>
      <c r="B1850" s="18" t="s">
        <v>260</v>
      </c>
      <c r="C1850" s="18" t="s">
        <v>855</v>
      </c>
      <c r="D1850" s="18" t="s">
        <v>345</v>
      </c>
      <c r="E1850" s="63" t="s">
        <v>856</v>
      </c>
      <c r="F1850" s="18" t="s">
        <v>845</v>
      </c>
      <c r="G1850" s="18" t="s">
        <v>647</v>
      </c>
      <c r="H1850" s="18">
        <v>2005</v>
      </c>
      <c r="I1850" s="40">
        <v>6180</v>
      </c>
      <c r="J1850" s="40" t="s">
        <v>402</v>
      </c>
      <c r="K1850" s="18" t="s">
        <v>402</v>
      </c>
      <c r="L1850" s="38" t="s">
        <v>637</v>
      </c>
      <c r="M1850" s="21" t="s">
        <v>351</v>
      </c>
      <c r="N1850" s="18" t="s">
        <v>352</v>
      </c>
    </row>
    <row r="1851" spans="1:14" ht="13">
      <c r="A1851" s="18" t="s">
        <v>283</v>
      </c>
      <c r="B1851" s="18" t="s">
        <v>260</v>
      </c>
      <c r="C1851" s="18" t="s">
        <v>855</v>
      </c>
      <c r="D1851" s="18" t="s">
        <v>345</v>
      </c>
      <c r="E1851" s="63" t="s">
        <v>856</v>
      </c>
      <c r="F1851" s="18" t="s">
        <v>845</v>
      </c>
      <c r="G1851" s="18" t="s">
        <v>647</v>
      </c>
      <c r="H1851" s="18">
        <v>2006</v>
      </c>
      <c r="I1851" s="40">
        <v>5877</v>
      </c>
      <c r="J1851" s="40" t="s">
        <v>402</v>
      </c>
      <c r="K1851" s="18" t="s">
        <v>402</v>
      </c>
      <c r="L1851" s="38" t="s">
        <v>637</v>
      </c>
      <c r="M1851" s="21" t="s">
        <v>351</v>
      </c>
      <c r="N1851" s="18" t="s">
        <v>352</v>
      </c>
    </row>
    <row r="1852" spans="1:14" ht="13">
      <c r="A1852" s="18" t="s">
        <v>283</v>
      </c>
      <c r="B1852" s="18" t="s">
        <v>260</v>
      </c>
      <c r="C1852" s="18" t="s">
        <v>855</v>
      </c>
      <c r="D1852" s="18" t="s">
        <v>345</v>
      </c>
      <c r="E1852" s="63" t="s">
        <v>856</v>
      </c>
      <c r="F1852" s="18" t="s">
        <v>845</v>
      </c>
      <c r="G1852" s="18" t="s">
        <v>647</v>
      </c>
      <c r="H1852" s="18">
        <v>2007</v>
      </c>
      <c r="I1852" s="40">
        <v>5888</v>
      </c>
      <c r="J1852" s="40" t="s">
        <v>402</v>
      </c>
      <c r="K1852" s="18" t="s">
        <v>402</v>
      </c>
      <c r="L1852" s="38" t="s">
        <v>637</v>
      </c>
      <c r="M1852" s="21" t="s">
        <v>351</v>
      </c>
      <c r="N1852" s="18" t="s">
        <v>352</v>
      </c>
    </row>
    <row r="1853" spans="1:14" ht="13">
      <c r="A1853" s="18" t="s">
        <v>283</v>
      </c>
      <c r="B1853" s="18" t="s">
        <v>260</v>
      </c>
      <c r="C1853" s="18" t="s">
        <v>855</v>
      </c>
      <c r="D1853" s="18" t="s">
        <v>345</v>
      </c>
      <c r="E1853" s="63" t="s">
        <v>856</v>
      </c>
      <c r="F1853" s="18" t="s">
        <v>845</v>
      </c>
      <c r="G1853" s="18" t="s">
        <v>647</v>
      </c>
      <c r="H1853" s="18">
        <v>2008</v>
      </c>
      <c r="I1853" s="40">
        <v>5584</v>
      </c>
      <c r="J1853" s="40" t="s">
        <v>402</v>
      </c>
      <c r="K1853" s="18" t="s">
        <v>402</v>
      </c>
      <c r="L1853" s="38" t="s">
        <v>637</v>
      </c>
      <c r="M1853" s="21" t="s">
        <v>351</v>
      </c>
      <c r="N1853" s="18" t="s">
        <v>352</v>
      </c>
    </row>
    <row r="1854" spans="1:14" ht="13">
      <c r="A1854" s="18" t="s">
        <v>283</v>
      </c>
      <c r="B1854" s="18" t="s">
        <v>260</v>
      </c>
      <c r="C1854" s="18" t="s">
        <v>855</v>
      </c>
      <c r="D1854" s="18" t="s">
        <v>345</v>
      </c>
      <c r="E1854" s="63" t="s">
        <v>856</v>
      </c>
      <c r="F1854" s="18" t="s">
        <v>845</v>
      </c>
      <c r="G1854" s="18" t="s">
        <v>647</v>
      </c>
      <c r="H1854" s="18">
        <v>2009</v>
      </c>
      <c r="I1854" s="40">
        <v>6221</v>
      </c>
      <c r="J1854" s="40" t="s">
        <v>402</v>
      </c>
      <c r="K1854" s="18" t="s">
        <v>402</v>
      </c>
      <c r="L1854" s="38" t="s">
        <v>637</v>
      </c>
      <c r="M1854" s="21" t="s">
        <v>351</v>
      </c>
      <c r="N1854" s="18" t="s">
        <v>352</v>
      </c>
    </row>
    <row r="1855" spans="1:14" ht="13">
      <c r="A1855" s="18" t="s">
        <v>283</v>
      </c>
      <c r="B1855" s="18" t="s">
        <v>260</v>
      </c>
      <c r="C1855" s="18" t="s">
        <v>855</v>
      </c>
      <c r="D1855" s="18" t="s">
        <v>345</v>
      </c>
      <c r="E1855" s="63" t="s">
        <v>856</v>
      </c>
      <c r="F1855" s="18" t="s">
        <v>845</v>
      </c>
      <c r="G1855" s="18" t="s">
        <v>647</v>
      </c>
      <c r="H1855" s="18">
        <v>2010</v>
      </c>
      <c r="I1855" s="40">
        <v>5396</v>
      </c>
      <c r="J1855" s="40" t="s">
        <v>402</v>
      </c>
      <c r="K1855" s="18" t="s">
        <v>402</v>
      </c>
      <c r="L1855" s="38" t="s">
        <v>637</v>
      </c>
      <c r="M1855" s="21" t="s">
        <v>351</v>
      </c>
      <c r="N1855" s="18" t="s">
        <v>352</v>
      </c>
    </row>
    <row r="1856" spans="1:14" ht="13">
      <c r="A1856" s="18" t="s">
        <v>283</v>
      </c>
      <c r="B1856" s="18" t="s">
        <v>260</v>
      </c>
      <c r="C1856" s="18" t="s">
        <v>855</v>
      </c>
      <c r="D1856" s="18" t="s">
        <v>345</v>
      </c>
      <c r="E1856" s="63" t="s">
        <v>856</v>
      </c>
      <c r="F1856" s="18" t="s">
        <v>845</v>
      </c>
      <c r="G1856" s="18" t="s">
        <v>647</v>
      </c>
      <c r="H1856" s="18">
        <v>2011</v>
      </c>
      <c r="I1856" s="40">
        <v>7075</v>
      </c>
      <c r="J1856" s="40" t="s">
        <v>402</v>
      </c>
      <c r="K1856" s="18" t="s">
        <v>402</v>
      </c>
      <c r="L1856" s="38" t="s">
        <v>637</v>
      </c>
      <c r="M1856" s="21" t="s">
        <v>351</v>
      </c>
      <c r="N1856" s="18" t="s">
        <v>352</v>
      </c>
    </row>
    <row r="1857" spans="1:34" ht="13">
      <c r="A1857" s="18" t="s">
        <v>283</v>
      </c>
      <c r="B1857" s="18" t="s">
        <v>260</v>
      </c>
      <c r="C1857" s="18" t="s">
        <v>855</v>
      </c>
      <c r="D1857" s="18" t="s">
        <v>345</v>
      </c>
      <c r="E1857" s="63" t="s">
        <v>856</v>
      </c>
      <c r="F1857" s="18" t="s">
        <v>845</v>
      </c>
      <c r="G1857" s="18" t="s">
        <v>647</v>
      </c>
      <c r="H1857" s="18">
        <v>2013</v>
      </c>
      <c r="I1857" s="40">
        <v>7928</v>
      </c>
      <c r="J1857" s="40" t="s">
        <v>402</v>
      </c>
      <c r="K1857" s="18" t="s">
        <v>402</v>
      </c>
      <c r="L1857" s="38" t="s">
        <v>637</v>
      </c>
      <c r="M1857" s="21" t="s">
        <v>351</v>
      </c>
      <c r="N1857" s="18" t="s">
        <v>352</v>
      </c>
    </row>
    <row r="1858" spans="1:34" ht="13">
      <c r="A1858" s="18" t="s">
        <v>283</v>
      </c>
      <c r="B1858" s="18" t="s">
        <v>260</v>
      </c>
      <c r="C1858" s="18" t="s">
        <v>855</v>
      </c>
      <c r="D1858" s="18" t="s">
        <v>345</v>
      </c>
      <c r="E1858" s="63" t="s">
        <v>856</v>
      </c>
      <c r="F1858" s="18" t="s">
        <v>845</v>
      </c>
      <c r="G1858" s="18" t="s">
        <v>647</v>
      </c>
      <c r="H1858" s="18">
        <v>2015</v>
      </c>
      <c r="I1858" s="40">
        <v>8781</v>
      </c>
      <c r="J1858" s="40" t="s">
        <v>402</v>
      </c>
      <c r="K1858" s="18" t="s">
        <v>402</v>
      </c>
      <c r="L1858" s="38" t="s">
        <v>637</v>
      </c>
      <c r="M1858" s="21" t="s">
        <v>351</v>
      </c>
      <c r="N1858" s="18" t="s">
        <v>352</v>
      </c>
    </row>
    <row r="1859" spans="1:34" ht="13">
      <c r="A1859" s="18" t="s">
        <v>283</v>
      </c>
      <c r="B1859" s="18" t="s">
        <v>260</v>
      </c>
      <c r="C1859" s="18" t="s">
        <v>855</v>
      </c>
      <c r="D1859" s="18" t="s">
        <v>345</v>
      </c>
      <c r="E1859" s="63" t="s">
        <v>856</v>
      </c>
      <c r="F1859" s="18" t="s">
        <v>845</v>
      </c>
      <c r="G1859" s="18" t="s">
        <v>647</v>
      </c>
      <c r="H1859" s="18">
        <v>2017</v>
      </c>
      <c r="I1859" s="40">
        <v>9739</v>
      </c>
      <c r="J1859" s="40" t="s">
        <v>402</v>
      </c>
      <c r="K1859" s="18" t="s">
        <v>402</v>
      </c>
      <c r="L1859" s="38" t="s">
        <v>637</v>
      </c>
      <c r="M1859" s="21" t="s">
        <v>351</v>
      </c>
      <c r="N1859" s="18" t="s">
        <v>352</v>
      </c>
    </row>
    <row r="1860" spans="1:34" ht="13">
      <c r="A1860" s="18" t="s">
        <v>283</v>
      </c>
      <c r="B1860" s="18" t="s">
        <v>260</v>
      </c>
      <c r="C1860" s="18" t="s">
        <v>855</v>
      </c>
      <c r="D1860" s="18" t="s">
        <v>345</v>
      </c>
      <c r="E1860" s="63" t="s">
        <v>856</v>
      </c>
      <c r="F1860" s="18" t="s">
        <v>845</v>
      </c>
      <c r="G1860" s="18" t="s">
        <v>647</v>
      </c>
      <c r="H1860" s="18">
        <v>2018</v>
      </c>
      <c r="I1860" s="40">
        <v>8812</v>
      </c>
      <c r="J1860" s="40">
        <v>7562</v>
      </c>
      <c r="K1860" s="18">
        <v>10062</v>
      </c>
      <c r="L1860" s="38" t="s">
        <v>637</v>
      </c>
      <c r="M1860" s="21" t="s">
        <v>351</v>
      </c>
      <c r="N1860" s="18" t="s">
        <v>352</v>
      </c>
    </row>
    <row r="1861" spans="1:34" ht="13">
      <c r="A1861" s="18" t="s">
        <v>283</v>
      </c>
      <c r="B1861" s="18" t="s">
        <v>260</v>
      </c>
      <c r="C1861" s="18" t="s">
        <v>855</v>
      </c>
      <c r="D1861" s="18" t="s">
        <v>345</v>
      </c>
      <c r="E1861" s="63" t="s">
        <v>856</v>
      </c>
      <c r="F1861" s="18" t="s">
        <v>845</v>
      </c>
      <c r="G1861" s="18" t="s">
        <v>647</v>
      </c>
      <c r="H1861" s="18">
        <v>2019</v>
      </c>
      <c r="I1861" s="40">
        <v>8198</v>
      </c>
      <c r="J1861" s="40" t="s">
        <v>402</v>
      </c>
      <c r="K1861" s="18" t="s">
        <v>402</v>
      </c>
      <c r="L1861" s="38" t="s">
        <v>637</v>
      </c>
      <c r="M1861" s="21" t="s">
        <v>351</v>
      </c>
      <c r="N1861" s="18" t="s">
        <v>352</v>
      </c>
    </row>
    <row r="1862" spans="1:34" ht="16">
      <c r="A1862" s="42" t="s">
        <v>806</v>
      </c>
      <c r="B1862" s="42" t="s">
        <v>260</v>
      </c>
      <c r="C1862" s="42" t="s">
        <v>796</v>
      </c>
      <c r="D1862" s="42" t="s">
        <v>571</v>
      </c>
      <c r="E1862" s="18" t="s">
        <v>857</v>
      </c>
      <c r="F1862" s="27" t="s">
        <v>636</v>
      </c>
      <c r="G1862" s="42" t="s">
        <v>761</v>
      </c>
      <c r="H1862" s="43">
        <v>1991</v>
      </c>
      <c r="I1862" s="38">
        <v>35812</v>
      </c>
      <c r="J1862" s="38">
        <v>14801</v>
      </c>
      <c r="K1862" s="38">
        <v>88342</v>
      </c>
      <c r="L1862" s="38" t="s">
        <v>734</v>
      </c>
      <c r="M1862" s="57" t="s">
        <v>858</v>
      </c>
      <c r="N1862" s="45"/>
      <c r="O1862" s="27" t="s">
        <v>800</v>
      </c>
      <c r="P1862" s="27"/>
      <c r="Q1862" s="27"/>
      <c r="R1862" s="27"/>
      <c r="S1862" s="27"/>
      <c r="T1862" s="27"/>
      <c r="U1862" s="27"/>
      <c r="V1862" s="27"/>
      <c r="W1862" s="27"/>
      <c r="X1862" s="27"/>
      <c r="Y1862" s="27"/>
      <c r="Z1862" s="27"/>
      <c r="AA1862" s="27"/>
      <c r="AB1862" s="27"/>
      <c r="AC1862" s="27"/>
      <c r="AD1862" s="27"/>
      <c r="AE1862" s="27"/>
      <c r="AF1862" s="27"/>
      <c r="AG1862" s="27"/>
      <c r="AH1862" s="27"/>
    </row>
    <row r="1863" spans="1:34" ht="16">
      <c r="A1863" s="42" t="s">
        <v>806</v>
      </c>
      <c r="B1863" s="42" t="s">
        <v>260</v>
      </c>
      <c r="C1863" s="42" t="s">
        <v>796</v>
      </c>
      <c r="D1863" s="42" t="s">
        <v>571</v>
      </c>
      <c r="E1863" s="18" t="s">
        <v>857</v>
      </c>
      <c r="F1863" s="27" t="s">
        <v>636</v>
      </c>
      <c r="G1863" s="42" t="s">
        <v>761</v>
      </c>
      <c r="H1863" s="43">
        <v>1993</v>
      </c>
      <c r="I1863" s="38">
        <v>28838</v>
      </c>
      <c r="J1863" s="38">
        <v>12106</v>
      </c>
      <c r="K1863" s="38">
        <v>67359</v>
      </c>
      <c r="L1863" s="38" t="s">
        <v>734</v>
      </c>
      <c r="M1863" s="57" t="s">
        <v>858</v>
      </c>
      <c r="N1863" s="45"/>
      <c r="O1863" s="27" t="s">
        <v>800</v>
      </c>
      <c r="P1863" s="27"/>
      <c r="Q1863" s="27"/>
      <c r="R1863" s="27"/>
      <c r="S1863" s="27"/>
      <c r="T1863" s="27"/>
      <c r="U1863" s="27"/>
      <c r="V1863" s="27"/>
      <c r="W1863" s="27"/>
      <c r="X1863" s="27"/>
      <c r="Y1863" s="27"/>
      <c r="Z1863" s="27"/>
      <c r="AA1863" s="27"/>
      <c r="AB1863" s="27"/>
      <c r="AC1863" s="27"/>
      <c r="AD1863" s="27"/>
      <c r="AE1863" s="27"/>
      <c r="AF1863" s="27"/>
      <c r="AG1863" s="27"/>
      <c r="AH1863" s="27"/>
    </row>
    <row r="1864" spans="1:34" ht="16">
      <c r="A1864" s="42" t="s">
        <v>806</v>
      </c>
      <c r="B1864" s="42" t="s">
        <v>260</v>
      </c>
      <c r="C1864" s="42" t="s">
        <v>796</v>
      </c>
      <c r="D1864" s="42" t="s">
        <v>571</v>
      </c>
      <c r="E1864" s="18" t="s">
        <v>857</v>
      </c>
      <c r="F1864" s="27" t="s">
        <v>636</v>
      </c>
      <c r="G1864" s="42" t="s">
        <v>761</v>
      </c>
      <c r="H1864" s="43">
        <v>1996</v>
      </c>
      <c r="I1864" s="38">
        <v>8648</v>
      </c>
      <c r="J1864" s="38">
        <v>3589</v>
      </c>
      <c r="K1864" s="38">
        <v>21877</v>
      </c>
      <c r="L1864" s="38" t="s">
        <v>734</v>
      </c>
      <c r="M1864" s="57" t="s">
        <v>858</v>
      </c>
      <c r="N1864" s="45"/>
      <c r="O1864" s="27"/>
      <c r="P1864" s="27"/>
      <c r="Q1864" s="27"/>
      <c r="R1864" s="27"/>
      <c r="S1864" s="27"/>
      <c r="T1864" s="27"/>
      <c r="U1864" s="27"/>
      <c r="V1864" s="27"/>
      <c r="W1864" s="27"/>
      <c r="X1864" s="27"/>
      <c r="Y1864" s="27"/>
      <c r="Z1864" s="27"/>
      <c r="AA1864" s="27"/>
      <c r="AB1864" s="27"/>
      <c r="AC1864" s="27"/>
      <c r="AD1864" s="27"/>
      <c r="AE1864" s="27"/>
      <c r="AF1864" s="27"/>
      <c r="AG1864" s="27"/>
      <c r="AH1864" s="27"/>
    </row>
    <row r="1865" spans="1:34" ht="16">
      <c r="A1865" s="42" t="s">
        <v>806</v>
      </c>
      <c r="B1865" s="42" t="s">
        <v>260</v>
      </c>
      <c r="C1865" s="42" t="s">
        <v>796</v>
      </c>
      <c r="D1865" s="42" t="s">
        <v>571</v>
      </c>
      <c r="E1865" s="18" t="s">
        <v>857</v>
      </c>
      <c r="F1865" s="27" t="s">
        <v>636</v>
      </c>
      <c r="G1865" s="42" t="s">
        <v>761</v>
      </c>
      <c r="H1865" s="43">
        <v>2001</v>
      </c>
      <c r="I1865" s="38">
        <v>28953</v>
      </c>
      <c r="J1865" s="38">
        <v>9498</v>
      </c>
      <c r="K1865" s="38">
        <v>89264</v>
      </c>
      <c r="L1865" s="38" t="s">
        <v>734</v>
      </c>
      <c r="M1865" s="57" t="s">
        <v>858</v>
      </c>
      <c r="N1865" s="45"/>
      <c r="O1865" s="27"/>
      <c r="P1865" s="27"/>
      <c r="Q1865" s="27"/>
      <c r="R1865" s="27"/>
      <c r="S1865" s="27"/>
      <c r="T1865" s="27"/>
      <c r="U1865" s="27"/>
      <c r="V1865" s="27"/>
      <c r="W1865" s="27"/>
      <c r="X1865" s="27"/>
      <c r="Y1865" s="27"/>
      <c r="Z1865" s="27"/>
      <c r="AA1865" s="27"/>
      <c r="AB1865" s="27"/>
      <c r="AC1865" s="27"/>
      <c r="AD1865" s="27"/>
      <c r="AE1865" s="27"/>
      <c r="AF1865" s="27"/>
      <c r="AG1865" s="27"/>
      <c r="AH1865" s="27"/>
    </row>
    <row r="1866" spans="1:34" ht="16">
      <c r="A1866" s="42" t="s">
        <v>806</v>
      </c>
      <c r="B1866" s="42" t="s">
        <v>260</v>
      </c>
      <c r="C1866" s="42" t="s">
        <v>796</v>
      </c>
      <c r="D1866" s="42" t="s">
        <v>571</v>
      </c>
      <c r="E1866" s="18" t="s">
        <v>857</v>
      </c>
      <c r="F1866" s="27" t="s">
        <v>636</v>
      </c>
      <c r="G1866" s="42" t="s">
        <v>761</v>
      </c>
      <c r="H1866" s="43">
        <v>2005</v>
      </c>
      <c r="I1866" s="38">
        <v>61696</v>
      </c>
      <c r="J1866" s="38">
        <v>26287</v>
      </c>
      <c r="K1866" s="38">
        <v>144186</v>
      </c>
      <c r="L1866" s="38" t="s">
        <v>734</v>
      </c>
      <c r="M1866" s="57" t="s">
        <v>858</v>
      </c>
      <c r="N1866" s="45"/>
      <c r="O1866" s="27"/>
      <c r="P1866" s="27"/>
      <c r="Q1866" s="27"/>
      <c r="R1866" s="27"/>
      <c r="S1866" s="27"/>
      <c r="T1866" s="27"/>
      <c r="U1866" s="27"/>
      <c r="V1866" s="27"/>
      <c r="W1866" s="27"/>
      <c r="X1866" s="27"/>
      <c r="Y1866" s="27"/>
      <c r="Z1866" s="27"/>
      <c r="AA1866" s="27"/>
      <c r="AB1866" s="27"/>
      <c r="AC1866" s="27"/>
      <c r="AD1866" s="27"/>
      <c r="AE1866" s="27"/>
      <c r="AF1866" s="27"/>
      <c r="AG1866" s="27"/>
      <c r="AH1866" s="27"/>
    </row>
    <row r="1867" spans="1:34" ht="16">
      <c r="A1867" s="42" t="s">
        <v>806</v>
      </c>
      <c r="B1867" s="42" t="s">
        <v>260</v>
      </c>
      <c r="C1867" s="42" t="s">
        <v>796</v>
      </c>
      <c r="D1867" s="42" t="s">
        <v>571</v>
      </c>
      <c r="E1867" s="18" t="s">
        <v>857</v>
      </c>
      <c r="F1867" s="27" t="s">
        <v>636</v>
      </c>
      <c r="G1867" s="42" t="s">
        <v>761</v>
      </c>
      <c r="H1867" s="43">
        <v>2008</v>
      </c>
      <c r="I1867" s="38">
        <v>9210</v>
      </c>
      <c r="J1867" s="38">
        <v>5708</v>
      </c>
      <c r="K1867" s="38">
        <v>17318</v>
      </c>
      <c r="L1867" s="38" t="s">
        <v>734</v>
      </c>
      <c r="M1867" s="57" t="s">
        <v>858</v>
      </c>
      <c r="N1867" s="45"/>
      <c r="O1867" s="27"/>
      <c r="P1867" s="27"/>
      <c r="Q1867" s="27"/>
      <c r="R1867" s="27"/>
      <c r="S1867" s="27"/>
      <c r="T1867" s="27"/>
      <c r="U1867" s="27"/>
      <c r="V1867" s="27"/>
      <c r="W1867" s="27"/>
      <c r="X1867" s="27"/>
      <c r="Y1867" s="27"/>
      <c r="Z1867" s="27"/>
      <c r="AA1867" s="27"/>
      <c r="AB1867" s="27"/>
      <c r="AC1867" s="27"/>
      <c r="AD1867" s="27"/>
      <c r="AE1867" s="27"/>
      <c r="AF1867" s="27"/>
      <c r="AG1867" s="27"/>
      <c r="AH1867" s="27"/>
    </row>
    <row r="1868" spans="1:34" ht="16">
      <c r="A1868" s="42" t="s">
        <v>806</v>
      </c>
      <c r="B1868" s="42" t="s">
        <v>260</v>
      </c>
      <c r="C1868" s="42" t="s">
        <v>796</v>
      </c>
      <c r="D1868" s="42" t="s">
        <v>571</v>
      </c>
      <c r="E1868" s="18" t="s">
        <v>857</v>
      </c>
      <c r="F1868" s="27" t="s">
        <v>636</v>
      </c>
      <c r="G1868" s="42" t="s">
        <v>761</v>
      </c>
      <c r="H1868" s="43">
        <v>2014</v>
      </c>
      <c r="I1868" s="38">
        <v>90619</v>
      </c>
      <c r="J1868" s="38">
        <v>57546</v>
      </c>
      <c r="K1868" s="38">
        <v>143927</v>
      </c>
      <c r="L1868" s="38" t="s">
        <v>734</v>
      </c>
      <c r="M1868" s="57" t="s">
        <v>858</v>
      </c>
      <c r="N1868" s="45"/>
      <c r="O1868" s="27"/>
      <c r="P1868" s="27"/>
      <c r="Q1868" s="27"/>
      <c r="R1868" s="27"/>
      <c r="S1868" s="27"/>
      <c r="T1868" s="27"/>
      <c r="U1868" s="27"/>
      <c r="V1868" s="27"/>
      <c r="W1868" s="27"/>
      <c r="X1868" s="27"/>
      <c r="Y1868" s="27"/>
      <c r="Z1868" s="27"/>
      <c r="AA1868" s="27"/>
      <c r="AB1868" s="27"/>
      <c r="AC1868" s="27"/>
      <c r="AD1868" s="27"/>
      <c r="AE1868" s="27"/>
      <c r="AF1868" s="27"/>
      <c r="AG1868" s="27"/>
      <c r="AH1868" s="27"/>
    </row>
    <row r="1869" spans="1:34" ht="16">
      <c r="A1869" s="42" t="s">
        <v>806</v>
      </c>
      <c r="B1869" s="42" t="s">
        <v>260</v>
      </c>
      <c r="C1869" s="42" t="s">
        <v>809</v>
      </c>
      <c r="D1869" s="42" t="s">
        <v>571</v>
      </c>
      <c r="E1869" s="18" t="s">
        <v>859</v>
      </c>
      <c r="F1869" s="27" t="s">
        <v>636</v>
      </c>
      <c r="G1869" s="42" t="s">
        <v>761</v>
      </c>
      <c r="H1869" s="43">
        <v>2002</v>
      </c>
      <c r="I1869" s="38">
        <v>33896</v>
      </c>
      <c r="J1869" s="38">
        <v>15826</v>
      </c>
      <c r="K1869" s="38">
        <v>72600</v>
      </c>
      <c r="L1869" s="38" t="s">
        <v>612</v>
      </c>
      <c r="M1869" s="57" t="s">
        <v>860</v>
      </c>
      <c r="N1869" s="45"/>
      <c r="O1869" s="27"/>
      <c r="P1869" s="27"/>
      <c r="Q1869" s="27"/>
      <c r="R1869" s="27"/>
      <c r="S1869" s="27"/>
      <c r="T1869" s="27"/>
      <c r="U1869" s="27"/>
      <c r="V1869" s="27"/>
      <c r="W1869" s="27"/>
      <c r="X1869" s="27"/>
      <c r="Y1869" s="27"/>
      <c r="Z1869" s="27"/>
      <c r="AA1869" s="27"/>
      <c r="AB1869" s="27"/>
      <c r="AC1869" s="27"/>
      <c r="AD1869" s="27"/>
      <c r="AE1869" s="27"/>
      <c r="AF1869" s="27"/>
      <c r="AG1869" s="27"/>
      <c r="AH1869" s="27"/>
    </row>
    <row r="1870" spans="1:34" ht="16">
      <c r="A1870" s="42" t="s">
        <v>806</v>
      </c>
      <c r="B1870" s="42" t="s">
        <v>260</v>
      </c>
      <c r="C1870" s="42" t="s">
        <v>809</v>
      </c>
      <c r="D1870" s="42" t="s">
        <v>571</v>
      </c>
      <c r="E1870" s="18" t="s">
        <v>859</v>
      </c>
      <c r="F1870" s="27" t="s">
        <v>636</v>
      </c>
      <c r="G1870" s="42" t="s">
        <v>761</v>
      </c>
      <c r="H1870" s="43">
        <v>2010</v>
      </c>
      <c r="I1870" s="38">
        <v>61029</v>
      </c>
      <c r="J1870" s="38">
        <v>31113</v>
      </c>
      <c r="K1870" s="38">
        <v>119708</v>
      </c>
      <c r="L1870" s="38" t="s">
        <v>612</v>
      </c>
      <c r="M1870" s="57" t="s">
        <v>860</v>
      </c>
      <c r="N1870" s="45"/>
      <c r="O1870" s="27"/>
      <c r="P1870" s="27"/>
      <c r="Q1870" s="27"/>
      <c r="R1870" s="27"/>
      <c r="S1870" s="27"/>
      <c r="T1870" s="27"/>
      <c r="U1870" s="27"/>
      <c r="V1870" s="27"/>
      <c r="W1870" s="27"/>
      <c r="X1870" s="27"/>
      <c r="Y1870" s="27"/>
      <c r="Z1870" s="27"/>
      <c r="AA1870" s="27"/>
      <c r="AB1870" s="27"/>
      <c r="AC1870" s="27"/>
      <c r="AD1870" s="27"/>
      <c r="AE1870" s="27"/>
      <c r="AF1870" s="27"/>
      <c r="AG1870" s="27"/>
      <c r="AH1870" s="27"/>
    </row>
    <row r="1871" spans="1:34" ht="16">
      <c r="A1871" s="42" t="s">
        <v>806</v>
      </c>
      <c r="B1871" s="42" t="s">
        <v>260</v>
      </c>
      <c r="C1871" s="42" t="s">
        <v>809</v>
      </c>
      <c r="D1871" s="42" t="s">
        <v>571</v>
      </c>
      <c r="E1871" s="18" t="s">
        <v>859</v>
      </c>
      <c r="F1871" s="27" t="s">
        <v>636</v>
      </c>
      <c r="G1871" s="42" t="s">
        <v>761</v>
      </c>
      <c r="H1871" s="43">
        <v>2017</v>
      </c>
      <c r="I1871" s="38">
        <v>34271</v>
      </c>
      <c r="J1871" s="38">
        <v>18481</v>
      </c>
      <c r="K1871" s="38">
        <v>63552</v>
      </c>
      <c r="L1871" s="38" t="s">
        <v>612</v>
      </c>
      <c r="M1871" s="57" t="s">
        <v>860</v>
      </c>
      <c r="N1871" s="45"/>
      <c r="O1871" s="27"/>
      <c r="P1871" s="27"/>
      <c r="Q1871" s="27"/>
      <c r="R1871" s="27"/>
      <c r="S1871" s="27"/>
      <c r="T1871" s="27"/>
      <c r="U1871" s="27"/>
      <c r="V1871" s="27"/>
      <c r="W1871" s="27"/>
      <c r="X1871" s="27"/>
      <c r="Y1871" s="27"/>
      <c r="Z1871" s="27"/>
      <c r="AA1871" s="27"/>
      <c r="AB1871" s="27"/>
      <c r="AC1871" s="27"/>
      <c r="AD1871" s="27"/>
      <c r="AE1871" s="27"/>
      <c r="AF1871" s="27"/>
      <c r="AG1871" s="27"/>
      <c r="AH1871" s="27"/>
    </row>
    <row r="1872" spans="1:34" ht="16">
      <c r="A1872" s="42" t="s">
        <v>806</v>
      </c>
      <c r="B1872" s="42" t="s">
        <v>260</v>
      </c>
      <c r="C1872" s="42" t="s">
        <v>809</v>
      </c>
      <c r="D1872" s="42" t="s">
        <v>571</v>
      </c>
      <c r="E1872" s="18" t="s">
        <v>859</v>
      </c>
      <c r="F1872" s="27" t="s">
        <v>106</v>
      </c>
      <c r="G1872" s="42" t="s">
        <v>761</v>
      </c>
      <c r="H1872" s="43">
        <v>2002</v>
      </c>
      <c r="I1872" s="38">
        <v>35817</v>
      </c>
      <c r="J1872" s="38">
        <v>23384</v>
      </c>
      <c r="K1872" s="38">
        <v>54861</v>
      </c>
      <c r="L1872" s="38" t="s">
        <v>612</v>
      </c>
      <c r="M1872" s="57" t="s">
        <v>860</v>
      </c>
      <c r="N1872" s="45"/>
      <c r="O1872" s="27"/>
      <c r="P1872" s="27"/>
      <c r="Q1872" s="27"/>
      <c r="R1872" s="27"/>
      <c r="S1872" s="27"/>
      <c r="T1872" s="27"/>
      <c r="U1872" s="27"/>
      <c r="V1872" s="27"/>
      <c r="W1872" s="27"/>
      <c r="X1872" s="27"/>
      <c r="Y1872" s="27"/>
      <c r="Z1872" s="27"/>
      <c r="AA1872" s="27"/>
      <c r="AB1872" s="27"/>
      <c r="AC1872" s="27"/>
      <c r="AD1872" s="27"/>
      <c r="AE1872" s="27"/>
      <c r="AF1872" s="27"/>
      <c r="AG1872" s="27"/>
      <c r="AH1872" s="27"/>
    </row>
    <row r="1873" spans="1:34" ht="16">
      <c r="A1873" s="42" t="s">
        <v>806</v>
      </c>
      <c r="B1873" s="42" t="s">
        <v>260</v>
      </c>
      <c r="C1873" s="42" t="s">
        <v>809</v>
      </c>
      <c r="D1873" s="42" t="s">
        <v>571</v>
      </c>
      <c r="E1873" s="18" t="s">
        <v>859</v>
      </c>
      <c r="F1873" s="27" t="s">
        <v>106</v>
      </c>
      <c r="G1873" s="42" t="s">
        <v>761</v>
      </c>
      <c r="H1873" s="43">
        <v>2010</v>
      </c>
      <c r="I1873" s="38">
        <v>36886</v>
      </c>
      <c r="J1873" s="38">
        <v>24004</v>
      </c>
      <c r="K1873" s="38">
        <v>56681</v>
      </c>
      <c r="L1873" s="38" t="s">
        <v>612</v>
      </c>
      <c r="M1873" s="57" t="s">
        <v>860</v>
      </c>
      <c r="N1873" s="45"/>
      <c r="O1873" s="27"/>
      <c r="P1873" s="27"/>
      <c r="Q1873" s="27"/>
      <c r="R1873" s="27"/>
      <c r="S1873" s="27"/>
      <c r="T1873" s="27"/>
      <c r="U1873" s="27"/>
      <c r="V1873" s="27"/>
      <c r="W1873" s="27"/>
      <c r="X1873" s="27"/>
      <c r="Y1873" s="27"/>
      <c r="Z1873" s="27"/>
      <c r="AA1873" s="27"/>
      <c r="AB1873" s="27"/>
      <c r="AC1873" s="27"/>
      <c r="AD1873" s="27"/>
      <c r="AE1873" s="27"/>
      <c r="AF1873" s="27"/>
      <c r="AG1873" s="27"/>
      <c r="AH1873" s="27"/>
    </row>
    <row r="1874" spans="1:34" ht="16">
      <c r="A1874" s="42" t="s">
        <v>806</v>
      </c>
      <c r="B1874" s="42" t="s">
        <v>260</v>
      </c>
      <c r="C1874" s="42" t="s">
        <v>809</v>
      </c>
      <c r="D1874" s="42" t="s">
        <v>571</v>
      </c>
      <c r="E1874" s="18" t="s">
        <v>859</v>
      </c>
      <c r="F1874" s="27" t="s">
        <v>106</v>
      </c>
      <c r="G1874" s="42" t="s">
        <v>761</v>
      </c>
      <c r="H1874" s="43">
        <v>2017</v>
      </c>
      <c r="I1874" s="38">
        <v>35179</v>
      </c>
      <c r="J1874" s="38">
        <v>22416</v>
      </c>
      <c r="K1874" s="38">
        <v>55209</v>
      </c>
      <c r="L1874" s="38" t="s">
        <v>612</v>
      </c>
      <c r="M1874" s="57" t="s">
        <v>860</v>
      </c>
      <c r="N1874" s="45"/>
      <c r="O1874" s="27"/>
      <c r="P1874" s="27"/>
      <c r="Q1874" s="27"/>
      <c r="R1874" s="27"/>
      <c r="S1874" s="27"/>
      <c r="T1874" s="27"/>
      <c r="U1874" s="27"/>
      <c r="V1874" s="27"/>
      <c r="W1874" s="27"/>
      <c r="X1874" s="27"/>
      <c r="Y1874" s="27"/>
      <c r="Z1874" s="27"/>
      <c r="AA1874" s="27"/>
      <c r="AB1874" s="27"/>
      <c r="AC1874" s="27"/>
      <c r="AD1874" s="27"/>
      <c r="AE1874" s="27"/>
      <c r="AF1874" s="27"/>
      <c r="AG1874" s="27"/>
      <c r="AH1874" s="27"/>
    </row>
    <row r="1875" spans="1:34" ht="13">
      <c r="A1875" s="42" t="s">
        <v>806</v>
      </c>
      <c r="B1875" s="18" t="s">
        <v>260</v>
      </c>
      <c r="C1875" s="42" t="s">
        <v>796</v>
      </c>
      <c r="D1875" s="18" t="s">
        <v>571</v>
      </c>
      <c r="E1875" s="18" t="s">
        <v>857</v>
      </c>
      <c r="F1875" s="18" t="s">
        <v>621</v>
      </c>
      <c r="G1875" s="18" t="s">
        <v>622</v>
      </c>
      <c r="H1875" s="18">
        <v>1996</v>
      </c>
      <c r="I1875" s="40">
        <v>17758</v>
      </c>
      <c r="J1875" s="40">
        <v>9826</v>
      </c>
      <c r="K1875" s="26">
        <v>32093</v>
      </c>
      <c r="L1875" s="18" t="s">
        <v>623</v>
      </c>
      <c r="M1875" s="18" t="s">
        <v>555</v>
      </c>
      <c r="N1875" s="18" t="s">
        <v>556</v>
      </c>
    </row>
    <row r="1876" spans="1:34" ht="13">
      <c r="A1876" s="42" t="s">
        <v>806</v>
      </c>
      <c r="B1876" s="18" t="s">
        <v>260</v>
      </c>
      <c r="C1876" s="42" t="s">
        <v>796</v>
      </c>
      <c r="D1876" s="18" t="s">
        <v>571</v>
      </c>
      <c r="E1876" s="18" t="s">
        <v>857</v>
      </c>
      <c r="F1876" s="18" t="s">
        <v>621</v>
      </c>
      <c r="G1876" s="18" t="s">
        <v>622</v>
      </c>
      <c r="H1876" s="18">
        <v>2001</v>
      </c>
      <c r="I1876" s="40">
        <v>26215</v>
      </c>
      <c r="J1876" s="40">
        <v>17235</v>
      </c>
      <c r="K1876" s="26">
        <v>39875</v>
      </c>
      <c r="L1876" s="18" t="s">
        <v>623</v>
      </c>
      <c r="M1876" s="18" t="s">
        <v>555</v>
      </c>
      <c r="N1876" s="18" t="s">
        <v>556</v>
      </c>
    </row>
    <row r="1877" spans="1:34" ht="13">
      <c r="A1877" s="42" t="s">
        <v>806</v>
      </c>
      <c r="B1877" s="18" t="s">
        <v>260</v>
      </c>
      <c r="C1877" s="42" t="s">
        <v>796</v>
      </c>
      <c r="D1877" s="18" t="s">
        <v>571</v>
      </c>
      <c r="E1877" s="18" t="s">
        <v>857</v>
      </c>
      <c r="F1877" s="18" t="s">
        <v>621</v>
      </c>
      <c r="G1877" s="18" t="s">
        <v>622</v>
      </c>
      <c r="H1877" s="18">
        <v>2005</v>
      </c>
      <c r="I1877" s="40">
        <v>47974</v>
      </c>
      <c r="J1877" s="40">
        <v>23765</v>
      </c>
      <c r="K1877" s="26">
        <v>96843</v>
      </c>
      <c r="L1877" s="18" t="s">
        <v>623</v>
      </c>
      <c r="M1877" s="18" t="s">
        <v>555</v>
      </c>
      <c r="N1877" s="18" t="s">
        <v>556</v>
      </c>
    </row>
    <row r="1878" spans="1:34" ht="13">
      <c r="A1878" s="42" t="s">
        <v>806</v>
      </c>
      <c r="B1878" s="18" t="s">
        <v>260</v>
      </c>
      <c r="C1878" s="42" t="s">
        <v>796</v>
      </c>
      <c r="D1878" s="18" t="s">
        <v>571</v>
      </c>
      <c r="E1878" s="18" t="s">
        <v>857</v>
      </c>
      <c r="F1878" s="18" t="s">
        <v>621</v>
      </c>
      <c r="G1878" s="18" t="s">
        <v>622</v>
      </c>
      <c r="H1878" s="18">
        <v>2008</v>
      </c>
      <c r="I1878" s="40">
        <v>46563</v>
      </c>
      <c r="J1878" s="40">
        <v>24714</v>
      </c>
      <c r="K1878" s="26">
        <v>87727</v>
      </c>
      <c r="L1878" s="18" t="s">
        <v>623</v>
      </c>
      <c r="M1878" s="18" t="s">
        <v>555</v>
      </c>
      <c r="N1878" s="18" t="s">
        <v>556</v>
      </c>
    </row>
    <row r="1879" spans="1:34" ht="13">
      <c r="A1879" s="42" t="s">
        <v>806</v>
      </c>
      <c r="B1879" s="18" t="s">
        <v>260</v>
      </c>
      <c r="C1879" s="42" t="s">
        <v>796</v>
      </c>
      <c r="D1879" s="18" t="s">
        <v>571</v>
      </c>
      <c r="E1879" s="18" t="s">
        <v>857</v>
      </c>
      <c r="F1879" s="18" t="s">
        <v>621</v>
      </c>
      <c r="G1879" s="18" t="s">
        <v>622</v>
      </c>
      <c r="H1879" s="18">
        <v>2014</v>
      </c>
      <c r="I1879" s="40">
        <v>70107</v>
      </c>
      <c r="J1879" s="40">
        <v>36762</v>
      </c>
      <c r="K1879" s="26">
        <v>133696</v>
      </c>
      <c r="L1879" s="18" t="s">
        <v>623</v>
      </c>
      <c r="M1879" s="18" t="s">
        <v>555</v>
      </c>
      <c r="N1879" s="18" t="s">
        <v>556</v>
      </c>
    </row>
    <row r="1880" spans="1:34" ht="13">
      <c r="A1880" s="42" t="s">
        <v>806</v>
      </c>
      <c r="B1880" s="18" t="s">
        <v>260</v>
      </c>
      <c r="C1880" s="42" t="s">
        <v>796</v>
      </c>
      <c r="D1880" s="18" t="s">
        <v>571</v>
      </c>
      <c r="E1880" s="18" t="s">
        <v>857</v>
      </c>
      <c r="F1880" s="18" t="s">
        <v>621</v>
      </c>
      <c r="G1880" s="18" t="s">
        <v>622</v>
      </c>
      <c r="H1880" s="18">
        <v>2018</v>
      </c>
      <c r="I1880" s="40">
        <v>29988</v>
      </c>
      <c r="J1880" s="40">
        <v>16913</v>
      </c>
      <c r="K1880" s="26">
        <v>53170</v>
      </c>
      <c r="L1880" s="18" t="s">
        <v>623</v>
      </c>
      <c r="M1880" s="18" t="s">
        <v>555</v>
      </c>
      <c r="N1880" s="18" t="s">
        <v>556</v>
      </c>
    </row>
    <row r="1881" spans="1:34" ht="13">
      <c r="A1881" s="18"/>
      <c r="B1881" s="18"/>
      <c r="C1881" s="18"/>
      <c r="D1881" s="18"/>
      <c r="E1881" s="18"/>
      <c r="F1881" s="18"/>
      <c r="G1881" s="18"/>
      <c r="H1881" s="18"/>
      <c r="I1881" s="40"/>
      <c r="J1881" s="40"/>
      <c r="K1881" s="18"/>
      <c r="L1881" s="18"/>
    </row>
    <row r="1882" spans="1:34" ht="13">
      <c r="A1882" s="30"/>
      <c r="B1882" s="30"/>
      <c r="C1882" s="30"/>
      <c r="D1882" s="30"/>
      <c r="E1882" s="30"/>
      <c r="F1882" s="30"/>
      <c r="G1882" s="30"/>
      <c r="H1882" s="48"/>
      <c r="I1882" s="49"/>
      <c r="J1882" s="49"/>
      <c r="K1882" s="48"/>
      <c r="L1882" s="50"/>
      <c r="M1882" s="30"/>
      <c r="N1882" s="30"/>
      <c r="O1882" s="30"/>
      <c r="P1882" s="30"/>
      <c r="Q1882" s="30"/>
      <c r="R1882" s="30"/>
      <c r="S1882" s="30"/>
      <c r="T1882" s="30"/>
      <c r="U1882" s="30"/>
      <c r="V1882" s="30"/>
      <c r="W1882" s="30"/>
      <c r="X1882" s="30"/>
      <c r="Y1882" s="30"/>
      <c r="Z1882" s="30"/>
      <c r="AA1882" s="30"/>
      <c r="AB1882" s="30"/>
      <c r="AC1882" s="30"/>
      <c r="AD1882" s="30"/>
      <c r="AE1882" s="30"/>
      <c r="AF1882" s="30"/>
      <c r="AG1882" s="30"/>
      <c r="AH1882" s="30"/>
    </row>
    <row r="1883" spans="1:34" ht="13">
      <c r="A1883" s="30"/>
      <c r="B1883" s="30"/>
      <c r="C1883" s="30"/>
      <c r="D1883" s="30"/>
      <c r="E1883" s="30"/>
      <c r="F1883" s="30"/>
      <c r="G1883" s="30"/>
      <c r="H1883" s="48"/>
      <c r="I1883" s="49"/>
      <c r="J1883" s="49"/>
      <c r="K1883" s="48"/>
      <c r="L1883" s="50"/>
      <c r="M1883" s="30"/>
      <c r="N1883" s="30"/>
      <c r="O1883" s="30"/>
      <c r="P1883" s="30"/>
      <c r="Q1883" s="30"/>
      <c r="R1883" s="30"/>
      <c r="S1883" s="30"/>
      <c r="T1883" s="30"/>
      <c r="U1883" s="30"/>
      <c r="V1883" s="30"/>
      <c r="W1883" s="30"/>
      <c r="X1883" s="30"/>
      <c r="Y1883" s="30"/>
      <c r="Z1883" s="30"/>
      <c r="AA1883" s="30"/>
      <c r="AB1883" s="30"/>
      <c r="AC1883" s="30"/>
      <c r="AD1883" s="30"/>
      <c r="AE1883" s="30"/>
      <c r="AF1883" s="30"/>
      <c r="AG1883" s="30"/>
      <c r="AH1883" s="30"/>
    </row>
    <row r="1884" spans="1:34" ht="13">
      <c r="A1884" s="30"/>
      <c r="B1884" s="30"/>
      <c r="C1884" s="30"/>
      <c r="D1884" s="30"/>
      <c r="E1884" s="30"/>
      <c r="F1884" s="30"/>
      <c r="G1884" s="30"/>
      <c r="H1884" s="48"/>
      <c r="I1884" s="49"/>
      <c r="J1884" s="49"/>
      <c r="K1884" s="48"/>
      <c r="L1884" s="50"/>
      <c r="M1884" s="30"/>
      <c r="N1884" s="30"/>
      <c r="O1884" s="30"/>
      <c r="P1884" s="30"/>
      <c r="Q1884" s="30"/>
      <c r="R1884" s="30"/>
      <c r="S1884" s="30"/>
      <c r="T1884" s="30"/>
      <c r="U1884" s="30"/>
      <c r="V1884" s="30"/>
      <c r="W1884" s="30"/>
      <c r="X1884" s="30"/>
      <c r="Y1884" s="30"/>
      <c r="Z1884" s="30"/>
      <c r="AA1884" s="30"/>
      <c r="AB1884" s="30"/>
      <c r="AC1884" s="30"/>
      <c r="AD1884" s="30"/>
      <c r="AE1884" s="30"/>
      <c r="AF1884" s="30"/>
      <c r="AG1884" s="30"/>
      <c r="AH1884" s="30"/>
    </row>
    <row r="1885" spans="1:34" ht="13">
      <c r="A1885" s="30"/>
      <c r="B1885" s="30"/>
      <c r="C1885" s="30"/>
      <c r="D1885" s="30"/>
      <c r="E1885" s="30"/>
      <c r="F1885" s="30"/>
      <c r="G1885" s="30"/>
      <c r="H1885" s="48"/>
      <c r="I1885" s="49"/>
      <c r="J1885" s="49"/>
      <c r="K1885" s="48"/>
      <c r="L1885" s="50"/>
      <c r="M1885" s="30"/>
      <c r="N1885" s="30"/>
      <c r="O1885" s="30"/>
      <c r="P1885" s="30"/>
      <c r="Q1885" s="30"/>
      <c r="R1885" s="30"/>
      <c r="S1885" s="30"/>
      <c r="T1885" s="30"/>
      <c r="U1885" s="30"/>
      <c r="V1885" s="30"/>
      <c r="W1885" s="30"/>
      <c r="X1885" s="30"/>
      <c r="Y1885" s="30"/>
      <c r="Z1885" s="30"/>
      <c r="AA1885" s="30"/>
      <c r="AB1885" s="30"/>
      <c r="AC1885" s="30"/>
      <c r="AD1885" s="30"/>
      <c r="AE1885" s="30"/>
      <c r="AF1885" s="30"/>
      <c r="AG1885" s="30"/>
      <c r="AH1885" s="30"/>
    </row>
    <row r="1886" spans="1:34" ht="13">
      <c r="A1886" s="30"/>
      <c r="B1886" s="30"/>
      <c r="C1886" s="30"/>
      <c r="D1886" s="30"/>
      <c r="E1886" s="30"/>
      <c r="F1886" s="30"/>
      <c r="G1886" s="30"/>
      <c r="H1886" s="48"/>
      <c r="I1886" s="49"/>
      <c r="J1886" s="49"/>
      <c r="K1886" s="48"/>
      <c r="L1886" s="50"/>
      <c r="M1886" s="30"/>
      <c r="N1886" s="30"/>
      <c r="O1886" s="30"/>
      <c r="P1886" s="30"/>
      <c r="Q1886" s="30"/>
      <c r="R1886" s="30"/>
      <c r="S1886" s="30"/>
      <c r="T1886" s="30"/>
      <c r="U1886" s="30"/>
      <c r="V1886" s="30"/>
      <c r="W1886" s="30"/>
      <c r="X1886" s="30"/>
      <c r="Y1886" s="30"/>
      <c r="Z1886" s="30"/>
      <c r="AA1886" s="30"/>
      <c r="AB1886" s="30"/>
      <c r="AC1886" s="30"/>
      <c r="AD1886" s="30"/>
      <c r="AE1886" s="30"/>
      <c r="AF1886" s="30"/>
      <c r="AG1886" s="30"/>
      <c r="AH1886" s="30"/>
    </row>
    <row r="1887" spans="1:34" ht="13">
      <c r="A1887" s="30"/>
      <c r="B1887" s="30"/>
      <c r="C1887" s="30"/>
      <c r="D1887" s="30"/>
      <c r="E1887" s="30"/>
      <c r="F1887" s="30"/>
      <c r="G1887" s="30"/>
      <c r="H1887" s="48"/>
      <c r="I1887" s="49"/>
      <c r="J1887" s="49"/>
      <c r="K1887" s="48"/>
      <c r="L1887" s="50"/>
      <c r="M1887" s="30"/>
      <c r="N1887" s="30"/>
      <c r="O1887" s="30"/>
      <c r="P1887" s="30"/>
      <c r="Q1887" s="30"/>
      <c r="R1887" s="30"/>
      <c r="S1887" s="30"/>
      <c r="T1887" s="30"/>
      <c r="U1887" s="30"/>
      <c r="V1887" s="30"/>
      <c r="W1887" s="30"/>
      <c r="X1887" s="30"/>
      <c r="Y1887" s="30"/>
      <c r="Z1887" s="30"/>
      <c r="AA1887" s="30"/>
      <c r="AB1887" s="30"/>
      <c r="AC1887" s="30"/>
      <c r="AD1887" s="30"/>
      <c r="AE1887" s="30"/>
      <c r="AF1887" s="30"/>
      <c r="AG1887" s="30"/>
      <c r="AH1887" s="30"/>
    </row>
    <row r="1888" spans="1:34" ht="13">
      <c r="A1888" s="30"/>
      <c r="B1888" s="30"/>
      <c r="C1888" s="30"/>
      <c r="D1888" s="30"/>
      <c r="E1888" s="30"/>
      <c r="F1888" s="30"/>
      <c r="G1888" s="30"/>
      <c r="H1888" s="48"/>
      <c r="I1888" s="49"/>
      <c r="J1888" s="49"/>
      <c r="K1888" s="48"/>
      <c r="L1888" s="50"/>
      <c r="M1888" s="30"/>
      <c r="N1888" s="30"/>
      <c r="O1888" s="30"/>
      <c r="P1888" s="30"/>
      <c r="Q1888" s="30"/>
      <c r="R1888" s="30"/>
      <c r="S1888" s="30"/>
      <c r="T1888" s="30"/>
      <c r="U1888" s="30"/>
      <c r="V1888" s="30"/>
      <c r="W1888" s="30"/>
      <c r="X1888" s="30"/>
      <c r="Y1888" s="30"/>
      <c r="Z1888" s="30"/>
      <c r="AA1888" s="30"/>
      <c r="AB1888" s="30"/>
      <c r="AC1888" s="30"/>
      <c r="AD1888" s="30"/>
      <c r="AE1888" s="30"/>
      <c r="AF1888" s="30"/>
      <c r="AG1888" s="30"/>
      <c r="AH1888" s="30"/>
    </row>
    <row r="1889" spans="1:34" ht="13">
      <c r="A1889" s="30"/>
      <c r="B1889" s="30"/>
      <c r="C1889" s="30"/>
      <c r="D1889" s="30"/>
      <c r="E1889" s="30"/>
      <c r="F1889" s="30"/>
      <c r="G1889" s="30"/>
      <c r="H1889" s="48"/>
      <c r="I1889" s="49"/>
      <c r="J1889" s="49"/>
      <c r="K1889" s="48"/>
      <c r="L1889" s="50"/>
      <c r="M1889" s="30"/>
      <c r="N1889" s="30"/>
      <c r="O1889" s="30"/>
      <c r="P1889" s="30"/>
      <c r="Q1889" s="30"/>
      <c r="R1889" s="30"/>
      <c r="S1889" s="30"/>
      <c r="T1889" s="30"/>
      <c r="U1889" s="30"/>
      <c r="V1889" s="30"/>
      <c r="W1889" s="30"/>
      <c r="X1889" s="30"/>
      <c r="Y1889" s="30"/>
      <c r="Z1889" s="30"/>
      <c r="AA1889" s="30"/>
      <c r="AB1889" s="30"/>
      <c r="AC1889" s="30"/>
      <c r="AD1889" s="30"/>
      <c r="AE1889" s="30"/>
      <c r="AF1889" s="30"/>
      <c r="AG1889" s="30"/>
      <c r="AH1889" s="30"/>
    </row>
    <row r="1890" spans="1:34" ht="13">
      <c r="A1890" s="30"/>
      <c r="B1890" s="30"/>
      <c r="C1890" s="30"/>
      <c r="D1890" s="30"/>
      <c r="E1890" s="30"/>
      <c r="F1890" s="30"/>
      <c r="G1890" s="30"/>
      <c r="H1890" s="48"/>
      <c r="I1890" s="49"/>
      <c r="J1890" s="49"/>
      <c r="K1890" s="48"/>
      <c r="L1890" s="50"/>
      <c r="M1890" s="30"/>
      <c r="N1890" s="30"/>
      <c r="O1890" s="30"/>
      <c r="P1890" s="30"/>
      <c r="Q1890" s="30"/>
      <c r="R1890" s="30"/>
      <c r="S1890" s="30"/>
      <c r="T1890" s="30"/>
      <c r="U1890" s="30"/>
      <c r="V1890" s="30"/>
      <c r="W1890" s="30"/>
      <c r="X1890" s="30"/>
      <c r="Y1890" s="30"/>
      <c r="Z1890" s="30"/>
      <c r="AA1890" s="30"/>
      <c r="AB1890" s="30"/>
      <c r="AC1890" s="30"/>
      <c r="AD1890" s="30"/>
      <c r="AE1890" s="30"/>
      <c r="AF1890" s="30"/>
      <c r="AG1890" s="30"/>
      <c r="AH1890" s="30"/>
    </row>
    <row r="1891" spans="1:34" ht="13">
      <c r="A1891" s="30"/>
      <c r="B1891" s="30"/>
      <c r="C1891" s="30"/>
      <c r="D1891" s="30"/>
      <c r="E1891" s="30"/>
      <c r="F1891" s="30"/>
      <c r="G1891" s="30"/>
      <c r="H1891" s="48"/>
      <c r="I1891" s="49"/>
      <c r="J1891" s="49"/>
      <c r="K1891" s="48"/>
      <c r="L1891" s="50"/>
      <c r="M1891" s="30"/>
      <c r="N1891" s="30"/>
      <c r="O1891" s="30"/>
      <c r="P1891" s="30"/>
      <c r="Q1891" s="30"/>
      <c r="R1891" s="30"/>
      <c r="S1891" s="30"/>
      <c r="T1891" s="30"/>
      <c r="U1891" s="30"/>
      <c r="V1891" s="30"/>
      <c r="W1891" s="30"/>
      <c r="X1891" s="30"/>
      <c r="Y1891" s="30"/>
      <c r="Z1891" s="30"/>
      <c r="AA1891" s="30"/>
      <c r="AB1891" s="30"/>
      <c r="AC1891" s="30"/>
      <c r="AD1891" s="30"/>
      <c r="AE1891" s="30"/>
      <c r="AF1891" s="30"/>
      <c r="AG1891" s="30"/>
      <c r="AH1891" s="30"/>
    </row>
    <row r="1892" spans="1:34" ht="13">
      <c r="A1892" s="30"/>
      <c r="B1892" s="30"/>
      <c r="C1892" s="30"/>
      <c r="D1892" s="30"/>
      <c r="E1892" s="30"/>
      <c r="F1892" s="30"/>
      <c r="G1892" s="30"/>
      <c r="H1892" s="48"/>
      <c r="I1892" s="49"/>
      <c r="J1892" s="49"/>
      <c r="K1892" s="48"/>
      <c r="L1892" s="50"/>
      <c r="M1892" s="30"/>
      <c r="N1892" s="30"/>
      <c r="O1892" s="30"/>
      <c r="P1892" s="30"/>
      <c r="Q1892" s="30"/>
      <c r="R1892" s="30"/>
      <c r="S1892" s="30"/>
      <c r="T1892" s="30"/>
      <c r="U1892" s="30"/>
      <c r="V1892" s="30"/>
      <c r="W1892" s="30"/>
      <c r="X1892" s="30"/>
      <c r="Y1892" s="30"/>
      <c r="Z1892" s="30"/>
      <c r="AA1892" s="30"/>
      <c r="AB1892" s="30"/>
      <c r="AC1892" s="30"/>
      <c r="AD1892" s="30"/>
      <c r="AE1892" s="30"/>
      <c r="AF1892" s="30"/>
      <c r="AG1892" s="30"/>
      <c r="AH1892" s="30"/>
    </row>
    <row r="1893" spans="1:34" ht="13">
      <c r="A1893" s="30"/>
      <c r="B1893" s="30"/>
      <c r="C1893" s="30"/>
      <c r="D1893" s="30"/>
      <c r="E1893" s="30"/>
      <c r="F1893" s="30"/>
      <c r="G1893" s="30"/>
      <c r="H1893" s="48"/>
      <c r="I1893" s="49"/>
      <c r="J1893" s="49"/>
      <c r="K1893" s="48"/>
      <c r="L1893" s="50"/>
      <c r="M1893" s="30"/>
      <c r="N1893" s="30"/>
      <c r="O1893" s="30"/>
      <c r="P1893" s="30"/>
      <c r="Q1893" s="30"/>
      <c r="R1893" s="30"/>
      <c r="S1893" s="30"/>
      <c r="T1893" s="30"/>
      <c r="U1893" s="30"/>
      <c r="V1893" s="30"/>
      <c r="W1893" s="30"/>
      <c r="X1893" s="30"/>
      <c r="Y1893" s="30"/>
      <c r="Z1893" s="30"/>
      <c r="AA1893" s="30"/>
      <c r="AB1893" s="30"/>
      <c r="AC1893" s="30"/>
      <c r="AD1893" s="30"/>
      <c r="AE1893" s="30"/>
      <c r="AF1893" s="30"/>
      <c r="AG1893" s="30"/>
      <c r="AH1893" s="30"/>
    </row>
    <row r="1894" spans="1:34" ht="13">
      <c r="A1894" s="30"/>
      <c r="B1894" s="30"/>
      <c r="C1894" s="30"/>
      <c r="D1894" s="30"/>
      <c r="E1894" s="30"/>
      <c r="F1894" s="30"/>
      <c r="G1894" s="30"/>
      <c r="H1894" s="48"/>
      <c r="I1894" s="49"/>
      <c r="J1894" s="49"/>
      <c r="K1894" s="48"/>
      <c r="L1894" s="50"/>
      <c r="M1894" s="30"/>
      <c r="N1894" s="30"/>
      <c r="O1894" s="30"/>
      <c r="P1894" s="30"/>
      <c r="Q1894" s="30"/>
      <c r="R1894" s="30"/>
      <c r="S1894" s="30"/>
      <c r="T1894" s="30"/>
      <c r="U1894" s="30"/>
      <c r="V1894" s="30"/>
      <c r="W1894" s="30"/>
      <c r="X1894" s="30"/>
      <c r="Y1894" s="30"/>
      <c r="Z1894" s="30"/>
      <c r="AA1894" s="30"/>
      <c r="AB1894" s="30"/>
      <c r="AC1894" s="30"/>
      <c r="AD1894" s="30"/>
      <c r="AE1894" s="30"/>
      <c r="AF1894" s="30"/>
      <c r="AG1894" s="30"/>
      <c r="AH1894" s="30"/>
    </row>
    <row r="1895" spans="1:34" ht="13">
      <c r="A1895" s="30"/>
      <c r="B1895" s="30"/>
      <c r="C1895" s="30"/>
      <c r="D1895" s="30"/>
      <c r="E1895" s="30"/>
      <c r="F1895" s="30"/>
      <c r="G1895" s="30"/>
      <c r="H1895" s="48"/>
      <c r="I1895" s="49"/>
      <c r="J1895" s="49"/>
      <c r="K1895" s="48"/>
      <c r="L1895" s="50"/>
      <c r="M1895" s="30"/>
      <c r="N1895" s="30"/>
      <c r="O1895" s="30"/>
      <c r="P1895" s="30"/>
      <c r="Q1895" s="30"/>
      <c r="R1895" s="30"/>
      <c r="S1895" s="30"/>
      <c r="T1895" s="30"/>
      <c r="U1895" s="30"/>
      <c r="V1895" s="30"/>
      <c r="W1895" s="30"/>
      <c r="X1895" s="30"/>
      <c r="Y1895" s="30"/>
      <c r="Z1895" s="30"/>
      <c r="AA1895" s="30"/>
      <c r="AB1895" s="30"/>
      <c r="AC1895" s="30"/>
      <c r="AD1895" s="30"/>
      <c r="AE1895" s="30"/>
      <c r="AF1895" s="30"/>
      <c r="AG1895" s="30"/>
      <c r="AH1895" s="30"/>
    </row>
    <row r="1896" spans="1:34" ht="13">
      <c r="A1896" s="30"/>
      <c r="B1896" s="30"/>
      <c r="C1896" s="30"/>
      <c r="D1896" s="30"/>
      <c r="E1896" s="30"/>
      <c r="F1896" s="30"/>
      <c r="G1896" s="30"/>
      <c r="H1896" s="48"/>
      <c r="I1896" s="49"/>
      <c r="J1896" s="49"/>
      <c r="K1896" s="48"/>
      <c r="L1896" s="50"/>
      <c r="M1896" s="30"/>
      <c r="N1896" s="30"/>
      <c r="O1896" s="30"/>
      <c r="P1896" s="30"/>
      <c r="Q1896" s="30"/>
      <c r="R1896" s="30"/>
      <c r="S1896" s="30"/>
      <c r="T1896" s="30"/>
      <c r="U1896" s="30"/>
      <c r="V1896" s="30"/>
      <c r="W1896" s="30"/>
      <c r="X1896" s="30"/>
      <c r="Y1896" s="30"/>
      <c r="Z1896" s="30"/>
      <c r="AA1896" s="30"/>
      <c r="AB1896" s="30"/>
      <c r="AC1896" s="30"/>
      <c r="AD1896" s="30"/>
      <c r="AE1896" s="30"/>
      <c r="AF1896" s="30"/>
      <c r="AG1896" s="30"/>
      <c r="AH1896" s="30"/>
    </row>
    <row r="1897" spans="1:34" ht="13">
      <c r="A1897" s="30"/>
      <c r="B1897" s="30"/>
      <c r="C1897" s="30"/>
      <c r="D1897" s="30"/>
      <c r="E1897" s="30"/>
      <c r="F1897" s="30"/>
      <c r="G1897" s="30"/>
      <c r="H1897" s="48"/>
      <c r="I1897" s="49"/>
      <c r="J1897" s="49"/>
      <c r="K1897" s="48"/>
      <c r="L1897" s="50"/>
      <c r="M1897" s="30"/>
      <c r="N1897" s="30"/>
      <c r="O1897" s="30"/>
      <c r="P1897" s="30"/>
      <c r="Q1897" s="30"/>
      <c r="R1897" s="30"/>
      <c r="S1897" s="30"/>
      <c r="T1897" s="30"/>
      <c r="U1897" s="30"/>
      <c r="V1897" s="30"/>
      <c r="W1897" s="30"/>
      <c r="X1897" s="30"/>
      <c r="Y1897" s="30"/>
      <c r="Z1897" s="30"/>
      <c r="AA1897" s="30"/>
      <c r="AB1897" s="30"/>
      <c r="AC1897" s="30"/>
      <c r="AD1897" s="30"/>
      <c r="AE1897" s="30"/>
      <c r="AF1897" s="30"/>
      <c r="AG1897" s="30"/>
      <c r="AH1897" s="30"/>
    </row>
    <row r="1898" spans="1:34" ht="13">
      <c r="A1898" s="30"/>
      <c r="B1898" s="30"/>
      <c r="C1898" s="30"/>
      <c r="D1898" s="30"/>
      <c r="E1898" s="30"/>
      <c r="F1898" s="30"/>
      <c r="G1898" s="30"/>
      <c r="H1898" s="48"/>
      <c r="I1898" s="49"/>
      <c r="J1898" s="49"/>
      <c r="K1898" s="48"/>
      <c r="L1898" s="50"/>
      <c r="M1898" s="30"/>
      <c r="N1898" s="30"/>
      <c r="O1898" s="30"/>
      <c r="P1898" s="30"/>
      <c r="Q1898" s="30"/>
      <c r="R1898" s="30"/>
      <c r="S1898" s="30"/>
      <c r="T1898" s="30"/>
      <c r="U1898" s="30"/>
      <c r="V1898" s="30"/>
      <c r="W1898" s="30"/>
      <c r="X1898" s="30"/>
      <c r="Y1898" s="30"/>
      <c r="Z1898" s="30"/>
      <c r="AA1898" s="30"/>
      <c r="AB1898" s="30"/>
      <c r="AC1898" s="30"/>
      <c r="AD1898" s="30"/>
      <c r="AE1898" s="30"/>
      <c r="AF1898" s="30"/>
      <c r="AG1898" s="30"/>
      <c r="AH1898" s="30"/>
    </row>
    <row r="1899" spans="1:34" ht="13">
      <c r="A1899" s="30"/>
      <c r="B1899" s="30"/>
      <c r="C1899" s="30"/>
      <c r="D1899" s="30"/>
      <c r="E1899" s="30"/>
      <c r="F1899" s="30"/>
      <c r="G1899" s="30"/>
      <c r="H1899" s="48"/>
      <c r="I1899" s="49"/>
      <c r="J1899" s="49"/>
      <c r="K1899" s="48"/>
      <c r="L1899" s="50"/>
      <c r="M1899" s="30"/>
      <c r="N1899" s="30"/>
      <c r="O1899" s="30"/>
      <c r="P1899" s="30"/>
      <c r="Q1899" s="30"/>
      <c r="R1899" s="30"/>
      <c r="S1899" s="30"/>
      <c r="T1899" s="30"/>
      <c r="U1899" s="30"/>
      <c r="V1899" s="30"/>
      <c r="W1899" s="30"/>
      <c r="X1899" s="30"/>
      <c r="Y1899" s="30"/>
      <c r="Z1899" s="30"/>
      <c r="AA1899" s="30"/>
      <c r="AB1899" s="30"/>
      <c r="AC1899" s="30"/>
      <c r="AD1899" s="30"/>
      <c r="AE1899" s="30"/>
      <c r="AF1899" s="30"/>
      <c r="AG1899" s="30"/>
      <c r="AH1899" s="30"/>
    </row>
    <row r="1900" spans="1:34" ht="13">
      <c r="A1900" s="30"/>
      <c r="B1900" s="30"/>
      <c r="C1900" s="30"/>
      <c r="D1900" s="30"/>
      <c r="E1900" s="30"/>
      <c r="F1900" s="30"/>
      <c r="G1900" s="30"/>
      <c r="H1900" s="48"/>
      <c r="I1900" s="49"/>
      <c r="J1900" s="49"/>
      <c r="K1900" s="48"/>
      <c r="L1900" s="50"/>
      <c r="M1900" s="30"/>
      <c r="N1900" s="30"/>
      <c r="O1900" s="30"/>
      <c r="P1900" s="30"/>
      <c r="Q1900" s="30"/>
      <c r="R1900" s="30"/>
      <c r="S1900" s="30"/>
      <c r="T1900" s="30"/>
      <c r="U1900" s="30"/>
      <c r="V1900" s="30"/>
      <c r="W1900" s="30"/>
      <c r="X1900" s="30"/>
      <c r="Y1900" s="30"/>
      <c r="Z1900" s="30"/>
      <c r="AA1900" s="30"/>
      <c r="AB1900" s="30"/>
      <c r="AC1900" s="30"/>
      <c r="AD1900" s="30"/>
      <c r="AE1900" s="30"/>
      <c r="AF1900" s="30"/>
      <c r="AG1900" s="30"/>
      <c r="AH1900" s="30"/>
    </row>
    <row r="1901" spans="1:34" ht="13">
      <c r="A1901" s="30"/>
      <c r="B1901" s="30"/>
      <c r="C1901" s="30"/>
      <c r="D1901" s="30"/>
      <c r="E1901" s="30"/>
      <c r="F1901" s="30"/>
      <c r="G1901" s="30"/>
      <c r="H1901" s="48"/>
      <c r="I1901" s="49"/>
      <c r="J1901" s="49"/>
      <c r="K1901" s="48"/>
      <c r="L1901" s="50"/>
      <c r="M1901" s="30"/>
      <c r="N1901" s="30"/>
      <c r="O1901" s="30"/>
      <c r="P1901" s="30"/>
      <c r="Q1901" s="30"/>
      <c r="R1901" s="30"/>
      <c r="S1901" s="30"/>
      <c r="T1901" s="30"/>
      <c r="U1901" s="30"/>
      <c r="V1901" s="30"/>
      <c r="W1901" s="30"/>
      <c r="X1901" s="30"/>
      <c r="Y1901" s="30"/>
      <c r="Z1901" s="30"/>
      <c r="AA1901" s="30"/>
      <c r="AB1901" s="30"/>
      <c r="AC1901" s="30"/>
      <c r="AD1901" s="30"/>
      <c r="AE1901" s="30"/>
      <c r="AF1901" s="30"/>
      <c r="AG1901" s="30"/>
      <c r="AH1901" s="30"/>
    </row>
    <row r="1902" spans="1:34" ht="13">
      <c r="A1902" s="30"/>
      <c r="B1902" s="30"/>
      <c r="C1902" s="30"/>
      <c r="D1902" s="30"/>
      <c r="E1902" s="30"/>
      <c r="F1902" s="30"/>
      <c r="G1902" s="30"/>
      <c r="H1902" s="48"/>
      <c r="I1902" s="49"/>
      <c r="J1902" s="49"/>
      <c r="K1902" s="48"/>
      <c r="L1902" s="50"/>
      <c r="M1902" s="30"/>
      <c r="N1902" s="30"/>
      <c r="O1902" s="30"/>
      <c r="P1902" s="30"/>
      <c r="Q1902" s="30"/>
      <c r="R1902" s="30"/>
      <c r="S1902" s="30"/>
      <c r="T1902" s="30"/>
      <c r="U1902" s="30"/>
      <c r="V1902" s="30"/>
      <c r="W1902" s="30"/>
      <c r="X1902" s="30"/>
      <c r="Y1902" s="30"/>
      <c r="Z1902" s="30"/>
      <c r="AA1902" s="30"/>
      <c r="AB1902" s="30"/>
      <c r="AC1902" s="30"/>
      <c r="AD1902" s="30"/>
      <c r="AE1902" s="30"/>
      <c r="AF1902" s="30"/>
      <c r="AG1902" s="30"/>
      <c r="AH1902" s="30"/>
    </row>
    <row r="1903" spans="1:34" ht="13">
      <c r="A1903" s="30"/>
      <c r="B1903" s="30"/>
      <c r="C1903" s="30"/>
      <c r="D1903" s="30"/>
      <c r="E1903" s="30"/>
      <c r="F1903" s="30"/>
      <c r="G1903" s="30"/>
      <c r="H1903" s="48"/>
      <c r="I1903" s="49"/>
      <c r="J1903" s="49"/>
      <c r="K1903" s="48"/>
      <c r="L1903" s="50"/>
      <c r="M1903" s="30"/>
      <c r="N1903" s="30"/>
      <c r="O1903" s="30"/>
      <c r="P1903" s="30"/>
      <c r="Q1903" s="30"/>
      <c r="R1903" s="30"/>
      <c r="S1903" s="30"/>
      <c r="T1903" s="30"/>
      <c r="U1903" s="30"/>
      <c r="V1903" s="30"/>
      <c r="W1903" s="30"/>
      <c r="X1903" s="30"/>
      <c r="Y1903" s="30"/>
      <c r="Z1903" s="30"/>
      <c r="AA1903" s="30"/>
      <c r="AB1903" s="30"/>
      <c r="AC1903" s="30"/>
      <c r="AD1903" s="30"/>
      <c r="AE1903" s="30"/>
      <c r="AF1903" s="30"/>
      <c r="AG1903" s="30"/>
      <c r="AH1903" s="30"/>
    </row>
    <row r="1904" spans="1:34" ht="13">
      <c r="A1904" s="30"/>
      <c r="B1904" s="30"/>
      <c r="C1904" s="30"/>
      <c r="D1904" s="30"/>
      <c r="E1904" s="30"/>
      <c r="F1904" s="30"/>
      <c r="G1904" s="30"/>
      <c r="H1904" s="48"/>
      <c r="I1904" s="49"/>
      <c r="J1904" s="49"/>
      <c r="K1904" s="48"/>
      <c r="L1904" s="50"/>
      <c r="M1904" s="30"/>
      <c r="N1904" s="30"/>
      <c r="O1904" s="30"/>
      <c r="P1904" s="30"/>
      <c r="Q1904" s="30"/>
      <c r="R1904" s="30"/>
      <c r="S1904" s="30"/>
      <c r="T1904" s="30"/>
      <c r="U1904" s="30"/>
      <c r="V1904" s="30"/>
      <c r="W1904" s="30"/>
      <c r="X1904" s="30"/>
      <c r="Y1904" s="30"/>
      <c r="Z1904" s="30"/>
      <c r="AA1904" s="30"/>
      <c r="AB1904" s="30"/>
      <c r="AC1904" s="30"/>
      <c r="AD1904" s="30"/>
      <c r="AE1904" s="30"/>
      <c r="AF1904" s="30"/>
      <c r="AG1904" s="30"/>
      <c r="AH1904" s="30"/>
    </row>
    <row r="1905" spans="1:34" ht="13">
      <c r="A1905" s="30"/>
      <c r="B1905" s="30"/>
      <c r="C1905" s="30"/>
      <c r="D1905" s="30"/>
      <c r="E1905" s="30"/>
      <c r="F1905" s="30"/>
      <c r="G1905" s="30"/>
      <c r="H1905" s="48"/>
      <c r="I1905" s="49"/>
      <c r="J1905" s="49"/>
      <c r="K1905" s="48"/>
      <c r="L1905" s="50"/>
      <c r="M1905" s="30"/>
      <c r="N1905" s="30"/>
      <c r="O1905" s="30"/>
      <c r="P1905" s="30"/>
      <c r="Q1905" s="30"/>
      <c r="R1905" s="30"/>
      <c r="S1905" s="30"/>
      <c r="T1905" s="30"/>
      <c r="U1905" s="30"/>
      <c r="V1905" s="30"/>
      <c r="W1905" s="30"/>
      <c r="X1905" s="30"/>
      <c r="Y1905" s="30"/>
      <c r="Z1905" s="30"/>
      <c r="AA1905" s="30"/>
      <c r="AB1905" s="30"/>
      <c r="AC1905" s="30"/>
      <c r="AD1905" s="30"/>
      <c r="AE1905" s="30"/>
      <c r="AF1905" s="30"/>
      <c r="AG1905" s="30"/>
      <c r="AH1905" s="30"/>
    </row>
    <row r="1906" spans="1:34" ht="13">
      <c r="A1906" s="30"/>
      <c r="B1906" s="30"/>
      <c r="C1906" s="30"/>
      <c r="D1906" s="30"/>
      <c r="E1906" s="30"/>
      <c r="F1906" s="30"/>
      <c r="G1906" s="30"/>
      <c r="H1906" s="48"/>
      <c r="I1906" s="49"/>
      <c r="J1906" s="49"/>
      <c r="K1906" s="48"/>
      <c r="L1906" s="50"/>
      <c r="M1906" s="30"/>
      <c r="N1906" s="30"/>
      <c r="O1906" s="30"/>
      <c r="P1906" s="30"/>
      <c r="Q1906" s="30"/>
      <c r="R1906" s="30"/>
      <c r="S1906" s="30"/>
      <c r="T1906" s="30"/>
      <c r="U1906" s="30"/>
      <c r="V1906" s="30"/>
      <c r="W1906" s="30"/>
      <c r="X1906" s="30"/>
      <c r="Y1906" s="30"/>
      <c r="Z1906" s="30"/>
      <c r="AA1906" s="30"/>
      <c r="AB1906" s="30"/>
      <c r="AC1906" s="30"/>
      <c r="AD1906" s="30"/>
      <c r="AE1906" s="30"/>
      <c r="AF1906" s="30"/>
      <c r="AG1906" s="30"/>
      <c r="AH1906" s="30"/>
    </row>
    <row r="1907" spans="1:34" ht="13">
      <c r="A1907" s="30"/>
      <c r="B1907" s="30"/>
      <c r="C1907" s="30"/>
      <c r="D1907" s="30"/>
      <c r="E1907" s="30"/>
      <c r="F1907" s="30"/>
      <c r="G1907" s="30"/>
      <c r="H1907" s="48"/>
      <c r="I1907" s="49"/>
      <c r="J1907" s="49"/>
      <c r="K1907" s="48"/>
      <c r="L1907" s="50"/>
      <c r="M1907" s="30"/>
      <c r="N1907" s="30"/>
      <c r="O1907" s="30"/>
      <c r="P1907" s="30"/>
      <c r="Q1907" s="30"/>
      <c r="R1907" s="30"/>
      <c r="S1907" s="30"/>
      <c r="T1907" s="30"/>
      <c r="U1907" s="30"/>
      <c r="V1907" s="30"/>
      <c r="W1907" s="30"/>
      <c r="X1907" s="30"/>
      <c r="Y1907" s="30"/>
      <c r="Z1907" s="30"/>
      <c r="AA1907" s="30"/>
      <c r="AB1907" s="30"/>
      <c r="AC1907" s="30"/>
      <c r="AD1907" s="30"/>
      <c r="AE1907" s="30"/>
      <c r="AF1907" s="30"/>
      <c r="AG1907" s="30"/>
      <c r="AH1907" s="30"/>
    </row>
    <row r="1908" spans="1:34" ht="13">
      <c r="A1908" s="30"/>
      <c r="B1908" s="30"/>
      <c r="C1908" s="30"/>
      <c r="D1908" s="30"/>
      <c r="E1908" s="30"/>
      <c r="F1908" s="30"/>
      <c r="G1908" s="30"/>
      <c r="H1908" s="48"/>
      <c r="I1908" s="49"/>
      <c r="J1908" s="49"/>
      <c r="K1908" s="48"/>
      <c r="L1908" s="50"/>
      <c r="M1908" s="30"/>
      <c r="N1908" s="30"/>
      <c r="O1908" s="30"/>
      <c r="P1908" s="30"/>
      <c r="Q1908" s="30"/>
      <c r="R1908" s="30"/>
      <c r="S1908" s="30"/>
      <c r="T1908" s="30"/>
      <c r="U1908" s="30"/>
      <c r="V1908" s="30"/>
      <c r="W1908" s="30"/>
      <c r="X1908" s="30"/>
      <c r="Y1908" s="30"/>
      <c r="Z1908" s="30"/>
      <c r="AA1908" s="30"/>
      <c r="AB1908" s="30"/>
      <c r="AC1908" s="30"/>
      <c r="AD1908" s="30"/>
      <c r="AE1908" s="30"/>
      <c r="AF1908" s="30"/>
      <c r="AG1908" s="30"/>
      <c r="AH1908" s="30"/>
    </row>
    <row r="1909" spans="1:34" ht="13">
      <c r="A1909" s="30"/>
      <c r="B1909" s="30"/>
      <c r="C1909" s="30"/>
      <c r="D1909" s="30"/>
      <c r="E1909" s="30"/>
      <c r="F1909" s="30"/>
      <c r="G1909" s="30"/>
      <c r="H1909" s="48"/>
      <c r="I1909" s="49"/>
      <c r="J1909" s="49"/>
      <c r="K1909" s="48"/>
      <c r="L1909" s="50"/>
      <c r="M1909" s="30"/>
      <c r="N1909" s="30"/>
      <c r="O1909" s="30"/>
      <c r="P1909" s="30"/>
      <c r="Q1909" s="30"/>
      <c r="R1909" s="30"/>
      <c r="S1909" s="30"/>
      <c r="T1909" s="30"/>
      <c r="U1909" s="30"/>
      <c r="V1909" s="30"/>
      <c r="W1909" s="30"/>
      <c r="X1909" s="30"/>
      <c r="Y1909" s="30"/>
      <c r="Z1909" s="30"/>
      <c r="AA1909" s="30"/>
      <c r="AB1909" s="30"/>
      <c r="AC1909" s="30"/>
      <c r="AD1909" s="30"/>
      <c r="AE1909" s="30"/>
      <c r="AF1909" s="30"/>
      <c r="AG1909" s="30"/>
      <c r="AH1909" s="30"/>
    </row>
    <row r="1910" spans="1:34" ht="13">
      <c r="A1910" s="30"/>
      <c r="B1910" s="30"/>
      <c r="C1910" s="30"/>
      <c r="D1910" s="30"/>
      <c r="E1910" s="30"/>
      <c r="F1910" s="30"/>
      <c r="G1910" s="30"/>
      <c r="H1910" s="48"/>
      <c r="I1910" s="49"/>
      <c r="J1910" s="49"/>
      <c r="K1910" s="48"/>
      <c r="L1910" s="50"/>
      <c r="M1910" s="30"/>
      <c r="N1910" s="30"/>
      <c r="O1910" s="30"/>
      <c r="P1910" s="30"/>
      <c r="Q1910" s="30"/>
      <c r="R1910" s="30"/>
      <c r="S1910" s="30"/>
      <c r="T1910" s="30"/>
      <c r="U1910" s="30"/>
      <c r="V1910" s="30"/>
      <c r="W1910" s="30"/>
      <c r="X1910" s="30"/>
      <c r="Y1910" s="30"/>
      <c r="Z1910" s="30"/>
      <c r="AA1910" s="30"/>
      <c r="AB1910" s="30"/>
      <c r="AC1910" s="30"/>
      <c r="AD1910" s="30"/>
      <c r="AE1910" s="30"/>
      <c r="AF1910" s="30"/>
      <c r="AG1910" s="30"/>
      <c r="AH1910" s="30"/>
    </row>
    <row r="1911" spans="1:34" ht="13">
      <c r="A1911" s="30"/>
      <c r="B1911" s="30"/>
      <c r="C1911" s="30"/>
      <c r="D1911" s="30"/>
      <c r="E1911" s="30"/>
      <c r="F1911" s="30"/>
      <c r="G1911" s="30"/>
      <c r="H1911" s="48"/>
      <c r="I1911" s="49"/>
      <c r="J1911" s="49"/>
      <c r="K1911" s="48"/>
      <c r="L1911" s="50"/>
      <c r="M1911" s="30"/>
      <c r="N1911" s="30"/>
      <c r="O1911" s="30"/>
      <c r="P1911" s="30"/>
      <c r="Q1911" s="30"/>
      <c r="R1911" s="30"/>
      <c r="S1911" s="30"/>
      <c r="T1911" s="30"/>
      <c r="U1911" s="30"/>
      <c r="V1911" s="30"/>
      <c r="W1911" s="30"/>
      <c r="X1911" s="30"/>
      <c r="Y1911" s="30"/>
      <c r="Z1911" s="30"/>
      <c r="AA1911" s="30"/>
      <c r="AB1911" s="30"/>
      <c r="AC1911" s="30"/>
      <c r="AD1911" s="30"/>
      <c r="AE1911" s="30"/>
      <c r="AF1911" s="30"/>
      <c r="AG1911" s="30"/>
      <c r="AH1911" s="30"/>
    </row>
    <row r="1912" spans="1:34" ht="13">
      <c r="A1912" s="30"/>
      <c r="B1912" s="30"/>
      <c r="C1912" s="30"/>
      <c r="D1912" s="30"/>
      <c r="E1912" s="30"/>
      <c r="F1912" s="30"/>
      <c r="G1912" s="30"/>
      <c r="H1912" s="48"/>
      <c r="I1912" s="49"/>
      <c r="J1912" s="49"/>
      <c r="K1912" s="48"/>
      <c r="L1912" s="50"/>
      <c r="M1912" s="30"/>
      <c r="N1912" s="30"/>
      <c r="O1912" s="30"/>
      <c r="P1912" s="30"/>
      <c r="Q1912" s="30"/>
      <c r="R1912" s="30"/>
      <c r="S1912" s="30"/>
      <c r="T1912" s="30"/>
      <c r="U1912" s="30"/>
      <c r="V1912" s="30"/>
      <c r="W1912" s="30"/>
      <c r="X1912" s="30"/>
      <c r="Y1912" s="30"/>
      <c r="Z1912" s="30"/>
      <c r="AA1912" s="30"/>
      <c r="AB1912" s="30"/>
      <c r="AC1912" s="30"/>
      <c r="AD1912" s="30"/>
      <c r="AE1912" s="30"/>
      <c r="AF1912" s="30"/>
      <c r="AG1912" s="30"/>
      <c r="AH1912" s="30"/>
    </row>
    <row r="1913" spans="1:34" ht="13">
      <c r="A1913" s="30"/>
      <c r="B1913" s="30"/>
      <c r="C1913" s="30"/>
      <c r="D1913" s="30"/>
      <c r="E1913" s="30"/>
      <c r="F1913" s="30"/>
      <c r="G1913" s="30"/>
      <c r="H1913" s="48"/>
      <c r="I1913" s="49"/>
      <c r="J1913" s="49"/>
      <c r="K1913" s="48"/>
      <c r="L1913" s="50"/>
      <c r="M1913" s="30"/>
      <c r="N1913" s="30"/>
      <c r="O1913" s="30"/>
      <c r="P1913" s="30"/>
      <c r="Q1913" s="30"/>
      <c r="R1913" s="30"/>
      <c r="S1913" s="30"/>
      <c r="T1913" s="30"/>
      <c r="U1913" s="30"/>
      <c r="V1913" s="30"/>
      <c r="W1913" s="30"/>
      <c r="X1913" s="30"/>
      <c r="Y1913" s="30"/>
      <c r="Z1913" s="30"/>
      <c r="AA1913" s="30"/>
      <c r="AB1913" s="30"/>
      <c r="AC1913" s="30"/>
      <c r="AD1913" s="30"/>
      <c r="AE1913" s="30"/>
      <c r="AF1913" s="30"/>
      <c r="AG1913" s="30"/>
      <c r="AH1913" s="30"/>
    </row>
    <row r="1914" spans="1:34" ht="13">
      <c r="A1914" s="30"/>
      <c r="B1914" s="30"/>
      <c r="C1914" s="30"/>
      <c r="D1914" s="30"/>
      <c r="E1914" s="30"/>
      <c r="F1914" s="30"/>
      <c r="G1914" s="30"/>
      <c r="H1914" s="48"/>
      <c r="I1914" s="49"/>
      <c r="J1914" s="49"/>
      <c r="K1914" s="48"/>
      <c r="L1914" s="50"/>
      <c r="M1914" s="30"/>
      <c r="N1914" s="30"/>
      <c r="O1914" s="30"/>
      <c r="P1914" s="30"/>
      <c r="Q1914" s="30"/>
      <c r="R1914" s="30"/>
      <c r="S1914" s="30"/>
      <c r="T1914" s="30"/>
      <c r="U1914" s="30"/>
      <c r="V1914" s="30"/>
      <c r="W1914" s="30"/>
      <c r="X1914" s="30"/>
      <c r="Y1914" s="30"/>
      <c r="Z1914" s="30"/>
      <c r="AA1914" s="30"/>
      <c r="AB1914" s="30"/>
      <c r="AC1914" s="30"/>
      <c r="AD1914" s="30"/>
      <c r="AE1914" s="30"/>
      <c r="AF1914" s="30"/>
      <c r="AG1914" s="30"/>
      <c r="AH1914" s="30"/>
    </row>
    <row r="1915" spans="1:34" ht="13">
      <c r="A1915" s="30"/>
      <c r="B1915" s="30"/>
      <c r="C1915" s="30"/>
      <c r="D1915" s="30"/>
      <c r="E1915" s="30"/>
      <c r="F1915" s="30"/>
      <c r="G1915" s="30"/>
      <c r="H1915" s="48"/>
      <c r="I1915" s="49"/>
      <c r="J1915" s="49"/>
      <c r="K1915" s="48"/>
      <c r="L1915" s="50"/>
      <c r="M1915" s="30"/>
      <c r="N1915" s="30"/>
      <c r="O1915" s="30"/>
      <c r="P1915" s="30"/>
      <c r="Q1915" s="30"/>
      <c r="R1915" s="30"/>
      <c r="S1915" s="30"/>
      <c r="T1915" s="30"/>
      <c r="U1915" s="30"/>
      <c r="V1915" s="30"/>
      <c r="W1915" s="30"/>
      <c r="X1915" s="30"/>
      <c r="Y1915" s="30"/>
      <c r="Z1915" s="30"/>
      <c r="AA1915" s="30"/>
      <c r="AB1915" s="30"/>
      <c r="AC1915" s="30"/>
      <c r="AD1915" s="30"/>
      <c r="AE1915" s="30"/>
      <c r="AF1915" s="30"/>
      <c r="AG1915" s="30"/>
      <c r="AH1915" s="30"/>
    </row>
    <row r="1916" spans="1:34" ht="13">
      <c r="A1916" s="30"/>
      <c r="B1916" s="30"/>
      <c r="C1916" s="30"/>
      <c r="D1916" s="30"/>
      <c r="E1916" s="30"/>
      <c r="F1916" s="30"/>
      <c r="G1916" s="30"/>
      <c r="H1916" s="48"/>
      <c r="I1916" s="49"/>
      <c r="J1916" s="49"/>
      <c r="K1916" s="48"/>
      <c r="L1916" s="50"/>
      <c r="M1916" s="30"/>
      <c r="N1916" s="30"/>
      <c r="O1916" s="30"/>
      <c r="P1916" s="30"/>
      <c r="Q1916" s="30"/>
      <c r="R1916" s="30"/>
      <c r="S1916" s="30"/>
      <c r="T1916" s="30"/>
      <c r="U1916" s="30"/>
      <c r="V1916" s="30"/>
      <c r="W1916" s="30"/>
      <c r="X1916" s="30"/>
      <c r="Y1916" s="30"/>
      <c r="Z1916" s="30"/>
      <c r="AA1916" s="30"/>
      <c r="AB1916" s="30"/>
      <c r="AC1916" s="30"/>
      <c r="AD1916" s="30"/>
      <c r="AE1916" s="30"/>
      <c r="AF1916" s="30"/>
      <c r="AG1916" s="30"/>
      <c r="AH1916" s="30"/>
    </row>
    <row r="1917" spans="1:34" ht="13">
      <c r="A1917" s="30"/>
      <c r="B1917" s="30"/>
      <c r="C1917" s="30"/>
      <c r="D1917" s="30"/>
      <c r="E1917" s="30"/>
      <c r="F1917" s="30"/>
      <c r="G1917" s="30"/>
      <c r="H1917" s="48"/>
      <c r="I1917" s="49"/>
      <c r="J1917" s="49"/>
      <c r="K1917" s="48"/>
      <c r="L1917" s="50"/>
      <c r="M1917" s="30"/>
      <c r="N1917" s="30"/>
      <c r="O1917" s="30"/>
      <c r="P1917" s="30"/>
      <c r="Q1917" s="30"/>
      <c r="R1917" s="30"/>
      <c r="S1917" s="30"/>
      <c r="T1917" s="30"/>
      <c r="U1917" s="30"/>
      <c r="V1917" s="30"/>
      <c r="W1917" s="30"/>
      <c r="X1917" s="30"/>
      <c r="Y1917" s="30"/>
      <c r="Z1917" s="30"/>
      <c r="AA1917" s="30"/>
      <c r="AB1917" s="30"/>
      <c r="AC1917" s="30"/>
      <c r="AD1917" s="30"/>
      <c r="AE1917" s="30"/>
      <c r="AF1917" s="30"/>
      <c r="AG1917" s="30"/>
      <c r="AH1917" s="30"/>
    </row>
    <row r="1918" spans="1:34" ht="13">
      <c r="A1918" s="30"/>
      <c r="B1918" s="30"/>
      <c r="C1918" s="30"/>
      <c r="D1918" s="30"/>
      <c r="E1918" s="30"/>
      <c r="F1918" s="30"/>
      <c r="G1918" s="30"/>
      <c r="H1918" s="48"/>
      <c r="I1918" s="49"/>
      <c r="J1918" s="49"/>
      <c r="K1918" s="48"/>
      <c r="L1918" s="50"/>
      <c r="M1918" s="30"/>
      <c r="N1918" s="30"/>
      <c r="O1918" s="30"/>
      <c r="P1918" s="30"/>
      <c r="Q1918" s="30"/>
      <c r="R1918" s="30"/>
      <c r="S1918" s="30"/>
      <c r="T1918" s="30"/>
      <c r="U1918" s="30"/>
      <c r="V1918" s="30"/>
      <c r="W1918" s="30"/>
      <c r="X1918" s="30"/>
      <c r="Y1918" s="30"/>
      <c r="Z1918" s="30"/>
      <c r="AA1918" s="30"/>
      <c r="AB1918" s="30"/>
      <c r="AC1918" s="30"/>
      <c r="AD1918" s="30"/>
      <c r="AE1918" s="30"/>
      <c r="AF1918" s="30"/>
      <c r="AG1918" s="30"/>
      <c r="AH1918" s="30"/>
    </row>
    <row r="1919" spans="1:34" ht="13">
      <c r="A1919" s="30"/>
      <c r="B1919" s="30"/>
      <c r="C1919" s="30"/>
      <c r="D1919" s="30"/>
      <c r="E1919" s="30"/>
      <c r="F1919" s="30"/>
      <c r="G1919" s="30"/>
      <c r="H1919" s="48"/>
      <c r="I1919" s="49"/>
      <c r="J1919" s="49"/>
      <c r="K1919" s="48"/>
      <c r="L1919" s="50"/>
      <c r="M1919" s="30"/>
      <c r="N1919" s="30"/>
      <c r="O1919" s="30"/>
      <c r="P1919" s="30"/>
      <c r="Q1919" s="30"/>
      <c r="R1919" s="30"/>
      <c r="S1919" s="30"/>
      <c r="T1919" s="30"/>
      <c r="U1919" s="30"/>
      <c r="V1919" s="30"/>
      <c r="W1919" s="30"/>
      <c r="X1919" s="30"/>
      <c r="Y1919" s="30"/>
      <c r="Z1919" s="30"/>
      <c r="AA1919" s="30"/>
      <c r="AB1919" s="30"/>
      <c r="AC1919" s="30"/>
      <c r="AD1919" s="30"/>
      <c r="AE1919" s="30"/>
      <c r="AF1919" s="30"/>
      <c r="AG1919" s="30"/>
      <c r="AH1919" s="30"/>
    </row>
    <row r="1920" spans="1:34" ht="13">
      <c r="A1920" s="30"/>
      <c r="B1920" s="30"/>
      <c r="C1920" s="30"/>
      <c r="D1920" s="30"/>
      <c r="E1920" s="30"/>
      <c r="F1920" s="30"/>
      <c r="G1920" s="30"/>
      <c r="H1920" s="48"/>
      <c r="I1920" s="49"/>
      <c r="J1920" s="49"/>
      <c r="K1920" s="48"/>
      <c r="L1920" s="50"/>
      <c r="M1920" s="30"/>
      <c r="N1920" s="30"/>
      <c r="O1920" s="30"/>
      <c r="P1920" s="30"/>
      <c r="Q1920" s="30"/>
      <c r="R1920" s="30"/>
      <c r="S1920" s="30"/>
      <c r="T1920" s="30"/>
      <c r="U1920" s="30"/>
      <c r="V1920" s="30"/>
      <c r="W1920" s="30"/>
      <c r="X1920" s="30"/>
      <c r="Y1920" s="30"/>
      <c r="Z1920" s="30"/>
      <c r="AA1920" s="30"/>
      <c r="AB1920" s="30"/>
      <c r="AC1920" s="30"/>
      <c r="AD1920" s="30"/>
      <c r="AE1920" s="30"/>
      <c r="AF1920" s="30"/>
      <c r="AG1920" s="30"/>
      <c r="AH1920" s="30"/>
    </row>
    <row r="1921" spans="1:34" ht="13">
      <c r="A1921" s="30"/>
      <c r="B1921" s="30"/>
      <c r="C1921" s="30"/>
      <c r="D1921" s="30"/>
      <c r="E1921" s="30"/>
      <c r="F1921" s="30"/>
      <c r="G1921" s="30"/>
      <c r="H1921" s="48"/>
      <c r="I1921" s="49"/>
      <c r="J1921" s="49"/>
      <c r="K1921" s="48"/>
      <c r="L1921" s="50"/>
      <c r="M1921" s="30"/>
      <c r="N1921" s="30"/>
      <c r="O1921" s="30"/>
      <c r="P1921" s="30"/>
      <c r="Q1921" s="30"/>
      <c r="R1921" s="30"/>
      <c r="S1921" s="30"/>
      <c r="T1921" s="30"/>
      <c r="U1921" s="30"/>
      <c r="V1921" s="30"/>
      <c r="W1921" s="30"/>
      <c r="X1921" s="30"/>
      <c r="Y1921" s="30"/>
      <c r="Z1921" s="30"/>
      <c r="AA1921" s="30"/>
      <c r="AB1921" s="30"/>
      <c r="AC1921" s="30"/>
      <c r="AD1921" s="30"/>
      <c r="AE1921" s="30"/>
      <c r="AF1921" s="30"/>
      <c r="AG1921" s="30"/>
      <c r="AH1921" s="30"/>
    </row>
    <row r="1922" spans="1:34" ht="13">
      <c r="A1922" s="30"/>
      <c r="B1922" s="30"/>
      <c r="C1922" s="30"/>
      <c r="D1922" s="30"/>
      <c r="E1922" s="30"/>
      <c r="F1922" s="30"/>
      <c r="G1922" s="30"/>
      <c r="H1922" s="48"/>
      <c r="I1922" s="49"/>
      <c r="J1922" s="49"/>
      <c r="K1922" s="48"/>
      <c r="L1922" s="50"/>
      <c r="M1922" s="30"/>
      <c r="N1922" s="30"/>
      <c r="O1922" s="30"/>
      <c r="P1922" s="30"/>
      <c r="Q1922" s="30"/>
      <c r="R1922" s="30"/>
      <c r="S1922" s="30"/>
      <c r="T1922" s="30"/>
      <c r="U1922" s="30"/>
      <c r="V1922" s="30"/>
      <c r="W1922" s="30"/>
      <c r="X1922" s="30"/>
      <c r="Y1922" s="30"/>
      <c r="Z1922" s="30"/>
      <c r="AA1922" s="30"/>
      <c r="AB1922" s="30"/>
      <c r="AC1922" s="30"/>
      <c r="AD1922" s="30"/>
      <c r="AE1922" s="30"/>
      <c r="AF1922" s="30"/>
      <c r="AG1922" s="30"/>
      <c r="AH1922" s="30"/>
    </row>
    <row r="1923" spans="1:34" ht="13">
      <c r="A1923" s="30"/>
      <c r="B1923" s="30"/>
      <c r="C1923" s="30"/>
      <c r="D1923" s="30"/>
      <c r="E1923" s="30"/>
      <c r="F1923" s="30"/>
      <c r="G1923" s="30"/>
      <c r="H1923" s="48"/>
      <c r="I1923" s="49"/>
      <c r="J1923" s="49"/>
      <c r="K1923" s="48"/>
      <c r="L1923" s="50"/>
      <c r="M1923" s="30"/>
      <c r="N1923" s="30"/>
      <c r="O1923" s="30"/>
      <c r="P1923" s="30"/>
      <c r="Q1923" s="30"/>
      <c r="R1923" s="30"/>
      <c r="S1923" s="30"/>
      <c r="T1923" s="30"/>
      <c r="U1923" s="30"/>
      <c r="V1923" s="30"/>
      <c r="W1923" s="30"/>
      <c r="X1923" s="30"/>
      <c r="Y1923" s="30"/>
      <c r="Z1923" s="30"/>
      <c r="AA1923" s="30"/>
      <c r="AB1923" s="30"/>
      <c r="AC1923" s="30"/>
      <c r="AD1923" s="30"/>
      <c r="AE1923" s="30"/>
      <c r="AF1923" s="30"/>
      <c r="AG1923" s="30"/>
      <c r="AH1923" s="30"/>
    </row>
    <row r="1924" spans="1:34" ht="13">
      <c r="A1924" s="30"/>
      <c r="B1924" s="30"/>
      <c r="C1924" s="30"/>
      <c r="D1924" s="30"/>
      <c r="E1924" s="30"/>
      <c r="F1924" s="30"/>
      <c r="G1924" s="30"/>
      <c r="H1924" s="48"/>
      <c r="I1924" s="49"/>
      <c r="J1924" s="49"/>
      <c r="K1924" s="48"/>
      <c r="L1924" s="50"/>
      <c r="M1924" s="30"/>
      <c r="N1924" s="30"/>
      <c r="O1924" s="30"/>
      <c r="P1924" s="30"/>
      <c r="Q1924" s="30"/>
      <c r="R1924" s="30"/>
      <c r="S1924" s="30"/>
      <c r="T1924" s="30"/>
      <c r="U1924" s="30"/>
      <c r="V1924" s="30"/>
      <c r="W1924" s="30"/>
      <c r="X1924" s="30"/>
      <c r="Y1924" s="30"/>
      <c r="Z1924" s="30"/>
      <c r="AA1924" s="30"/>
      <c r="AB1924" s="30"/>
      <c r="AC1924" s="30"/>
      <c r="AD1924" s="30"/>
      <c r="AE1924" s="30"/>
      <c r="AF1924" s="30"/>
      <c r="AG1924" s="30"/>
      <c r="AH1924" s="30"/>
    </row>
    <row r="1925" spans="1:34" ht="13">
      <c r="A1925" s="30"/>
      <c r="B1925" s="30"/>
      <c r="C1925" s="30"/>
      <c r="D1925" s="30"/>
      <c r="E1925" s="30"/>
      <c r="F1925" s="30"/>
      <c r="G1925" s="30"/>
      <c r="H1925" s="48"/>
      <c r="I1925" s="49"/>
      <c r="J1925" s="49"/>
      <c r="K1925" s="48"/>
      <c r="L1925" s="50"/>
      <c r="M1925" s="30"/>
      <c r="N1925" s="30"/>
      <c r="O1925" s="30"/>
      <c r="P1925" s="30"/>
      <c r="Q1925" s="30"/>
      <c r="R1925" s="30"/>
      <c r="S1925" s="30"/>
      <c r="T1925" s="30"/>
      <c r="U1925" s="30"/>
      <c r="V1925" s="30"/>
      <c r="W1925" s="30"/>
      <c r="X1925" s="30"/>
      <c r="Y1925" s="30"/>
      <c r="Z1925" s="30"/>
      <c r="AA1925" s="30"/>
      <c r="AB1925" s="30"/>
      <c r="AC1925" s="30"/>
      <c r="AD1925" s="30"/>
      <c r="AE1925" s="30"/>
      <c r="AF1925" s="30"/>
      <c r="AG1925" s="30"/>
      <c r="AH1925" s="30"/>
    </row>
    <row r="1926" spans="1:34" ht="13">
      <c r="A1926" s="30"/>
      <c r="B1926" s="30"/>
      <c r="C1926" s="30"/>
      <c r="D1926" s="30"/>
      <c r="E1926" s="30"/>
      <c r="F1926" s="30"/>
      <c r="G1926" s="30"/>
      <c r="H1926" s="48"/>
      <c r="I1926" s="49"/>
      <c r="J1926" s="49"/>
      <c r="K1926" s="48"/>
      <c r="L1926" s="50"/>
      <c r="M1926" s="30"/>
      <c r="N1926" s="30"/>
      <c r="O1926" s="30"/>
      <c r="P1926" s="30"/>
      <c r="Q1926" s="30"/>
      <c r="R1926" s="30"/>
      <c r="S1926" s="30"/>
      <c r="T1926" s="30"/>
      <c r="U1926" s="30"/>
      <c r="V1926" s="30"/>
      <c r="W1926" s="30"/>
      <c r="X1926" s="30"/>
      <c r="Y1926" s="30"/>
      <c r="Z1926" s="30"/>
      <c r="AA1926" s="30"/>
      <c r="AB1926" s="30"/>
      <c r="AC1926" s="30"/>
      <c r="AD1926" s="30"/>
      <c r="AE1926" s="30"/>
      <c r="AF1926" s="30"/>
      <c r="AG1926" s="30"/>
      <c r="AH1926" s="30"/>
    </row>
    <row r="1927" spans="1:34" ht="13">
      <c r="A1927" s="30"/>
      <c r="B1927" s="30"/>
      <c r="C1927" s="30"/>
      <c r="D1927" s="30"/>
      <c r="E1927" s="30"/>
      <c r="F1927" s="30"/>
      <c r="G1927" s="30"/>
      <c r="H1927" s="48"/>
      <c r="I1927" s="49"/>
      <c r="J1927" s="49"/>
      <c r="K1927" s="48"/>
      <c r="L1927" s="50"/>
      <c r="M1927" s="30"/>
      <c r="N1927" s="30"/>
      <c r="O1927" s="30"/>
      <c r="P1927" s="30"/>
      <c r="Q1927" s="30"/>
      <c r="R1927" s="30"/>
      <c r="S1927" s="30"/>
      <c r="T1927" s="30"/>
      <c r="U1927" s="30"/>
      <c r="V1927" s="30"/>
      <c r="W1927" s="30"/>
      <c r="X1927" s="30"/>
      <c r="Y1927" s="30"/>
      <c r="Z1927" s="30"/>
      <c r="AA1927" s="30"/>
      <c r="AB1927" s="30"/>
      <c r="AC1927" s="30"/>
      <c r="AD1927" s="30"/>
      <c r="AE1927" s="30"/>
      <c r="AF1927" s="30"/>
      <c r="AG1927" s="30"/>
      <c r="AH1927" s="30"/>
    </row>
    <row r="1928" spans="1:34" ht="13">
      <c r="A1928" s="30"/>
      <c r="B1928" s="30"/>
      <c r="C1928" s="30"/>
      <c r="D1928" s="30"/>
      <c r="E1928" s="30"/>
      <c r="F1928" s="30"/>
      <c r="G1928" s="30"/>
      <c r="H1928" s="48"/>
      <c r="I1928" s="49"/>
      <c r="J1928" s="49"/>
      <c r="K1928" s="48"/>
      <c r="L1928" s="50"/>
      <c r="M1928" s="30"/>
      <c r="N1928" s="30"/>
      <c r="O1928" s="30"/>
      <c r="P1928" s="30"/>
      <c r="Q1928" s="30"/>
      <c r="R1928" s="30"/>
      <c r="S1928" s="30"/>
      <c r="T1928" s="30"/>
      <c r="U1928" s="30"/>
      <c r="V1928" s="30"/>
      <c r="W1928" s="30"/>
      <c r="X1928" s="30"/>
      <c r="Y1928" s="30"/>
      <c r="Z1928" s="30"/>
      <c r="AA1928" s="30"/>
      <c r="AB1928" s="30"/>
      <c r="AC1928" s="30"/>
      <c r="AD1928" s="30"/>
      <c r="AE1928" s="30"/>
      <c r="AF1928" s="30"/>
      <c r="AG1928" s="30"/>
      <c r="AH1928" s="30"/>
    </row>
    <row r="1929" spans="1:34" ht="13">
      <c r="A1929" s="30"/>
      <c r="B1929" s="30"/>
      <c r="C1929" s="30"/>
      <c r="D1929" s="30"/>
      <c r="E1929" s="30"/>
      <c r="F1929" s="30"/>
      <c r="G1929" s="30"/>
      <c r="H1929" s="48"/>
      <c r="I1929" s="49"/>
      <c r="J1929" s="49"/>
      <c r="K1929" s="48"/>
      <c r="L1929" s="50"/>
      <c r="M1929" s="30"/>
      <c r="N1929" s="30"/>
      <c r="O1929" s="30"/>
      <c r="P1929" s="30"/>
      <c r="Q1929" s="30"/>
      <c r="R1929" s="30"/>
      <c r="S1929" s="30"/>
      <c r="T1929" s="30"/>
      <c r="U1929" s="30"/>
      <c r="V1929" s="30"/>
      <c r="W1929" s="30"/>
      <c r="X1929" s="30"/>
      <c r="Y1929" s="30"/>
      <c r="Z1929" s="30"/>
      <c r="AA1929" s="30"/>
      <c r="AB1929" s="30"/>
      <c r="AC1929" s="30"/>
      <c r="AD1929" s="30"/>
      <c r="AE1929" s="30"/>
      <c r="AF1929" s="30"/>
      <c r="AG1929" s="30"/>
      <c r="AH1929" s="30"/>
    </row>
    <row r="1930" spans="1:34" ht="13">
      <c r="A1930" s="30"/>
      <c r="B1930" s="30"/>
      <c r="C1930" s="30"/>
      <c r="D1930" s="30"/>
      <c r="E1930" s="30"/>
      <c r="F1930" s="30"/>
      <c r="G1930" s="30"/>
      <c r="H1930" s="48"/>
      <c r="I1930" s="49"/>
      <c r="J1930" s="49"/>
      <c r="K1930" s="48"/>
      <c r="L1930" s="50"/>
      <c r="M1930" s="30"/>
      <c r="N1930" s="30"/>
      <c r="O1930" s="30"/>
      <c r="P1930" s="30"/>
      <c r="Q1930" s="30"/>
      <c r="R1930" s="30"/>
      <c r="S1930" s="30"/>
      <c r="T1930" s="30"/>
      <c r="U1930" s="30"/>
      <c r="V1930" s="30"/>
      <c r="W1930" s="30"/>
      <c r="X1930" s="30"/>
      <c r="Y1930" s="30"/>
      <c r="Z1930" s="30"/>
      <c r="AA1930" s="30"/>
      <c r="AB1930" s="30"/>
      <c r="AC1930" s="30"/>
      <c r="AD1930" s="30"/>
      <c r="AE1930" s="30"/>
      <c r="AF1930" s="30"/>
      <c r="AG1930" s="30"/>
      <c r="AH1930" s="30"/>
    </row>
    <row r="1931" spans="1:34" ht="13">
      <c r="A1931" s="30"/>
      <c r="B1931" s="30"/>
      <c r="C1931" s="30"/>
      <c r="D1931" s="30"/>
      <c r="E1931" s="30"/>
      <c r="F1931" s="30"/>
      <c r="G1931" s="30"/>
      <c r="H1931" s="48"/>
      <c r="I1931" s="49"/>
      <c r="J1931" s="49"/>
      <c r="K1931" s="48"/>
      <c r="L1931" s="50"/>
      <c r="M1931" s="30"/>
      <c r="N1931" s="30"/>
      <c r="O1931" s="30"/>
      <c r="P1931" s="30"/>
      <c r="Q1931" s="30"/>
      <c r="R1931" s="30"/>
      <c r="S1931" s="30"/>
      <c r="T1931" s="30"/>
      <c r="U1931" s="30"/>
      <c r="V1931" s="30"/>
      <c r="W1931" s="30"/>
      <c r="X1931" s="30"/>
      <c r="Y1931" s="30"/>
      <c r="Z1931" s="30"/>
      <c r="AA1931" s="30"/>
      <c r="AB1931" s="30"/>
      <c r="AC1931" s="30"/>
      <c r="AD1931" s="30"/>
      <c r="AE1931" s="30"/>
      <c r="AF1931" s="30"/>
      <c r="AG1931" s="30"/>
      <c r="AH1931" s="30"/>
    </row>
    <row r="1932" spans="1:34" ht="13">
      <c r="A1932" s="30"/>
      <c r="B1932" s="30"/>
      <c r="C1932" s="30"/>
      <c r="D1932" s="30"/>
      <c r="E1932" s="30"/>
      <c r="F1932" s="30"/>
      <c r="G1932" s="30"/>
      <c r="H1932" s="48"/>
      <c r="I1932" s="49"/>
      <c r="J1932" s="49"/>
      <c r="K1932" s="48"/>
      <c r="L1932" s="50"/>
      <c r="M1932" s="30"/>
      <c r="N1932" s="30"/>
      <c r="O1932" s="30"/>
      <c r="P1932" s="30"/>
      <c r="Q1932" s="30"/>
      <c r="R1932" s="30"/>
      <c r="S1932" s="30"/>
      <c r="T1932" s="30"/>
      <c r="U1932" s="30"/>
      <c r="V1932" s="30"/>
      <c r="W1932" s="30"/>
      <c r="X1932" s="30"/>
      <c r="Y1932" s="30"/>
      <c r="Z1932" s="30"/>
      <c r="AA1932" s="30"/>
      <c r="AB1932" s="30"/>
      <c r="AC1932" s="30"/>
      <c r="AD1932" s="30"/>
      <c r="AE1932" s="30"/>
      <c r="AF1932" s="30"/>
      <c r="AG1932" s="30"/>
      <c r="AH1932" s="30"/>
    </row>
    <row r="1933" spans="1:34" ht="13">
      <c r="A1933" s="30"/>
      <c r="B1933" s="30"/>
      <c r="C1933" s="30"/>
      <c r="D1933" s="30"/>
      <c r="E1933" s="30"/>
      <c r="F1933" s="30"/>
      <c r="G1933" s="30"/>
      <c r="H1933" s="48"/>
      <c r="I1933" s="49"/>
      <c r="J1933" s="49"/>
      <c r="K1933" s="48"/>
      <c r="L1933" s="50"/>
      <c r="M1933" s="30"/>
      <c r="N1933" s="30"/>
      <c r="O1933" s="30"/>
      <c r="P1933" s="30"/>
      <c r="Q1933" s="30"/>
      <c r="R1933" s="30"/>
      <c r="S1933" s="30"/>
      <c r="T1933" s="30"/>
      <c r="U1933" s="30"/>
      <c r="V1933" s="30"/>
      <c r="W1933" s="30"/>
      <c r="X1933" s="30"/>
      <c r="Y1933" s="30"/>
      <c r="Z1933" s="30"/>
      <c r="AA1933" s="30"/>
      <c r="AB1933" s="30"/>
      <c r="AC1933" s="30"/>
      <c r="AD1933" s="30"/>
      <c r="AE1933" s="30"/>
      <c r="AF1933" s="30"/>
      <c r="AG1933" s="30"/>
      <c r="AH1933" s="30"/>
    </row>
    <row r="1934" spans="1:34" ht="13">
      <c r="A1934" s="30"/>
      <c r="B1934" s="30"/>
      <c r="C1934" s="30"/>
      <c r="D1934" s="30"/>
      <c r="E1934" s="30"/>
      <c r="F1934" s="30"/>
      <c r="G1934" s="30"/>
      <c r="H1934" s="48"/>
      <c r="I1934" s="49"/>
      <c r="J1934" s="49"/>
      <c r="K1934" s="48"/>
      <c r="L1934" s="50"/>
      <c r="M1934" s="30"/>
      <c r="N1934" s="30"/>
      <c r="O1934" s="30"/>
      <c r="P1934" s="30"/>
      <c r="Q1934" s="30"/>
      <c r="R1934" s="30"/>
      <c r="S1934" s="30"/>
      <c r="T1934" s="30"/>
      <c r="U1934" s="30"/>
      <c r="V1934" s="30"/>
      <c r="W1934" s="30"/>
      <c r="X1934" s="30"/>
      <c r="Y1934" s="30"/>
      <c r="Z1934" s="30"/>
      <c r="AA1934" s="30"/>
      <c r="AB1934" s="30"/>
      <c r="AC1934" s="30"/>
      <c r="AD1934" s="30"/>
      <c r="AE1934" s="30"/>
      <c r="AF1934" s="30"/>
      <c r="AG1934" s="30"/>
      <c r="AH1934" s="30"/>
    </row>
    <row r="1935" spans="1:34" ht="13">
      <c r="A1935" s="30"/>
      <c r="B1935" s="30"/>
      <c r="C1935" s="30"/>
      <c r="D1935" s="30"/>
      <c r="E1935" s="30"/>
      <c r="F1935" s="30"/>
      <c r="G1935" s="30"/>
      <c r="H1935" s="48"/>
      <c r="I1935" s="49"/>
      <c r="J1935" s="49"/>
      <c r="K1935" s="48"/>
      <c r="L1935" s="50"/>
      <c r="M1935" s="30"/>
      <c r="N1935" s="30"/>
      <c r="O1935" s="30"/>
      <c r="P1935" s="30"/>
      <c r="Q1935" s="30"/>
      <c r="R1935" s="30"/>
      <c r="S1935" s="30"/>
      <c r="T1935" s="30"/>
      <c r="U1935" s="30"/>
      <c r="V1935" s="30"/>
      <c r="W1935" s="30"/>
      <c r="X1935" s="30"/>
      <c r="Y1935" s="30"/>
      <c r="Z1935" s="30"/>
      <c r="AA1935" s="30"/>
      <c r="AB1935" s="30"/>
      <c r="AC1935" s="30"/>
      <c r="AD1935" s="30"/>
      <c r="AE1935" s="30"/>
      <c r="AF1935" s="30"/>
      <c r="AG1935" s="30"/>
      <c r="AH1935" s="30"/>
    </row>
    <row r="1936" spans="1:34" ht="13">
      <c r="A1936" s="30"/>
      <c r="B1936" s="30"/>
      <c r="C1936" s="30"/>
      <c r="D1936" s="30"/>
      <c r="E1936" s="30"/>
      <c r="F1936" s="30"/>
      <c r="G1936" s="30"/>
      <c r="H1936" s="48"/>
      <c r="I1936" s="49"/>
      <c r="J1936" s="49"/>
      <c r="K1936" s="48"/>
      <c r="L1936" s="50"/>
      <c r="M1936" s="30"/>
      <c r="N1936" s="30"/>
      <c r="O1936" s="30"/>
      <c r="P1936" s="30"/>
      <c r="Q1936" s="30"/>
      <c r="R1936" s="30"/>
      <c r="S1936" s="30"/>
      <c r="T1936" s="30"/>
      <c r="U1936" s="30"/>
      <c r="V1936" s="30"/>
      <c r="W1936" s="30"/>
      <c r="X1936" s="30"/>
      <c r="Y1936" s="30"/>
      <c r="Z1936" s="30"/>
      <c r="AA1936" s="30"/>
      <c r="AB1936" s="30"/>
      <c r="AC1936" s="30"/>
      <c r="AD1936" s="30"/>
      <c r="AE1936" s="30"/>
      <c r="AF1936" s="30"/>
      <c r="AG1936" s="30"/>
      <c r="AH1936" s="30"/>
    </row>
    <row r="1937" spans="1:34" ht="13">
      <c r="A1937" s="30"/>
      <c r="B1937" s="30"/>
      <c r="C1937" s="30"/>
      <c r="D1937" s="30"/>
      <c r="E1937" s="30"/>
      <c r="F1937" s="30"/>
      <c r="G1937" s="30"/>
      <c r="H1937" s="48"/>
      <c r="I1937" s="49"/>
      <c r="J1937" s="49"/>
      <c r="K1937" s="48"/>
      <c r="L1937" s="50"/>
      <c r="M1937" s="30"/>
      <c r="N1937" s="30"/>
      <c r="O1937" s="30"/>
      <c r="P1937" s="30"/>
      <c r="Q1937" s="30"/>
      <c r="R1937" s="30"/>
      <c r="S1937" s="30"/>
      <c r="T1937" s="30"/>
      <c r="U1937" s="30"/>
      <c r="V1937" s="30"/>
      <c r="W1937" s="30"/>
      <c r="X1937" s="30"/>
      <c r="Y1937" s="30"/>
      <c r="Z1937" s="30"/>
      <c r="AA1937" s="30"/>
      <c r="AB1937" s="30"/>
      <c r="AC1937" s="30"/>
      <c r="AD1937" s="30"/>
      <c r="AE1937" s="30"/>
      <c r="AF1937" s="30"/>
      <c r="AG1937" s="30"/>
      <c r="AH1937" s="30"/>
    </row>
    <row r="1938" spans="1:34" ht="13">
      <c r="A1938" s="30"/>
      <c r="B1938" s="30"/>
      <c r="C1938" s="30"/>
      <c r="D1938" s="30"/>
      <c r="E1938" s="30"/>
      <c r="F1938" s="30"/>
      <c r="G1938" s="30"/>
      <c r="H1938" s="48"/>
      <c r="I1938" s="49"/>
      <c r="J1938" s="49"/>
      <c r="K1938" s="48"/>
      <c r="L1938" s="50"/>
      <c r="M1938" s="30"/>
      <c r="N1938" s="30"/>
      <c r="O1938" s="30"/>
      <c r="P1938" s="30"/>
      <c r="Q1938" s="30"/>
      <c r="R1938" s="30"/>
      <c r="S1938" s="30"/>
      <c r="T1938" s="30"/>
      <c r="U1938" s="30"/>
      <c r="V1938" s="30"/>
      <c r="W1938" s="30"/>
      <c r="X1938" s="30"/>
      <c r="Y1938" s="30"/>
      <c r="Z1938" s="30"/>
      <c r="AA1938" s="30"/>
      <c r="AB1938" s="30"/>
      <c r="AC1938" s="30"/>
      <c r="AD1938" s="30"/>
      <c r="AE1938" s="30"/>
      <c r="AF1938" s="30"/>
      <c r="AG1938" s="30"/>
      <c r="AH1938" s="30"/>
    </row>
    <row r="1939" spans="1:34" ht="13">
      <c r="A1939" s="30"/>
      <c r="B1939" s="30"/>
      <c r="C1939" s="30"/>
      <c r="D1939" s="30"/>
      <c r="E1939" s="30"/>
      <c r="F1939" s="30"/>
      <c r="G1939" s="30"/>
      <c r="H1939" s="48"/>
      <c r="I1939" s="49"/>
      <c r="J1939" s="49"/>
      <c r="K1939" s="48"/>
      <c r="L1939" s="50"/>
      <c r="M1939" s="30"/>
      <c r="N1939" s="30"/>
      <c r="O1939" s="30"/>
      <c r="P1939" s="30"/>
      <c r="Q1939" s="30"/>
      <c r="R1939" s="30"/>
      <c r="S1939" s="30"/>
      <c r="T1939" s="30"/>
      <c r="U1939" s="30"/>
      <c r="V1939" s="30"/>
      <c r="W1939" s="30"/>
      <c r="X1939" s="30"/>
      <c r="Y1939" s="30"/>
      <c r="Z1939" s="30"/>
      <c r="AA1939" s="30"/>
      <c r="AB1939" s="30"/>
      <c r="AC1939" s="30"/>
      <c r="AD1939" s="30"/>
      <c r="AE1939" s="30"/>
      <c r="AF1939" s="30"/>
      <c r="AG1939" s="30"/>
      <c r="AH1939" s="30"/>
    </row>
    <row r="1940" spans="1:34" ht="13">
      <c r="A1940" s="30"/>
      <c r="B1940" s="30"/>
      <c r="C1940" s="30"/>
      <c r="D1940" s="30"/>
      <c r="E1940" s="30"/>
      <c r="F1940" s="30"/>
      <c r="G1940" s="30"/>
      <c r="H1940" s="48"/>
      <c r="I1940" s="49"/>
      <c r="J1940" s="49"/>
      <c r="K1940" s="48"/>
      <c r="L1940" s="50"/>
      <c r="M1940" s="30"/>
      <c r="N1940" s="30"/>
      <c r="O1940" s="30"/>
      <c r="P1940" s="30"/>
      <c r="Q1940" s="30"/>
      <c r="R1940" s="30"/>
      <c r="S1940" s="30"/>
      <c r="T1940" s="30"/>
      <c r="U1940" s="30"/>
      <c r="V1940" s="30"/>
      <c r="W1940" s="30"/>
      <c r="X1940" s="30"/>
      <c r="Y1940" s="30"/>
      <c r="Z1940" s="30"/>
      <c r="AA1940" s="30"/>
      <c r="AB1940" s="30"/>
      <c r="AC1940" s="30"/>
      <c r="AD1940" s="30"/>
      <c r="AE1940" s="30"/>
      <c r="AF1940" s="30"/>
      <c r="AG1940" s="30"/>
      <c r="AH1940" s="30"/>
    </row>
    <row r="1941" spans="1:34" ht="13">
      <c r="A1941" s="30"/>
      <c r="B1941" s="30"/>
      <c r="C1941" s="30"/>
      <c r="D1941" s="30"/>
      <c r="E1941" s="30"/>
      <c r="F1941" s="30"/>
      <c r="G1941" s="30"/>
      <c r="H1941" s="48"/>
      <c r="I1941" s="49"/>
      <c r="J1941" s="49"/>
      <c r="K1941" s="48"/>
      <c r="L1941" s="50"/>
      <c r="M1941" s="30"/>
      <c r="N1941" s="30"/>
      <c r="O1941" s="30"/>
      <c r="P1941" s="30"/>
      <c r="Q1941" s="30"/>
      <c r="R1941" s="30"/>
      <c r="S1941" s="30"/>
      <c r="T1941" s="30"/>
      <c r="U1941" s="30"/>
      <c r="V1941" s="30"/>
      <c r="W1941" s="30"/>
      <c r="X1941" s="30"/>
      <c r="Y1941" s="30"/>
      <c r="Z1941" s="30"/>
      <c r="AA1941" s="30"/>
      <c r="AB1941" s="30"/>
      <c r="AC1941" s="30"/>
      <c r="AD1941" s="30"/>
      <c r="AE1941" s="30"/>
      <c r="AF1941" s="30"/>
      <c r="AG1941" s="30"/>
      <c r="AH1941" s="30"/>
    </row>
    <row r="1942" spans="1:34" ht="13">
      <c r="A1942" s="30"/>
      <c r="B1942" s="30"/>
      <c r="C1942" s="30"/>
      <c r="D1942" s="30"/>
      <c r="E1942" s="30"/>
      <c r="F1942" s="30"/>
      <c r="G1942" s="30"/>
      <c r="H1942" s="48"/>
      <c r="I1942" s="49"/>
      <c r="J1942" s="49"/>
      <c r="K1942" s="48"/>
      <c r="L1942" s="50"/>
      <c r="M1942" s="30"/>
      <c r="N1942" s="30"/>
      <c r="O1942" s="30"/>
      <c r="P1942" s="30"/>
      <c r="Q1942" s="30"/>
      <c r="R1942" s="30"/>
      <c r="S1942" s="30"/>
      <c r="T1942" s="30"/>
      <c r="U1942" s="30"/>
      <c r="V1942" s="30"/>
      <c r="W1942" s="30"/>
      <c r="X1942" s="30"/>
      <c r="Y1942" s="30"/>
      <c r="Z1942" s="30"/>
      <c r="AA1942" s="30"/>
      <c r="AB1942" s="30"/>
      <c r="AC1942" s="30"/>
      <c r="AD1942" s="30"/>
      <c r="AE1942" s="30"/>
      <c r="AF1942" s="30"/>
      <c r="AG1942" s="30"/>
      <c r="AH1942" s="30"/>
    </row>
    <row r="1943" spans="1:34" ht="13">
      <c r="A1943" s="30"/>
      <c r="B1943" s="30"/>
      <c r="C1943" s="30"/>
      <c r="D1943" s="30"/>
      <c r="E1943" s="30"/>
      <c r="F1943" s="30"/>
      <c r="G1943" s="30"/>
      <c r="H1943" s="48"/>
      <c r="I1943" s="49"/>
      <c r="J1943" s="49"/>
      <c r="K1943" s="48"/>
      <c r="L1943" s="50"/>
      <c r="M1943" s="30"/>
      <c r="N1943" s="30"/>
      <c r="O1943" s="30"/>
      <c r="P1943" s="30"/>
      <c r="Q1943" s="30"/>
      <c r="R1943" s="30"/>
      <c r="S1943" s="30"/>
      <c r="T1943" s="30"/>
      <c r="U1943" s="30"/>
      <c r="V1943" s="30"/>
      <c r="W1943" s="30"/>
      <c r="X1943" s="30"/>
      <c r="Y1943" s="30"/>
      <c r="Z1943" s="30"/>
      <c r="AA1943" s="30"/>
      <c r="AB1943" s="30"/>
      <c r="AC1943" s="30"/>
      <c r="AD1943" s="30"/>
      <c r="AE1943" s="30"/>
      <c r="AF1943" s="30"/>
      <c r="AG1943" s="30"/>
      <c r="AH1943" s="30"/>
    </row>
    <row r="1944" spans="1:34" ht="13">
      <c r="A1944" s="30"/>
      <c r="B1944" s="30"/>
      <c r="C1944" s="30"/>
      <c r="D1944" s="30"/>
      <c r="E1944" s="30"/>
      <c r="F1944" s="30"/>
      <c r="G1944" s="30"/>
      <c r="H1944" s="48"/>
      <c r="I1944" s="49"/>
      <c r="J1944" s="49"/>
      <c r="K1944" s="48"/>
      <c r="L1944" s="50"/>
      <c r="M1944" s="30"/>
      <c r="N1944" s="30"/>
      <c r="O1944" s="30"/>
      <c r="P1944" s="30"/>
      <c r="Q1944" s="30"/>
      <c r="R1944" s="30"/>
      <c r="S1944" s="30"/>
      <c r="T1944" s="30"/>
      <c r="U1944" s="30"/>
      <c r="V1944" s="30"/>
      <c r="W1944" s="30"/>
      <c r="X1944" s="30"/>
      <c r="Y1944" s="30"/>
      <c r="Z1944" s="30"/>
      <c r="AA1944" s="30"/>
      <c r="AB1944" s="30"/>
      <c r="AC1944" s="30"/>
      <c r="AD1944" s="30"/>
      <c r="AE1944" s="30"/>
      <c r="AF1944" s="30"/>
      <c r="AG1944" s="30"/>
      <c r="AH1944" s="30"/>
    </row>
    <row r="1945" spans="1:34" ht="13">
      <c r="A1945" s="30"/>
      <c r="B1945" s="30"/>
      <c r="C1945" s="30"/>
      <c r="D1945" s="30"/>
      <c r="E1945" s="30"/>
      <c r="F1945" s="30"/>
      <c r="G1945" s="30"/>
      <c r="H1945" s="48"/>
      <c r="I1945" s="49"/>
      <c r="J1945" s="49"/>
      <c r="K1945" s="48"/>
      <c r="L1945" s="50"/>
      <c r="M1945" s="30"/>
      <c r="N1945" s="30"/>
      <c r="O1945" s="30"/>
      <c r="P1945" s="30"/>
      <c r="Q1945" s="30"/>
      <c r="R1945" s="30"/>
      <c r="S1945" s="30"/>
      <c r="T1945" s="30"/>
      <c r="U1945" s="30"/>
      <c r="V1945" s="30"/>
      <c r="W1945" s="30"/>
      <c r="X1945" s="30"/>
      <c r="Y1945" s="30"/>
      <c r="Z1945" s="30"/>
      <c r="AA1945" s="30"/>
      <c r="AB1945" s="30"/>
      <c r="AC1945" s="30"/>
      <c r="AD1945" s="30"/>
      <c r="AE1945" s="30"/>
      <c r="AF1945" s="30"/>
      <c r="AG1945" s="30"/>
      <c r="AH1945" s="30"/>
    </row>
    <row r="1946" spans="1:34" ht="13">
      <c r="A1946" s="30"/>
      <c r="B1946" s="30"/>
      <c r="C1946" s="30"/>
      <c r="D1946" s="30"/>
      <c r="E1946" s="30"/>
      <c r="F1946" s="30"/>
      <c r="G1946" s="30"/>
      <c r="H1946" s="48"/>
      <c r="I1946" s="49"/>
      <c r="J1946" s="49"/>
      <c r="K1946" s="48"/>
      <c r="L1946" s="50"/>
      <c r="M1946" s="30"/>
      <c r="N1946" s="30"/>
      <c r="O1946" s="30"/>
      <c r="P1946" s="30"/>
      <c r="Q1946" s="30"/>
      <c r="R1946" s="30"/>
      <c r="S1946" s="30"/>
      <c r="T1946" s="30"/>
      <c r="U1946" s="30"/>
      <c r="V1946" s="30"/>
      <c r="W1946" s="30"/>
      <c r="X1946" s="30"/>
      <c r="Y1946" s="30"/>
      <c r="Z1946" s="30"/>
      <c r="AA1946" s="30"/>
      <c r="AB1946" s="30"/>
      <c r="AC1946" s="30"/>
      <c r="AD1946" s="30"/>
      <c r="AE1946" s="30"/>
      <c r="AF1946" s="30"/>
      <c r="AG1946" s="30"/>
      <c r="AH1946" s="30"/>
    </row>
    <row r="1947" spans="1:34" ht="13">
      <c r="A1947" s="30"/>
      <c r="B1947" s="30"/>
      <c r="C1947" s="30"/>
      <c r="D1947" s="30"/>
      <c r="E1947" s="30"/>
      <c r="F1947" s="30"/>
      <c r="G1947" s="30"/>
      <c r="H1947" s="48"/>
      <c r="I1947" s="49"/>
      <c r="J1947" s="49"/>
      <c r="K1947" s="48"/>
      <c r="L1947" s="50"/>
      <c r="M1947" s="30"/>
      <c r="N1947" s="30"/>
      <c r="O1947" s="30"/>
      <c r="P1947" s="30"/>
      <c r="Q1947" s="30"/>
      <c r="R1947" s="30"/>
      <c r="S1947" s="30"/>
      <c r="T1947" s="30"/>
      <c r="U1947" s="30"/>
      <c r="V1947" s="30"/>
      <c r="W1947" s="30"/>
      <c r="X1947" s="30"/>
      <c r="Y1947" s="30"/>
      <c r="Z1947" s="30"/>
      <c r="AA1947" s="30"/>
      <c r="AB1947" s="30"/>
      <c r="AC1947" s="30"/>
      <c r="AD1947" s="30"/>
      <c r="AE1947" s="30"/>
      <c r="AF1947" s="30"/>
      <c r="AG1947" s="30"/>
      <c r="AH1947" s="30"/>
    </row>
    <row r="1948" spans="1:34" ht="13">
      <c r="A1948" s="30"/>
      <c r="B1948" s="30"/>
      <c r="C1948" s="30"/>
      <c r="D1948" s="30"/>
      <c r="E1948" s="30"/>
      <c r="F1948" s="30"/>
      <c r="G1948" s="30"/>
      <c r="H1948" s="48"/>
      <c r="I1948" s="49"/>
      <c r="J1948" s="49"/>
      <c r="K1948" s="48"/>
      <c r="L1948" s="50"/>
      <c r="M1948" s="30"/>
      <c r="N1948" s="30"/>
      <c r="O1948" s="30"/>
      <c r="P1948" s="30"/>
      <c r="Q1948" s="30"/>
      <c r="R1948" s="30"/>
      <c r="S1948" s="30"/>
      <c r="T1948" s="30"/>
      <c r="U1948" s="30"/>
      <c r="V1948" s="30"/>
      <c r="W1948" s="30"/>
      <c r="X1948" s="30"/>
      <c r="Y1948" s="30"/>
      <c r="Z1948" s="30"/>
      <c r="AA1948" s="30"/>
      <c r="AB1948" s="30"/>
      <c r="AC1948" s="30"/>
      <c r="AD1948" s="30"/>
      <c r="AE1948" s="30"/>
      <c r="AF1948" s="30"/>
      <c r="AG1948" s="30"/>
      <c r="AH1948" s="30"/>
    </row>
    <row r="1949" spans="1:34" ht="13">
      <c r="A1949" s="30"/>
      <c r="B1949" s="30"/>
      <c r="C1949" s="30"/>
      <c r="D1949" s="30"/>
      <c r="E1949" s="30"/>
      <c r="F1949" s="30"/>
      <c r="G1949" s="30"/>
      <c r="H1949" s="48"/>
      <c r="I1949" s="49"/>
      <c r="J1949" s="49"/>
      <c r="K1949" s="48"/>
      <c r="L1949" s="50"/>
      <c r="M1949" s="30"/>
      <c r="N1949" s="30"/>
      <c r="O1949" s="30"/>
      <c r="P1949" s="30"/>
      <c r="Q1949" s="30"/>
      <c r="R1949" s="30"/>
      <c r="S1949" s="30"/>
      <c r="T1949" s="30"/>
      <c r="U1949" s="30"/>
      <c r="V1949" s="30"/>
      <c r="W1949" s="30"/>
      <c r="X1949" s="30"/>
      <c r="Y1949" s="30"/>
      <c r="Z1949" s="30"/>
      <c r="AA1949" s="30"/>
      <c r="AB1949" s="30"/>
      <c r="AC1949" s="30"/>
      <c r="AD1949" s="30"/>
      <c r="AE1949" s="30"/>
      <c r="AF1949" s="30"/>
      <c r="AG1949" s="30"/>
      <c r="AH1949" s="30"/>
    </row>
    <row r="1950" spans="1:34" ht="13">
      <c r="A1950" s="30"/>
      <c r="B1950" s="30"/>
      <c r="C1950" s="30"/>
      <c r="D1950" s="30"/>
      <c r="E1950" s="30"/>
      <c r="F1950" s="30"/>
      <c r="G1950" s="30"/>
      <c r="H1950" s="48"/>
      <c r="I1950" s="49"/>
      <c r="J1950" s="49"/>
      <c r="K1950" s="48"/>
      <c r="L1950" s="50"/>
      <c r="M1950" s="30"/>
      <c r="N1950" s="30"/>
      <c r="O1950" s="30"/>
      <c r="P1950" s="30"/>
      <c r="Q1950" s="30"/>
      <c r="R1950" s="30"/>
      <c r="S1950" s="30"/>
      <c r="T1950" s="30"/>
      <c r="U1950" s="30"/>
      <c r="V1950" s="30"/>
      <c r="W1950" s="30"/>
      <c r="X1950" s="30"/>
      <c r="Y1950" s="30"/>
      <c r="Z1950" s="30"/>
      <c r="AA1950" s="30"/>
      <c r="AB1950" s="30"/>
      <c r="AC1950" s="30"/>
      <c r="AD1950" s="30"/>
      <c r="AE1950" s="30"/>
      <c r="AF1950" s="30"/>
      <c r="AG1950" s="30"/>
      <c r="AH1950" s="30"/>
    </row>
    <row r="1951" spans="1:34" ht="13">
      <c r="A1951" s="30"/>
      <c r="B1951" s="30"/>
      <c r="C1951" s="30"/>
      <c r="D1951" s="30"/>
      <c r="E1951" s="30"/>
      <c r="F1951" s="30"/>
      <c r="G1951" s="30"/>
      <c r="H1951" s="48"/>
      <c r="I1951" s="49"/>
      <c r="J1951" s="49"/>
      <c r="K1951" s="48"/>
      <c r="L1951" s="50"/>
      <c r="M1951" s="30"/>
      <c r="N1951" s="30"/>
      <c r="O1951" s="30"/>
      <c r="P1951" s="30"/>
      <c r="Q1951" s="30"/>
      <c r="R1951" s="30"/>
      <c r="S1951" s="30"/>
      <c r="T1951" s="30"/>
      <c r="U1951" s="30"/>
      <c r="V1951" s="30"/>
      <c r="W1951" s="30"/>
      <c r="X1951" s="30"/>
      <c r="Y1951" s="30"/>
      <c r="Z1951" s="30"/>
      <c r="AA1951" s="30"/>
      <c r="AB1951" s="30"/>
      <c r="AC1951" s="30"/>
      <c r="AD1951" s="30"/>
      <c r="AE1951" s="30"/>
      <c r="AF1951" s="30"/>
      <c r="AG1951" s="30"/>
      <c r="AH1951" s="30"/>
    </row>
    <row r="1952" spans="1:34" ht="13">
      <c r="A1952" s="30"/>
      <c r="B1952" s="30"/>
      <c r="C1952" s="30"/>
      <c r="D1952" s="30"/>
      <c r="E1952" s="30"/>
      <c r="F1952" s="30"/>
      <c r="G1952" s="30"/>
      <c r="H1952" s="48"/>
      <c r="I1952" s="49"/>
      <c r="J1952" s="49"/>
      <c r="K1952" s="48"/>
      <c r="L1952" s="50"/>
      <c r="M1952" s="30"/>
      <c r="N1952" s="30"/>
      <c r="O1952" s="30"/>
      <c r="P1952" s="30"/>
      <c r="Q1952" s="30"/>
      <c r="R1952" s="30"/>
      <c r="S1952" s="30"/>
      <c r="T1952" s="30"/>
      <c r="U1952" s="30"/>
      <c r="V1952" s="30"/>
      <c r="W1952" s="30"/>
      <c r="X1952" s="30"/>
      <c r="Y1952" s="30"/>
      <c r="Z1952" s="30"/>
      <c r="AA1952" s="30"/>
      <c r="AB1952" s="30"/>
      <c r="AC1952" s="30"/>
      <c r="AD1952" s="30"/>
      <c r="AE1952" s="30"/>
      <c r="AF1952" s="30"/>
      <c r="AG1952" s="30"/>
      <c r="AH1952" s="30"/>
    </row>
    <row r="1953" spans="1:34" ht="13">
      <c r="A1953" s="30"/>
      <c r="B1953" s="30"/>
      <c r="C1953" s="30"/>
      <c r="D1953" s="30"/>
      <c r="E1953" s="30"/>
      <c r="F1953" s="30"/>
      <c r="G1953" s="30"/>
      <c r="H1953" s="48"/>
      <c r="I1953" s="49"/>
      <c r="J1953" s="49"/>
      <c r="K1953" s="48"/>
      <c r="L1953" s="50"/>
      <c r="M1953" s="30"/>
      <c r="N1953" s="30"/>
      <c r="O1953" s="30"/>
      <c r="P1953" s="30"/>
      <c r="Q1953" s="30"/>
      <c r="R1953" s="30"/>
      <c r="S1953" s="30"/>
      <c r="T1953" s="30"/>
      <c r="U1953" s="30"/>
      <c r="V1953" s="30"/>
      <c r="W1953" s="30"/>
      <c r="X1953" s="30"/>
      <c r="Y1953" s="30"/>
      <c r="Z1953" s="30"/>
      <c r="AA1953" s="30"/>
      <c r="AB1953" s="30"/>
      <c r="AC1953" s="30"/>
      <c r="AD1953" s="30"/>
      <c r="AE1953" s="30"/>
      <c r="AF1953" s="30"/>
      <c r="AG1953" s="30"/>
      <c r="AH1953" s="30"/>
    </row>
    <row r="1954" spans="1:34" ht="13">
      <c r="A1954" s="30"/>
      <c r="B1954" s="30"/>
      <c r="C1954" s="30"/>
      <c r="D1954" s="30"/>
      <c r="E1954" s="30"/>
      <c r="F1954" s="30"/>
      <c r="G1954" s="30"/>
      <c r="H1954" s="48"/>
      <c r="I1954" s="49"/>
      <c r="J1954" s="49"/>
      <c r="K1954" s="48"/>
      <c r="L1954" s="50"/>
      <c r="M1954" s="30"/>
      <c r="N1954" s="30"/>
      <c r="O1954" s="30"/>
      <c r="P1954" s="30"/>
      <c r="Q1954" s="30"/>
      <c r="R1954" s="30"/>
      <c r="S1954" s="30"/>
      <c r="T1954" s="30"/>
      <c r="U1954" s="30"/>
      <c r="V1954" s="30"/>
      <c r="W1954" s="30"/>
      <c r="X1954" s="30"/>
      <c r="Y1954" s="30"/>
      <c r="Z1954" s="30"/>
      <c r="AA1954" s="30"/>
      <c r="AB1954" s="30"/>
      <c r="AC1954" s="30"/>
      <c r="AD1954" s="30"/>
      <c r="AE1954" s="30"/>
      <c r="AF1954" s="30"/>
      <c r="AG1954" s="30"/>
      <c r="AH1954" s="30"/>
    </row>
    <row r="1955" spans="1:34" ht="13">
      <c r="A1955" s="30"/>
      <c r="B1955" s="30"/>
      <c r="C1955" s="30"/>
      <c r="D1955" s="30"/>
      <c r="E1955" s="30"/>
      <c r="F1955" s="30"/>
      <c r="G1955" s="30"/>
      <c r="H1955" s="48"/>
      <c r="I1955" s="49"/>
      <c r="J1955" s="49"/>
      <c r="K1955" s="48"/>
      <c r="L1955" s="50"/>
      <c r="M1955" s="30"/>
      <c r="N1955" s="30"/>
      <c r="O1955" s="30"/>
      <c r="P1955" s="30"/>
      <c r="Q1955" s="30"/>
      <c r="R1955" s="30"/>
      <c r="S1955" s="30"/>
      <c r="T1955" s="30"/>
      <c r="U1955" s="30"/>
      <c r="V1955" s="30"/>
      <c r="W1955" s="30"/>
      <c r="X1955" s="30"/>
      <c r="Y1955" s="30"/>
      <c r="Z1955" s="30"/>
      <c r="AA1955" s="30"/>
      <c r="AB1955" s="30"/>
      <c r="AC1955" s="30"/>
      <c r="AD1955" s="30"/>
      <c r="AE1955" s="30"/>
      <c r="AF1955" s="30"/>
      <c r="AG1955" s="30"/>
      <c r="AH1955" s="30"/>
    </row>
    <row r="1956" spans="1:34" ht="13">
      <c r="A1956" s="30"/>
      <c r="B1956" s="30"/>
      <c r="C1956" s="30"/>
      <c r="D1956" s="30"/>
      <c r="E1956" s="30"/>
      <c r="F1956" s="30"/>
      <c r="G1956" s="30"/>
      <c r="H1956" s="48"/>
      <c r="I1956" s="49"/>
      <c r="J1956" s="49"/>
      <c r="K1956" s="48"/>
      <c r="L1956" s="50"/>
      <c r="M1956" s="30"/>
      <c r="N1956" s="30"/>
      <c r="O1956" s="30"/>
      <c r="P1956" s="30"/>
      <c r="Q1956" s="30"/>
      <c r="R1956" s="30"/>
      <c r="S1956" s="30"/>
      <c r="T1956" s="30"/>
      <c r="U1956" s="30"/>
      <c r="V1956" s="30"/>
      <c r="W1956" s="30"/>
      <c r="X1956" s="30"/>
      <c r="Y1956" s="30"/>
      <c r="Z1956" s="30"/>
      <c r="AA1956" s="30"/>
      <c r="AB1956" s="30"/>
      <c r="AC1956" s="30"/>
      <c r="AD1956" s="30"/>
      <c r="AE1956" s="30"/>
      <c r="AF1956" s="30"/>
      <c r="AG1956" s="30"/>
      <c r="AH1956" s="30"/>
    </row>
    <row r="1957" spans="1:34" ht="13">
      <c r="A1957" s="30"/>
      <c r="B1957" s="30"/>
      <c r="C1957" s="30"/>
      <c r="D1957" s="30"/>
      <c r="E1957" s="30"/>
      <c r="F1957" s="30"/>
      <c r="G1957" s="30"/>
      <c r="H1957" s="48"/>
      <c r="I1957" s="49"/>
      <c r="J1957" s="49"/>
      <c r="K1957" s="48"/>
      <c r="L1957" s="50"/>
      <c r="M1957" s="30"/>
      <c r="N1957" s="30"/>
      <c r="O1957" s="30"/>
      <c r="P1957" s="30"/>
      <c r="Q1957" s="30"/>
      <c r="R1957" s="30"/>
      <c r="S1957" s="30"/>
      <c r="T1957" s="30"/>
      <c r="U1957" s="30"/>
      <c r="V1957" s="30"/>
      <c r="W1957" s="30"/>
      <c r="X1957" s="30"/>
      <c r="Y1957" s="30"/>
      <c r="Z1957" s="30"/>
      <c r="AA1957" s="30"/>
      <c r="AB1957" s="30"/>
      <c r="AC1957" s="30"/>
      <c r="AD1957" s="30"/>
      <c r="AE1957" s="30"/>
      <c r="AF1957" s="30"/>
      <c r="AG1957" s="30"/>
      <c r="AH1957" s="30"/>
    </row>
    <row r="1958" spans="1:34" ht="13">
      <c r="A1958" s="30"/>
      <c r="B1958" s="30"/>
      <c r="C1958" s="30"/>
      <c r="D1958" s="30"/>
      <c r="E1958" s="30"/>
      <c r="F1958" s="30"/>
      <c r="G1958" s="30"/>
      <c r="H1958" s="48"/>
      <c r="I1958" s="49"/>
      <c r="J1958" s="49"/>
      <c r="K1958" s="48"/>
      <c r="L1958" s="50"/>
      <c r="M1958" s="30"/>
      <c r="N1958" s="30"/>
      <c r="O1958" s="30"/>
      <c r="P1958" s="30"/>
      <c r="Q1958" s="30"/>
      <c r="R1958" s="30"/>
      <c r="S1958" s="30"/>
      <c r="T1958" s="30"/>
      <c r="U1958" s="30"/>
      <c r="V1958" s="30"/>
      <c r="W1958" s="30"/>
      <c r="X1958" s="30"/>
      <c r="Y1958" s="30"/>
      <c r="Z1958" s="30"/>
      <c r="AA1958" s="30"/>
      <c r="AB1958" s="30"/>
      <c r="AC1958" s="30"/>
      <c r="AD1958" s="30"/>
      <c r="AE1958" s="30"/>
      <c r="AF1958" s="30"/>
      <c r="AG1958" s="30"/>
      <c r="AH1958" s="30"/>
    </row>
    <row r="1959" spans="1:34" ht="13">
      <c r="A1959" s="30"/>
      <c r="B1959" s="30"/>
      <c r="C1959" s="30"/>
      <c r="D1959" s="30"/>
      <c r="E1959" s="30"/>
      <c r="F1959" s="30"/>
      <c r="G1959" s="30"/>
      <c r="H1959" s="48"/>
      <c r="I1959" s="49"/>
      <c r="J1959" s="49"/>
      <c r="K1959" s="48"/>
      <c r="L1959" s="50"/>
      <c r="M1959" s="30"/>
      <c r="N1959" s="30"/>
      <c r="O1959" s="30"/>
      <c r="P1959" s="30"/>
      <c r="Q1959" s="30"/>
      <c r="R1959" s="30"/>
      <c r="S1959" s="30"/>
      <c r="T1959" s="30"/>
      <c r="U1959" s="30"/>
      <c r="V1959" s="30"/>
      <c r="W1959" s="30"/>
      <c r="X1959" s="30"/>
      <c r="Y1959" s="30"/>
      <c r="Z1959" s="30"/>
      <c r="AA1959" s="30"/>
      <c r="AB1959" s="30"/>
      <c r="AC1959" s="30"/>
      <c r="AD1959" s="30"/>
      <c r="AE1959" s="30"/>
      <c r="AF1959" s="30"/>
      <c r="AG1959" s="30"/>
      <c r="AH1959" s="30"/>
    </row>
    <row r="1960" spans="1:34" ht="13">
      <c r="A1960" s="30"/>
      <c r="B1960" s="30"/>
      <c r="C1960" s="30"/>
      <c r="D1960" s="30"/>
      <c r="E1960" s="30"/>
      <c r="F1960" s="30"/>
      <c r="G1960" s="30"/>
      <c r="H1960" s="48"/>
      <c r="I1960" s="49"/>
      <c r="J1960" s="49"/>
      <c r="K1960" s="48"/>
      <c r="L1960" s="50"/>
      <c r="M1960" s="30"/>
      <c r="N1960" s="30"/>
      <c r="O1960" s="30"/>
      <c r="P1960" s="30"/>
      <c r="Q1960" s="30"/>
      <c r="R1960" s="30"/>
      <c r="S1960" s="30"/>
      <c r="T1960" s="30"/>
      <c r="U1960" s="30"/>
      <c r="V1960" s="30"/>
      <c r="W1960" s="30"/>
      <c r="X1960" s="30"/>
      <c r="Y1960" s="30"/>
      <c r="Z1960" s="30"/>
      <c r="AA1960" s="30"/>
      <c r="AB1960" s="30"/>
      <c r="AC1960" s="30"/>
      <c r="AD1960" s="30"/>
      <c r="AE1960" s="30"/>
      <c r="AF1960" s="30"/>
      <c r="AG1960" s="30"/>
      <c r="AH1960" s="30"/>
    </row>
    <row r="1961" spans="1:34" ht="13">
      <c r="A1961" s="30"/>
      <c r="B1961" s="30"/>
      <c r="C1961" s="30"/>
      <c r="D1961" s="30"/>
      <c r="E1961" s="30"/>
      <c r="F1961" s="30"/>
      <c r="G1961" s="30"/>
      <c r="H1961" s="48"/>
      <c r="I1961" s="49"/>
      <c r="J1961" s="49"/>
      <c r="K1961" s="48"/>
      <c r="L1961" s="50"/>
      <c r="M1961" s="30"/>
      <c r="N1961" s="30"/>
      <c r="O1961" s="30"/>
      <c r="P1961" s="30"/>
      <c r="Q1961" s="30"/>
      <c r="R1961" s="30"/>
      <c r="S1961" s="30"/>
      <c r="T1961" s="30"/>
      <c r="U1961" s="30"/>
      <c r="V1961" s="30"/>
      <c r="W1961" s="30"/>
      <c r="X1961" s="30"/>
      <c r="Y1961" s="30"/>
      <c r="Z1961" s="30"/>
      <c r="AA1961" s="30"/>
      <c r="AB1961" s="30"/>
      <c r="AC1961" s="30"/>
      <c r="AD1961" s="30"/>
      <c r="AE1961" s="30"/>
      <c r="AF1961" s="30"/>
      <c r="AG1961" s="30"/>
      <c r="AH1961" s="30"/>
    </row>
    <row r="1962" spans="1:34" ht="13">
      <c r="A1962" s="30"/>
      <c r="B1962" s="30"/>
      <c r="C1962" s="30"/>
      <c r="D1962" s="30"/>
      <c r="E1962" s="30"/>
      <c r="F1962" s="30"/>
      <c r="G1962" s="30"/>
      <c r="H1962" s="48"/>
      <c r="I1962" s="49"/>
      <c r="J1962" s="49"/>
      <c r="K1962" s="48"/>
      <c r="L1962" s="50"/>
      <c r="M1962" s="30"/>
      <c r="N1962" s="30"/>
      <c r="O1962" s="30"/>
      <c r="P1962" s="30"/>
      <c r="Q1962" s="30"/>
      <c r="R1962" s="30"/>
      <c r="S1962" s="30"/>
      <c r="T1962" s="30"/>
      <c r="U1962" s="30"/>
      <c r="V1962" s="30"/>
      <c r="W1962" s="30"/>
      <c r="X1962" s="30"/>
      <c r="Y1962" s="30"/>
      <c r="Z1962" s="30"/>
      <c r="AA1962" s="30"/>
      <c r="AB1962" s="30"/>
      <c r="AC1962" s="30"/>
      <c r="AD1962" s="30"/>
      <c r="AE1962" s="30"/>
      <c r="AF1962" s="30"/>
      <c r="AG1962" s="30"/>
      <c r="AH1962" s="30"/>
    </row>
    <row r="1963" spans="1:34" ht="13">
      <c r="A1963" s="30"/>
      <c r="B1963" s="30"/>
      <c r="C1963" s="30"/>
      <c r="D1963" s="30"/>
      <c r="E1963" s="30"/>
      <c r="F1963" s="30"/>
      <c r="G1963" s="30"/>
      <c r="H1963" s="48"/>
      <c r="I1963" s="49"/>
      <c r="J1963" s="49"/>
      <c r="K1963" s="48"/>
      <c r="L1963" s="50"/>
      <c r="M1963" s="30"/>
      <c r="N1963" s="30"/>
      <c r="O1963" s="30"/>
      <c r="P1963" s="30"/>
      <c r="Q1963" s="30"/>
      <c r="R1963" s="30"/>
      <c r="S1963" s="30"/>
      <c r="T1963" s="30"/>
      <c r="U1963" s="30"/>
      <c r="V1963" s="30"/>
      <c r="W1963" s="30"/>
      <c r="X1963" s="30"/>
      <c r="Y1963" s="30"/>
      <c r="Z1963" s="30"/>
      <c r="AA1963" s="30"/>
      <c r="AB1963" s="30"/>
      <c r="AC1963" s="30"/>
      <c r="AD1963" s="30"/>
      <c r="AE1963" s="30"/>
      <c r="AF1963" s="30"/>
      <c r="AG1963" s="30"/>
      <c r="AH1963" s="30"/>
    </row>
    <row r="1964" spans="1:34" ht="13">
      <c r="A1964" s="30"/>
      <c r="B1964" s="30"/>
      <c r="C1964" s="30"/>
      <c r="D1964" s="30"/>
      <c r="E1964" s="30"/>
      <c r="F1964" s="30"/>
      <c r="G1964" s="30"/>
      <c r="H1964" s="48"/>
      <c r="I1964" s="49"/>
      <c r="J1964" s="49"/>
      <c r="K1964" s="48"/>
      <c r="L1964" s="50"/>
      <c r="M1964" s="30"/>
      <c r="N1964" s="30"/>
      <c r="O1964" s="30"/>
      <c r="P1964" s="30"/>
      <c r="Q1964" s="30"/>
      <c r="R1964" s="30"/>
      <c r="S1964" s="30"/>
      <c r="T1964" s="30"/>
      <c r="U1964" s="30"/>
      <c r="V1964" s="30"/>
      <c r="W1964" s="30"/>
      <c r="X1964" s="30"/>
      <c r="Y1964" s="30"/>
      <c r="Z1964" s="30"/>
      <c r="AA1964" s="30"/>
      <c r="AB1964" s="30"/>
      <c r="AC1964" s="30"/>
      <c r="AD1964" s="30"/>
      <c r="AE1964" s="30"/>
      <c r="AF1964" s="30"/>
      <c r="AG1964" s="30"/>
      <c r="AH1964" s="30"/>
    </row>
    <row r="1965" spans="1:34" ht="13">
      <c r="A1965" s="30"/>
      <c r="B1965" s="30"/>
      <c r="C1965" s="30"/>
      <c r="D1965" s="30"/>
      <c r="E1965" s="30"/>
      <c r="F1965" s="30"/>
      <c r="G1965" s="30"/>
      <c r="H1965" s="48"/>
      <c r="I1965" s="49"/>
      <c r="J1965" s="49"/>
      <c r="K1965" s="48"/>
      <c r="L1965" s="50"/>
      <c r="M1965" s="30"/>
      <c r="N1965" s="30"/>
      <c r="O1965" s="30"/>
      <c r="P1965" s="30"/>
      <c r="Q1965" s="30"/>
      <c r="R1965" s="30"/>
      <c r="S1965" s="30"/>
      <c r="T1965" s="30"/>
      <c r="U1965" s="30"/>
      <c r="V1965" s="30"/>
      <c r="W1965" s="30"/>
      <c r="X1965" s="30"/>
      <c r="Y1965" s="30"/>
      <c r="Z1965" s="30"/>
      <c r="AA1965" s="30"/>
      <c r="AB1965" s="30"/>
      <c r="AC1965" s="30"/>
      <c r="AD1965" s="30"/>
      <c r="AE1965" s="30"/>
      <c r="AF1965" s="30"/>
      <c r="AG1965" s="30"/>
      <c r="AH1965" s="30"/>
    </row>
    <row r="1966" spans="1:34" ht="13">
      <c r="A1966" s="30"/>
      <c r="B1966" s="30"/>
      <c r="C1966" s="30"/>
      <c r="D1966" s="30"/>
      <c r="E1966" s="30"/>
      <c r="F1966" s="30"/>
      <c r="G1966" s="30"/>
      <c r="H1966" s="48"/>
      <c r="I1966" s="49"/>
      <c r="J1966" s="49"/>
      <c r="K1966" s="48"/>
      <c r="L1966" s="50"/>
      <c r="M1966" s="30"/>
      <c r="N1966" s="30"/>
      <c r="O1966" s="30"/>
      <c r="P1966" s="30"/>
      <c r="Q1966" s="30"/>
      <c r="R1966" s="30"/>
      <c r="S1966" s="30"/>
      <c r="T1966" s="30"/>
      <c r="U1966" s="30"/>
      <c r="V1966" s="30"/>
      <c r="W1966" s="30"/>
      <c r="X1966" s="30"/>
      <c r="Y1966" s="30"/>
      <c r="Z1966" s="30"/>
      <c r="AA1966" s="30"/>
      <c r="AB1966" s="30"/>
      <c r="AC1966" s="30"/>
      <c r="AD1966" s="30"/>
      <c r="AE1966" s="30"/>
      <c r="AF1966" s="30"/>
      <c r="AG1966" s="30"/>
      <c r="AH1966" s="30"/>
    </row>
    <row r="1967" spans="1:34" ht="13">
      <c r="A1967" s="30"/>
      <c r="B1967" s="30"/>
      <c r="C1967" s="30"/>
      <c r="D1967" s="30"/>
      <c r="E1967" s="30"/>
      <c r="F1967" s="30"/>
      <c r="G1967" s="30"/>
      <c r="H1967" s="48"/>
      <c r="I1967" s="49"/>
      <c r="J1967" s="49"/>
      <c r="K1967" s="48"/>
      <c r="L1967" s="50"/>
      <c r="M1967" s="30"/>
      <c r="N1967" s="30"/>
      <c r="O1967" s="30"/>
      <c r="P1967" s="30"/>
      <c r="Q1967" s="30"/>
      <c r="R1967" s="30"/>
      <c r="S1967" s="30"/>
      <c r="T1967" s="30"/>
      <c r="U1967" s="30"/>
      <c r="V1967" s="30"/>
      <c r="W1967" s="30"/>
      <c r="X1967" s="30"/>
      <c r="Y1967" s="30"/>
      <c r="Z1967" s="30"/>
      <c r="AA1967" s="30"/>
      <c r="AB1967" s="30"/>
      <c r="AC1967" s="30"/>
      <c r="AD1967" s="30"/>
      <c r="AE1967" s="30"/>
      <c r="AF1967" s="30"/>
      <c r="AG1967" s="30"/>
      <c r="AH1967" s="30"/>
    </row>
    <row r="1968" spans="1:34" ht="13">
      <c r="A1968" s="30"/>
      <c r="B1968" s="30"/>
      <c r="C1968" s="30"/>
      <c r="D1968" s="30"/>
      <c r="E1968" s="30"/>
      <c r="F1968" s="30"/>
      <c r="G1968" s="30"/>
      <c r="H1968" s="48"/>
      <c r="I1968" s="49"/>
      <c r="J1968" s="49"/>
      <c r="K1968" s="48"/>
      <c r="L1968" s="50"/>
      <c r="M1968" s="30"/>
      <c r="N1968" s="30"/>
      <c r="O1968" s="30"/>
      <c r="P1968" s="30"/>
      <c r="Q1968" s="30"/>
      <c r="R1968" s="30"/>
      <c r="S1968" s="30"/>
      <c r="T1968" s="30"/>
      <c r="U1968" s="30"/>
      <c r="V1968" s="30"/>
      <c r="W1968" s="30"/>
      <c r="X1968" s="30"/>
      <c r="Y1968" s="30"/>
      <c r="Z1968" s="30"/>
      <c r="AA1968" s="30"/>
      <c r="AB1968" s="30"/>
      <c r="AC1968" s="30"/>
      <c r="AD1968" s="30"/>
      <c r="AE1968" s="30"/>
      <c r="AF1968" s="30"/>
      <c r="AG1968" s="30"/>
      <c r="AH1968" s="30"/>
    </row>
    <row r="1969" spans="1:34" ht="13">
      <c r="A1969" s="30"/>
      <c r="B1969" s="30"/>
      <c r="C1969" s="30"/>
      <c r="D1969" s="30"/>
      <c r="E1969" s="30"/>
      <c r="F1969" s="30"/>
      <c r="G1969" s="30"/>
      <c r="H1969" s="48"/>
      <c r="I1969" s="49"/>
      <c r="J1969" s="49"/>
      <c r="K1969" s="48"/>
      <c r="L1969" s="50"/>
      <c r="M1969" s="30"/>
      <c r="N1969" s="30"/>
      <c r="O1969" s="30"/>
      <c r="P1969" s="30"/>
      <c r="Q1969" s="30"/>
      <c r="R1969" s="30"/>
      <c r="S1969" s="30"/>
      <c r="T1969" s="30"/>
      <c r="U1969" s="30"/>
      <c r="V1969" s="30"/>
      <c r="W1969" s="30"/>
      <c r="X1969" s="30"/>
      <c r="Y1969" s="30"/>
      <c r="Z1969" s="30"/>
      <c r="AA1969" s="30"/>
      <c r="AB1969" s="30"/>
      <c r="AC1969" s="30"/>
      <c r="AD1969" s="30"/>
      <c r="AE1969" s="30"/>
      <c r="AF1969" s="30"/>
      <c r="AG1969" s="30"/>
      <c r="AH1969" s="30"/>
    </row>
    <row r="1970" spans="1:34" ht="13">
      <c r="A1970" s="30"/>
      <c r="B1970" s="30"/>
      <c r="C1970" s="30"/>
      <c r="D1970" s="30"/>
      <c r="E1970" s="30"/>
      <c r="F1970" s="30"/>
      <c r="G1970" s="30"/>
      <c r="H1970" s="48"/>
      <c r="I1970" s="49"/>
      <c r="J1970" s="49"/>
      <c r="K1970" s="48"/>
      <c r="L1970" s="50"/>
      <c r="M1970" s="30"/>
      <c r="N1970" s="30"/>
      <c r="O1970" s="30"/>
      <c r="P1970" s="30"/>
      <c r="Q1970" s="30"/>
      <c r="R1970" s="30"/>
      <c r="S1970" s="30"/>
      <c r="T1970" s="30"/>
      <c r="U1970" s="30"/>
      <c r="V1970" s="30"/>
      <c r="W1970" s="30"/>
      <c r="X1970" s="30"/>
      <c r="Y1970" s="30"/>
      <c r="Z1970" s="30"/>
      <c r="AA1970" s="30"/>
      <c r="AB1970" s="30"/>
      <c r="AC1970" s="30"/>
      <c r="AD1970" s="30"/>
      <c r="AE1970" s="30"/>
      <c r="AF1970" s="30"/>
      <c r="AG1970" s="30"/>
      <c r="AH1970" s="30"/>
    </row>
    <row r="1971" spans="1:34" ht="13">
      <c r="A1971" s="30"/>
      <c r="B1971" s="30"/>
      <c r="C1971" s="30"/>
      <c r="D1971" s="30"/>
      <c r="E1971" s="30"/>
      <c r="F1971" s="30"/>
      <c r="G1971" s="30"/>
      <c r="H1971" s="48"/>
      <c r="I1971" s="49"/>
      <c r="J1971" s="49"/>
      <c r="K1971" s="48"/>
      <c r="L1971" s="50"/>
      <c r="M1971" s="30"/>
      <c r="N1971" s="30"/>
      <c r="O1971" s="30"/>
      <c r="P1971" s="30"/>
      <c r="Q1971" s="30"/>
      <c r="R1971" s="30"/>
      <c r="S1971" s="30"/>
      <c r="T1971" s="30"/>
      <c r="U1971" s="30"/>
      <c r="V1971" s="30"/>
      <c r="W1971" s="30"/>
      <c r="X1971" s="30"/>
      <c r="Y1971" s="30"/>
      <c r="Z1971" s="30"/>
      <c r="AA1971" s="30"/>
      <c r="AB1971" s="30"/>
      <c r="AC1971" s="30"/>
      <c r="AD1971" s="30"/>
      <c r="AE1971" s="30"/>
      <c r="AF1971" s="30"/>
      <c r="AG1971" s="30"/>
      <c r="AH1971" s="30"/>
    </row>
    <row r="1972" spans="1:34" ht="13">
      <c r="A1972" s="30"/>
      <c r="B1972" s="30"/>
      <c r="C1972" s="30"/>
      <c r="D1972" s="30"/>
      <c r="E1972" s="30"/>
      <c r="F1972" s="30"/>
      <c r="G1972" s="30"/>
      <c r="H1972" s="48"/>
      <c r="I1972" s="49"/>
      <c r="J1972" s="49"/>
      <c r="K1972" s="48"/>
      <c r="L1972" s="50"/>
      <c r="M1972" s="30"/>
      <c r="N1972" s="30"/>
      <c r="O1972" s="30"/>
      <c r="P1972" s="30"/>
      <c r="Q1972" s="30"/>
      <c r="R1972" s="30"/>
      <c r="S1972" s="30"/>
      <c r="T1972" s="30"/>
      <c r="U1972" s="30"/>
      <c r="V1972" s="30"/>
      <c r="W1972" s="30"/>
      <c r="X1972" s="30"/>
      <c r="Y1972" s="30"/>
      <c r="Z1972" s="30"/>
      <c r="AA1972" s="30"/>
      <c r="AB1972" s="30"/>
      <c r="AC1972" s="30"/>
      <c r="AD1972" s="30"/>
      <c r="AE1972" s="30"/>
      <c r="AF1972" s="30"/>
      <c r="AG1972" s="30"/>
      <c r="AH1972" s="30"/>
    </row>
    <row r="1973" spans="1:34" ht="13">
      <c r="A1973" s="30"/>
      <c r="B1973" s="30"/>
      <c r="C1973" s="30"/>
      <c r="D1973" s="30"/>
      <c r="E1973" s="30"/>
      <c r="F1973" s="30"/>
      <c r="G1973" s="30"/>
      <c r="H1973" s="48"/>
      <c r="I1973" s="49"/>
      <c r="J1973" s="49"/>
      <c r="K1973" s="48"/>
      <c r="L1973" s="50"/>
      <c r="M1973" s="30"/>
      <c r="N1973" s="30"/>
      <c r="O1973" s="30"/>
      <c r="P1973" s="30"/>
      <c r="Q1973" s="30"/>
      <c r="R1973" s="30"/>
      <c r="S1973" s="30"/>
      <c r="T1973" s="30"/>
      <c r="U1973" s="30"/>
      <c r="V1973" s="30"/>
      <c r="W1973" s="30"/>
      <c r="X1973" s="30"/>
      <c r="Y1973" s="30"/>
      <c r="Z1973" s="30"/>
      <c r="AA1973" s="30"/>
      <c r="AB1973" s="30"/>
      <c r="AC1973" s="30"/>
      <c r="AD1973" s="30"/>
      <c r="AE1973" s="30"/>
      <c r="AF1973" s="30"/>
      <c r="AG1973" s="30"/>
      <c r="AH1973" s="30"/>
    </row>
    <row r="1974" spans="1:34" ht="13">
      <c r="A1974" s="30"/>
      <c r="B1974" s="30"/>
      <c r="C1974" s="30"/>
      <c r="D1974" s="30"/>
      <c r="E1974" s="30"/>
      <c r="F1974" s="30"/>
      <c r="G1974" s="30"/>
      <c r="H1974" s="48"/>
      <c r="I1974" s="49"/>
      <c r="J1974" s="49"/>
      <c r="K1974" s="48"/>
      <c r="L1974" s="50"/>
      <c r="M1974" s="30"/>
      <c r="N1974" s="30"/>
      <c r="O1974" s="30"/>
      <c r="P1974" s="30"/>
      <c r="Q1974" s="30"/>
      <c r="R1974" s="30"/>
      <c r="S1974" s="30"/>
      <c r="T1974" s="30"/>
      <c r="U1974" s="30"/>
      <c r="V1974" s="30"/>
      <c r="W1974" s="30"/>
      <c r="X1974" s="30"/>
      <c r="Y1974" s="30"/>
      <c r="Z1974" s="30"/>
      <c r="AA1974" s="30"/>
      <c r="AB1974" s="30"/>
      <c r="AC1974" s="30"/>
      <c r="AD1974" s="30"/>
      <c r="AE1974" s="30"/>
      <c r="AF1974" s="30"/>
      <c r="AG1974" s="30"/>
      <c r="AH1974" s="30"/>
    </row>
    <row r="1975" spans="1:34" ht="13">
      <c r="A1975" s="30"/>
      <c r="B1975" s="30"/>
      <c r="C1975" s="30"/>
      <c r="D1975" s="30"/>
      <c r="E1975" s="30"/>
      <c r="F1975" s="30"/>
      <c r="G1975" s="30"/>
      <c r="H1975" s="48"/>
      <c r="I1975" s="49"/>
      <c r="J1975" s="49"/>
      <c r="K1975" s="48"/>
      <c r="L1975" s="50"/>
      <c r="M1975" s="30"/>
      <c r="N1975" s="30"/>
      <c r="O1975" s="30"/>
      <c r="P1975" s="30"/>
      <c r="Q1975" s="30"/>
      <c r="R1975" s="30"/>
      <c r="S1975" s="30"/>
      <c r="T1975" s="30"/>
      <c r="U1975" s="30"/>
      <c r="V1975" s="30"/>
      <c r="W1975" s="30"/>
      <c r="X1975" s="30"/>
      <c r="Y1975" s="30"/>
      <c r="Z1975" s="30"/>
      <c r="AA1975" s="30"/>
      <c r="AB1975" s="30"/>
      <c r="AC1975" s="30"/>
      <c r="AD1975" s="30"/>
      <c r="AE1975" s="30"/>
      <c r="AF1975" s="30"/>
      <c r="AG1975" s="30"/>
      <c r="AH1975" s="30"/>
    </row>
    <row r="1976" spans="1:34" ht="13">
      <c r="A1976" s="30"/>
      <c r="B1976" s="30"/>
      <c r="C1976" s="30"/>
      <c r="D1976" s="30"/>
      <c r="E1976" s="30"/>
      <c r="F1976" s="30"/>
      <c r="G1976" s="30"/>
      <c r="H1976" s="48"/>
      <c r="I1976" s="49"/>
      <c r="J1976" s="49"/>
      <c r="K1976" s="48"/>
      <c r="L1976" s="50"/>
      <c r="M1976" s="30"/>
      <c r="N1976" s="30"/>
      <c r="O1976" s="30"/>
      <c r="P1976" s="30"/>
      <c r="Q1976" s="30"/>
      <c r="R1976" s="30"/>
      <c r="S1976" s="30"/>
      <c r="T1976" s="30"/>
      <c r="U1976" s="30"/>
      <c r="V1976" s="30"/>
      <c r="W1976" s="30"/>
      <c r="X1976" s="30"/>
      <c r="Y1976" s="30"/>
      <c r="Z1976" s="30"/>
      <c r="AA1976" s="30"/>
      <c r="AB1976" s="30"/>
      <c r="AC1976" s="30"/>
      <c r="AD1976" s="30"/>
      <c r="AE1976" s="30"/>
      <c r="AF1976" s="30"/>
      <c r="AG1976" s="30"/>
      <c r="AH1976" s="30"/>
    </row>
    <row r="1977" spans="1:34" ht="13">
      <c r="A1977" s="30"/>
      <c r="B1977" s="30"/>
      <c r="C1977" s="30"/>
      <c r="D1977" s="30"/>
      <c r="E1977" s="30"/>
      <c r="F1977" s="30"/>
      <c r="G1977" s="30"/>
      <c r="H1977" s="48"/>
      <c r="I1977" s="49"/>
      <c r="J1977" s="49"/>
      <c r="K1977" s="48"/>
      <c r="L1977" s="50"/>
      <c r="M1977" s="30"/>
      <c r="N1977" s="30"/>
      <c r="O1977" s="30"/>
      <c r="P1977" s="30"/>
      <c r="Q1977" s="30"/>
      <c r="R1977" s="30"/>
      <c r="S1977" s="30"/>
      <c r="T1977" s="30"/>
      <c r="U1977" s="30"/>
      <c r="V1977" s="30"/>
      <c r="W1977" s="30"/>
      <c r="X1977" s="30"/>
      <c r="Y1977" s="30"/>
      <c r="Z1977" s="30"/>
      <c r="AA1977" s="30"/>
      <c r="AB1977" s="30"/>
      <c r="AC1977" s="30"/>
      <c r="AD1977" s="30"/>
      <c r="AE1977" s="30"/>
      <c r="AF1977" s="30"/>
      <c r="AG1977" s="30"/>
      <c r="AH1977" s="30"/>
    </row>
    <row r="1978" spans="1:34" ht="13">
      <c r="A1978" s="30"/>
      <c r="B1978" s="30"/>
      <c r="C1978" s="30"/>
      <c r="D1978" s="30"/>
      <c r="E1978" s="30"/>
      <c r="F1978" s="30"/>
      <c r="G1978" s="30"/>
      <c r="H1978" s="48"/>
      <c r="I1978" s="49"/>
      <c r="J1978" s="49"/>
      <c r="K1978" s="48"/>
      <c r="L1978" s="50"/>
      <c r="M1978" s="30"/>
      <c r="N1978" s="30"/>
      <c r="O1978" s="30"/>
      <c r="P1978" s="30"/>
      <c r="Q1978" s="30"/>
      <c r="R1978" s="30"/>
      <c r="S1978" s="30"/>
      <c r="T1978" s="30"/>
      <c r="U1978" s="30"/>
      <c r="V1978" s="30"/>
      <c r="W1978" s="30"/>
      <c r="X1978" s="30"/>
      <c r="Y1978" s="30"/>
      <c r="Z1978" s="30"/>
      <c r="AA1978" s="30"/>
      <c r="AB1978" s="30"/>
      <c r="AC1978" s="30"/>
      <c r="AD1978" s="30"/>
      <c r="AE1978" s="30"/>
      <c r="AF1978" s="30"/>
      <c r="AG1978" s="30"/>
      <c r="AH1978" s="30"/>
    </row>
    <row r="1979" spans="1:34" ht="13">
      <c r="A1979" s="30"/>
      <c r="B1979" s="30"/>
      <c r="C1979" s="30"/>
      <c r="D1979" s="30"/>
      <c r="E1979" s="30"/>
      <c r="F1979" s="30"/>
      <c r="G1979" s="30"/>
      <c r="H1979" s="48"/>
      <c r="I1979" s="49"/>
      <c r="J1979" s="49"/>
      <c r="K1979" s="48"/>
      <c r="L1979" s="50"/>
      <c r="M1979" s="30"/>
      <c r="N1979" s="30"/>
      <c r="O1979" s="30"/>
      <c r="P1979" s="30"/>
      <c r="Q1979" s="30"/>
      <c r="R1979" s="30"/>
      <c r="S1979" s="30"/>
      <c r="T1979" s="30"/>
      <c r="U1979" s="30"/>
      <c r="V1979" s="30"/>
      <c r="W1979" s="30"/>
      <c r="X1979" s="30"/>
      <c r="Y1979" s="30"/>
      <c r="Z1979" s="30"/>
      <c r="AA1979" s="30"/>
      <c r="AB1979" s="30"/>
      <c r="AC1979" s="30"/>
      <c r="AD1979" s="30"/>
      <c r="AE1979" s="30"/>
      <c r="AF1979" s="30"/>
      <c r="AG1979" s="30"/>
      <c r="AH1979" s="30"/>
    </row>
    <row r="1980" spans="1:34" ht="13">
      <c r="A1980" s="30"/>
      <c r="B1980" s="30"/>
      <c r="C1980" s="30"/>
      <c r="D1980" s="30"/>
      <c r="E1980" s="30"/>
      <c r="F1980" s="30"/>
      <c r="G1980" s="30"/>
      <c r="H1980" s="48"/>
      <c r="I1980" s="49"/>
      <c r="J1980" s="49"/>
      <c r="K1980" s="48"/>
      <c r="L1980" s="50"/>
      <c r="M1980" s="30"/>
      <c r="N1980" s="30"/>
      <c r="O1980" s="30"/>
      <c r="P1980" s="30"/>
      <c r="Q1980" s="30"/>
      <c r="R1980" s="30"/>
      <c r="S1980" s="30"/>
      <c r="T1980" s="30"/>
      <c r="U1980" s="30"/>
      <c r="V1980" s="30"/>
      <c r="W1980" s="30"/>
      <c r="X1980" s="30"/>
      <c r="Y1980" s="30"/>
      <c r="Z1980" s="30"/>
      <c r="AA1980" s="30"/>
      <c r="AB1980" s="30"/>
      <c r="AC1980" s="30"/>
      <c r="AD1980" s="30"/>
      <c r="AE1980" s="30"/>
      <c r="AF1980" s="30"/>
      <c r="AG1980" s="30"/>
      <c r="AH1980" s="30"/>
    </row>
    <row r="1981" spans="1:34" ht="13">
      <c r="A1981" s="30"/>
      <c r="B1981" s="30"/>
      <c r="C1981" s="30"/>
      <c r="D1981" s="30"/>
      <c r="E1981" s="30"/>
      <c r="F1981" s="30"/>
      <c r="G1981" s="30"/>
      <c r="H1981" s="48"/>
      <c r="I1981" s="49"/>
      <c r="J1981" s="49"/>
      <c r="K1981" s="48"/>
      <c r="L1981" s="50"/>
      <c r="M1981" s="30"/>
      <c r="N1981" s="30"/>
      <c r="O1981" s="30"/>
      <c r="P1981" s="30"/>
      <c r="Q1981" s="30"/>
      <c r="R1981" s="30"/>
      <c r="S1981" s="30"/>
      <c r="T1981" s="30"/>
      <c r="U1981" s="30"/>
      <c r="V1981" s="30"/>
      <c r="W1981" s="30"/>
      <c r="X1981" s="30"/>
      <c r="Y1981" s="30"/>
      <c r="Z1981" s="30"/>
      <c r="AA1981" s="30"/>
      <c r="AB1981" s="30"/>
      <c r="AC1981" s="30"/>
      <c r="AD1981" s="30"/>
      <c r="AE1981" s="30"/>
      <c r="AF1981" s="30"/>
      <c r="AG1981" s="30"/>
      <c r="AH1981" s="30"/>
    </row>
    <row r="1982" spans="1:34" ht="13">
      <c r="A1982" s="30"/>
      <c r="B1982" s="30"/>
      <c r="C1982" s="30"/>
      <c r="D1982" s="30"/>
      <c r="E1982" s="30"/>
      <c r="F1982" s="30"/>
      <c r="G1982" s="30"/>
      <c r="H1982" s="48"/>
      <c r="I1982" s="49"/>
      <c r="J1982" s="49"/>
      <c r="K1982" s="48"/>
      <c r="L1982" s="50"/>
      <c r="M1982" s="30"/>
      <c r="N1982" s="30"/>
      <c r="O1982" s="30"/>
      <c r="P1982" s="30"/>
      <c r="Q1982" s="30"/>
      <c r="R1982" s="30"/>
      <c r="S1982" s="30"/>
      <c r="T1982" s="30"/>
      <c r="U1982" s="30"/>
      <c r="V1982" s="30"/>
      <c r="W1982" s="30"/>
      <c r="X1982" s="30"/>
      <c r="Y1982" s="30"/>
      <c r="Z1982" s="30"/>
      <c r="AA1982" s="30"/>
      <c r="AB1982" s="30"/>
      <c r="AC1982" s="30"/>
      <c r="AD1982" s="30"/>
      <c r="AE1982" s="30"/>
      <c r="AF1982" s="30"/>
      <c r="AG1982" s="30"/>
      <c r="AH1982" s="30"/>
    </row>
    <row r="1983" spans="1:34" ht="13">
      <c r="A1983" s="30"/>
      <c r="B1983" s="30"/>
      <c r="C1983" s="30"/>
      <c r="D1983" s="30"/>
      <c r="E1983" s="30"/>
      <c r="F1983" s="30"/>
      <c r="G1983" s="30"/>
      <c r="H1983" s="48"/>
      <c r="I1983" s="49"/>
      <c r="J1983" s="49"/>
      <c r="K1983" s="48"/>
      <c r="L1983" s="50"/>
      <c r="M1983" s="30"/>
      <c r="N1983" s="30"/>
      <c r="O1983" s="30"/>
      <c r="P1983" s="30"/>
      <c r="Q1983" s="30"/>
      <c r="R1983" s="30"/>
      <c r="S1983" s="30"/>
      <c r="T1983" s="30"/>
      <c r="U1983" s="30"/>
      <c r="V1983" s="30"/>
      <c r="W1983" s="30"/>
      <c r="X1983" s="30"/>
      <c r="Y1983" s="30"/>
      <c r="Z1983" s="30"/>
      <c r="AA1983" s="30"/>
      <c r="AB1983" s="30"/>
      <c r="AC1983" s="30"/>
      <c r="AD1983" s="30"/>
      <c r="AE1983" s="30"/>
      <c r="AF1983" s="30"/>
      <c r="AG1983" s="30"/>
      <c r="AH1983" s="30"/>
    </row>
    <row r="1984" spans="1:34" ht="13">
      <c r="A1984" s="30"/>
      <c r="B1984" s="30"/>
      <c r="C1984" s="30"/>
      <c r="D1984" s="30"/>
      <c r="E1984" s="30"/>
      <c r="F1984" s="30"/>
      <c r="G1984" s="30"/>
      <c r="H1984" s="48"/>
      <c r="I1984" s="49"/>
      <c r="J1984" s="49"/>
      <c r="K1984" s="48"/>
      <c r="L1984" s="50"/>
      <c r="M1984" s="30"/>
      <c r="N1984" s="30"/>
      <c r="O1984" s="30"/>
      <c r="P1984" s="30"/>
      <c r="Q1984" s="30"/>
      <c r="R1984" s="30"/>
      <c r="S1984" s="30"/>
      <c r="T1984" s="30"/>
      <c r="U1984" s="30"/>
      <c r="V1984" s="30"/>
      <c r="W1984" s="30"/>
      <c r="X1984" s="30"/>
      <c r="Y1984" s="30"/>
      <c r="Z1984" s="30"/>
      <c r="AA1984" s="30"/>
      <c r="AB1984" s="30"/>
      <c r="AC1984" s="30"/>
      <c r="AD1984" s="30"/>
      <c r="AE1984" s="30"/>
      <c r="AF1984" s="30"/>
      <c r="AG1984" s="30"/>
      <c r="AH1984" s="30"/>
    </row>
    <row r="1985" spans="1:34" ht="13">
      <c r="A1985" s="30"/>
      <c r="B1985" s="30"/>
      <c r="C1985" s="30"/>
      <c r="D1985" s="30"/>
      <c r="E1985" s="30"/>
      <c r="F1985" s="30"/>
      <c r="G1985" s="30"/>
      <c r="H1985" s="48"/>
      <c r="I1985" s="49"/>
      <c r="J1985" s="49"/>
      <c r="K1985" s="48"/>
      <c r="L1985" s="50"/>
      <c r="M1985" s="30"/>
      <c r="N1985" s="30"/>
      <c r="O1985" s="30"/>
      <c r="P1985" s="30"/>
      <c r="Q1985" s="30"/>
      <c r="R1985" s="30"/>
      <c r="S1985" s="30"/>
      <c r="T1985" s="30"/>
      <c r="U1985" s="30"/>
      <c r="V1985" s="30"/>
      <c r="W1985" s="30"/>
      <c r="X1985" s="30"/>
      <c r="Y1985" s="30"/>
      <c r="Z1985" s="30"/>
      <c r="AA1985" s="30"/>
      <c r="AB1985" s="30"/>
      <c r="AC1985" s="30"/>
      <c r="AD1985" s="30"/>
      <c r="AE1985" s="30"/>
      <c r="AF1985" s="30"/>
      <c r="AG1985" s="30"/>
      <c r="AH1985" s="30"/>
    </row>
    <row r="1986" spans="1:34" ht="13">
      <c r="A1986" s="30"/>
      <c r="B1986" s="30"/>
      <c r="C1986" s="30"/>
      <c r="D1986" s="30"/>
      <c r="E1986" s="30"/>
      <c r="F1986" s="30"/>
      <c r="G1986" s="30"/>
      <c r="H1986" s="48"/>
      <c r="I1986" s="49"/>
      <c r="J1986" s="49"/>
      <c r="K1986" s="48"/>
      <c r="L1986" s="50"/>
      <c r="M1986" s="30"/>
      <c r="N1986" s="30"/>
      <c r="O1986" s="30"/>
      <c r="P1986" s="30"/>
      <c r="Q1986" s="30"/>
      <c r="R1986" s="30"/>
      <c r="S1986" s="30"/>
      <c r="T1986" s="30"/>
      <c r="U1986" s="30"/>
      <c r="V1986" s="30"/>
      <c r="W1986" s="30"/>
      <c r="X1986" s="30"/>
      <c r="Y1986" s="30"/>
      <c r="Z1986" s="30"/>
      <c r="AA1986" s="30"/>
      <c r="AB1986" s="30"/>
      <c r="AC1986" s="30"/>
      <c r="AD1986" s="30"/>
      <c r="AE1986" s="30"/>
      <c r="AF1986" s="30"/>
      <c r="AG1986" s="30"/>
      <c r="AH1986" s="30"/>
    </row>
    <row r="1987" spans="1:34" ht="13">
      <c r="A1987" s="30"/>
      <c r="B1987" s="30"/>
      <c r="C1987" s="30"/>
      <c r="D1987" s="30"/>
      <c r="E1987" s="30"/>
      <c r="F1987" s="30"/>
      <c r="G1987" s="30"/>
      <c r="H1987" s="48"/>
      <c r="I1987" s="49"/>
      <c r="J1987" s="49"/>
      <c r="K1987" s="48"/>
      <c r="L1987" s="50"/>
      <c r="M1987" s="30"/>
      <c r="N1987" s="30"/>
      <c r="O1987" s="30"/>
      <c r="P1987" s="30"/>
      <c r="Q1987" s="30"/>
      <c r="R1987" s="30"/>
      <c r="S1987" s="30"/>
      <c r="T1987" s="30"/>
      <c r="U1987" s="30"/>
      <c r="V1987" s="30"/>
      <c r="W1987" s="30"/>
      <c r="X1987" s="30"/>
      <c r="Y1987" s="30"/>
      <c r="Z1987" s="30"/>
      <c r="AA1987" s="30"/>
      <c r="AB1987" s="30"/>
      <c r="AC1987" s="30"/>
      <c r="AD1987" s="30"/>
      <c r="AE1987" s="30"/>
      <c r="AF1987" s="30"/>
      <c r="AG1987" s="30"/>
      <c r="AH1987" s="30"/>
    </row>
    <row r="1988" spans="1:34" ht="13">
      <c r="A1988" s="30"/>
      <c r="B1988" s="30"/>
      <c r="C1988" s="30"/>
      <c r="D1988" s="30"/>
      <c r="E1988" s="30"/>
      <c r="F1988" s="30"/>
      <c r="G1988" s="30"/>
      <c r="H1988" s="48"/>
      <c r="I1988" s="49"/>
      <c r="J1988" s="49"/>
      <c r="K1988" s="48"/>
      <c r="L1988" s="50"/>
      <c r="M1988" s="30"/>
      <c r="N1988" s="30"/>
      <c r="O1988" s="30"/>
      <c r="P1988" s="30"/>
      <c r="Q1988" s="30"/>
      <c r="R1988" s="30"/>
      <c r="S1988" s="30"/>
      <c r="T1988" s="30"/>
      <c r="U1988" s="30"/>
      <c r="V1988" s="30"/>
      <c r="W1988" s="30"/>
      <c r="X1988" s="30"/>
      <c r="Y1988" s="30"/>
      <c r="Z1988" s="30"/>
      <c r="AA1988" s="30"/>
      <c r="AB1988" s="30"/>
      <c r="AC1988" s="30"/>
      <c r="AD1988" s="30"/>
      <c r="AE1988" s="30"/>
      <c r="AF1988" s="30"/>
      <c r="AG1988" s="30"/>
      <c r="AH1988" s="30"/>
    </row>
    <row r="1989" spans="1:34" ht="13">
      <c r="A1989" s="30"/>
      <c r="B1989" s="30"/>
      <c r="C1989" s="30"/>
      <c r="D1989" s="30"/>
      <c r="E1989" s="30"/>
      <c r="F1989" s="30"/>
      <c r="G1989" s="30"/>
      <c r="H1989" s="48"/>
      <c r="I1989" s="49"/>
      <c r="J1989" s="49"/>
      <c r="K1989" s="48"/>
      <c r="L1989" s="50"/>
      <c r="M1989" s="30"/>
      <c r="N1989" s="30"/>
      <c r="O1989" s="30"/>
      <c r="P1989" s="30"/>
      <c r="Q1989" s="30"/>
      <c r="R1989" s="30"/>
      <c r="S1989" s="30"/>
      <c r="T1989" s="30"/>
      <c r="U1989" s="30"/>
      <c r="V1989" s="30"/>
      <c r="W1989" s="30"/>
      <c r="X1989" s="30"/>
      <c r="Y1989" s="30"/>
      <c r="Z1989" s="30"/>
      <c r="AA1989" s="30"/>
      <c r="AB1989" s="30"/>
      <c r="AC1989" s="30"/>
      <c r="AD1989" s="30"/>
      <c r="AE1989" s="30"/>
      <c r="AF1989" s="30"/>
      <c r="AG1989" s="30"/>
      <c r="AH1989" s="30"/>
    </row>
    <row r="1990" spans="1:34" ht="13">
      <c r="A1990" s="30"/>
      <c r="B1990" s="30"/>
      <c r="C1990" s="30"/>
      <c r="D1990" s="30"/>
      <c r="E1990" s="30"/>
      <c r="F1990" s="30"/>
      <c r="G1990" s="30"/>
      <c r="H1990" s="48"/>
      <c r="I1990" s="49"/>
      <c r="J1990" s="49"/>
      <c r="K1990" s="48"/>
      <c r="L1990" s="50"/>
      <c r="M1990" s="30"/>
      <c r="N1990" s="30"/>
      <c r="O1990" s="30"/>
      <c r="P1990" s="30"/>
      <c r="Q1990" s="30"/>
      <c r="R1990" s="30"/>
      <c r="S1990" s="30"/>
      <c r="T1990" s="30"/>
      <c r="U1990" s="30"/>
      <c r="V1990" s="30"/>
      <c r="W1990" s="30"/>
      <c r="X1990" s="30"/>
      <c r="Y1990" s="30"/>
      <c r="Z1990" s="30"/>
      <c r="AA1990" s="30"/>
      <c r="AB1990" s="30"/>
      <c r="AC1990" s="30"/>
      <c r="AD1990" s="30"/>
      <c r="AE1990" s="30"/>
      <c r="AF1990" s="30"/>
      <c r="AG1990" s="30"/>
      <c r="AH1990" s="30"/>
    </row>
    <row r="1991" spans="1:34" ht="13">
      <c r="A1991" s="30"/>
      <c r="B1991" s="30"/>
      <c r="C1991" s="30"/>
      <c r="D1991" s="30"/>
      <c r="E1991" s="30"/>
      <c r="F1991" s="30"/>
      <c r="G1991" s="30"/>
      <c r="H1991" s="48"/>
      <c r="I1991" s="49"/>
      <c r="J1991" s="49"/>
      <c r="K1991" s="48"/>
      <c r="L1991" s="50"/>
      <c r="M1991" s="30"/>
      <c r="N1991" s="30"/>
      <c r="O1991" s="30"/>
      <c r="P1991" s="30"/>
      <c r="Q1991" s="30"/>
      <c r="R1991" s="30"/>
      <c r="S1991" s="30"/>
      <c r="T1991" s="30"/>
      <c r="U1991" s="30"/>
      <c r="V1991" s="30"/>
      <c r="W1991" s="30"/>
      <c r="X1991" s="30"/>
      <c r="Y1991" s="30"/>
      <c r="Z1991" s="30"/>
      <c r="AA1991" s="30"/>
      <c r="AB1991" s="30"/>
      <c r="AC1991" s="30"/>
      <c r="AD1991" s="30"/>
      <c r="AE1991" s="30"/>
      <c r="AF1991" s="30"/>
      <c r="AG1991" s="30"/>
      <c r="AH1991" s="30"/>
    </row>
    <row r="1992" spans="1:34" ht="13">
      <c r="A1992" s="30"/>
      <c r="B1992" s="30"/>
      <c r="C1992" s="30"/>
      <c r="D1992" s="30"/>
      <c r="E1992" s="30"/>
      <c r="F1992" s="30"/>
      <c r="G1992" s="30"/>
      <c r="H1992" s="48"/>
      <c r="I1992" s="49"/>
      <c r="J1992" s="49"/>
      <c r="K1992" s="48"/>
      <c r="L1992" s="50"/>
      <c r="M1992" s="30"/>
      <c r="N1992" s="30"/>
      <c r="O1992" s="30"/>
      <c r="P1992" s="30"/>
      <c r="Q1992" s="30"/>
      <c r="R1992" s="30"/>
      <c r="S1992" s="30"/>
      <c r="T1992" s="30"/>
      <c r="U1992" s="30"/>
      <c r="V1992" s="30"/>
      <c r="W1992" s="30"/>
      <c r="X1992" s="30"/>
      <c r="Y1992" s="30"/>
      <c r="Z1992" s="30"/>
      <c r="AA1992" s="30"/>
      <c r="AB1992" s="30"/>
      <c r="AC1992" s="30"/>
      <c r="AD1992" s="30"/>
      <c r="AE1992" s="30"/>
      <c r="AF1992" s="30"/>
      <c r="AG1992" s="30"/>
      <c r="AH1992" s="30"/>
    </row>
    <row r="1993" spans="1:34" ht="13">
      <c r="A1993" s="30"/>
      <c r="B1993" s="30"/>
      <c r="C1993" s="30"/>
      <c r="D1993" s="30"/>
      <c r="E1993" s="30"/>
      <c r="F1993" s="30"/>
      <c r="G1993" s="30"/>
      <c r="H1993" s="48"/>
      <c r="I1993" s="49"/>
      <c r="J1993" s="49"/>
      <c r="K1993" s="48"/>
      <c r="L1993" s="50"/>
      <c r="M1993" s="30"/>
      <c r="N1993" s="30"/>
      <c r="O1993" s="30"/>
      <c r="P1993" s="30"/>
      <c r="Q1993" s="30"/>
      <c r="R1993" s="30"/>
      <c r="S1993" s="30"/>
      <c r="T1993" s="30"/>
      <c r="U1993" s="30"/>
      <c r="V1993" s="30"/>
      <c r="W1993" s="30"/>
      <c r="X1993" s="30"/>
      <c r="Y1993" s="30"/>
      <c r="Z1993" s="30"/>
      <c r="AA1993" s="30"/>
      <c r="AB1993" s="30"/>
      <c r="AC1993" s="30"/>
      <c r="AD1993" s="30"/>
      <c r="AE1993" s="30"/>
      <c r="AF1993" s="30"/>
      <c r="AG1993" s="30"/>
      <c r="AH1993" s="30"/>
    </row>
    <row r="1994" spans="1:34" ht="13">
      <c r="A1994" s="30"/>
      <c r="B1994" s="30"/>
      <c r="C1994" s="30"/>
      <c r="D1994" s="30"/>
      <c r="E1994" s="30"/>
      <c r="F1994" s="30"/>
      <c r="G1994" s="30"/>
      <c r="H1994" s="48"/>
      <c r="I1994" s="49"/>
      <c r="J1994" s="49"/>
      <c r="K1994" s="48"/>
      <c r="L1994" s="50"/>
      <c r="M1994" s="30"/>
      <c r="N1994" s="30"/>
      <c r="O1994" s="30"/>
      <c r="P1994" s="30"/>
      <c r="Q1994" s="30"/>
      <c r="R1994" s="30"/>
      <c r="S1994" s="30"/>
      <c r="T1994" s="30"/>
      <c r="U1994" s="30"/>
      <c r="V1994" s="30"/>
      <c r="W1994" s="30"/>
      <c r="X1994" s="30"/>
      <c r="Y1994" s="30"/>
      <c r="Z1994" s="30"/>
      <c r="AA1994" s="30"/>
      <c r="AB1994" s="30"/>
      <c r="AC1994" s="30"/>
      <c r="AD1994" s="30"/>
      <c r="AE1994" s="30"/>
      <c r="AF1994" s="30"/>
      <c r="AG1994" s="30"/>
      <c r="AH1994" s="30"/>
    </row>
    <row r="1995" spans="1:34" ht="13">
      <c r="A1995" s="30"/>
      <c r="B1995" s="30"/>
      <c r="C1995" s="30"/>
      <c r="D1995" s="30"/>
      <c r="E1995" s="30"/>
      <c r="F1995" s="30"/>
      <c r="G1995" s="30"/>
      <c r="H1995" s="48"/>
      <c r="I1995" s="49"/>
      <c r="J1995" s="49"/>
      <c r="K1995" s="48"/>
      <c r="L1995" s="50"/>
      <c r="M1995" s="30"/>
      <c r="N1995" s="30"/>
      <c r="O1995" s="30"/>
      <c r="P1995" s="30"/>
      <c r="Q1995" s="30"/>
      <c r="R1995" s="30"/>
      <c r="S1995" s="30"/>
      <c r="T1995" s="30"/>
      <c r="U1995" s="30"/>
      <c r="V1995" s="30"/>
      <c r="W1995" s="30"/>
      <c r="X1995" s="30"/>
      <c r="Y1995" s="30"/>
      <c r="Z1995" s="30"/>
      <c r="AA1995" s="30"/>
      <c r="AB1995" s="30"/>
      <c r="AC1995" s="30"/>
      <c r="AD1995" s="30"/>
      <c r="AE1995" s="30"/>
      <c r="AF1995" s="30"/>
      <c r="AG1995" s="30"/>
      <c r="AH1995" s="30"/>
    </row>
    <row r="1996" spans="1:34" ht="13">
      <c r="A1996" s="30"/>
      <c r="B1996" s="30"/>
      <c r="C1996" s="30"/>
      <c r="D1996" s="30"/>
      <c r="E1996" s="30"/>
      <c r="F1996" s="30"/>
      <c r="G1996" s="30"/>
      <c r="H1996" s="48"/>
      <c r="I1996" s="49"/>
      <c r="J1996" s="49"/>
      <c r="K1996" s="48"/>
      <c r="L1996" s="50"/>
      <c r="M1996" s="30"/>
      <c r="N1996" s="30"/>
      <c r="O1996" s="30"/>
      <c r="P1996" s="30"/>
      <c r="Q1996" s="30"/>
      <c r="R1996" s="30"/>
      <c r="S1996" s="30"/>
      <c r="T1996" s="30"/>
      <c r="U1996" s="30"/>
      <c r="V1996" s="30"/>
      <c r="W1996" s="30"/>
      <c r="X1996" s="30"/>
      <c r="Y1996" s="30"/>
      <c r="Z1996" s="30"/>
      <c r="AA1996" s="30"/>
      <c r="AB1996" s="30"/>
      <c r="AC1996" s="30"/>
      <c r="AD1996" s="30"/>
      <c r="AE1996" s="30"/>
      <c r="AF1996" s="30"/>
      <c r="AG1996" s="30"/>
      <c r="AH1996" s="30"/>
    </row>
    <row r="1997" spans="1:34" ht="13">
      <c r="A1997" s="30"/>
      <c r="B1997" s="30"/>
      <c r="C1997" s="30"/>
      <c r="D1997" s="30"/>
      <c r="E1997" s="30"/>
      <c r="F1997" s="30"/>
      <c r="G1997" s="30"/>
      <c r="H1997" s="48"/>
      <c r="I1997" s="49"/>
      <c r="J1997" s="49"/>
      <c r="K1997" s="48"/>
      <c r="L1997" s="50"/>
      <c r="M1997" s="30"/>
      <c r="N1997" s="30"/>
      <c r="O1997" s="30"/>
      <c r="P1997" s="30"/>
      <c r="Q1997" s="30"/>
      <c r="R1997" s="30"/>
      <c r="S1997" s="30"/>
      <c r="T1997" s="30"/>
      <c r="U1997" s="30"/>
      <c r="V1997" s="30"/>
      <c r="W1997" s="30"/>
      <c r="X1997" s="30"/>
      <c r="Y1997" s="30"/>
      <c r="Z1997" s="30"/>
      <c r="AA1997" s="30"/>
      <c r="AB1997" s="30"/>
      <c r="AC1997" s="30"/>
      <c r="AD1997" s="30"/>
      <c r="AE1997" s="30"/>
      <c r="AF1997" s="30"/>
      <c r="AG1997" s="30"/>
      <c r="AH1997" s="30"/>
    </row>
    <row r="1998" spans="1:34" ht="13">
      <c r="A1998" s="30"/>
      <c r="B1998" s="30"/>
      <c r="C1998" s="30"/>
      <c r="D1998" s="30"/>
      <c r="E1998" s="30"/>
      <c r="F1998" s="30"/>
      <c r="G1998" s="30"/>
      <c r="H1998" s="48"/>
      <c r="I1998" s="49"/>
      <c r="J1998" s="49"/>
      <c r="K1998" s="48"/>
      <c r="L1998" s="50"/>
      <c r="M1998" s="30"/>
      <c r="N1998" s="30"/>
      <c r="O1998" s="30"/>
      <c r="P1998" s="30"/>
      <c r="Q1998" s="30"/>
      <c r="R1998" s="30"/>
      <c r="S1998" s="30"/>
      <c r="T1998" s="30"/>
      <c r="U1998" s="30"/>
      <c r="V1998" s="30"/>
      <c r="W1998" s="30"/>
      <c r="X1998" s="30"/>
      <c r="Y1998" s="30"/>
      <c r="Z1998" s="30"/>
      <c r="AA1998" s="30"/>
      <c r="AB1998" s="30"/>
      <c r="AC1998" s="30"/>
      <c r="AD1998" s="30"/>
      <c r="AE1998" s="30"/>
      <c r="AF1998" s="30"/>
      <c r="AG1998" s="30"/>
      <c r="AH1998" s="30"/>
    </row>
    <row r="1999" spans="1:34" ht="13">
      <c r="A1999" s="30"/>
      <c r="B1999" s="30"/>
      <c r="C1999" s="30"/>
      <c r="D1999" s="30"/>
      <c r="E1999" s="30"/>
      <c r="F1999" s="30"/>
      <c r="G1999" s="30"/>
      <c r="H1999" s="48"/>
      <c r="I1999" s="49"/>
      <c r="J1999" s="49"/>
      <c r="K1999" s="48"/>
      <c r="L1999" s="50"/>
      <c r="M1999" s="30"/>
      <c r="N1999" s="30"/>
      <c r="O1999" s="30"/>
      <c r="P1999" s="30"/>
      <c r="Q1999" s="30"/>
      <c r="R1999" s="30"/>
      <c r="S1999" s="30"/>
      <c r="T1999" s="30"/>
      <c r="U1999" s="30"/>
      <c r="V1999" s="30"/>
      <c r="W1999" s="30"/>
      <c r="X1999" s="30"/>
      <c r="Y1999" s="30"/>
      <c r="Z1999" s="30"/>
      <c r="AA1999" s="30"/>
      <c r="AB1999" s="30"/>
      <c r="AC1999" s="30"/>
      <c r="AD1999" s="30"/>
      <c r="AE1999" s="30"/>
      <c r="AF1999" s="30"/>
      <c r="AG1999" s="30"/>
      <c r="AH1999" s="30"/>
    </row>
    <row r="2000" spans="1:34" ht="13">
      <c r="A2000" s="30"/>
      <c r="B2000" s="30"/>
      <c r="C2000" s="30"/>
      <c r="D2000" s="30"/>
      <c r="E2000" s="30"/>
      <c r="F2000" s="30"/>
      <c r="G2000" s="30"/>
      <c r="H2000" s="48"/>
      <c r="I2000" s="49"/>
      <c r="J2000" s="49"/>
      <c r="K2000" s="48"/>
      <c r="L2000" s="50"/>
      <c r="M2000" s="30"/>
      <c r="N2000" s="30"/>
      <c r="O2000" s="30"/>
      <c r="P2000" s="30"/>
      <c r="Q2000" s="30"/>
      <c r="R2000" s="30"/>
      <c r="S2000" s="30"/>
      <c r="T2000" s="30"/>
      <c r="U2000" s="30"/>
      <c r="V2000" s="30"/>
      <c r="W2000" s="30"/>
      <c r="X2000" s="30"/>
      <c r="Y2000" s="30"/>
      <c r="Z2000" s="30"/>
      <c r="AA2000" s="30"/>
      <c r="AB2000" s="30"/>
      <c r="AC2000" s="30"/>
      <c r="AD2000" s="30"/>
      <c r="AE2000" s="30"/>
      <c r="AF2000" s="30"/>
      <c r="AG2000" s="30"/>
      <c r="AH2000" s="30"/>
    </row>
    <row r="2001" spans="1:34" ht="13">
      <c r="A2001" s="30"/>
      <c r="B2001" s="30"/>
      <c r="C2001" s="30"/>
      <c r="D2001" s="30"/>
      <c r="E2001" s="30"/>
      <c r="F2001" s="30"/>
      <c r="G2001" s="30"/>
      <c r="H2001" s="48"/>
      <c r="I2001" s="49"/>
      <c r="J2001" s="49"/>
      <c r="K2001" s="48"/>
      <c r="L2001" s="50"/>
      <c r="M2001" s="30"/>
      <c r="N2001" s="30"/>
      <c r="O2001" s="30"/>
      <c r="P2001" s="30"/>
      <c r="Q2001" s="30"/>
      <c r="R2001" s="30"/>
      <c r="S2001" s="30"/>
      <c r="T2001" s="30"/>
      <c r="U2001" s="30"/>
      <c r="V2001" s="30"/>
      <c r="W2001" s="30"/>
      <c r="X2001" s="30"/>
      <c r="Y2001" s="30"/>
      <c r="Z2001" s="30"/>
      <c r="AA2001" s="30"/>
      <c r="AB2001" s="30"/>
      <c r="AC2001" s="30"/>
      <c r="AD2001" s="30"/>
      <c r="AE2001" s="30"/>
      <c r="AF2001" s="30"/>
      <c r="AG2001" s="30"/>
      <c r="AH2001" s="30"/>
    </row>
    <row r="2002" spans="1:34" ht="13">
      <c r="A2002" s="30"/>
      <c r="B2002" s="30"/>
      <c r="C2002" s="30"/>
      <c r="D2002" s="30"/>
      <c r="E2002" s="30"/>
      <c r="F2002" s="30"/>
      <c r="G2002" s="30"/>
      <c r="H2002" s="48"/>
      <c r="I2002" s="49"/>
      <c r="J2002" s="49"/>
      <c r="K2002" s="48"/>
      <c r="L2002" s="50"/>
      <c r="M2002" s="30"/>
      <c r="N2002" s="30"/>
      <c r="O2002" s="30"/>
      <c r="P2002" s="30"/>
      <c r="Q2002" s="30"/>
      <c r="R2002" s="30"/>
      <c r="S2002" s="30"/>
      <c r="T2002" s="30"/>
      <c r="U2002" s="30"/>
      <c r="V2002" s="30"/>
      <c r="W2002" s="30"/>
      <c r="X2002" s="30"/>
      <c r="Y2002" s="30"/>
      <c r="Z2002" s="30"/>
      <c r="AA2002" s="30"/>
      <c r="AB2002" s="30"/>
      <c r="AC2002" s="30"/>
      <c r="AD2002" s="30"/>
      <c r="AE2002" s="30"/>
      <c r="AF2002" s="30"/>
      <c r="AG2002" s="30"/>
      <c r="AH2002" s="30"/>
    </row>
    <row r="2003" spans="1:34" ht="13">
      <c r="A2003" s="30"/>
      <c r="B2003" s="30"/>
      <c r="C2003" s="30"/>
      <c r="D2003" s="30"/>
      <c r="E2003" s="30"/>
      <c r="F2003" s="30"/>
      <c r="G2003" s="30"/>
      <c r="H2003" s="48"/>
      <c r="I2003" s="49"/>
      <c r="J2003" s="49"/>
      <c r="K2003" s="48"/>
      <c r="L2003" s="50"/>
      <c r="M2003" s="30"/>
      <c r="N2003" s="30"/>
      <c r="O2003" s="30"/>
      <c r="P2003" s="30"/>
      <c r="Q2003" s="30"/>
      <c r="R2003" s="30"/>
      <c r="S2003" s="30"/>
      <c r="T2003" s="30"/>
      <c r="U2003" s="30"/>
      <c r="V2003" s="30"/>
      <c r="W2003" s="30"/>
      <c r="X2003" s="30"/>
      <c r="Y2003" s="30"/>
      <c r="Z2003" s="30"/>
      <c r="AA2003" s="30"/>
      <c r="AB2003" s="30"/>
      <c r="AC2003" s="30"/>
      <c r="AD2003" s="30"/>
      <c r="AE2003" s="30"/>
      <c r="AF2003" s="30"/>
      <c r="AG2003" s="30"/>
      <c r="AH2003" s="30"/>
    </row>
    <row r="2004" spans="1:34" ht="13">
      <c r="A2004" s="30"/>
      <c r="B2004" s="30"/>
      <c r="C2004" s="30"/>
      <c r="D2004" s="30"/>
      <c r="E2004" s="30"/>
      <c r="F2004" s="30"/>
      <c r="G2004" s="30"/>
      <c r="H2004" s="48"/>
      <c r="I2004" s="49"/>
      <c r="J2004" s="49"/>
      <c r="K2004" s="48"/>
      <c r="L2004" s="50"/>
      <c r="M2004" s="30"/>
      <c r="N2004" s="30"/>
      <c r="O2004" s="30"/>
      <c r="P2004" s="30"/>
      <c r="Q2004" s="30"/>
      <c r="R2004" s="30"/>
      <c r="S2004" s="30"/>
      <c r="T2004" s="30"/>
      <c r="U2004" s="30"/>
      <c r="V2004" s="30"/>
      <c r="W2004" s="30"/>
      <c r="X2004" s="30"/>
      <c r="Y2004" s="30"/>
      <c r="Z2004" s="30"/>
      <c r="AA2004" s="30"/>
      <c r="AB2004" s="30"/>
      <c r="AC2004" s="30"/>
      <c r="AD2004" s="30"/>
      <c r="AE2004" s="30"/>
      <c r="AF2004" s="30"/>
      <c r="AG2004" s="30"/>
      <c r="AH2004" s="30"/>
    </row>
    <row r="2005" spans="1:34" ht="13">
      <c r="A2005" s="30"/>
      <c r="B2005" s="30"/>
      <c r="C2005" s="30"/>
      <c r="D2005" s="30"/>
      <c r="E2005" s="30"/>
      <c r="F2005" s="30"/>
      <c r="G2005" s="30"/>
      <c r="H2005" s="48"/>
      <c r="I2005" s="49"/>
      <c r="J2005" s="49"/>
      <c r="K2005" s="48"/>
      <c r="L2005" s="50"/>
      <c r="M2005" s="30"/>
      <c r="N2005" s="30"/>
      <c r="O2005" s="30"/>
      <c r="P2005" s="30"/>
      <c r="Q2005" s="30"/>
      <c r="R2005" s="30"/>
      <c r="S2005" s="30"/>
      <c r="T2005" s="30"/>
      <c r="U2005" s="30"/>
      <c r="V2005" s="30"/>
      <c r="W2005" s="30"/>
      <c r="X2005" s="30"/>
      <c r="Y2005" s="30"/>
      <c r="Z2005" s="30"/>
      <c r="AA2005" s="30"/>
      <c r="AB2005" s="30"/>
      <c r="AC2005" s="30"/>
      <c r="AD2005" s="30"/>
      <c r="AE2005" s="30"/>
      <c r="AF2005" s="30"/>
      <c r="AG2005" s="30"/>
      <c r="AH2005" s="30"/>
    </row>
    <row r="2006" spans="1:34" ht="13">
      <c r="A2006" s="30"/>
      <c r="B2006" s="30"/>
      <c r="C2006" s="30"/>
      <c r="D2006" s="30"/>
      <c r="E2006" s="30"/>
      <c r="F2006" s="30"/>
      <c r="G2006" s="30"/>
      <c r="H2006" s="48"/>
      <c r="I2006" s="49"/>
      <c r="J2006" s="49"/>
      <c r="K2006" s="48"/>
      <c r="L2006" s="50"/>
      <c r="M2006" s="30"/>
      <c r="N2006" s="30"/>
      <c r="O2006" s="30"/>
      <c r="P2006" s="30"/>
      <c r="Q2006" s="30"/>
      <c r="R2006" s="30"/>
      <c r="S2006" s="30"/>
      <c r="T2006" s="30"/>
      <c r="U2006" s="30"/>
      <c r="V2006" s="30"/>
      <c r="W2006" s="30"/>
      <c r="X2006" s="30"/>
      <c r="Y2006" s="30"/>
      <c r="Z2006" s="30"/>
      <c r="AA2006" s="30"/>
      <c r="AB2006" s="30"/>
      <c r="AC2006" s="30"/>
      <c r="AD2006" s="30"/>
      <c r="AE2006" s="30"/>
      <c r="AF2006" s="30"/>
      <c r="AG2006" s="30"/>
      <c r="AH2006" s="30"/>
    </row>
    <row r="2007" spans="1:34" ht="13">
      <c r="A2007" s="30"/>
      <c r="B2007" s="30"/>
      <c r="C2007" s="30"/>
      <c r="D2007" s="30"/>
      <c r="E2007" s="30"/>
      <c r="F2007" s="30"/>
      <c r="G2007" s="30"/>
      <c r="H2007" s="48"/>
      <c r="I2007" s="49"/>
      <c r="J2007" s="49"/>
      <c r="K2007" s="48"/>
      <c r="L2007" s="50"/>
      <c r="M2007" s="30"/>
      <c r="N2007" s="30"/>
      <c r="O2007" s="30"/>
      <c r="P2007" s="30"/>
      <c r="Q2007" s="30"/>
      <c r="R2007" s="30"/>
      <c r="S2007" s="30"/>
      <c r="T2007" s="30"/>
      <c r="U2007" s="30"/>
      <c r="V2007" s="30"/>
      <c r="W2007" s="30"/>
      <c r="X2007" s="30"/>
      <c r="Y2007" s="30"/>
      <c r="Z2007" s="30"/>
      <c r="AA2007" s="30"/>
      <c r="AB2007" s="30"/>
      <c r="AC2007" s="30"/>
      <c r="AD2007" s="30"/>
      <c r="AE2007" s="30"/>
      <c r="AF2007" s="30"/>
      <c r="AG2007" s="30"/>
      <c r="AH2007" s="30"/>
    </row>
    <row r="2008" spans="1:34" ht="13">
      <c r="A2008" s="30"/>
      <c r="B2008" s="30"/>
      <c r="C2008" s="30"/>
      <c r="D2008" s="30"/>
      <c r="E2008" s="30"/>
      <c r="F2008" s="30"/>
      <c r="G2008" s="30"/>
      <c r="H2008" s="48"/>
      <c r="I2008" s="49"/>
      <c r="J2008" s="49"/>
      <c r="K2008" s="48"/>
      <c r="L2008" s="50"/>
      <c r="M2008" s="30"/>
      <c r="N2008" s="30"/>
      <c r="O2008" s="30"/>
      <c r="P2008" s="30"/>
      <c r="Q2008" s="30"/>
      <c r="R2008" s="30"/>
      <c r="S2008" s="30"/>
      <c r="T2008" s="30"/>
      <c r="U2008" s="30"/>
      <c r="V2008" s="30"/>
      <c r="W2008" s="30"/>
      <c r="X2008" s="30"/>
      <c r="Y2008" s="30"/>
      <c r="Z2008" s="30"/>
      <c r="AA2008" s="30"/>
      <c r="AB2008" s="30"/>
      <c r="AC2008" s="30"/>
      <c r="AD2008" s="30"/>
      <c r="AE2008" s="30"/>
      <c r="AF2008" s="30"/>
      <c r="AG2008" s="30"/>
      <c r="AH2008" s="30"/>
    </row>
    <row r="2009" spans="1:34" ht="13">
      <c r="A2009" s="30"/>
      <c r="B2009" s="30"/>
      <c r="C2009" s="30"/>
      <c r="D2009" s="30"/>
      <c r="E2009" s="30"/>
      <c r="F2009" s="30"/>
      <c r="G2009" s="30"/>
      <c r="H2009" s="48"/>
      <c r="I2009" s="49"/>
      <c r="J2009" s="49"/>
      <c r="K2009" s="48"/>
      <c r="L2009" s="50"/>
      <c r="M2009" s="30"/>
      <c r="N2009" s="30"/>
      <c r="O2009" s="30"/>
      <c r="P2009" s="30"/>
      <c r="Q2009" s="30"/>
      <c r="R2009" s="30"/>
      <c r="S2009" s="30"/>
      <c r="T2009" s="30"/>
      <c r="U2009" s="30"/>
      <c r="V2009" s="30"/>
      <c r="W2009" s="30"/>
      <c r="X2009" s="30"/>
      <c r="Y2009" s="30"/>
      <c r="Z2009" s="30"/>
      <c r="AA2009" s="30"/>
      <c r="AB2009" s="30"/>
      <c r="AC2009" s="30"/>
      <c r="AD2009" s="30"/>
      <c r="AE2009" s="30"/>
      <c r="AF2009" s="30"/>
      <c r="AG2009" s="30"/>
      <c r="AH2009" s="30"/>
    </row>
    <row r="2010" spans="1:34" ht="13">
      <c r="A2010" s="30"/>
      <c r="B2010" s="30"/>
      <c r="C2010" s="30"/>
      <c r="D2010" s="30"/>
      <c r="E2010" s="30"/>
      <c r="F2010" s="30"/>
      <c r="G2010" s="30"/>
      <c r="H2010" s="48"/>
      <c r="I2010" s="49"/>
      <c r="J2010" s="49"/>
      <c r="K2010" s="48"/>
      <c r="L2010" s="50"/>
      <c r="M2010" s="30"/>
      <c r="N2010" s="30"/>
      <c r="O2010" s="30"/>
      <c r="P2010" s="30"/>
      <c r="Q2010" s="30"/>
      <c r="R2010" s="30"/>
      <c r="S2010" s="30"/>
      <c r="T2010" s="30"/>
      <c r="U2010" s="30"/>
      <c r="V2010" s="30"/>
      <c r="W2010" s="30"/>
      <c r="X2010" s="30"/>
      <c r="Y2010" s="30"/>
      <c r="Z2010" s="30"/>
      <c r="AA2010" s="30"/>
      <c r="AB2010" s="30"/>
      <c r="AC2010" s="30"/>
      <c r="AD2010" s="30"/>
      <c r="AE2010" s="30"/>
      <c r="AF2010" s="30"/>
      <c r="AG2010" s="30"/>
      <c r="AH2010" s="30"/>
    </row>
    <row r="2011" spans="1:34" ht="13">
      <c r="A2011" s="30"/>
      <c r="B2011" s="30"/>
      <c r="C2011" s="30"/>
      <c r="D2011" s="30"/>
      <c r="E2011" s="30"/>
      <c r="F2011" s="30"/>
      <c r="G2011" s="30"/>
      <c r="H2011" s="48"/>
      <c r="I2011" s="49"/>
      <c r="J2011" s="49"/>
      <c r="K2011" s="48"/>
      <c r="L2011" s="50"/>
      <c r="M2011" s="30"/>
      <c r="N2011" s="30"/>
      <c r="O2011" s="30"/>
      <c r="P2011" s="30"/>
      <c r="Q2011" s="30"/>
      <c r="R2011" s="30"/>
      <c r="S2011" s="30"/>
      <c r="T2011" s="30"/>
      <c r="U2011" s="30"/>
      <c r="V2011" s="30"/>
      <c r="W2011" s="30"/>
      <c r="X2011" s="30"/>
      <c r="Y2011" s="30"/>
      <c r="Z2011" s="30"/>
      <c r="AA2011" s="30"/>
      <c r="AB2011" s="30"/>
      <c r="AC2011" s="30"/>
      <c r="AD2011" s="30"/>
      <c r="AE2011" s="30"/>
      <c r="AF2011" s="30"/>
      <c r="AG2011" s="30"/>
      <c r="AH2011" s="30"/>
    </row>
    <row r="2012" spans="1:34" ht="13">
      <c r="A2012" s="30"/>
      <c r="B2012" s="30"/>
      <c r="C2012" s="30"/>
      <c r="D2012" s="30"/>
      <c r="E2012" s="30"/>
      <c r="F2012" s="30"/>
      <c r="G2012" s="30"/>
      <c r="H2012" s="48"/>
      <c r="I2012" s="49"/>
      <c r="J2012" s="49"/>
      <c r="K2012" s="48"/>
      <c r="L2012" s="50"/>
      <c r="M2012" s="30"/>
      <c r="N2012" s="30"/>
      <c r="O2012" s="30"/>
      <c r="P2012" s="30"/>
      <c r="Q2012" s="30"/>
      <c r="R2012" s="30"/>
      <c r="S2012" s="30"/>
      <c r="T2012" s="30"/>
      <c r="U2012" s="30"/>
      <c r="V2012" s="30"/>
      <c r="W2012" s="30"/>
      <c r="X2012" s="30"/>
      <c r="Y2012" s="30"/>
      <c r="Z2012" s="30"/>
      <c r="AA2012" s="30"/>
      <c r="AB2012" s="30"/>
      <c r="AC2012" s="30"/>
      <c r="AD2012" s="30"/>
      <c r="AE2012" s="30"/>
      <c r="AF2012" s="30"/>
      <c r="AG2012" s="30"/>
      <c r="AH2012" s="30"/>
    </row>
    <row r="2013" spans="1:34" ht="13">
      <c r="A2013" s="30"/>
      <c r="B2013" s="30"/>
      <c r="C2013" s="30"/>
      <c r="D2013" s="30"/>
      <c r="E2013" s="30"/>
      <c r="F2013" s="30"/>
      <c r="G2013" s="30"/>
      <c r="H2013" s="48"/>
      <c r="I2013" s="49"/>
      <c r="J2013" s="49"/>
      <c r="K2013" s="48"/>
      <c r="L2013" s="50"/>
      <c r="M2013" s="30"/>
      <c r="N2013" s="30"/>
      <c r="O2013" s="30"/>
      <c r="P2013" s="30"/>
      <c r="Q2013" s="30"/>
      <c r="R2013" s="30"/>
      <c r="S2013" s="30"/>
      <c r="T2013" s="30"/>
      <c r="U2013" s="30"/>
      <c r="V2013" s="30"/>
      <c r="W2013" s="30"/>
      <c r="X2013" s="30"/>
      <c r="Y2013" s="30"/>
      <c r="Z2013" s="30"/>
      <c r="AA2013" s="30"/>
      <c r="AB2013" s="30"/>
      <c r="AC2013" s="30"/>
      <c r="AD2013" s="30"/>
      <c r="AE2013" s="30"/>
      <c r="AF2013" s="30"/>
      <c r="AG2013" s="30"/>
      <c r="AH2013" s="30"/>
    </row>
    <row r="2014" spans="1:34" ht="13">
      <c r="A2014" s="30"/>
      <c r="B2014" s="30"/>
      <c r="C2014" s="30"/>
      <c r="D2014" s="30"/>
      <c r="E2014" s="30"/>
      <c r="F2014" s="30"/>
      <c r="G2014" s="30"/>
      <c r="H2014" s="48"/>
      <c r="I2014" s="49"/>
      <c r="J2014" s="49"/>
      <c r="K2014" s="48"/>
      <c r="L2014" s="50"/>
      <c r="M2014" s="30"/>
      <c r="N2014" s="30"/>
      <c r="O2014" s="30"/>
      <c r="P2014" s="30"/>
      <c r="Q2014" s="30"/>
      <c r="R2014" s="30"/>
      <c r="S2014" s="30"/>
      <c r="T2014" s="30"/>
      <c r="U2014" s="30"/>
      <c r="V2014" s="30"/>
      <c r="W2014" s="30"/>
      <c r="X2014" s="30"/>
      <c r="Y2014" s="30"/>
      <c r="Z2014" s="30"/>
      <c r="AA2014" s="30"/>
      <c r="AB2014" s="30"/>
      <c r="AC2014" s="30"/>
      <c r="AD2014" s="30"/>
      <c r="AE2014" s="30"/>
      <c r="AF2014" s="30"/>
      <c r="AG2014" s="30"/>
      <c r="AH2014" s="30"/>
    </row>
    <row r="2015" spans="1:34" ht="13">
      <c r="A2015" s="30"/>
      <c r="B2015" s="30"/>
      <c r="C2015" s="30"/>
      <c r="D2015" s="30"/>
      <c r="E2015" s="30"/>
      <c r="F2015" s="30"/>
      <c r="G2015" s="30"/>
      <c r="H2015" s="48"/>
      <c r="I2015" s="49"/>
      <c r="J2015" s="49"/>
      <c r="K2015" s="48"/>
      <c r="L2015" s="50"/>
      <c r="M2015" s="30"/>
      <c r="N2015" s="30"/>
      <c r="O2015" s="30"/>
      <c r="P2015" s="30"/>
      <c r="Q2015" s="30"/>
      <c r="R2015" s="30"/>
      <c r="S2015" s="30"/>
      <c r="T2015" s="30"/>
      <c r="U2015" s="30"/>
      <c r="V2015" s="30"/>
      <c r="W2015" s="30"/>
      <c r="X2015" s="30"/>
      <c r="Y2015" s="30"/>
      <c r="Z2015" s="30"/>
      <c r="AA2015" s="30"/>
      <c r="AB2015" s="30"/>
      <c r="AC2015" s="30"/>
      <c r="AD2015" s="30"/>
      <c r="AE2015" s="30"/>
      <c r="AF2015" s="30"/>
      <c r="AG2015" s="30"/>
      <c r="AH2015" s="30"/>
    </row>
    <row r="2016" spans="1:34" ht="13">
      <c r="A2016" s="30"/>
      <c r="B2016" s="30"/>
      <c r="C2016" s="30"/>
      <c r="D2016" s="30"/>
      <c r="E2016" s="30"/>
      <c r="F2016" s="30"/>
      <c r="G2016" s="30"/>
      <c r="H2016" s="48"/>
      <c r="I2016" s="49"/>
      <c r="J2016" s="49"/>
      <c r="K2016" s="48"/>
      <c r="L2016" s="50"/>
      <c r="M2016" s="30"/>
      <c r="N2016" s="30"/>
      <c r="O2016" s="30"/>
      <c r="P2016" s="30"/>
      <c r="Q2016" s="30"/>
      <c r="R2016" s="30"/>
      <c r="S2016" s="30"/>
      <c r="T2016" s="30"/>
      <c r="U2016" s="30"/>
      <c r="V2016" s="30"/>
      <c r="W2016" s="30"/>
      <c r="X2016" s="30"/>
      <c r="Y2016" s="30"/>
      <c r="Z2016" s="30"/>
      <c r="AA2016" s="30"/>
      <c r="AB2016" s="30"/>
      <c r="AC2016" s="30"/>
      <c r="AD2016" s="30"/>
      <c r="AE2016" s="30"/>
      <c r="AF2016" s="30"/>
      <c r="AG2016" s="30"/>
      <c r="AH2016" s="30"/>
    </row>
    <row r="2017" spans="1:34" ht="13">
      <c r="A2017" s="30"/>
      <c r="B2017" s="30"/>
      <c r="C2017" s="30"/>
      <c r="D2017" s="30"/>
      <c r="E2017" s="30"/>
      <c r="F2017" s="30"/>
      <c r="G2017" s="30"/>
      <c r="H2017" s="48"/>
      <c r="I2017" s="49"/>
      <c r="J2017" s="49"/>
      <c r="K2017" s="48"/>
      <c r="L2017" s="50"/>
      <c r="M2017" s="30"/>
      <c r="N2017" s="30"/>
      <c r="O2017" s="30"/>
      <c r="P2017" s="30"/>
      <c r="Q2017" s="30"/>
      <c r="R2017" s="30"/>
      <c r="S2017" s="30"/>
      <c r="T2017" s="30"/>
      <c r="U2017" s="30"/>
      <c r="V2017" s="30"/>
      <c r="W2017" s="30"/>
      <c r="X2017" s="30"/>
      <c r="Y2017" s="30"/>
      <c r="Z2017" s="30"/>
      <c r="AA2017" s="30"/>
      <c r="AB2017" s="30"/>
      <c r="AC2017" s="30"/>
      <c r="AD2017" s="30"/>
      <c r="AE2017" s="30"/>
      <c r="AF2017" s="30"/>
      <c r="AG2017" s="30"/>
      <c r="AH2017" s="30"/>
    </row>
    <row r="2018" spans="1:34" ht="13">
      <c r="A2018" s="30"/>
      <c r="B2018" s="30"/>
      <c r="C2018" s="30"/>
      <c r="D2018" s="30"/>
      <c r="E2018" s="30"/>
      <c r="F2018" s="30"/>
      <c r="G2018" s="30"/>
      <c r="H2018" s="48"/>
      <c r="I2018" s="49"/>
      <c r="J2018" s="49"/>
      <c r="K2018" s="48"/>
      <c r="L2018" s="50"/>
      <c r="M2018" s="30"/>
      <c r="N2018" s="30"/>
      <c r="O2018" s="30"/>
      <c r="P2018" s="30"/>
      <c r="Q2018" s="30"/>
      <c r="R2018" s="30"/>
      <c r="S2018" s="30"/>
      <c r="T2018" s="30"/>
      <c r="U2018" s="30"/>
      <c r="V2018" s="30"/>
      <c r="W2018" s="30"/>
      <c r="X2018" s="30"/>
      <c r="Y2018" s="30"/>
      <c r="Z2018" s="30"/>
      <c r="AA2018" s="30"/>
      <c r="AB2018" s="30"/>
      <c r="AC2018" s="30"/>
      <c r="AD2018" s="30"/>
      <c r="AE2018" s="30"/>
      <c r="AF2018" s="30"/>
      <c r="AG2018" s="30"/>
      <c r="AH2018" s="30"/>
    </row>
    <row r="2019" spans="1:34" ht="13">
      <c r="A2019" s="30"/>
      <c r="B2019" s="30"/>
      <c r="C2019" s="30"/>
      <c r="D2019" s="30"/>
      <c r="E2019" s="30"/>
      <c r="F2019" s="30"/>
      <c r="G2019" s="30"/>
      <c r="H2019" s="48"/>
      <c r="I2019" s="49"/>
      <c r="J2019" s="49"/>
      <c r="K2019" s="48"/>
      <c r="L2019" s="50"/>
      <c r="M2019" s="30"/>
      <c r="N2019" s="30"/>
      <c r="O2019" s="30"/>
      <c r="P2019" s="30"/>
      <c r="Q2019" s="30"/>
      <c r="R2019" s="30"/>
      <c r="S2019" s="30"/>
      <c r="T2019" s="30"/>
      <c r="U2019" s="30"/>
      <c r="V2019" s="30"/>
      <c r="W2019" s="30"/>
      <c r="X2019" s="30"/>
      <c r="Y2019" s="30"/>
      <c r="Z2019" s="30"/>
      <c r="AA2019" s="30"/>
      <c r="AB2019" s="30"/>
      <c r="AC2019" s="30"/>
      <c r="AD2019" s="30"/>
      <c r="AE2019" s="30"/>
      <c r="AF2019" s="30"/>
      <c r="AG2019" s="30"/>
      <c r="AH2019" s="30"/>
    </row>
    <row r="2020" spans="1:34" ht="13">
      <c r="A2020" s="30"/>
      <c r="B2020" s="30"/>
      <c r="C2020" s="30"/>
      <c r="D2020" s="30"/>
      <c r="E2020" s="30"/>
      <c r="F2020" s="30"/>
      <c r="G2020" s="30"/>
      <c r="H2020" s="48"/>
      <c r="I2020" s="49"/>
      <c r="J2020" s="49"/>
      <c r="K2020" s="48"/>
      <c r="L2020" s="50"/>
      <c r="M2020" s="30"/>
      <c r="N2020" s="30"/>
      <c r="O2020" s="30"/>
      <c r="P2020" s="30"/>
      <c r="Q2020" s="30"/>
      <c r="R2020" s="30"/>
      <c r="S2020" s="30"/>
      <c r="T2020" s="30"/>
      <c r="U2020" s="30"/>
      <c r="V2020" s="30"/>
      <c r="W2020" s="30"/>
      <c r="X2020" s="30"/>
      <c r="Y2020" s="30"/>
      <c r="Z2020" s="30"/>
      <c r="AA2020" s="30"/>
      <c r="AB2020" s="30"/>
      <c r="AC2020" s="30"/>
      <c r="AD2020" s="30"/>
      <c r="AE2020" s="30"/>
      <c r="AF2020" s="30"/>
      <c r="AG2020" s="30"/>
      <c r="AH2020" s="30"/>
    </row>
    <row r="2021" spans="1:34" ht="13">
      <c r="A2021" s="30"/>
      <c r="B2021" s="30"/>
      <c r="C2021" s="30"/>
      <c r="D2021" s="30"/>
      <c r="E2021" s="30"/>
      <c r="F2021" s="30"/>
      <c r="G2021" s="30"/>
      <c r="H2021" s="48"/>
      <c r="I2021" s="49"/>
      <c r="J2021" s="49"/>
      <c r="K2021" s="48"/>
      <c r="L2021" s="50"/>
      <c r="M2021" s="30"/>
      <c r="N2021" s="30"/>
      <c r="O2021" s="30"/>
      <c r="P2021" s="30"/>
      <c r="Q2021" s="30"/>
      <c r="R2021" s="30"/>
      <c r="S2021" s="30"/>
      <c r="T2021" s="30"/>
      <c r="U2021" s="30"/>
      <c r="V2021" s="30"/>
      <c r="W2021" s="30"/>
      <c r="X2021" s="30"/>
      <c r="Y2021" s="30"/>
      <c r="Z2021" s="30"/>
      <c r="AA2021" s="30"/>
      <c r="AB2021" s="30"/>
      <c r="AC2021" s="30"/>
      <c r="AD2021" s="30"/>
      <c r="AE2021" s="30"/>
      <c r="AF2021" s="30"/>
      <c r="AG2021" s="30"/>
      <c r="AH2021" s="30"/>
    </row>
    <row r="2022" spans="1:34" ht="13">
      <c r="A2022" s="30"/>
      <c r="B2022" s="30"/>
      <c r="C2022" s="30"/>
      <c r="D2022" s="30"/>
      <c r="E2022" s="30"/>
      <c r="F2022" s="30"/>
      <c r="G2022" s="30"/>
      <c r="H2022" s="48"/>
      <c r="I2022" s="49"/>
      <c r="J2022" s="49"/>
      <c r="K2022" s="48"/>
      <c r="L2022" s="50"/>
      <c r="M2022" s="30"/>
      <c r="N2022" s="30"/>
      <c r="O2022" s="30"/>
      <c r="P2022" s="30"/>
      <c r="Q2022" s="30"/>
      <c r="R2022" s="30"/>
      <c r="S2022" s="30"/>
      <c r="T2022" s="30"/>
      <c r="U2022" s="30"/>
      <c r="V2022" s="30"/>
      <c r="W2022" s="30"/>
      <c r="X2022" s="30"/>
      <c r="Y2022" s="30"/>
      <c r="Z2022" s="30"/>
      <c r="AA2022" s="30"/>
      <c r="AB2022" s="30"/>
      <c r="AC2022" s="30"/>
      <c r="AD2022" s="30"/>
      <c r="AE2022" s="30"/>
      <c r="AF2022" s="30"/>
      <c r="AG2022" s="30"/>
      <c r="AH2022" s="30"/>
    </row>
    <row r="2023" spans="1:34" ht="13">
      <c r="A2023" s="30"/>
      <c r="B2023" s="30"/>
      <c r="C2023" s="30"/>
      <c r="D2023" s="30"/>
      <c r="E2023" s="30"/>
      <c r="F2023" s="30"/>
      <c r="G2023" s="30"/>
      <c r="H2023" s="48"/>
      <c r="I2023" s="49"/>
      <c r="J2023" s="49"/>
      <c r="K2023" s="48"/>
      <c r="L2023" s="50"/>
      <c r="M2023" s="30"/>
      <c r="N2023" s="30"/>
      <c r="O2023" s="30"/>
      <c r="P2023" s="30"/>
      <c r="Q2023" s="30"/>
      <c r="R2023" s="30"/>
      <c r="S2023" s="30"/>
      <c r="T2023" s="30"/>
      <c r="U2023" s="30"/>
      <c r="V2023" s="30"/>
      <c r="W2023" s="30"/>
      <c r="X2023" s="30"/>
      <c r="Y2023" s="30"/>
      <c r="Z2023" s="30"/>
      <c r="AA2023" s="30"/>
      <c r="AB2023" s="30"/>
      <c r="AC2023" s="30"/>
      <c r="AD2023" s="30"/>
      <c r="AE2023" s="30"/>
      <c r="AF2023" s="30"/>
      <c r="AG2023" s="30"/>
      <c r="AH2023" s="30"/>
    </row>
    <row r="2024" spans="1:34" ht="13">
      <c r="A2024" s="30"/>
      <c r="B2024" s="30"/>
      <c r="C2024" s="30"/>
      <c r="D2024" s="30"/>
      <c r="E2024" s="30"/>
      <c r="F2024" s="30"/>
      <c r="G2024" s="30"/>
      <c r="H2024" s="48"/>
      <c r="I2024" s="49"/>
      <c r="J2024" s="49"/>
      <c r="K2024" s="48"/>
      <c r="L2024" s="50"/>
      <c r="M2024" s="30"/>
      <c r="N2024" s="30"/>
      <c r="O2024" s="30"/>
      <c r="P2024" s="30"/>
      <c r="Q2024" s="30"/>
      <c r="R2024" s="30"/>
      <c r="S2024" s="30"/>
      <c r="T2024" s="30"/>
      <c r="U2024" s="30"/>
      <c r="V2024" s="30"/>
      <c r="W2024" s="30"/>
      <c r="X2024" s="30"/>
      <c r="Y2024" s="30"/>
      <c r="Z2024" s="30"/>
      <c r="AA2024" s="30"/>
      <c r="AB2024" s="30"/>
      <c r="AC2024" s="30"/>
      <c r="AD2024" s="30"/>
      <c r="AE2024" s="30"/>
      <c r="AF2024" s="30"/>
      <c r="AG2024" s="30"/>
      <c r="AH2024" s="30"/>
    </row>
    <row r="2025" spans="1:34" ht="13">
      <c r="A2025" s="30"/>
      <c r="B2025" s="30"/>
      <c r="C2025" s="30"/>
      <c r="D2025" s="30"/>
      <c r="E2025" s="30"/>
      <c r="F2025" s="30"/>
      <c r="G2025" s="30"/>
      <c r="H2025" s="48"/>
      <c r="I2025" s="49"/>
      <c r="J2025" s="49"/>
      <c r="K2025" s="48"/>
      <c r="L2025" s="50"/>
      <c r="M2025" s="30"/>
      <c r="N2025" s="30"/>
      <c r="O2025" s="30"/>
      <c r="P2025" s="30"/>
      <c r="Q2025" s="30"/>
      <c r="R2025" s="30"/>
      <c r="S2025" s="30"/>
      <c r="T2025" s="30"/>
      <c r="U2025" s="30"/>
      <c r="V2025" s="30"/>
      <c r="W2025" s="30"/>
      <c r="X2025" s="30"/>
      <c r="Y2025" s="30"/>
      <c r="Z2025" s="30"/>
      <c r="AA2025" s="30"/>
      <c r="AB2025" s="30"/>
      <c r="AC2025" s="30"/>
      <c r="AD2025" s="30"/>
      <c r="AE2025" s="30"/>
      <c r="AF2025" s="30"/>
      <c r="AG2025" s="30"/>
      <c r="AH2025" s="30"/>
    </row>
    <row r="2026" spans="1:34" ht="13">
      <c r="A2026" s="30"/>
      <c r="B2026" s="30"/>
      <c r="C2026" s="30"/>
      <c r="D2026" s="30"/>
      <c r="E2026" s="30"/>
      <c r="F2026" s="30"/>
      <c r="G2026" s="30"/>
      <c r="H2026" s="48"/>
      <c r="I2026" s="49"/>
      <c r="J2026" s="49"/>
      <c r="K2026" s="48"/>
      <c r="L2026" s="50"/>
      <c r="M2026" s="30"/>
      <c r="N2026" s="30"/>
      <c r="O2026" s="30"/>
      <c r="P2026" s="30"/>
      <c r="Q2026" s="30"/>
      <c r="R2026" s="30"/>
      <c r="S2026" s="30"/>
      <c r="T2026" s="30"/>
      <c r="U2026" s="30"/>
      <c r="V2026" s="30"/>
      <c r="W2026" s="30"/>
      <c r="X2026" s="30"/>
      <c r="Y2026" s="30"/>
      <c r="Z2026" s="30"/>
      <c r="AA2026" s="30"/>
      <c r="AB2026" s="30"/>
      <c r="AC2026" s="30"/>
      <c r="AD2026" s="30"/>
      <c r="AE2026" s="30"/>
      <c r="AF2026" s="30"/>
      <c r="AG2026" s="30"/>
      <c r="AH2026" s="30"/>
    </row>
    <row r="2027" spans="1:34" ht="13">
      <c r="A2027" s="30"/>
      <c r="B2027" s="30"/>
      <c r="C2027" s="30"/>
      <c r="D2027" s="30"/>
      <c r="E2027" s="30"/>
      <c r="F2027" s="30"/>
      <c r="G2027" s="30"/>
      <c r="H2027" s="48"/>
      <c r="I2027" s="49"/>
      <c r="J2027" s="49"/>
      <c r="K2027" s="48"/>
      <c r="L2027" s="50"/>
      <c r="M2027" s="30"/>
      <c r="N2027" s="30"/>
      <c r="O2027" s="30"/>
      <c r="P2027" s="30"/>
      <c r="Q2027" s="30"/>
      <c r="R2027" s="30"/>
      <c r="S2027" s="30"/>
      <c r="T2027" s="30"/>
      <c r="U2027" s="30"/>
      <c r="V2027" s="30"/>
      <c r="W2027" s="30"/>
      <c r="X2027" s="30"/>
      <c r="Y2027" s="30"/>
      <c r="Z2027" s="30"/>
      <c r="AA2027" s="30"/>
      <c r="AB2027" s="30"/>
      <c r="AC2027" s="30"/>
      <c r="AD2027" s="30"/>
      <c r="AE2027" s="30"/>
      <c r="AF2027" s="30"/>
      <c r="AG2027" s="30"/>
      <c r="AH2027" s="30"/>
    </row>
    <row r="2028" spans="1:34" ht="13">
      <c r="A2028" s="30"/>
      <c r="B2028" s="30"/>
      <c r="C2028" s="30"/>
      <c r="D2028" s="30"/>
      <c r="E2028" s="30"/>
      <c r="F2028" s="30"/>
      <c r="G2028" s="30"/>
      <c r="H2028" s="48"/>
      <c r="I2028" s="49"/>
      <c r="J2028" s="49"/>
      <c r="K2028" s="48"/>
      <c r="L2028" s="50"/>
      <c r="M2028" s="30"/>
      <c r="N2028" s="30"/>
      <c r="O2028" s="30"/>
      <c r="P2028" s="30"/>
      <c r="Q2028" s="30"/>
      <c r="R2028" s="30"/>
      <c r="S2028" s="30"/>
      <c r="T2028" s="30"/>
      <c r="U2028" s="30"/>
      <c r="V2028" s="30"/>
      <c r="W2028" s="30"/>
      <c r="X2028" s="30"/>
      <c r="Y2028" s="30"/>
      <c r="Z2028" s="30"/>
      <c r="AA2028" s="30"/>
      <c r="AB2028" s="30"/>
      <c r="AC2028" s="30"/>
      <c r="AD2028" s="30"/>
      <c r="AE2028" s="30"/>
      <c r="AF2028" s="30"/>
      <c r="AG2028" s="30"/>
      <c r="AH2028" s="30"/>
    </row>
    <row r="2029" spans="1:34" ht="13">
      <c r="A2029" s="30"/>
      <c r="B2029" s="30"/>
      <c r="C2029" s="30"/>
      <c r="D2029" s="30"/>
      <c r="E2029" s="30"/>
      <c r="F2029" s="30"/>
      <c r="G2029" s="30"/>
      <c r="H2029" s="48"/>
      <c r="I2029" s="49"/>
      <c r="J2029" s="49"/>
      <c r="K2029" s="48"/>
      <c r="L2029" s="50"/>
      <c r="M2029" s="30"/>
      <c r="N2029" s="30"/>
      <c r="O2029" s="30"/>
      <c r="P2029" s="30"/>
      <c r="Q2029" s="30"/>
      <c r="R2029" s="30"/>
      <c r="S2029" s="30"/>
      <c r="T2029" s="30"/>
      <c r="U2029" s="30"/>
      <c r="V2029" s="30"/>
      <c r="W2029" s="30"/>
      <c r="X2029" s="30"/>
      <c r="Y2029" s="30"/>
      <c r="Z2029" s="30"/>
      <c r="AA2029" s="30"/>
      <c r="AB2029" s="30"/>
      <c r="AC2029" s="30"/>
      <c r="AD2029" s="30"/>
      <c r="AE2029" s="30"/>
      <c r="AF2029" s="30"/>
      <c r="AG2029" s="30"/>
      <c r="AH2029" s="30"/>
    </row>
    <row r="2030" spans="1:34" ht="13">
      <c r="A2030" s="30"/>
      <c r="B2030" s="30"/>
      <c r="C2030" s="30"/>
      <c r="D2030" s="30"/>
      <c r="E2030" s="30"/>
      <c r="F2030" s="30"/>
      <c r="G2030" s="30"/>
      <c r="H2030" s="48"/>
      <c r="I2030" s="49"/>
      <c r="J2030" s="49"/>
      <c r="K2030" s="48"/>
      <c r="L2030" s="50"/>
      <c r="M2030" s="30"/>
      <c r="N2030" s="30"/>
      <c r="O2030" s="30"/>
      <c r="P2030" s="30"/>
      <c r="Q2030" s="30"/>
      <c r="R2030" s="30"/>
      <c r="S2030" s="30"/>
      <c r="T2030" s="30"/>
      <c r="U2030" s="30"/>
      <c r="V2030" s="30"/>
      <c r="W2030" s="30"/>
      <c r="X2030" s="30"/>
      <c r="Y2030" s="30"/>
      <c r="Z2030" s="30"/>
      <c r="AA2030" s="30"/>
      <c r="AB2030" s="30"/>
      <c r="AC2030" s="30"/>
      <c r="AD2030" s="30"/>
      <c r="AE2030" s="30"/>
      <c r="AF2030" s="30"/>
      <c r="AG2030" s="30"/>
      <c r="AH2030" s="30"/>
    </row>
    <row r="2031" spans="1:34" ht="13">
      <c r="A2031" s="30"/>
      <c r="B2031" s="30"/>
      <c r="C2031" s="30"/>
      <c r="D2031" s="30"/>
      <c r="E2031" s="30"/>
      <c r="F2031" s="30"/>
      <c r="G2031" s="30"/>
      <c r="H2031" s="48"/>
      <c r="I2031" s="49"/>
      <c r="J2031" s="49"/>
      <c r="K2031" s="48"/>
      <c r="L2031" s="50"/>
      <c r="M2031" s="30"/>
      <c r="N2031" s="30"/>
      <c r="O2031" s="30"/>
      <c r="P2031" s="30"/>
      <c r="Q2031" s="30"/>
      <c r="R2031" s="30"/>
      <c r="S2031" s="30"/>
      <c r="T2031" s="30"/>
      <c r="U2031" s="30"/>
      <c r="V2031" s="30"/>
      <c r="W2031" s="30"/>
      <c r="X2031" s="30"/>
      <c r="Y2031" s="30"/>
      <c r="Z2031" s="30"/>
      <c r="AA2031" s="30"/>
      <c r="AB2031" s="30"/>
      <c r="AC2031" s="30"/>
      <c r="AD2031" s="30"/>
      <c r="AE2031" s="30"/>
      <c r="AF2031" s="30"/>
      <c r="AG2031" s="30"/>
      <c r="AH2031" s="30"/>
    </row>
    <row r="2032" spans="1:34" ht="13">
      <c r="A2032" s="30"/>
      <c r="B2032" s="30"/>
      <c r="C2032" s="30"/>
      <c r="D2032" s="30"/>
      <c r="E2032" s="30"/>
      <c r="F2032" s="30"/>
      <c r="G2032" s="30"/>
      <c r="H2032" s="48"/>
      <c r="I2032" s="49"/>
      <c r="J2032" s="49"/>
      <c r="K2032" s="48"/>
      <c r="L2032" s="50"/>
      <c r="M2032" s="30"/>
      <c r="N2032" s="30"/>
      <c r="O2032" s="30"/>
      <c r="P2032" s="30"/>
      <c r="Q2032" s="30"/>
      <c r="R2032" s="30"/>
      <c r="S2032" s="30"/>
      <c r="T2032" s="30"/>
      <c r="U2032" s="30"/>
      <c r="V2032" s="30"/>
      <c r="W2032" s="30"/>
      <c r="X2032" s="30"/>
      <c r="Y2032" s="30"/>
      <c r="Z2032" s="30"/>
      <c r="AA2032" s="30"/>
      <c r="AB2032" s="30"/>
      <c r="AC2032" s="30"/>
      <c r="AD2032" s="30"/>
      <c r="AE2032" s="30"/>
      <c r="AF2032" s="30"/>
      <c r="AG2032" s="30"/>
      <c r="AH2032" s="30"/>
    </row>
    <row r="2033" spans="1:34" ht="13">
      <c r="A2033" s="30"/>
      <c r="B2033" s="30"/>
      <c r="C2033" s="30"/>
      <c r="D2033" s="30"/>
      <c r="E2033" s="30"/>
      <c r="F2033" s="30"/>
      <c r="G2033" s="30"/>
      <c r="H2033" s="48"/>
      <c r="I2033" s="49"/>
      <c r="J2033" s="49"/>
      <c r="K2033" s="48"/>
      <c r="L2033" s="50"/>
      <c r="M2033" s="30"/>
      <c r="N2033" s="30"/>
      <c r="O2033" s="30"/>
      <c r="P2033" s="30"/>
      <c r="Q2033" s="30"/>
      <c r="R2033" s="30"/>
      <c r="S2033" s="30"/>
      <c r="T2033" s="30"/>
      <c r="U2033" s="30"/>
      <c r="V2033" s="30"/>
      <c r="W2033" s="30"/>
      <c r="X2033" s="30"/>
      <c r="Y2033" s="30"/>
      <c r="Z2033" s="30"/>
      <c r="AA2033" s="30"/>
      <c r="AB2033" s="30"/>
      <c r="AC2033" s="30"/>
      <c r="AD2033" s="30"/>
      <c r="AE2033" s="30"/>
      <c r="AF2033" s="30"/>
      <c r="AG2033" s="30"/>
      <c r="AH2033" s="30"/>
    </row>
    <row r="2034" spans="1:34" ht="13">
      <c r="A2034" s="30"/>
      <c r="B2034" s="30"/>
      <c r="C2034" s="30"/>
      <c r="D2034" s="30"/>
      <c r="E2034" s="30"/>
      <c r="F2034" s="30"/>
      <c r="G2034" s="30"/>
      <c r="H2034" s="48"/>
      <c r="I2034" s="49"/>
      <c r="J2034" s="49"/>
      <c r="K2034" s="48"/>
      <c r="L2034" s="50"/>
      <c r="M2034" s="30"/>
      <c r="N2034" s="30"/>
      <c r="O2034" s="30"/>
      <c r="P2034" s="30"/>
      <c r="Q2034" s="30"/>
      <c r="R2034" s="30"/>
      <c r="S2034" s="30"/>
      <c r="T2034" s="30"/>
      <c r="U2034" s="30"/>
      <c r="V2034" s="30"/>
      <c r="W2034" s="30"/>
      <c r="X2034" s="30"/>
      <c r="Y2034" s="30"/>
      <c r="Z2034" s="30"/>
      <c r="AA2034" s="30"/>
      <c r="AB2034" s="30"/>
      <c r="AC2034" s="30"/>
      <c r="AD2034" s="30"/>
      <c r="AE2034" s="30"/>
      <c r="AF2034" s="30"/>
      <c r="AG2034" s="30"/>
      <c r="AH2034" s="30"/>
    </row>
    <row r="2035" spans="1:34" ht="13">
      <c r="A2035" s="30"/>
      <c r="B2035" s="30"/>
      <c r="C2035" s="30"/>
      <c r="D2035" s="30"/>
      <c r="E2035" s="30"/>
      <c r="F2035" s="30"/>
      <c r="G2035" s="30"/>
      <c r="H2035" s="48"/>
      <c r="I2035" s="49"/>
      <c r="J2035" s="49"/>
      <c r="K2035" s="48"/>
      <c r="L2035" s="50"/>
      <c r="M2035" s="30"/>
      <c r="N2035" s="30"/>
      <c r="O2035" s="30"/>
      <c r="P2035" s="30"/>
      <c r="Q2035" s="30"/>
      <c r="R2035" s="30"/>
      <c r="S2035" s="30"/>
      <c r="T2035" s="30"/>
      <c r="U2035" s="30"/>
      <c r="V2035" s="30"/>
      <c r="W2035" s="30"/>
      <c r="X2035" s="30"/>
      <c r="Y2035" s="30"/>
      <c r="Z2035" s="30"/>
      <c r="AA2035" s="30"/>
      <c r="AB2035" s="30"/>
      <c r="AC2035" s="30"/>
      <c r="AD2035" s="30"/>
      <c r="AE2035" s="30"/>
      <c r="AF2035" s="30"/>
      <c r="AG2035" s="30"/>
      <c r="AH2035" s="30"/>
    </row>
    <row r="2036" spans="1:34" ht="13">
      <c r="A2036" s="30"/>
      <c r="B2036" s="30"/>
      <c r="C2036" s="30"/>
      <c r="D2036" s="30"/>
      <c r="E2036" s="30"/>
      <c r="F2036" s="30"/>
      <c r="G2036" s="30"/>
      <c r="H2036" s="48"/>
      <c r="I2036" s="49"/>
      <c r="J2036" s="49"/>
      <c r="K2036" s="48"/>
      <c r="L2036" s="50"/>
      <c r="M2036" s="30"/>
      <c r="N2036" s="30"/>
      <c r="O2036" s="30"/>
      <c r="P2036" s="30"/>
      <c r="Q2036" s="30"/>
      <c r="R2036" s="30"/>
      <c r="S2036" s="30"/>
      <c r="T2036" s="30"/>
      <c r="U2036" s="30"/>
      <c r="V2036" s="30"/>
      <c r="W2036" s="30"/>
      <c r="X2036" s="30"/>
      <c r="Y2036" s="30"/>
      <c r="Z2036" s="30"/>
      <c r="AA2036" s="30"/>
      <c r="AB2036" s="30"/>
      <c r="AC2036" s="30"/>
      <c r="AD2036" s="30"/>
      <c r="AE2036" s="30"/>
      <c r="AF2036" s="30"/>
      <c r="AG2036" s="30"/>
      <c r="AH2036" s="30"/>
    </row>
    <row r="2037" spans="1:34" ht="13">
      <c r="A2037" s="30"/>
      <c r="B2037" s="30"/>
      <c r="C2037" s="30"/>
      <c r="D2037" s="30"/>
      <c r="E2037" s="30"/>
      <c r="F2037" s="30"/>
      <c r="G2037" s="30"/>
      <c r="H2037" s="48"/>
      <c r="I2037" s="49"/>
      <c r="J2037" s="49"/>
      <c r="K2037" s="48"/>
      <c r="L2037" s="50"/>
      <c r="M2037" s="30"/>
      <c r="N2037" s="30"/>
      <c r="O2037" s="30"/>
      <c r="P2037" s="30"/>
      <c r="Q2037" s="30"/>
      <c r="R2037" s="30"/>
      <c r="S2037" s="30"/>
      <c r="T2037" s="30"/>
      <c r="U2037" s="30"/>
      <c r="V2037" s="30"/>
      <c r="W2037" s="30"/>
      <c r="X2037" s="30"/>
      <c r="Y2037" s="30"/>
      <c r="Z2037" s="30"/>
      <c r="AA2037" s="30"/>
      <c r="AB2037" s="30"/>
      <c r="AC2037" s="30"/>
      <c r="AD2037" s="30"/>
      <c r="AE2037" s="30"/>
      <c r="AF2037" s="30"/>
      <c r="AG2037" s="30"/>
      <c r="AH2037" s="30"/>
    </row>
    <row r="2038" spans="1:34" ht="13">
      <c r="A2038" s="30"/>
      <c r="B2038" s="30"/>
      <c r="C2038" s="30"/>
      <c r="D2038" s="30"/>
      <c r="E2038" s="30"/>
      <c r="F2038" s="30"/>
      <c r="G2038" s="30"/>
      <c r="H2038" s="48"/>
      <c r="I2038" s="49"/>
      <c r="J2038" s="49"/>
      <c r="K2038" s="48"/>
      <c r="L2038" s="50"/>
      <c r="M2038" s="30"/>
      <c r="N2038" s="30"/>
      <c r="O2038" s="30"/>
      <c r="P2038" s="30"/>
      <c r="Q2038" s="30"/>
      <c r="R2038" s="30"/>
      <c r="S2038" s="30"/>
      <c r="T2038" s="30"/>
      <c r="U2038" s="30"/>
      <c r="V2038" s="30"/>
      <c r="W2038" s="30"/>
      <c r="X2038" s="30"/>
      <c r="Y2038" s="30"/>
      <c r="Z2038" s="30"/>
      <c r="AA2038" s="30"/>
      <c r="AB2038" s="30"/>
      <c r="AC2038" s="30"/>
      <c r="AD2038" s="30"/>
      <c r="AE2038" s="30"/>
      <c r="AF2038" s="30"/>
      <c r="AG2038" s="30"/>
      <c r="AH2038" s="30"/>
    </row>
    <row r="2039" spans="1:34" ht="13">
      <c r="A2039" s="30"/>
      <c r="B2039" s="30"/>
      <c r="C2039" s="30"/>
      <c r="D2039" s="30"/>
      <c r="E2039" s="30"/>
      <c r="F2039" s="30"/>
      <c r="G2039" s="30"/>
      <c r="H2039" s="48"/>
      <c r="I2039" s="49"/>
      <c r="J2039" s="49"/>
      <c r="K2039" s="48"/>
      <c r="L2039" s="50"/>
      <c r="M2039" s="30"/>
      <c r="N2039" s="30"/>
      <c r="O2039" s="30"/>
      <c r="P2039" s="30"/>
      <c r="Q2039" s="30"/>
      <c r="R2039" s="30"/>
      <c r="S2039" s="30"/>
      <c r="T2039" s="30"/>
      <c r="U2039" s="30"/>
      <c r="V2039" s="30"/>
      <c r="W2039" s="30"/>
      <c r="X2039" s="30"/>
      <c r="Y2039" s="30"/>
      <c r="Z2039" s="30"/>
      <c r="AA2039" s="30"/>
      <c r="AB2039" s="30"/>
      <c r="AC2039" s="30"/>
      <c r="AD2039" s="30"/>
      <c r="AE2039" s="30"/>
      <c r="AF2039" s="30"/>
      <c r="AG2039" s="30"/>
      <c r="AH2039" s="30"/>
    </row>
    <row r="2040" spans="1:34" ht="13">
      <c r="A2040" s="30"/>
      <c r="B2040" s="30"/>
      <c r="C2040" s="30"/>
      <c r="D2040" s="30"/>
      <c r="E2040" s="30"/>
      <c r="F2040" s="30"/>
      <c r="G2040" s="30"/>
      <c r="H2040" s="48"/>
      <c r="I2040" s="49"/>
      <c r="J2040" s="49"/>
      <c r="K2040" s="48"/>
      <c r="L2040" s="50"/>
      <c r="M2040" s="30"/>
      <c r="N2040" s="30"/>
      <c r="O2040" s="30"/>
      <c r="P2040" s="30"/>
      <c r="Q2040" s="30"/>
      <c r="R2040" s="30"/>
      <c r="S2040" s="30"/>
      <c r="T2040" s="30"/>
      <c r="U2040" s="30"/>
      <c r="V2040" s="30"/>
      <c r="W2040" s="30"/>
      <c r="X2040" s="30"/>
      <c r="Y2040" s="30"/>
      <c r="Z2040" s="30"/>
      <c r="AA2040" s="30"/>
      <c r="AB2040" s="30"/>
      <c r="AC2040" s="30"/>
      <c r="AD2040" s="30"/>
      <c r="AE2040" s="30"/>
      <c r="AF2040" s="30"/>
      <c r="AG2040" s="30"/>
      <c r="AH2040" s="30"/>
    </row>
    <row r="2041" spans="1:34" ht="13">
      <c r="A2041" s="30"/>
      <c r="B2041" s="30"/>
      <c r="C2041" s="30"/>
      <c r="D2041" s="30"/>
      <c r="E2041" s="30"/>
      <c r="F2041" s="30"/>
      <c r="G2041" s="30"/>
      <c r="H2041" s="48"/>
      <c r="I2041" s="49"/>
      <c r="J2041" s="49"/>
      <c r="K2041" s="48"/>
      <c r="L2041" s="50"/>
      <c r="M2041" s="30"/>
      <c r="N2041" s="30"/>
      <c r="O2041" s="30"/>
      <c r="P2041" s="30"/>
      <c r="Q2041" s="30"/>
      <c r="R2041" s="30"/>
      <c r="S2041" s="30"/>
      <c r="T2041" s="30"/>
      <c r="U2041" s="30"/>
      <c r="V2041" s="30"/>
      <c r="W2041" s="30"/>
      <c r="X2041" s="30"/>
      <c r="Y2041" s="30"/>
      <c r="Z2041" s="30"/>
      <c r="AA2041" s="30"/>
      <c r="AB2041" s="30"/>
      <c r="AC2041" s="30"/>
      <c r="AD2041" s="30"/>
      <c r="AE2041" s="30"/>
      <c r="AF2041" s="30"/>
      <c r="AG2041" s="30"/>
      <c r="AH2041" s="30"/>
    </row>
    <row r="2042" spans="1:34" ht="13">
      <c r="A2042" s="30"/>
      <c r="B2042" s="30"/>
      <c r="C2042" s="30"/>
      <c r="D2042" s="30"/>
      <c r="E2042" s="30"/>
      <c r="F2042" s="30"/>
      <c r="G2042" s="30"/>
      <c r="H2042" s="48"/>
      <c r="I2042" s="49"/>
      <c r="J2042" s="49"/>
      <c r="K2042" s="48"/>
      <c r="L2042" s="50"/>
      <c r="M2042" s="30"/>
      <c r="N2042" s="30"/>
      <c r="O2042" s="30"/>
      <c r="P2042" s="30"/>
      <c r="Q2042" s="30"/>
      <c r="R2042" s="30"/>
      <c r="S2042" s="30"/>
      <c r="T2042" s="30"/>
      <c r="U2042" s="30"/>
      <c r="V2042" s="30"/>
      <c r="W2042" s="30"/>
      <c r="X2042" s="30"/>
      <c r="Y2042" s="30"/>
      <c r="Z2042" s="30"/>
      <c r="AA2042" s="30"/>
      <c r="AB2042" s="30"/>
      <c r="AC2042" s="30"/>
      <c r="AD2042" s="30"/>
      <c r="AE2042" s="30"/>
      <c r="AF2042" s="30"/>
      <c r="AG2042" s="30"/>
      <c r="AH2042" s="30"/>
    </row>
    <row r="2043" spans="1:34" ht="13">
      <c r="A2043" s="30"/>
      <c r="B2043" s="30"/>
      <c r="C2043" s="30"/>
      <c r="D2043" s="30"/>
      <c r="E2043" s="30"/>
      <c r="F2043" s="30"/>
      <c r="G2043" s="30"/>
      <c r="H2043" s="48"/>
      <c r="I2043" s="49"/>
      <c r="J2043" s="49"/>
      <c r="K2043" s="48"/>
      <c r="L2043" s="50"/>
      <c r="M2043" s="30"/>
      <c r="N2043" s="30"/>
      <c r="O2043" s="30"/>
      <c r="P2043" s="30"/>
      <c r="Q2043" s="30"/>
      <c r="R2043" s="30"/>
      <c r="S2043" s="30"/>
      <c r="T2043" s="30"/>
      <c r="U2043" s="30"/>
      <c r="V2043" s="30"/>
      <c r="W2043" s="30"/>
      <c r="X2043" s="30"/>
      <c r="Y2043" s="30"/>
      <c r="Z2043" s="30"/>
      <c r="AA2043" s="30"/>
      <c r="AB2043" s="30"/>
      <c r="AC2043" s="30"/>
      <c r="AD2043" s="30"/>
      <c r="AE2043" s="30"/>
      <c r="AF2043" s="30"/>
      <c r="AG2043" s="30"/>
      <c r="AH2043" s="30"/>
    </row>
    <row r="2044" spans="1:34" ht="13">
      <c r="A2044" s="30"/>
      <c r="B2044" s="30"/>
      <c r="C2044" s="30"/>
      <c r="D2044" s="30"/>
      <c r="E2044" s="30"/>
      <c r="F2044" s="30"/>
      <c r="G2044" s="30"/>
      <c r="H2044" s="48"/>
      <c r="I2044" s="49"/>
      <c r="J2044" s="49"/>
      <c r="K2044" s="48"/>
      <c r="L2044" s="50"/>
      <c r="M2044" s="30"/>
      <c r="N2044" s="30"/>
      <c r="O2044" s="30"/>
      <c r="P2044" s="30"/>
      <c r="Q2044" s="30"/>
      <c r="R2044" s="30"/>
      <c r="S2044" s="30"/>
      <c r="T2044" s="30"/>
      <c r="U2044" s="30"/>
      <c r="V2044" s="30"/>
      <c r="W2044" s="30"/>
      <c r="X2044" s="30"/>
      <c r="Y2044" s="30"/>
      <c r="Z2044" s="30"/>
      <c r="AA2044" s="30"/>
      <c r="AB2044" s="30"/>
      <c r="AC2044" s="30"/>
      <c r="AD2044" s="30"/>
      <c r="AE2044" s="30"/>
      <c r="AF2044" s="30"/>
      <c r="AG2044" s="30"/>
      <c r="AH2044" s="30"/>
    </row>
    <row r="2045" spans="1:34" ht="13">
      <c r="A2045" s="30"/>
      <c r="B2045" s="30"/>
      <c r="C2045" s="30"/>
      <c r="D2045" s="30"/>
      <c r="E2045" s="30"/>
      <c r="F2045" s="30"/>
      <c r="G2045" s="30"/>
      <c r="H2045" s="48"/>
      <c r="I2045" s="49"/>
      <c r="J2045" s="49"/>
      <c r="K2045" s="48"/>
      <c r="L2045" s="50"/>
      <c r="M2045" s="30"/>
      <c r="N2045" s="30"/>
      <c r="O2045" s="30"/>
      <c r="P2045" s="30"/>
      <c r="Q2045" s="30"/>
      <c r="R2045" s="30"/>
      <c r="S2045" s="30"/>
      <c r="T2045" s="30"/>
      <c r="U2045" s="30"/>
      <c r="V2045" s="30"/>
      <c r="W2045" s="30"/>
      <c r="X2045" s="30"/>
      <c r="Y2045" s="30"/>
      <c r="Z2045" s="30"/>
      <c r="AA2045" s="30"/>
      <c r="AB2045" s="30"/>
      <c r="AC2045" s="30"/>
      <c r="AD2045" s="30"/>
      <c r="AE2045" s="30"/>
      <c r="AF2045" s="30"/>
      <c r="AG2045" s="30"/>
      <c r="AH2045" s="30"/>
    </row>
    <row r="2046" spans="1:34" ht="13">
      <c r="A2046" s="30"/>
      <c r="B2046" s="30"/>
      <c r="C2046" s="30"/>
      <c r="D2046" s="30"/>
      <c r="E2046" s="30"/>
      <c r="F2046" s="30"/>
      <c r="G2046" s="30"/>
      <c r="H2046" s="48"/>
      <c r="I2046" s="49"/>
      <c r="J2046" s="49"/>
      <c r="K2046" s="48"/>
      <c r="L2046" s="50"/>
      <c r="M2046" s="30"/>
      <c r="N2046" s="30"/>
      <c r="O2046" s="30"/>
      <c r="P2046" s="30"/>
      <c r="Q2046" s="30"/>
      <c r="R2046" s="30"/>
      <c r="S2046" s="30"/>
      <c r="T2046" s="30"/>
      <c r="U2046" s="30"/>
      <c r="V2046" s="30"/>
      <c r="W2046" s="30"/>
      <c r="X2046" s="30"/>
      <c r="Y2046" s="30"/>
      <c r="Z2046" s="30"/>
      <c r="AA2046" s="30"/>
      <c r="AB2046" s="30"/>
      <c r="AC2046" s="30"/>
      <c r="AD2046" s="30"/>
      <c r="AE2046" s="30"/>
      <c r="AF2046" s="30"/>
      <c r="AG2046" s="30"/>
      <c r="AH2046" s="30"/>
    </row>
    <row r="2047" spans="1:34" ht="13">
      <c r="A2047" s="30"/>
      <c r="B2047" s="30"/>
      <c r="C2047" s="30"/>
      <c r="D2047" s="30"/>
      <c r="E2047" s="30"/>
      <c r="F2047" s="30"/>
      <c r="G2047" s="30"/>
      <c r="H2047" s="48"/>
      <c r="I2047" s="49"/>
      <c r="J2047" s="49"/>
      <c r="K2047" s="48"/>
      <c r="L2047" s="50"/>
      <c r="M2047" s="30"/>
      <c r="N2047" s="30"/>
      <c r="O2047" s="30"/>
      <c r="P2047" s="30"/>
      <c r="Q2047" s="30"/>
      <c r="R2047" s="30"/>
      <c r="S2047" s="30"/>
      <c r="T2047" s="30"/>
      <c r="U2047" s="30"/>
      <c r="V2047" s="30"/>
      <c r="W2047" s="30"/>
      <c r="X2047" s="30"/>
      <c r="Y2047" s="30"/>
      <c r="Z2047" s="30"/>
      <c r="AA2047" s="30"/>
      <c r="AB2047" s="30"/>
      <c r="AC2047" s="30"/>
      <c r="AD2047" s="30"/>
      <c r="AE2047" s="30"/>
      <c r="AF2047" s="30"/>
      <c r="AG2047" s="30"/>
      <c r="AH2047" s="30"/>
    </row>
    <row r="2048" spans="1:34" ht="13">
      <c r="A2048" s="30"/>
      <c r="B2048" s="30"/>
      <c r="C2048" s="30"/>
      <c r="D2048" s="30"/>
      <c r="E2048" s="30"/>
      <c r="F2048" s="30"/>
      <c r="G2048" s="30"/>
      <c r="H2048" s="48"/>
      <c r="I2048" s="49"/>
      <c r="J2048" s="49"/>
      <c r="K2048" s="48"/>
      <c r="L2048" s="50"/>
      <c r="M2048" s="30"/>
      <c r="N2048" s="30"/>
      <c r="O2048" s="30"/>
      <c r="P2048" s="30"/>
      <c r="Q2048" s="30"/>
      <c r="R2048" s="30"/>
      <c r="S2048" s="30"/>
      <c r="T2048" s="30"/>
      <c r="U2048" s="30"/>
      <c r="V2048" s="30"/>
      <c r="W2048" s="30"/>
      <c r="X2048" s="30"/>
      <c r="Y2048" s="30"/>
      <c r="Z2048" s="30"/>
      <c r="AA2048" s="30"/>
      <c r="AB2048" s="30"/>
      <c r="AC2048" s="30"/>
      <c r="AD2048" s="30"/>
      <c r="AE2048" s="30"/>
      <c r="AF2048" s="30"/>
      <c r="AG2048" s="30"/>
      <c r="AH2048" s="30"/>
    </row>
    <row r="2049" spans="1:34" ht="13">
      <c r="A2049" s="30"/>
      <c r="B2049" s="30"/>
      <c r="C2049" s="30"/>
      <c r="D2049" s="30"/>
      <c r="E2049" s="30"/>
      <c r="F2049" s="30"/>
      <c r="G2049" s="30"/>
      <c r="H2049" s="48"/>
      <c r="I2049" s="49"/>
      <c r="J2049" s="49"/>
      <c r="K2049" s="48"/>
      <c r="L2049" s="50"/>
      <c r="M2049" s="30"/>
      <c r="N2049" s="30"/>
      <c r="O2049" s="30"/>
      <c r="P2049" s="30"/>
      <c r="Q2049" s="30"/>
      <c r="R2049" s="30"/>
      <c r="S2049" s="30"/>
      <c r="T2049" s="30"/>
      <c r="U2049" s="30"/>
      <c r="V2049" s="30"/>
      <c r="W2049" s="30"/>
      <c r="X2049" s="30"/>
      <c r="Y2049" s="30"/>
      <c r="Z2049" s="30"/>
      <c r="AA2049" s="30"/>
      <c r="AB2049" s="30"/>
      <c r="AC2049" s="30"/>
      <c r="AD2049" s="30"/>
      <c r="AE2049" s="30"/>
      <c r="AF2049" s="30"/>
      <c r="AG2049" s="30"/>
      <c r="AH2049" s="30"/>
    </row>
    <row r="2050" spans="1:34" ht="13">
      <c r="A2050" s="30"/>
      <c r="B2050" s="30"/>
      <c r="C2050" s="30"/>
      <c r="D2050" s="30"/>
      <c r="E2050" s="30"/>
      <c r="F2050" s="30"/>
      <c r="G2050" s="30"/>
      <c r="H2050" s="48"/>
      <c r="I2050" s="49"/>
      <c r="J2050" s="49"/>
      <c r="K2050" s="48"/>
      <c r="L2050" s="50"/>
      <c r="M2050" s="30"/>
      <c r="N2050" s="30"/>
      <c r="O2050" s="30"/>
      <c r="P2050" s="30"/>
      <c r="Q2050" s="30"/>
      <c r="R2050" s="30"/>
      <c r="S2050" s="30"/>
      <c r="T2050" s="30"/>
      <c r="U2050" s="30"/>
      <c r="V2050" s="30"/>
      <c r="W2050" s="30"/>
      <c r="X2050" s="30"/>
      <c r="Y2050" s="30"/>
      <c r="Z2050" s="30"/>
      <c r="AA2050" s="30"/>
      <c r="AB2050" s="30"/>
      <c r="AC2050" s="30"/>
      <c r="AD2050" s="30"/>
      <c r="AE2050" s="30"/>
      <c r="AF2050" s="30"/>
      <c r="AG2050" s="30"/>
      <c r="AH2050" s="30"/>
    </row>
    <row r="2051" spans="1:34" ht="13">
      <c r="A2051" s="30"/>
      <c r="B2051" s="30"/>
      <c r="C2051" s="30"/>
      <c r="D2051" s="30"/>
      <c r="E2051" s="30"/>
      <c r="F2051" s="30"/>
      <c r="G2051" s="30"/>
      <c r="H2051" s="48"/>
      <c r="I2051" s="49"/>
      <c r="J2051" s="49"/>
      <c r="K2051" s="48"/>
      <c r="L2051" s="50"/>
      <c r="M2051" s="30"/>
      <c r="N2051" s="30"/>
      <c r="O2051" s="30"/>
      <c r="P2051" s="30"/>
      <c r="Q2051" s="30"/>
      <c r="R2051" s="30"/>
      <c r="S2051" s="30"/>
      <c r="T2051" s="30"/>
      <c r="U2051" s="30"/>
      <c r="V2051" s="30"/>
      <c r="W2051" s="30"/>
      <c r="X2051" s="30"/>
      <c r="Y2051" s="30"/>
      <c r="Z2051" s="30"/>
      <c r="AA2051" s="30"/>
      <c r="AB2051" s="30"/>
      <c r="AC2051" s="30"/>
      <c r="AD2051" s="30"/>
      <c r="AE2051" s="30"/>
      <c r="AF2051" s="30"/>
      <c r="AG2051" s="30"/>
      <c r="AH2051" s="30"/>
    </row>
    <row r="2052" spans="1:34" ht="13">
      <c r="A2052" s="30"/>
      <c r="B2052" s="30"/>
      <c r="C2052" s="30"/>
      <c r="D2052" s="30"/>
      <c r="E2052" s="30"/>
      <c r="F2052" s="30"/>
      <c r="G2052" s="30"/>
      <c r="H2052" s="48"/>
      <c r="I2052" s="49"/>
      <c r="J2052" s="49"/>
      <c r="K2052" s="48"/>
      <c r="L2052" s="50"/>
      <c r="M2052" s="30"/>
      <c r="N2052" s="30"/>
      <c r="O2052" s="30"/>
      <c r="P2052" s="30"/>
      <c r="Q2052" s="30"/>
      <c r="R2052" s="30"/>
      <c r="S2052" s="30"/>
      <c r="T2052" s="30"/>
      <c r="U2052" s="30"/>
      <c r="V2052" s="30"/>
      <c r="W2052" s="30"/>
      <c r="X2052" s="30"/>
      <c r="Y2052" s="30"/>
      <c r="Z2052" s="30"/>
      <c r="AA2052" s="30"/>
      <c r="AB2052" s="30"/>
      <c r="AC2052" s="30"/>
      <c r="AD2052" s="30"/>
      <c r="AE2052" s="30"/>
      <c r="AF2052" s="30"/>
      <c r="AG2052" s="30"/>
      <c r="AH2052" s="30"/>
    </row>
    <row r="2053" spans="1:34" ht="13">
      <c r="A2053" s="30"/>
      <c r="B2053" s="30"/>
      <c r="C2053" s="30"/>
      <c r="D2053" s="30"/>
      <c r="E2053" s="30"/>
      <c r="F2053" s="30"/>
      <c r="G2053" s="30"/>
      <c r="H2053" s="48"/>
      <c r="I2053" s="49"/>
      <c r="J2053" s="49"/>
      <c r="K2053" s="48"/>
      <c r="L2053" s="50"/>
      <c r="M2053" s="30"/>
      <c r="N2053" s="30"/>
      <c r="O2053" s="30"/>
      <c r="P2053" s="30"/>
      <c r="Q2053" s="30"/>
      <c r="R2053" s="30"/>
      <c r="S2053" s="30"/>
      <c r="T2053" s="30"/>
      <c r="U2053" s="30"/>
      <c r="V2053" s="30"/>
      <c r="W2053" s="30"/>
      <c r="X2053" s="30"/>
      <c r="Y2053" s="30"/>
      <c r="Z2053" s="30"/>
      <c r="AA2053" s="30"/>
      <c r="AB2053" s="30"/>
      <c r="AC2053" s="30"/>
      <c r="AD2053" s="30"/>
      <c r="AE2053" s="30"/>
      <c r="AF2053" s="30"/>
      <c r="AG2053" s="30"/>
      <c r="AH2053" s="30"/>
    </row>
    <row r="2054" spans="1:34" ht="13">
      <c r="A2054" s="30"/>
      <c r="B2054" s="30"/>
      <c r="C2054" s="30"/>
      <c r="D2054" s="30"/>
      <c r="E2054" s="30"/>
      <c r="F2054" s="30"/>
      <c r="G2054" s="30"/>
      <c r="H2054" s="48"/>
      <c r="I2054" s="49"/>
      <c r="J2054" s="49"/>
      <c r="K2054" s="48"/>
      <c r="L2054" s="50"/>
      <c r="M2054" s="30"/>
      <c r="N2054" s="30"/>
      <c r="O2054" s="30"/>
      <c r="P2054" s="30"/>
      <c r="Q2054" s="30"/>
      <c r="R2054" s="30"/>
      <c r="S2054" s="30"/>
      <c r="T2054" s="30"/>
      <c r="U2054" s="30"/>
      <c r="V2054" s="30"/>
      <c r="W2054" s="30"/>
      <c r="X2054" s="30"/>
      <c r="Y2054" s="30"/>
      <c r="Z2054" s="30"/>
      <c r="AA2054" s="30"/>
      <c r="AB2054" s="30"/>
      <c r="AC2054" s="30"/>
      <c r="AD2054" s="30"/>
      <c r="AE2054" s="30"/>
      <c r="AF2054" s="30"/>
      <c r="AG2054" s="30"/>
      <c r="AH2054" s="30"/>
    </row>
    <row r="2055" spans="1:34" ht="13">
      <c r="A2055" s="30"/>
      <c r="B2055" s="30"/>
      <c r="C2055" s="30"/>
      <c r="D2055" s="30"/>
      <c r="E2055" s="30"/>
      <c r="F2055" s="30"/>
      <c r="G2055" s="30"/>
      <c r="H2055" s="48"/>
      <c r="I2055" s="49"/>
      <c r="J2055" s="49"/>
      <c r="K2055" s="48"/>
      <c r="L2055" s="50"/>
      <c r="M2055" s="30"/>
      <c r="N2055" s="30"/>
      <c r="O2055" s="30"/>
      <c r="P2055" s="30"/>
      <c r="Q2055" s="30"/>
      <c r="R2055" s="30"/>
      <c r="S2055" s="30"/>
      <c r="T2055" s="30"/>
      <c r="U2055" s="30"/>
      <c r="V2055" s="30"/>
      <c r="W2055" s="30"/>
      <c r="X2055" s="30"/>
      <c r="Y2055" s="30"/>
      <c r="Z2055" s="30"/>
      <c r="AA2055" s="30"/>
      <c r="AB2055" s="30"/>
      <c r="AC2055" s="30"/>
      <c r="AD2055" s="30"/>
      <c r="AE2055" s="30"/>
      <c r="AF2055" s="30"/>
      <c r="AG2055" s="30"/>
      <c r="AH2055" s="30"/>
    </row>
    <row r="2056" spans="1:34" ht="13">
      <c r="A2056" s="30"/>
      <c r="B2056" s="30"/>
      <c r="C2056" s="30"/>
      <c r="D2056" s="30"/>
      <c r="E2056" s="30"/>
      <c r="F2056" s="30"/>
      <c r="G2056" s="30"/>
      <c r="H2056" s="48"/>
      <c r="I2056" s="49"/>
      <c r="J2056" s="49"/>
      <c r="K2056" s="48"/>
      <c r="L2056" s="50"/>
      <c r="M2056" s="30"/>
      <c r="N2056" s="30"/>
      <c r="O2056" s="30"/>
      <c r="P2056" s="30"/>
      <c r="Q2056" s="30"/>
      <c r="R2056" s="30"/>
      <c r="S2056" s="30"/>
      <c r="T2056" s="30"/>
      <c r="U2056" s="30"/>
      <c r="V2056" s="30"/>
      <c r="W2056" s="30"/>
      <c r="X2056" s="30"/>
      <c r="Y2056" s="30"/>
      <c r="Z2056" s="30"/>
      <c r="AA2056" s="30"/>
      <c r="AB2056" s="30"/>
      <c r="AC2056" s="30"/>
      <c r="AD2056" s="30"/>
      <c r="AE2056" s="30"/>
      <c r="AF2056" s="30"/>
      <c r="AG2056" s="30"/>
      <c r="AH2056" s="30"/>
    </row>
    <row r="2057" spans="1:34" ht="13">
      <c r="A2057" s="30"/>
      <c r="B2057" s="30"/>
      <c r="C2057" s="30"/>
      <c r="D2057" s="30"/>
      <c r="E2057" s="30"/>
      <c r="F2057" s="30"/>
      <c r="G2057" s="30"/>
      <c r="H2057" s="48"/>
      <c r="I2057" s="49"/>
      <c r="J2057" s="49"/>
      <c r="K2057" s="48"/>
      <c r="L2057" s="50"/>
      <c r="M2057" s="30"/>
      <c r="N2057" s="30"/>
      <c r="O2057" s="30"/>
      <c r="P2057" s="30"/>
      <c r="Q2057" s="30"/>
      <c r="R2057" s="30"/>
      <c r="S2057" s="30"/>
      <c r="T2057" s="30"/>
      <c r="U2057" s="30"/>
      <c r="V2057" s="30"/>
      <c r="W2057" s="30"/>
      <c r="X2057" s="30"/>
      <c r="Y2057" s="30"/>
      <c r="Z2057" s="30"/>
      <c r="AA2057" s="30"/>
      <c r="AB2057" s="30"/>
      <c r="AC2057" s="30"/>
      <c r="AD2057" s="30"/>
      <c r="AE2057" s="30"/>
      <c r="AF2057" s="30"/>
      <c r="AG2057" s="30"/>
      <c r="AH2057" s="30"/>
    </row>
    <row r="2058" spans="1:34" ht="13">
      <c r="A2058" s="30"/>
      <c r="B2058" s="30"/>
      <c r="C2058" s="30"/>
      <c r="D2058" s="30"/>
      <c r="E2058" s="30"/>
      <c r="F2058" s="30"/>
      <c r="G2058" s="30"/>
      <c r="H2058" s="48"/>
      <c r="I2058" s="49"/>
      <c r="J2058" s="49"/>
      <c r="K2058" s="48"/>
      <c r="L2058" s="50"/>
      <c r="M2058" s="30"/>
      <c r="N2058" s="30"/>
      <c r="O2058" s="30"/>
      <c r="P2058" s="30"/>
      <c r="Q2058" s="30"/>
      <c r="R2058" s="30"/>
      <c r="S2058" s="30"/>
      <c r="T2058" s="30"/>
      <c r="U2058" s="30"/>
      <c r="V2058" s="30"/>
      <c r="W2058" s="30"/>
      <c r="X2058" s="30"/>
      <c r="Y2058" s="30"/>
      <c r="Z2058" s="30"/>
      <c r="AA2058" s="30"/>
      <c r="AB2058" s="30"/>
      <c r="AC2058" s="30"/>
      <c r="AD2058" s="30"/>
      <c r="AE2058" s="30"/>
      <c r="AF2058" s="30"/>
      <c r="AG2058" s="30"/>
      <c r="AH2058" s="30"/>
    </row>
    <row r="2059" spans="1:34" ht="13">
      <c r="A2059" s="30"/>
      <c r="B2059" s="30"/>
      <c r="C2059" s="30"/>
      <c r="D2059" s="30"/>
      <c r="E2059" s="30"/>
      <c r="F2059" s="30"/>
      <c r="G2059" s="30"/>
      <c r="H2059" s="48"/>
      <c r="I2059" s="49"/>
      <c r="J2059" s="49"/>
      <c r="K2059" s="48"/>
      <c r="L2059" s="50"/>
      <c r="M2059" s="30"/>
      <c r="N2059" s="30"/>
      <c r="O2059" s="30"/>
      <c r="P2059" s="30"/>
      <c r="Q2059" s="30"/>
      <c r="R2059" s="30"/>
      <c r="S2059" s="30"/>
      <c r="T2059" s="30"/>
      <c r="U2059" s="30"/>
      <c r="V2059" s="30"/>
      <c r="W2059" s="30"/>
      <c r="X2059" s="30"/>
      <c r="Y2059" s="30"/>
      <c r="Z2059" s="30"/>
      <c r="AA2059" s="30"/>
      <c r="AB2059" s="30"/>
      <c r="AC2059" s="30"/>
      <c r="AD2059" s="30"/>
      <c r="AE2059" s="30"/>
      <c r="AF2059" s="30"/>
      <c r="AG2059" s="30"/>
      <c r="AH2059" s="30"/>
    </row>
    <row r="2060" spans="1:34" ht="13">
      <c r="A2060" s="30"/>
      <c r="B2060" s="30"/>
      <c r="C2060" s="30"/>
      <c r="D2060" s="30"/>
      <c r="E2060" s="30"/>
      <c r="F2060" s="30"/>
      <c r="G2060" s="30"/>
      <c r="H2060" s="48"/>
      <c r="I2060" s="49"/>
      <c r="J2060" s="49"/>
      <c r="K2060" s="48"/>
      <c r="L2060" s="50"/>
      <c r="M2060" s="30"/>
      <c r="N2060" s="30"/>
      <c r="O2060" s="30"/>
      <c r="P2060" s="30"/>
      <c r="Q2060" s="30"/>
      <c r="R2060" s="30"/>
      <c r="S2060" s="30"/>
      <c r="T2060" s="30"/>
      <c r="U2060" s="30"/>
      <c r="V2060" s="30"/>
      <c r="W2060" s="30"/>
      <c r="X2060" s="30"/>
      <c r="Y2060" s="30"/>
      <c r="Z2060" s="30"/>
      <c r="AA2060" s="30"/>
      <c r="AB2060" s="30"/>
      <c r="AC2060" s="30"/>
      <c r="AD2060" s="30"/>
      <c r="AE2060" s="30"/>
      <c r="AF2060" s="30"/>
      <c r="AG2060" s="30"/>
      <c r="AH2060" s="30"/>
    </row>
    <row r="2061" spans="1:34" ht="13">
      <c r="A2061" s="30"/>
      <c r="B2061" s="30"/>
      <c r="C2061" s="30"/>
      <c r="D2061" s="30"/>
      <c r="E2061" s="30"/>
      <c r="F2061" s="30"/>
      <c r="G2061" s="30"/>
      <c r="H2061" s="48"/>
      <c r="I2061" s="49"/>
      <c r="J2061" s="49"/>
      <c r="K2061" s="48"/>
      <c r="L2061" s="50"/>
      <c r="M2061" s="30"/>
      <c r="N2061" s="30"/>
      <c r="O2061" s="30"/>
      <c r="P2061" s="30"/>
      <c r="Q2061" s="30"/>
      <c r="R2061" s="30"/>
      <c r="S2061" s="30"/>
      <c r="T2061" s="30"/>
      <c r="U2061" s="30"/>
      <c r="V2061" s="30"/>
      <c r="W2061" s="30"/>
      <c r="X2061" s="30"/>
      <c r="Y2061" s="30"/>
      <c r="Z2061" s="30"/>
      <c r="AA2061" s="30"/>
      <c r="AB2061" s="30"/>
      <c r="AC2061" s="30"/>
      <c r="AD2061" s="30"/>
      <c r="AE2061" s="30"/>
      <c r="AF2061" s="30"/>
      <c r="AG2061" s="30"/>
      <c r="AH2061" s="30"/>
    </row>
    <row r="2062" spans="1:34" ht="13">
      <c r="A2062" s="30"/>
      <c r="B2062" s="30"/>
      <c r="C2062" s="30"/>
      <c r="D2062" s="30"/>
      <c r="E2062" s="30"/>
      <c r="F2062" s="30"/>
      <c r="G2062" s="30"/>
      <c r="H2062" s="48"/>
      <c r="I2062" s="49"/>
      <c r="J2062" s="49"/>
      <c r="K2062" s="48"/>
      <c r="L2062" s="50"/>
      <c r="M2062" s="30"/>
      <c r="N2062" s="30"/>
      <c r="O2062" s="30"/>
      <c r="P2062" s="30"/>
      <c r="Q2062" s="30"/>
      <c r="R2062" s="30"/>
      <c r="S2062" s="30"/>
      <c r="T2062" s="30"/>
      <c r="U2062" s="30"/>
      <c r="V2062" s="30"/>
      <c r="W2062" s="30"/>
      <c r="X2062" s="30"/>
      <c r="Y2062" s="30"/>
      <c r="Z2062" s="30"/>
      <c r="AA2062" s="30"/>
      <c r="AB2062" s="30"/>
      <c r="AC2062" s="30"/>
      <c r="AD2062" s="30"/>
      <c r="AE2062" s="30"/>
      <c r="AF2062" s="30"/>
      <c r="AG2062" s="30"/>
      <c r="AH2062" s="30"/>
    </row>
    <row r="2063" spans="1:34" ht="13">
      <c r="A2063" s="30"/>
      <c r="B2063" s="30"/>
      <c r="C2063" s="30"/>
      <c r="D2063" s="30"/>
      <c r="E2063" s="30"/>
      <c r="F2063" s="30"/>
      <c r="G2063" s="30"/>
      <c r="H2063" s="48"/>
      <c r="I2063" s="49"/>
      <c r="J2063" s="49"/>
      <c r="K2063" s="48"/>
      <c r="L2063" s="50"/>
      <c r="M2063" s="30"/>
      <c r="N2063" s="30"/>
      <c r="O2063" s="30"/>
      <c r="P2063" s="30"/>
      <c r="Q2063" s="30"/>
      <c r="R2063" s="30"/>
      <c r="S2063" s="30"/>
      <c r="T2063" s="30"/>
      <c r="U2063" s="30"/>
      <c r="V2063" s="30"/>
      <c r="W2063" s="30"/>
      <c r="X2063" s="30"/>
      <c r="Y2063" s="30"/>
      <c r="Z2063" s="30"/>
      <c r="AA2063" s="30"/>
      <c r="AB2063" s="30"/>
      <c r="AC2063" s="30"/>
      <c r="AD2063" s="30"/>
      <c r="AE2063" s="30"/>
      <c r="AF2063" s="30"/>
      <c r="AG2063" s="30"/>
      <c r="AH2063" s="30"/>
    </row>
    <row r="2064" spans="1:34" ht="13">
      <c r="A2064" s="30"/>
      <c r="B2064" s="30"/>
      <c r="C2064" s="30"/>
      <c r="D2064" s="30"/>
      <c r="E2064" s="30"/>
      <c r="F2064" s="30"/>
      <c r="G2064" s="30"/>
      <c r="H2064" s="48"/>
      <c r="I2064" s="49"/>
      <c r="J2064" s="49"/>
      <c r="K2064" s="48"/>
      <c r="L2064" s="50"/>
      <c r="M2064" s="30"/>
      <c r="N2064" s="30"/>
      <c r="O2064" s="30"/>
      <c r="P2064" s="30"/>
      <c r="Q2064" s="30"/>
      <c r="R2064" s="30"/>
      <c r="S2064" s="30"/>
      <c r="T2064" s="30"/>
      <c r="U2064" s="30"/>
      <c r="V2064" s="30"/>
      <c r="W2064" s="30"/>
      <c r="X2064" s="30"/>
      <c r="Y2064" s="30"/>
      <c r="Z2064" s="30"/>
      <c r="AA2064" s="30"/>
      <c r="AB2064" s="30"/>
      <c r="AC2064" s="30"/>
      <c r="AD2064" s="30"/>
      <c r="AE2064" s="30"/>
      <c r="AF2064" s="30"/>
      <c r="AG2064" s="30"/>
      <c r="AH2064" s="30"/>
    </row>
    <row r="2065" spans="1:34" ht="13">
      <c r="A2065" s="30"/>
      <c r="B2065" s="30"/>
      <c r="C2065" s="30"/>
      <c r="D2065" s="30"/>
      <c r="E2065" s="30"/>
      <c r="F2065" s="30"/>
      <c r="G2065" s="30"/>
      <c r="H2065" s="48"/>
      <c r="I2065" s="49"/>
      <c r="J2065" s="49"/>
      <c r="K2065" s="48"/>
      <c r="L2065" s="50"/>
      <c r="M2065" s="30"/>
      <c r="N2065" s="30"/>
      <c r="O2065" s="30"/>
      <c r="P2065" s="30"/>
      <c r="Q2065" s="30"/>
      <c r="R2065" s="30"/>
      <c r="S2065" s="30"/>
      <c r="T2065" s="30"/>
      <c r="U2065" s="30"/>
      <c r="V2065" s="30"/>
      <c r="W2065" s="30"/>
      <c r="X2065" s="30"/>
      <c r="Y2065" s="30"/>
      <c r="Z2065" s="30"/>
      <c r="AA2065" s="30"/>
      <c r="AB2065" s="30"/>
      <c r="AC2065" s="30"/>
      <c r="AD2065" s="30"/>
      <c r="AE2065" s="30"/>
      <c r="AF2065" s="30"/>
      <c r="AG2065" s="30"/>
      <c r="AH2065" s="30"/>
    </row>
    <row r="2066" spans="1:34" ht="13">
      <c r="A2066" s="30"/>
      <c r="B2066" s="30"/>
      <c r="C2066" s="30"/>
      <c r="D2066" s="30"/>
      <c r="E2066" s="30"/>
      <c r="F2066" s="30"/>
      <c r="G2066" s="30"/>
      <c r="H2066" s="48"/>
      <c r="I2066" s="49"/>
      <c r="J2066" s="49"/>
      <c r="K2066" s="48"/>
      <c r="L2066" s="50"/>
      <c r="M2066" s="30"/>
      <c r="N2066" s="30"/>
      <c r="O2066" s="30"/>
      <c r="P2066" s="30"/>
      <c r="Q2066" s="30"/>
      <c r="R2066" s="30"/>
      <c r="S2066" s="30"/>
      <c r="T2066" s="30"/>
      <c r="U2066" s="30"/>
      <c r="V2066" s="30"/>
      <c r="W2066" s="30"/>
      <c r="X2066" s="30"/>
      <c r="Y2066" s="30"/>
      <c r="Z2066" s="30"/>
      <c r="AA2066" s="30"/>
      <c r="AB2066" s="30"/>
      <c r="AC2066" s="30"/>
      <c r="AD2066" s="30"/>
      <c r="AE2066" s="30"/>
      <c r="AF2066" s="30"/>
      <c r="AG2066" s="30"/>
      <c r="AH2066" s="30"/>
    </row>
    <row r="2067" spans="1:34" ht="13">
      <c r="A2067" s="30"/>
      <c r="B2067" s="30"/>
      <c r="C2067" s="30"/>
      <c r="D2067" s="30"/>
      <c r="E2067" s="30"/>
      <c r="F2067" s="30"/>
      <c r="G2067" s="30"/>
      <c r="H2067" s="48"/>
      <c r="I2067" s="49"/>
      <c r="J2067" s="49"/>
      <c r="K2067" s="48"/>
      <c r="L2067" s="50"/>
      <c r="M2067" s="30"/>
      <c r="N2067" s="30"/>
      <c r="O2067" s="30"/>
      <c r="P2067" s="30"/>
      <c r="Q2067" s="30"/>
      <c r="R2067" s="30"/>
      <c r="S2067" s="30"/>
      <c r="T2067" s="30"/>
      <c r="U2067" s="30"/>
      <c r="V2067" s="30"/>
      <c r="W2067" s="30"/>
      <c r="X2067" s="30"/>
      <c r="Y2067" s="30"/>
      <c r="Z2067" s="30"/>
      <c r="AA2067" s="30"/>
      <c r="AB2067" s="30"/>
      <c r="AC2067" s="30"/>
      <c r="AD2067" s="30"/>
      <c r="AE2067" s="30"/>
      <c r="AF2067" s="30"/>
      <c r="AG2067" s="30"/>
      <c r="AH2067" s="30"/>
    </row>
    <row r="2068" spans="1:34" ht="13">
      <c r="A2068" s="30"/>
      <c r="B2068" s="30"/>
      <c r="C2068" s="30"/>
      <c r="D2068" s="30"/>
      <c r="E2068" s="30"/>
      <c r="F2068" s="30"/>
      <c r="G2068" s="30"/>
      <c r="H2068" s="48"/>
      <c r="I2068" s="49"/>
      <c r="J2068" s="49"/>
      <c r="K2068" s="48"/>
      <c r="L2068" s="50"/>
      <c r="M2068" s="30"/>
      <c r="N2068" s="30"/>
      <c r="O2068" s="30"/>
      <c r="P2068" s="30"/>
      <c r="Q2068" s="30"/>
      <c r="R2068" s="30"/>
      <c r="S2068" s="30"/>
      <c r="T2068" s="30"/>
      <c r="U2068" s="30"/>
      <c r="V2068" s="30"/>
      <c r="W2068" s="30"/>
      <c r="X2068" s="30"/>
      <c r="Y2068" s="30"/>
      <c r="Z2068" s="30"/>
      <c r="AA2068" s="30"/>
      <c r="AB2068" s="30"/>
      <c r="AC2068" s="30"/>
      <c r="AD2068" s="30"/>
      <c r="AE2068" s="30"/>
      <c r="AF2068" s="30"/>
      <c r="AG2068" s="30"/>
      <c r="AH2068" s="30"/>
    </row>
    <row r="2069" spans="1:34" ht="13">
      <c r="A2069" s="30"/>
      <c r="B2069" s="30"/>
      <c r="C2069" s="30"/>
      <c r="D2069" s="30"/>
      <c r="E2069" s="30"/>
      <c r="F2069" s="30"/>
      <c r="G2069" s="30"/>
      <c r="H2069" s="48"/>
      <c r="I2069" s="49"/>
      <c r="J2069" s="49"/>
      <c r="K2069" s="48"/>
      <c r="L2069" s="50"/>
      <c r="M2069" s="30"/>
      <c r="N2069" s="30"/>
      <c r="O2069" s="30"/>
      <c r="P2069" s="30"/>
      <c r="Q2069" s="30"/>
      <c r="R2069" s="30"/>
      <c r="S2069" s="30"/>
      <c r="T2069" s="30"/>
      <c r="U2069" s="30"/>
      <c r="V2069" s="30"/>
      <c r="W2069" s="30"/>
      <c r="X2069" s="30"/>
      <c r="Y2069" s="30"/>
      <c r="Z2069" s="30"/>
      <c r="AA2069" s="30"/>
      <c r="AB2069" s="30"/>
      <c r="AC2069" s="30"/>
      <c r="AD2069" s="30"/>
      <c r="AE2069" s="30"/>
      <c r="AF2069" s="30"/>
      <c r="AG2069" s="30"/>
      <c r="AH2069" s="30"/>
    </row>
    <row r="2070" spans="1:34" ht="13">
      <c r="A2070" s="30"/>
      <c r="B2070" s="30"/>
      <c r="C2070" s="30"/>
      <c r="D2070" s="30"/>
      <c r="E2070" s="30"/>
      <c r="F2070" s="30"/>
      <c r="G2070" s="30"/>
      <c r="H2070" s="48"/>
      <c r="I2070" s="49"/>
      <c r="J2070" s="49"/>
      <c r="K2070" s="48"/>
      <c r="L2070" s="50"/>
      <c r="M2070" s="30"/>
      <c r="N2070" s="30"/>
      <c r="O2070" s="30"/>
      <c r="P2070" s="30"/>
      <c r="Q2070" s="30"/>
      <c r="R2070" s="30"/>
      <c r="S2070" s="30"/>
      <c r="T2070" s="30"/>
      <c r="U2070" s="30"/>
      <c r="V2070" s="30"/>
      <c r="W2070" s="30"/>
      <c r="X2070" s="30"/>
      <c r="Y2070" s="30"/>
      <c r="Z2070" s="30"/>
      <c r="AA2070" s="30"/>
      <c r="AB2070" s="30"/>
      <c r="AC2070" s="30"/>
      <c r="AD2070" s="30"/>
      <c r="AE2070" s="30"/>
      <c r="AF2070" s="30"/>
      <c r="AG2070" s="30"/>
      <c r="AH2070" s="30"/>
    </row>
    <row r="2071" spans="1:34" ht="13">
      <c r="A2071" s="30"/>
      <c r="B2071" s="30"/>
      <c r="C2071" s="30"/>
      <c r="D2071" s="30"/>
      <c r="E2071" s="30"/>
      <c r="F2071" s="30"/>
      <c r="G2071" s="30"/>
      <c r="H2071" s="48"/>
      <c r="I2071" s="49"/>
      <c r="J2071" s="49"/>
      <c r="K2071" s="48"/>
      <c r="L2071" s="50"/>
      <c r="M2071" s="30"/>
      <c r="N2071" s="30"/>
      <c r="O2071" s="30"/>
      <c r="P2071" s="30"/>
      <c r="Q2071" s="30"/>
      <c r="R2071" s="30"/>
      <c r="S2071" s="30"/>
      <c r="T2071" s="30"/>
      <c r="U2071" s="30"/>
      <c r="V2071" s="30"/>
      <c r="W2071" s="30"/>
      <c r="X2071" s="30"/>
      <c r="Y2071" s="30"/>
      <c r="Z2071" s="30"/>
      <c r="AA2071" s="30"/>
      <c r="AB2071" s="30"/>
      <c r="AC2071" s="30"/>
      <c r="AD2071" s="30"/>
      <c r="AE2071" s="30"/>
      <c r="AF2071" s="30"/>
      <c r="AG2071" s="30"/>
      <c r="AH2071" s="30"/>
    </row>
    <row r="2072" spans="1:34" ht="13">
      <c r="A2072" s="30"/>
      <c r="B2072" s="30"/>
      <c r="C2072" s="30"/>
      <c r="D2072" s="30"/>
      <c r="E2072" s="30"/>
      <c r="F2072" s="30"/>
      <c r="G2072" s="30"/>
      <c r="H2072" s="48"/>
      <c r="I2072" s="49"/>
      <c r="J2072" s="49"/>
      <c r="K2072" s="48"/>
      <c r="L2072" s="50"/>
      <c r="M2072" s="30"/>
      <c r="N2072" s="30"/>
      <c r="O2072" s="30"/>
      <c r="P2072" s="30"/>
      <c r="Q2072" s="30"/>
      <c r="R2072" s="30"/>
      <c r="S2072" s="30"/>
      <c r="T2072" s="30"/>
      <c r="U2072" s="30"/>
      <c r="V2072" s="30"/>
      <c r="W2072" s="30"/>
      <c r="X2072" s="30"/>
      <c r="Y2072" s="30"/>
      <c r="Z2072" s="30"/>
      <c r="AA2072" s="30"/>
      <c r="AB2072" s="30"/>
      <c r="AC2072" s="30"/>
      <c r="AD2072" s="30"/>
      <c r="AE2072" s="30"/>
      <c r="AF2072" s="30"/>
      <c r="AG2072" s="30"/>
      <c r="AH2072" s="30"/>
    </row>
    <row r="2073" spans="1:34" ht="13">
      <c r="A2073" s="30"/>
      <c r="B2073" s="30"/>
      <c r="C2073" s="30"/>
      <c r="D2073" s="30"/>
      <c r="E2073" s="30"/>
      <c r="F2073" s="30"/>
      <c r="G2073" s="30"/>
      <c r="H2073" s="48"/>
      <c r="I2073" s="49"/>
      <c r="J2073" s="49"/>
      <c r="K2073" s="48"/>
      <c r="L2073" s="50"/>
      <c r="M2073" s="30"/>
      <c r="N2073" s="30"/>
      <c r="O2073" s="30"/>
      <c r="P2073" s="30"/>
      <c r="Q2073" s="30"/>
      <c r="R2073" s="30"/>
      <c r="S2073" s="30"/>
      <c r="T2073" s="30"/>
      <c r="U2073" s="30"/>
      <c r="V2073" s="30"/>
      <c r="W2073" s="30"/>
      <c r="X2073" s="30"/>
      <c r="Y2073" s="30"/>
      <c r="Z2073" s="30"/>
      <c r="AA2073" s="30"/>
      <c r="AB2073" s="30"/>
      <c r="AC2073" s="30"/>
      <c r="AD2073" s="30"/>
      <c r="AE2073" s="30"/>
      <c r="AF2073" s="30"/>
      <c r="AG2073" s="30"/>
      <c r="AH2073" s="30"/>
    </row>
    <row r="2074" spans="1:34" ht="13">
      <c r="A2074" s="30"/>
      <c r="B2074" s="30"/>
      <c r="C2074" s="30"/>
      <c r="D2074" s="30"/>
      <c r="E2074" s="30"/>
      <c r="F2074" s="30"/>
      <c r="G2074" s="30"/>
      <c r="H2074" s="48"/>
      <c r="I2074" s="49"/>
      <c r="J2074" s="49"/>
      <c r="K2074" s="48"/>
      <c r="L2074" s="50"/>
      <c r="M2074" s="30"/>
      <c r="N2074" s="30"/>
      <c r="O2074" s="30"/>
      <c r="P2074" s="30"/>
      <c r="Q2074" s="30"/>
      <c r="R2074" s="30"/>
      <c r="S2074" s="30"/>
      <c r="T2074" s="30"/>
      <c r="U2074" s="30"/>
      <c r="V2074" s="30"/>
      <c r="W2074" s="30"/>
      <c r="X2074" s="30"/>
      <c r="Y2074" s="30"/>
      <c r="Z2074" s="30"/>
      <c r="AA2074" s="30"/>
      <c r="AB2074" s="30"/>
      <c r="AC2074" s="30"/>
      <c r="AD2074" s="30"/>
      <c r="AE2074" s="30"/>
      <c r="AF2074" s="30"/>
      <c r="AG2074" s="30"/>
      <c r="AH2074" s="30"/>
    </row>
    <row r="2075" spans="1:34" ht="13">
      <c r="A2075" s="30"/>
      <c r="B2075" s="30"/>
      <c r="C2075" s="30"/>
      <c r="D2075" s="30"/>
      <c r="E2075" s="30"/>
      <c r="F2075" s="30"/>
      <c r="G2075" s="30"/>
      <c r="H2075" s="48"/>
      <c r="I2075" s="49"/>
      <c r="J2075" s="49"/>
      <c r="K2075" s="48"/>
      <c r="L2075" s="50"/>
      <c r="M2075" s="30"/>
      <c r="N2075" s="30"/>
      <c r="O2075" s="30"/>
      <c r="P2075" s="30"/>
      <c r="Q2075" s="30"/>
      <c r="R2075" s="30"/>
      <c r="S2075" s="30"/>
      <c r="T2075" s="30"/>
      <c r="U2075" s="30"/>
      <c r="V2075" s="30"/>
      <c r="W2075" s="30"/>
      <c r="X2075" s="30"/>
      <c r="Y2075" s="30"/>
      <c r="Z2075" s="30"/>
      <c r="AA2075" s="30"/>
      <c r="AB2075" s="30"/>
      <c r="AC2075" s="30"/>
      <c r="AD2075" s="30"/>
      <c r="AE2075" s="30"/>
      <c r="AF2075" s="30"/>
      <c r="AG2075" s="30"/>
      <c r="AH2075" s="30"/>
    </row>
    <row r="2076" spans="1:34" ht="13">
      <c r="A2076" s="30"/>
      <c r="B2076" s="30"/>
      <c r="C2076" s="30"/>
      <c r="D2076" s="30"/>
      <c r="E2076" s="30"/>
      <c r="F2076" s="30"/>
      <c r="G2076" s="30"/>
      <c r="H2076" s="48"/>
      <c r="I2076" s="49"/>
      <c r="J2076" s="49"/>
      <c r="K2076" s="48"/>
      <c r="L2076" s="50"/>
      <c r="M2076" s="30"/>
      <c r="N2076" s="30"/>
      <c r="O2076" s="30"/>
      <c r="P2076" s="30"/>
      <c r="Q2076" s="30"/>
      <c r="R2076" s="30"/>
      <c r="S2076" s="30"/>
      <c r="T2076" s="30"/>
      <c r="U2076" s="30"/>
      <c r="V2076" s="30"/>
      <c r="W2076" s="30"/>
      <c r="X2076" s="30"/>
      <c r="Y2076" s="30"/>
      <c r="Z2076" s="30"/>
      <c r="AA2076" s="30"/>
      <c r="AB2076" s="30"/>
      <c r="AC2076" s="30"/>
      <c r="AD2076" s="30"/>
      <c r="AE2076" s="30"/>
      <c r="AF2076" s="30"/>
      <c r="AG2076" s="30"/>
      <c r="AH2076" s="30"/>
    </row>
    <row r="2077" spans="1:34" ht="13">
      <c r="A2077" s="30"/>
      <c r="B2077" s="30"/>
      <c r="C2077" s="30"/>
      <c r="D2077" s="30"/>
      <c r="E2077" s="30"/>
      <c r="F2077" s="30"/>
      <c r="G2077" s="30"/>
      <c r="H2077" s="48"/>
      <c r="I2077" s="49"/>
      <c r="J2077" s="49"/>
      <c r="K2077" s="48"/>
      <c r="L2077" s="50"/>
      <c r="M2077" s="30"/>
      <c r="N2077" s="30"/>
      <c r="O2077" s="30"/>
      <c r="P2077" s="30"/>
      <c r="Q2077" s="30"/>
      <c r="R2077" s="30"/>
      <c r="S2077" s="30"/>
      <c r="T2077" s="30"/>
      <c r="U2077" s="30"/>
      <c r="V2077" s="30"/>
      <c r="W2077" s="30"/>
      <c r="X2077" s="30"/>
      <c r="Y2077" s="30"/>
      <c r="Z2077" s="30"/>
      <c r="AA2077" s="30"/>
      <c r="AB2077" s="30"/>
      <c r="AC2077" s="30"/>
      <c r="AD2077" s="30"/>
      <c r="AE2077" s="30"/>
      <c r="AF2077" s="30"/>
      <c r="AG2077" s="30"/>
      <c r="AH2077" s="30"/>
    </row>
    <row r="2078" spans="1:34" ht="13">
      <c r="A2078" s="30"/>
      <c r="B2078" s="30"/>
      <c r="C2078" s="30"/>
      <c r="D2078" s="30"/>
      <c r="E2078" s="30"/>
      <c r="F2078" s="30"/>
      <c r="G2078" s="30"/>
      <c r="H2078" s="48"/>
      <c r="I2078" s="49"/>
      <c r="J2078" s="49"/>
      <c r="K2078" s="48"/>
      <c r="L2078" s="50"/>
      <c r="M2078" s="30"/>
      <c r="N2078" s="30"/>
      <c r="O2078" s="30"/>
      <c r="P2078" s="30"/>
      <c r="Q2078" s="30"/>
      <c r="R2078" s="30"/>
      <c r="S2078" s="30"/>
      <c r="T2078" s="30"/>
      <c r="U2078" s="30"/>
      <c r="V2078" s="30"/>
      <c r="W2078" s="30"/>
      <c r="X2078" s="30"/>
      <c r="Y2078" s="30"/>
      <c r="Z2078" s="30"/>
      <c r="AA2078" s="30"/>
      <c r="AB2078" s="30"/>
      <c r="AC2078" s="30"/>
      <c r="AD2078" s="30"/>
      <c r="AE2078" s="30"/>
      <c r="AF2078" s="30"/>
      <c r="AG2078" s="30"/>
      <c r="AH2078" s="30"/>
    </row>
    <row r="2079" spans="1:34" ht="13">
      <c r="A2079" s="30"/>
      <c r="B2079" s="30"/>
      <c r="C2079" s="30"/>
      <c r="D2079" s="30"/>
      <c r="E2079" s="30"/>
      <c r="F2079" s="30"/>
      <c r="G2079" s="30"/>
      <c r="H2079" s="48"/>
      <c r="I2079" s="49"/>
      <c r="J2079" s="49"/>
      <c r="K2079" s="48"/>
      <c r="L2079" s="50"/>
      <c r="M2079" s="30"/>
      <c r="N2079" s="30"/>
      <c r="O2079" s="30"/>
      <c r="P2079" s="30"/>
      <c r="Q2079" s="30"/>
      <c r="R2079" s="30"/>
      <c r="S2079" s="30"/>
      <c r="T2079" s="30"/>
      <c r="U2079" s="30"/>
      <c r="V2079" s="30"/>
      <c r="W2079" s="30"/>
      <c r="X2079" s="30"/>
      <c r="Y2079" s="30"/>
      <c r="Z2079" s="30"/>
      <c r="AA2079" s="30"/>
      <c r="AB2079" s="30"/>
      <c r="AC2079" s="30"/>
      <c r="AD2079" s="30"/>
      <c r="AE2079" s="30"/>
      <c r="AF2079" s="30"/>
      <c r="AG2079" s="30"/>
      <c r="AH2079" s="30"/>
    </row>
    <row r="2080" spans="1:34" ht="13">
      <c r="A2080" s="30"/>
      <c r="B2080" s="30"/>
      <c r="C2080" s="30"/>
      <c r="D2080" s="30"/>
      <c r="E2080" s="30"/>
      <c r="F2080" s="30"/>
      <c r="G2080" s="30"/>
      <c r="H2080" s="48"/>
      <c r="I2080" s="49"/>
      <c r="J2080" s="49"/>
      <c r="K2080" s="48"/>
      <c r="L2080" s="50"/>
      <c r="M2080" s="30"/>
      <c r="N2080" s="30"/>
      <c r="O2080" s="30"/>
      <c r="P2080" s="30"/>
      <c r="Q2080" s="30"/>
      <c r="R2080" s="30"/>
      <c r="S2080" s="30"/>
      <c r="T2080" s="30"/>
      <c r="U2080" s="30"/>
      <c r="V2080" s="30"/>
      <c r="W2080" s="30"/>
      <c r="X2080" s="30"/>
      <c r="Y2080" s="30"/>
      <c r="Z2080" s="30"/>
      <c r="AA2080" s="30"/>
      <c r="AB2080" s="30"/>
      <c r="AC2080" s="30"/>
      <c r="AD2080" s="30"/>
      <c r="AE2080" s="30"/>
      <c r="AF2080" s="30"/>
      <c r="AG2080" s="30"/>
      <c r="AH2080" s="30"/>
    </row>
    <row r="2081" spans="1:34" ht="13">
      <c r="A2081" s="30"/>
      <c r="B2081" s="30"/>
      <c r="C2081" s="30"/>
      <c r="D2081" s="30"/>
      <c r="E2081" s="30"/>
      <c r="F2081" s="30"/>
      <c r="G2081" s="30"/>
      <c r="H2081" s="48"/>
      <c r="I2081" s="49"/>
      <c r="J2081" s="49"/>
      <c r="K2081" s="48"/>
      <c r="L2081" s="50"/>
      <c r="M2081" s="30"/>
      <c r="N2081" s="30"/>
      <c r="O2081" s="30"/>
      <c r="P2081" s="30"/>
      <c r="Q2081" s="30"/>
      <c r="R2081" s="30"/>
      <c r="S2081" s="30"/>
      <c r="T2081" s="30"/>
      <c r="U2081" s="30"/>
      <c r="V2081" s="30"/>
      <c r="W2081" s="30"/>
      <c r="X2081" s="30"/>
      <c r="Y2081" s="30"/>
      <c r="Z2081" s="30"/>
      <c r="AA2081" s="30"/>
      <c r="AB2081" s="30"/>
      <c r="AC2081" s="30"/>
      <c r="AD2081" s="30"/>
      <c r="AE2081" s="30"/>
      <c r="AF2081" s="30"/>
      <c r="AG2081" s="30"/>
      <c r="AH2081" s="30"/>
    </row>
    <row r="2082" spans="1:34" ht="13">
      <c r="A2082" s="30"/>
      <c r="B2082" s="30"/>
      <c r="C2082" s="30"/>
      <c r="D2082" s="30"/>
      <c r="E2082" s="30"/>
      <c r="F2082" s="30"/>
      <c r="G2082" s="30"/>
      <c r="H2082" s="48"/>
      <c r="I2082" s="49"/>
      <c r="J2082" s="49"/>
      <c r="K2082" s="48"/>
      <c r="L2082" s="50"/>
      <c r="M2082" s="30"/>
      <c r="N2082" s="30"/>
      <c r="O2082" s="30"/>
      <c r="P2082" s="30"/>
      <c r="Q2082" s="30"/>
      <c r="R2082" s="30"/>
      <c r="S2082" s="30"/>
      <c r="T2082" s="30"/>
      <c r="U2082" s="30"/>
      <c r="V2082" s="30"/>
      <c r="W2082" s="30"/>
      <c r="X2082" s="30"/>
      <c r="Y2082" s="30"/>
      <c r="Z2082" s="30"/>
      <c r="AA2082" s="30"/>
      <c r="AB2082" s="30"/>
      <c r="AC2082" s="30"/>
      <c r="AD2082" s="30"/>
      <c r="AE2082" s="30"/>
      <c r="AF2082" s="30"/>
      <c r="AG2082" s="30"/>
      <c r="AH2082" s="30"/>
    </row>
    <row r="2083" spans="1:34" ht="13">
      <c r="A2083" s="30"/>
      <c r="B2083" s="30"/>
      <c r="C2083" s="30"/>
      <c r="D2083" s="30"/>
      <c r="E2083" s="30"/>
      <c r="F2083" s="30"/>
      <c r="G2083" s="30"/>
      <c r="H2083" s="48"/>
      <c r="I2083" s="49"/>
      <c r="J2083" s="49"/>
      <c r="K2083" s="48"/>
      <c r="L2083" s="50"/>
      <c r="M2083" s="30"/>
      <c r="N2083" s="30"/>
      <c r="O2083" s="30"/>
      <c r="P2083" s="30"/>
      <c r="Q2083" s="30"/>
      <c r="R2083" s="30"/>
      <c r="S2083" s="30"/>
      <c r="T2083" s="30"/>
      <c r="U2083" s="30"/>
      <c r="V2083" s="30"/>
      <c r="W2083" s="30"/>
      <c r="X2083" s="30"/>
      <c r="Y2083" s="30"/>
      <c r="Z2083" s="30"/>
      <c r="AA2083" s="30"/>
      <c r="AB2083" s="30"/>
      <c r="AC2083" s="30"/>
      <c r="AD2083" s="30"/>
      <c r="AE2083" s="30"/>
      <c r="AF2083" s="30"/>
      <c r="AG2083" s="30"/>
      <c r="AH2083" s="30"/>
    </row>
    <row r="2084" spans="1:34" ht="13">
      <c r="A2084" s="30"/>
      <c r="B2084" s="30"/>
      <c r="C2084" s="30"/>
      <c r="D2084" s="30"/>
      <c r="E2084" s="30"/>
      <c r="F2084" s="30"/>
      <c r="G2084" s="30"/>
      <c r="H2084" s="48"/>
      <c r="I2084" s="49"/>
      <c r="J2084" s="49"/>
      <c r="K2084" s="48"/>
      <c r="L2084" s="50"/>
      <c r="M2084" s="30"/>
      <c r="N2084" s="30"/>
      <c r="O2084" s="30"/>
      <c r="P2084" s="30"/>
      <c r="Q2084" s="30"/>
      <c r="R2084" s="30"/>
      <c r="S2084" s="30"/>
      <c r="T2084" s="30"/>
      <c r="U2084" s="30"/>
      <c r="V2084" s="30"/>
      <c r="W2084" s="30"/>
      <c r="X2084" s="30"/>
      <c r="Y2084" s="30"/>
      <c r="Z2084" s="30"/>
      <c r="AA2084" s="30"/>
      <c r="AB2084" s="30"/>
      <c r="AC2084" s="30"/>
      <c r="AD2084" s="30"/>
      <c r="AE2084" s="30"/>
      <c r="AF2084" s="30"/>
      <c r="AG2084" s="30"/>
      <c r="AH2084" s="30"/>
    </row>
    <row r="2085" spans="1:34" ht="13">
      <c r="A2085" s="30"/>
      <c r="B2085" s="30"/>
      <c r="C2085" s="30"/>
      <c r="D2085" s="30"/>
      <c r="E2085" s="30"/>
      <c r="F2085" s="30"/>
      <c r="G2085" s="30"/>
      <c r="H2085" s="48"/>
      <c r="I2085" s="49"/>
      <c r="J2085" s="49"/>
      <c r="K2085" s="48"/>
      <c r="L2085" s="50"/>
      <c r="M2085" s="30"/>
      <c r="N2085" s="30"/>
      <c r="O2085" s="30"/>
      <c r="P2085" s="30"/>
      <c r="Q2085" s="30"/>
      <c r="R2085" s="30"/>
      <c r="S2085" s="30"/>
      <c r="T2085" s="30"/>
      <c r="U2085" s="30"/>
      <c r="V2085" s="30"/>
      <c r="W2085" s="30"/>
      <c r="X2085" s="30"/>
      <c r="Y2085" s="30"/>
      <c r="Z2085" s="30"/>
      <c r="AA2085" s="30"/>
      <c r="AB2085" s="30"/>
      <c r="AC2085" s="30"/>
      <c r="AD2085" s="30"/>
      <c r="AE2085" s="30"/>
      <c r="AF2085" s="30"/>
      <c r="AG2085" s="30"/>
      <c r="AH2085" s="30"/>
    </row>
    <row r="2086" spans="1:34" ht="13">
      <c r="A2086" s="30"/>
      <c r="B2086" s="30"/>
      <c r="C2086" s="30"/>
      <c r="D2086" s="30"/>
      <c r="E2086" s="30"/>
      <c r="F2086" s="30"/>
      <c r="G2086" s="30"/>
      <c r="H2086" s="48"/>
      <c r="I2086" s="49"/>
      <c r="J2086" s="49"/>
      <c r="K2086" s="48"/>
      <c r="L2086" s="50"/>
      <c r="M2086" s="30"/>
      <c r="N2086" s="30"/>
      <c r="O2086" s="30"/>
      <c r="P2086" s="30"/>
      <c r="Q2086" s="30"/>
      <c r="R2086" s="30"/>
      <c r="S2086" s="30"/>
      <c r="T2086" s="30"/>
      <c r="U2086" s="30"/>
      <c r="V2086" s="30"/>
      <c r="W2086" s="30"/>
      <c r="X2086" s="30"/>
      <c r="Y2086" s="30"/>
      <c r="Z2086" s="30"/>
      <c r="AA2086" s="30"/>
      <c r="AB2086" s="30"/>
      <c r="AC2086" s="30"/>
      <c r="AD2086" s="30"/>
      <c r="AE2086" s="30"/>
      <c r="AF2086" s="30"/>
      <c r="AG2086" s="30"/>
      <c r="AH2086" s="30"/>
    </row>
    <row r="2087" spans="1:34" ht="13">
      <c r="A2087" s="30"/>
      <c r="B2087" s="30"/>
      <c r="C2087" s="30"/>
      <c r="D2087" s="30"/>
      <c r="E2087" s="30"/>
      <c r="F2087" s="30"/>
      <c r="G2087" s="30"/>
      <c r="H2087" s="48"/>
      <c r="I2087" s="49"/>
      <c r="J2087" s="49"/>
      <c r="K2087" s="48"/>
      <c r="L2087" s="50"/>
      <c r="M2087" s="30"/>
      <c r="N2087" s="30"/>
      <c r="O2087" s="30"/>
      <c r="P2087" s="30"/>
      <c r="Q2087" s="30"/>
      <c r="R2087" s="30"/>
      <c r="S2087" s="30"/>
      <c r="T2087" s="30"/>
      <c r="U2087" s="30"/>
      <c r="V2087" s="30"/>
      <c r="W2087" s="30"/>
      <c r="X2087" s="30"/>
      <c r="Y2087" s="30"/>
      <c r="Z2087" s="30"/>
      <c r="AA2087" s="30"/>
      <c r="AB2087" s="30"/>
      <c r="AC2087" s="30"/>
      <c r="AD2087" s="30"/>
      <c r="AE2087" s="30"/>
      <c r="AF2087" s="30"/>
      <c r="AG2087" s="30"/>
      <c r="AH2087" s="30"/>
    </row>
    <row r="2088" spans="1:34" ht="13">
      <c r="A2088" s="30"/>
      <c r="B2088" s="30"/>
      <c r="C2088" s="30"/>
      <c r="D2088" s="30"/>
      <c r="E2088" s="30"/>
      <c r="F2088" s="30"/>
      <c r="G2088" s="30"/>
      <c r="H2088" s="48"/>
      <c r="I2088" s="49"/>
      <c r="J2088" s="49"/>
      <c r="K2088" s="48"/>
      <c r="L2088" s="50"/>
      <c r="M2088" s="30"/>
      <c r="N2088" s="30"/>
      <c r="O2088" s="30"/>
      <c r="P2088" s="30"/>
      <c r="Q2088" s="30"/>
      <c r="R2088" s="30"/>
      <c r="S2088" s="30"/>
      <c r="T2088" s="30"/>
      <c r="U2088" s="30"/>
      <c r="V2088" s="30"/>
      <c r="W2088" s="30"/>
      <c r="X2088" s="30"/>
      <c r="Y2088" s="30"/>
      <c r="Z2088" s="30"/>
      <c r="AA2088" s="30"/>
      <c r="AB2088" s="30"/>
      <c r="AC2088" s="30"/>
      <c r="AD2088" s="30"/>
      <c r="AE2088" s="30"/>
      <c r="AF2088" s="30"/>
      <c r="AG2088" s="30"/>
      <c r="AH2088" s="30"/>
    </row>
    <row r="2089" spans="1:34" ht="13">
      <c r="A2089" s="30"/>
      <c r="B2089" s="30"/>
      <c r="C2089" s="30"/>
      <c r="D2089" s="30"/>
      <c r="E2089" s="30"/>
      <c r="F2089" s="30"/>
      <c r="G2089" s="30"/>
      <c r="H2089" s="48"/>
      <c r="I2089" s="49"/>
      <c r="J2089" s="49"/>
      <c r="K2089" s="48"/>
      <c r="L2089" s="50"/>
      <c r="M2089" s="30"/>
      <c r="N2089" s="30"/>
      <c r="O2089" s="30"/>
      <c r="P2089" s="30"/>
      <c r="Q2089" s="30"/>
      <c r="R2089" s="30"/>
      <c r="S2089" s="30"/>
      <c r="T2089" s="30"/>
      <c r="U2089" s="30"/>
      <c r="V2089" s="30"/>
      <c r="W2089" s="30"/>
      <c r="X2089" s="30"/>
      <c r="Y2089" s="30"/>
      <c r="Z2089" s="30"/>
      <c r="AA2089" s="30"/>
      <c r="AB2089" s="30"/>
      <c r="AC2089" s="30"/>
      <c r="AD2089" s="30"/>
      <c r="AE2089" s="30"/>
      <c r="AF2089" s="30"/>
      <c r="AG2089" s="30"/>
      <c r="AH2089" s="30"/>
    </row>
    <row r="2090" spans="1:34" ht="13">
      <c r="A2090" s="30"/>
      <c r="B2090" s="30"/>
      <c r="C2090" s="30"/>
      <c r="D2090" s="30"/>
      <c r="E2090" s="30"/>
      <c r="F2090" s="30"/>
      <c r="G2090" s="30"/>
      <c r="H2090" s="48"/>
      <c r="I2090" s="49"/>
      <c r="J2090" s="49"/>
      <c r="K2090" s="48"/>
      <c r="L2090" s="50"/>
      <c r="M2090" s="30"/>
      <c r="N2090" s="30"/>
      <c r="O2090" s="30"/>
      <c r="P2090" s="30"/>
      <c r="Q2090" s="30"/>
      <c r="R2090" s="30"/>
      <c r="S2090" s="30"/>
      <c r="T2090" s="30"/>
      <c r="U2090" s="30"/>
      <c r="V2090" s="30"/>
      <c r="W2090" s="30"/>
      <c r="X2090" s="30"/>
      <c r="Y2090" s="30"/>
      <c r="Z2090" s="30"/>
      <c r="AA2090" s="30"/>
      <c r="AB2090" s="30"/>
      <c r="AC2090" s="30"/>
      <c r="AD2090" s="30"/>
      <c r="AE2090" s="30"/>
      <c r="AF2090" s="30"/>
      <c r="AG2090" s="30"/>
      <c r="AH2090" s="30"/>
    </row>
    <row r="2091" spans="1:34" ht="13">
      <c r="A2091" s="30"/>
      <c r="B2091" s="30"/>
      <c r="C2091" s="30"/>
      <c r="D2091" s="30"/>
      <c r="E2091" s="30"/>
      <c r="F2091" s="30"/>
      <c r="G2091" s="30"/>
      <c r="H2091" s="48"/>
      <c r="I2091" s="49"/>
      <c r="J2091" s="49"/>
      <c r="K2091" s="48"/>
      <c r="L2091" s="50"/>
      <c r="M2091" s="30"/>
      <c r="N2091" s="30"/>
      <c r="O2091" s="30"/>
      <c r="P2091" s="30"/>
      <c r="Q2091" s="30"/>
      <c r="R2091" s="30"/>
      <c r="S2091" s="30"/>
      <c r="T2091" s="30"/>
      <c r="U2091" s="30"/>
      <c r="V2091" s="30"/>
      <c r="W2091" s="30"/>
      <c r="X2091" s="30"/>
      <c r="Y2091" s="30"/>
      <c r="Z2091" s="30"/>
      <c r="AA2091" s="30"/>
      <c r="AB2091" s="30"/>
      <c r="AC2091" s="30"/>
      <c r="AD2091" s="30"/>
      <c r="AE2091" s="30"/>
      <c r="AF2091" s="30"/>
      <c r="AG2091" s="30"/>
      <c r="AH2091" s="30"/>
    </row>
    <row r="2092" spans="1:34" ht="13">
      <c r="A2092" s="30"/>
      <c r="B2092" s="30"/>
      <c r="C2092" s="30"/>
      <c r="D2092" s="30"/>
      <c r="E2092" s="30"/>
      <c r="F2092" s="30"/>
      <c r="G2092" s="30"/>
      <c r="H2092" s="48"/>
      <c r="I2092" s="49"/>
      <c r="J2092" s="49"/>
      <c r="K2092" s="48"/>
      <c r="L2092" s="50"/>
      <c r="M2092" s="30"/>
      <c r="N2092" s="30"/>
      <c r="O2092" s="30"/>
      <c r="P2092" s="30"/>
      <c r="Q2092" s="30"/>
      <c r="R2092" s="30"/>
      <c r="S2092" s="30"/>
      <c r="T2092" s="30"/>
      <c r="U2092" s="30"/>
      <c r="V2092" s="30"/>
      <c r="W2092" s="30"/>
      <c r="X2092" s="30"/>
      <c r="Y2092" s="30"/>
      <c r="Z2092" s="30"/>
      <c r="AA2092" s="30"/>
      <c r="AB2092" s="30"/>
      <c r="AC2092" s="30"/>
      <c r="AD2092" s="30"/>
      <c r="AE2092" s="30"/>
      <c r="AF2092" s="30"/>
      <c r="AG2092" s="30"/>
      <c r="AH2092" s="30"/>
    </row>
    <row r="2093" spans="1:34" ht="13">
      <c r="A2093" s="30"/>
      <c r="B2093" s="30"/>
      <c r="C2093" s="30"/>
      <c r="D2093" s="30"/>
      <c r="E2093" s="30"/>
      <c r="F2093" s="30"/>
      <c r="G2093" s="30"/>
      <c r="H2093" s="48"/>
      <c r="I2093" s="49"/>
      <c r="J2093" s="49"/>
      <c r="K2093" s="48"/>
      <c r="L2093" s="50"/>
      <c r="M2093" s="30"/>
      <c r="N2093" s="30"/>
      <c r="O2093" s="30"/>
      <c r="P2093" s="30"/>
      <c r="Q2093" s="30"/>
      <c r="R2093" s="30"/>
      <c r="S2093" s="30"/>
      <c r="T2093" s="30"/>
      <c r="U2093" s="30"/>
      <c r="V2093" s="30"/>
      <c r="W2093" s="30"/>
      <c r="X2093" s="30"/>
      <c r="Y2093" s="30"/>
      <c r="Z2093" s="30"/>
      <c r="AA2093" s="30"/>
      <c r="AB2093" s="30"/>
      <c r="AC2093" s="30"/>
      <c r="AD2093" s="30"/>
      <c r="AE2093" s="30"/>
      <c r="AF2093" s="30"/>
      <c r="AG2093" s="30"/>
      <c r="AH2093" s="30"/>
    </row>
    <row r="2094" spans="1:34" ht="13">
      <c r="A2094" s="30"/>
      <c r="B2094" s="30"/>
      <c r="C2094" s="30"/>
      <c r="D2094" s="30"/>
      <c r="E2094" s="30"/>
      <c r="F2094" s="30"/>
      <c r="G2094" s="30"/>
      <c r="H2094" s="48"/>
      <c r="I2094" s="49"/>
      <c r="J2094" s="49"/>
      <c r="K2094" s="48"/>
      <c r="L2094" s="50"/>
      <c r="M2094" s="30"/>
      <c r="N2094" s="30"/>
      <c r="O2094" s="30"/>
      <c r="P2094" s="30"/>
      <c r="Q2094" s="30"/>
      <c r="R2094" s="30"/>
      <c r="S2094" s="30"/>
      <c r="T2094" s="30"/>
      <c r="U2094" s="30"/>
      <c r="V2094" s="30"/>
      <c r="W2094" s="30"/>
      <c r="X2094" s="30"/>
      <c r="Y2094" s="30"/>
      <c r="Z2094" s="30"/>
      <c r="AA2094" s="30"/>
      <c r="AB2094" s="30"/>
      <c r="AC2094" s="30"/>
      <c r="AD2094" s="30"/>
      <c r="AE2094" s="30"/>
      <c r="AF2094" s="30"/>
      <c r="AG2094" s="30"/>
      <c r="AH2094" s="30"/>
    </row>
    <row r="2095" spans="1:34" ht="13">
      <c r="A2095" s="30"/>
      <c r="B2095" s="30"/>
      <c r="C2095" s="30"/>
      <c r="D2095" s="30"/>
      <c r="E2095" s="30"/>
      <c r="F2095" s="30"/>
      <c r="G2095" s="30"/>
      <c r="H2095" s="48"/>
      <c r="I2095" s="49"/>
      <c r="J2095" s="49"/>
      <c r="K2095" s="48"/>
      <c r="L2095" s="50"/>
      <c r="M2095" s="30"/>
      <c r="N2095" s="30"/>
      <c r="O2095" s="30"/>
      <c r="P2095" s="30"/>
      <c r="Q2095" s="30"/>
      <c r="R2095" s="30"/>
      <c r="S2095" s="30"/>
      <c r="T2095" s="30"/>
      <c r="U2095" s="30"/>
      <c r="V2095" s="30"/>
      <c r="W2095" s="30"/>
      <c r="X2095" s="30"/>
      <c r="Y2095" s="30"/>
      <c r="Z2095" s="30"/>
      <c r="AA2095" s="30"/>
      <c r="AB2095" s="30"/>
      <c r="AC2095" s="30"/>
      <c r="AD2095" s="30"/>
      <c r="AE2095" s="30"/>
      <c r="AF2095" s="30"/>
      <c r="AG2095" s="30"/>
      <c r="AH2095" s="30"/>
    </row>
    <row r="2096" spans="1:34" ht="13">
      <c r="A2096" s="30"/>
      <c r="B2096" s="30"/>
      <c r="C2096" s="30"/>
      <c r="D2096" s="30"/>
      <c r="E2096" s="30"/>
      <c r="F2096" s="30"/>
      <c r="G2096" s="30"/>
      <c r="H2096" s="48"/>
      <c r="I2096" s="49"/>
      <c r="J2096" s="49"/>
      <c r="K2096" s="48"/>
      <c r="L2096" s="50"/>
      <c r="M2096" s="30"/>
      <c r="N2096" s="30"/>
      <c r="O2096" s="30"/>
      <c r="P2096" s="30"/>
      <c r="Q2096" s="30"/>
      <c r="R2096" s="30"/>
      <c r="S2096" s="30"/>
      <c r="T2096" s="30"/>
      <c r="U2096" s="30"/>
      <c r="V2096" s="30"/>
      <c r="W2096" s="30"/>
      <c r="X2096" s="30"/>
      <c r="Y2096" s="30"/>
      <c r="Z2096" s="30"/>
      <c r="AA2096" s="30"/>
      <c r="AB2096" s="30"/>
      <c r="AC2096" s="30"/>
      <c r="AD2096" s="30"/>
      <c r="AE2096" s="30"/>
      <c r="AF2096" s="30"/>
      <c r="AG2096" s="30"/>
      <c r="AH2096" s="30"/>
    </row>
    <row r="2097" spans="1:34" ht="13">
      <c r="A2097" s="30"/>
      <c r="B2097" s="30"/>
      <c r="C2097" s="30"/>
      <c r="D2097" s="30"/>
      <c r="E2097" s="30"/>
      <c r="F2097" s="30"/>
      <c r="G2097" s="30"/>
      <c r="H2097" s="48"/>
      <c r="I2097" s="49"/>
      <c r="J2097" s="49"/>
      <c r="K2097" s="48"/>
      <c r="L2097" s="50"/>
      <c r="M2097" s="30"/>
      <c r="N2097" s="30"/>
      <c r="O2097" s="30"/>
      <c r="P2097" s="30"/>
      <c r="Q2097" s="30"/>
      <c r="R2097" s="30"/>
      <c r="S2097" s="30"/>
      <c r="T2097" s="30"/>
      <c r="U2097" s="30"/>
      <c r="V2097" s="30"/>
      <c r="W2097" s="30"/>
      <c r="X2097" s="30"/>
      <c r="Y2097" s="30"/>
      <c r="Z2097" s="30"/>
      <c r="AA2097" s="30"/>
      <c r="AB2097" s="30"/>
      <c r="AC2097" s="30"/>
      <c r="AD2097" s="30"/>
      <c r="AE2097" s="30"/>
      <c r="AF2097" s="30"/>
      <c r="AG2097" s="30"/>
      <c r="AH2097" s="30"/>
    </row>
    <row r="2098" spans="1:34" ht="13">
      <c r="A2098" s="30"/>
      <c r="B2098" s="30"/>
      <c r="C2098" s="30"/>
      <c r="D2098" s="30"/>
      <c r="E2098" s="30"/>
      <c r="F2098" s="30"/>
      <c r="G2098" s="30"/>
      <c r="H2098" s="48"/>
      <c r="I2098" s="49"/>
      <c r="J2098" s="49"/>
      <c r="K2098" s="48"/>
      <c r="L2098" s="50"/>
      <c r="M2098" s="30"/>
      <c r="N2098" s="30"/>
      <c r="O2098" s="30"/>
      <c r="P2098" s="30"/>
      <c r="Q2098" s="30"/>
      <c r="R2098" s="30"/>
      <c r="S2098" s="30"/>
      <c r="T2098" s="30"/>
      <c r="U2098" s="30"/>
      <c r="V2098" s="30"/>
      <c r="W2098" s="30"/>
      <c r="X2098" s="30"/>
      <c r="Y2098" s="30"/>
      <c r="Z2098" s="30"/>
      <c r="AA2098" s="30"/>
      <c r="AB2098" s="30"/>
      <c r="AC2098" s="30"/>
      <c r="AD2098" s="30"/>
      <c r="AE2098" s="30"/>
      <c r="AF2098" s="30"/>
      <c r="AG2098" s="30"/>
      <c r="AH2098" s="30"/>
    </row>
    <row r="2099" spans="1:34" ht="13">
      <c r="A2099" s="30"/>
      <c r="B2099" s="30"/>
      <c r="C2099" s="30"/>
      <c r="D2099" s="30"/>
      <c r="E2099" s="30"/>
      <c r="F2099" s="30"/>
      <c r="G2099" s="30"/>
      <c r="H2099" s="48"/>
      <c r="I2099" s="49"/>
      <c r="J2099" s="49"/>
      <c r="K2099" s="48"/>
      <c r="L2099" s="50"/>
      <c r="M2099" s="30"/>
      <c r="N2099" s="30"/>
      <c r="O2099" s="30"/>
      <c r="P2099" s="30"/>
      <c r="Q2099" s="30"/>
      <c r="R2099" s="30"/>
      <c r="S2099" s="30"/>
      <c r="T2099" s="30"/>
      <c r="U2099" s="30"/>
      <c r="V2099" s="30"/>
      <c r="W2099" s="30"/>
      <c r="X2099" s="30"/>
      <c r="Y2099" s="30"/>
      <c r="Z2099" s="30"/>
      <c r="AA2099" s="30"/>
      <c r="AB2099" s="30"/>
      <c r="AC2099" s="30"/>
      <c r="AD2099" s="30"/>
      <c r="AE2099" s="30"/>
      <c r="AF2099" s="30"/>
      <c r="AG2099" s="30"/>
      <c r="AH2099" s="30"/>
    </row>
    <row r="2100" spans="1:34" ht="13">
      <c r="A2100" s="30"/>
      <c r="B2100" s="30"/>
      <c r="C2100" s="30"/>
      <c r="D2100" s="30"/>
      <c r="E2100" s="30"/>
      <c r="F2100" s="30"/>
      <c r="G2100" s="30"/>
      <c r="H2100" s="48"/>
      <c r="I2100" s="49"/>
      <c r="J2100" s="49"/>
      <c r="K2100" s="48"/>
      <c r="L2100" s="50"/>
      <c r="M2100" s="30"/>
      <c r="N2100" s="30"/>
      <c r="O2100" s="30"/>
      <c r="P2100" s="30"/>
      <c r="Q2100" s="30"/>
      <c r="R2100" s="30"/>
      <c r="S2100" s="30"/>
      <c r="T2100" s="30"/>
      <c r="U2100" s="30"/>
      <c r="V2100" s="30"/>
      <c r="W2100" s="30"/>
      <c r="X2100" s="30"/>
      <c r="Y2100" s="30"/>
      <c r="Z2100" s="30"/>
      <c r="AA2100" s="30"/>
      <c r="AB2100" s="30"/>
      <c r="AC2100" s="30"/>
      <c r="AD2100" s="30"/>
      <c r="AE2100" s="30"/>
      <c r="AF2100" s="30"/>
      <c r="AG2100" s="30"/>
      <c r="AH2100" s="30"/>
    </row>
    <row r="2101" spans="1:34" ht="13">
      <c r="A2101" s="30"/>
      <c r="B2101" s="30"/>
      <c r="C2101" s="30"/>
      <c r="D2101" s="30"/>
      <c r="E2101" s="30"/>
      <c r="F2101" s="30"/>
      <c r="G2101" s="30"/>
      <c r="H2101" s="48"/>
      <c r="I2101" s="49"/>
      <c r="J2101" s="49"/>
      <c r="K2101" s="48"/>
      <c r="L2101" s="50"/>
      <c r="M2101" s="30"/>
      <c r="N2101" s="30"/>
      <c r="O2101" s="30"/>
      <c r="P2101" s="30"/>
      <c r="Q2101" s="30"/>
      <c r="R2101" s="30"/>
      <c r="S2101" s="30"/>
      <c r="T2101" s="30"/>
      <c r="U2101" s="30"/>
      <c r="V2101" s="30"/>
      <c r="W2101" s="30"/>
      <c r="X2101" s="30"/>
      <c r="Y2101" s="30"/>
      <c r="Z2101" s="30"/>
      <c r="AA2101" s="30"/>
      <c r="AB2101" s="30"/>
      <c r="AC2101" s="30"/>
      <c r="AD2101" s="30"/>
      <c r="AE2101" s="30"/>
      <c r="AF2101" s="30"/>
      <c r="AG2101" s="30"/>
      <c r="AH2101" s="30"/>
    </row>
    <row r="2102" spans="1:34" ht="13">
      <c r="A2102" s="30"/>
      <c r="B2102" s="30"/>
      <c r="C2102" s="30"/>
      <c r="D2102" s="30"/>
      <c r="E2102" s="30"/>
      <c r="F2102" s="30"/>
      <c r="G2102" s="30"/>
      <c r="H2102" s="48"/>
      <c r="I2102" s="49"/>
      <c r="J2102" s="49"/>
      <c r="K2102" s="48"/>
      <c r="L2102" s="50"/>
      <c r="M2102" s="30"/>
      <c r="N2102" s="30"/>
      <c r="O2102" s="30"/>
      <c r="P2102" s="30"/>
      <c r="Q2102" s="30"/>
      <c r="R2102" s="30"/>
      <c r="S2102" s="30"/>
      <c r="T2102" s="30"/>
      <c r="U2102" s="30"/>
      <c r="V2102" s="30"/>
      <c r="W2102" s="30"/>
      <c r="X2102" s="30"/>
      <c r="Y2102" s="30"/>
      <c r="Z2102" s="30"/>
      <c r="AA2102" s="30"/>
      <c r="AB2102" s="30"/>
      <c r="AC2102" s="30"/>
      <c r="AD2102" s="30"/>
      <c r="AE2102" s="30"/>
      <c r="AF2102" s="30"/>
      <c r="AG2102" s="30"/>
      <c r="AH2102" s="30"/>
    </row>
    <row r="2103" spans="1:34" ht="13">
      <c r="A2103" s="30"/>
      <c r="B2103" s="30"/>
      <c r="C2103" s="30"/>
      <c r="D2103" s="30"/>
      <c r="E2103" s="30"/>
      <c r="F2103" s="30"/>
      <c r="G2103" s="30"/>
      <c r="H2103" s="48"/>
      <c r="I2103" s="49"/>
      <c r="J2103" s="49"/>
      <c r="K2103" s="48"/>
      <c r="L2103" s="50"/>
      <c r="M2103" s="30"/>
      <c r="N2103" s="30"/>
      <c r="O2103" s="30"/>
      <c r="P2103" s="30"/>
      <c r="Q2103" s="30"/>
      <c r="R2103" s="30"/>
      <c r="S2103" s="30"/>
      <c r="T2103" s="30"/>
      <c r="U2103" s="30"/>
      <c r="V2103" s="30"/>
      <c r="W2103" s="30"/>
      <c r="X2103" s="30"/>
      <c r="Y2103" s="30"/>
      <c r="Z2103" s="30"/>
      <c r="AA2103" s="30"/>
      <c r="AB2103" s="30"/>
      <c r="AC2103" s="30"/>
      <c r="AD2103" s="30"/>
      <c r="AE2103" s="30"/>
      <c r="AF2103" s="30"/>
      <c r="AG2103" s="30"/>
      <c r="AH2103" s="30"/>
    </row>
    <row r="2104" spans="1:34" ht="13">
      <c r="A2104" s="30"/>
      <c r="B2104" s="30"/>
      <c r="C2104" s="30"/>
      <c r="D2104" s="30"/>
      <c r="E2104" s="30"/>
      <c r="F2104" s="30"/>
      <c r="G2104" s="30"/>
      <c r="H2104" s="48"/>
      <c r="I2104" s="49"/>
      <c r="J2104" s="49"/>
      <c r="K2104" s="48"/>
      <c r="L2104" s="50"/>
      <c r="M2104" s="30"/>
      <c r="N2104" s="30"/>
      <c r="O2104" s="30"/>
      <c r="P2104" s="30"/>
      <c r="Q2104" s="30"/>
      <c r="R2104" s="30"/>
      <c r="S2104" s="30"/>
      <c r="T2104" s="30"/>
      <c r="U2104" s="30"/>
      <c r="V2104" s="30"/>
      <c r="W2104" s="30"/>
      <c r="X2104" s="30"/>
      <c r="Y2104" s="30"/>
      <c r="Z2104" s="30"/>
      <c r="AA2104" s="30"/>
      <c r="AB2104" s="30"/>
      <c r="AC2104" s="30"/>
      <c r="AD2104" s="30"/>
      <c r="AE2104" s="30"/>
      <c r="AF2104" s="30"/>
      <c r="AG2104" s="30"/>
      <c r="AH2104" s="30"/>
    </row>
    <row r="2105" spans="1:34" ht="13">
      <c r="A2105" s="30"/>
      <c r="B2105" s="30"/>
      <c r="C2105" s="30"/>
      <c r="D2105" s="30"/>
      <c r="E2105" s="30"/>
      <c r="F2105" s="30"/>
      <c r="G2105" s="30"/>
      <c r="H2105" s="48"/>
      <c r="I2105" s="49"/>
      <c r="J2105" s="49"/>
      <c r="K2105" s="48"/>
      <c r="L2105" s="50"/>
      <c r="M2105" s="30"/>
      <c r="N2105" s="30"/>
      <c r="O2105" s="30"/>
      <c r="P2105" s="30"/>
      <c r="Q2105" s="30"/>
      <c r="R2105" s="30"/>
      <c r="S2105" s="30"/>
      <c r="T2105" s="30"/>
      <c r="U2105" s="30"/>
      <c r="V2105" s="30"/>
      <c r="W2105" s="30"/>
      <c r="X2105" s="30"/>
      <c r="Y2105" s="30"/>
      <c r="Z2105" s="30"/>
      <c r="AA2105" s="30"/>
      <c r="AB2105" s="30"/>
      <c r="AC2105" s="30"/>
      <c r="AD2105" s="30"/>
      <c r="AE2105" s="30"/>
      <c r="AF2105" s="30"/>
      <c r="AG2105" s="30"/>
      <c r="AH2105" s="30"/>
    </row>
    <row r="2106" spans="1:34" ht="13">
      <c r="A2106" s="30"/>
      <c r="B2106" s="30"/>
      <c r="C2106" s="30"/>
      <c r="D2106" s="30"/>
      <c r="E2106" s="30"/>
      <c r="F2106" s="30"/>
      <c r="G2106" s="30"/>
      <c r="H2106" s="48"/>
      <c r="I2106" s="49"/>
      <c r="J2106" s="49"/>
      <c r="K2106" s="48"/>
      <c r="L2106" s="50"/>
      <c r="M2106" s="30"/>
      <c r="N2106" s="30"/>
      <c r="O2106" s="30"/>
      <c r="P2106" s="30"/>
      <c r="Q2106" s="30"/>
      <c r="R2106" s="30"/>
      <c r="S2106" s="30"/>
      <c r="T2106" s="30"/>
      <c r="U2106" s="30"/>
      <c r="V2106" s="30"/>
      <c r="W2106" s="30"/>
      <c r="X2106" s="30"/>
      <c r="Y2106" s="30"/>
      <c r="Z2106" s="30"/>
      <c r="AA2106" s="30"/>
      <c r="AB2106" s="30"/>
      <c r="AC2106" s="30"/>
      <c r="AD2106" s="30"/>
      <c r="AE2106" s="30"/>
      <c r="AF2106" s="30"/>
      <c r="AG2106" s="30"/>
      <c r="AH2106" s="30"/>
    </row>
    <row r="2107" spans="1:34" ht="13">
      <c r="A2107" s="30"/>
      <c r="B2107" s="30"/>
      <c r="C2107" s="30"/>
      <c r="D2107" s="30"/>
      <c r="E2107" s="30"/>
      <c r="F2107" s="30"/>
      <c r="G2107" s="30"/>
      <c r="H2107" s="48"/>
      <c r="I2107" s="49"/>
      <c r="J2107" s="49"/>
      <c r="K2107" s="48"/>
      <c r="L2107" s="50"/>
      <c r="M2107" s="30"/>
      <c r="N2107" s="30"/>
      <c r="O2107" s="30"/>
      <c r="P2107" s="30"/>
      <c r="Q2107" s="30"/>
      <c r="R2107" s="30"/>
      <c r="S2107" s="30"/>
      <c r="T2107" s="30"/>
      <c r="U2107" s="30"/>
      <c r="V2107" s="30"/>
      <c r="W2107" s="30"/>
      <c r="X2107" s="30"/>
      <c r="Y2107" s="30"/>
      <c r="Z2107" s="30"/>
      <c r="AA2107" s="30"/>
      <c r="AB2107" s="30"/>
      <c r="AC2107" s="30"/>
      <c r="AD2107" s="30"/>
      <c r="AE2107" s="30"/>
      <c r="AF2107" s="30"/>
      <c r="AG2107" s="30"/>
      <c r="AH2107" s="30"/>
    </row>
    <row r="2108" spans="1:34" ht="13">
      <c r="A2108" s="30"/>
      <c r="B2108" s="30"/>
      <c r="C2108" s="30"/>
      <c r="D2108" s="30"/>
      <c r="E2108" s="30"/>
      <c r="F2108" s="30"/>
      <c r="G2108" s="30"/>
      <c r="H2108" s="48"/>
      <c r="I2108" s="49"/>
      <c r="J2108" s="49"/>
      <c r="K2108" s="48"/>
      <c r="L2108" s="50"/>
      <c r="M2108" s="30"/>
      <c r="N2108" s="30"/>
      <c r="O2108" s="30"/>
      <c r="P2108" s="30"/>
      <c r="Q2108" s="30"/>
      <c r="R2108" s="30"/>
      <c r="S2108" s="30"/>
      <c r="T2108" s="30"/>
      <c r="U2108" s="30"/>
      <c r="V2108" s="30"/>
      <c r="W2108" s="30"/>
      <c r="X2108" s="30"/>
      <c r="Y2108" s="30"/>
      <c r="Z2108" s="30"/>
      <c r="AA2108" s="30"/>
      <c r="AB2108" s="30"/>
      <c r="AC2108" s="30"/>
      <c r="AD2108" s="30"/>
      <c r="AE2108" s="30"/>
      <c r="AF2108" s="30"/>
      <c r="AG2108" s="30"/>
      <c r="AH2108" s="30"/>
    </row>
    <row r="2109" spans="1:34" ht="13">
      <c r="A2109" s="30"/>
      <c r="B2109" s="30"/>
      <c r="C2109" s="30"/>
      <c r="D2109" s="30"/>
      <c r="E2109" s="30"/>
      <c r="F2109" s="30"/>
      <c r="G2109" s="30"/>
      <c r="H2109" s="48"/>
      <c r="I2109" s="49"/>
      <c r="J2109" s="49"/>
      <c r="K2109" s="48"/>
      <c r="L2109" s="50"/>
      <c r="M2109" s="30"/>
      <c r="N2109" s="30"/>
      <c r="O2109" s="30"/>
      <c r="P2109" s="30"/>
      <c r="Q2109" s="30"/>
      <c r="R2109" s="30"/>
      <c r="S2109" s="30"/>
      <c r="T2109" s="30"/>
      <c r="U2109" s="30"/>
      <c r="V2109" s="30"/>
      <c r="W2109" s="30"/>
      <c r="X2109" s="30"/>
      <c r="Y2109" s="30"/>
      <c r="Z2109" s="30"/>
      <c r="AA2109" s="30"/>
      <c r="AB2109" s="30"/>
      <c r="AC2109" s="30"/>
      <c r="AD2109" s="30"/>
      <c r="AE2109" s="30"/>
      <c r="AF2109" s="30"/>
      <c r="AG2109" s="30"/>
      <c r="AH2109" s="30"/>
    </row>
    <row r="2110" spans="1:34" ht="13">
      <c r="A2110" s="30"/>
      <c r="B2110" s="30"/>
      <c r="C2110" s="30"/>
      <c r="D2110" s="30"/>
      <c r="E2110" s="30"/>
      <c r="F2110" s="30"/>
      <c r="G2110" s="30"/>
      <c r="H2110" s="48"/>
      <c r="I2110" s="49"/>
      <c r="J2110" s="49"/>
      <c r="K2110" s="48"/>
      <c r="L2110" s="50"/>
      <c r="M2110" s="30"/>
      <c r="N2110" s="30"/>
      <c r="O2110" s="30"/>
      <c r="P2110" s="30"/>
      <c r="Q2110" s="30"/>
      <c r="R2110" s="30"/>
      <c r="S2110" s="30"/>
      <c r="T2110" s="30"/>
      <c r="U2110" s="30"/>
      <c r="V2110" s="30"/>
      <c r="W2110" s="30"/>
      <c r="X2110" s="30"/>
      <c r="Y2110" s="30"/>
      <c r="Z2110" s="30"/>
      <c r="AA2110" s="30"/>
      <c r="AB2110" s="30"/>
      <c r="AC2110" s="30"/>
      <c r="AD2110" s="30"/>
      <c r="AE2110" s="30"/>
      <c r="AF2110" s="30"/>
      <c r="AG2110" s="30"/>
      <c r="AH2110" s="30"/>
    </row>
    <row r="2111" spans="1:34" ht="13">
      <c r="A2111" s="30"/>
      <c r="B2111" s="30"/>
      <c r="C2111" s="30"/>
      <c r="D2111" s="30"/>
      <c r="E2111" s="30"/>
      <c r="F2111" s="30"/>
      <c r="G2111" s="30"/>
      <c r="H2111" s="48"/>
      <c r="I2111" s="49"/>
      <c r="J2111" s="49"/>
      <c r="K2111" s="48"/>
      <c r="L2111" s="50"/>
      <c r="M2111" s="30"/>
      <c r="N2111" s="30"/>
      <c r="O2111" s="30"/>
      <c r="P2111" s="30"/>
      <c r="Q2111" s="30"/>
      <c r="R2111" s="30"/>
      <c r="S2111" s="30"/>
      <c r="T2111" s="30"/>
      <c r="U2111" s="30"/>
      <c r="V2111" s="30"/>
      <c r="W2111" s="30"/>
      <c r="X2111" s="30"/>
      <c r="Y2111" s="30"/>
      <c r="Z2111" s="30"/>
      <c r="AA2111" s="30"/>
      <c r="AB2111" s="30"/>
      <c r="AC2111" s="30"/>
      <c r="AD2111" s="30"/>
      <c r="AE2111" s="30"/>
      <c r="AF2111" s="30"/>
      <c r="AG2111" s="30"/>
      <c r="AH2111" s="30"/>
    </row>
    <row r="2112" spans="1:34" ht="13">
      <c r="A2112" s="30"/>
      <c r="B2112" s="30"/>
      <c r="C2112" s="30"/>
      <c r="D2112" s="30"/>
      <c r="E2112" s="30"/>
      <c r="F2112" s="30"/>
      <c r="G2112" s="30"/>
      <c r="H2112" s="48"/>
      <c r="I2112" s="49"/>
      <c r="J2112" s="49"/>
      <c r="K2112" s="48"/>
      <c r="L2112" s="50"/>
      <c r="M2112" s="30"/>
      <c r="N2112" s="30"/>
      <c r="O2112" s="30"/>
      <c r="P2112" s="30"/>
      <c r="Q2112" s="30"/>
      <c r="R2112" s="30"/>
      <c r="S2112" s="30"/>
      <c r="T2112" s="30"/>
      <c r="U2112" s="30"/>
      <c r="V2112" s="30"/>
      <c r="W2112" s="30"/>
      <c r="X2112" s="30"/>
      <c r="Y2112" s="30"/>
      <c r="Z2112" s="30"/>
      <c r="AA2112" s="30"/>
      <c r="AB2112" s="30"/>
      <c r="AC2112" s="30"/>
      <c r="AD2112" s="30"/>
      <c r="AE2112" s="30"/>
      <c r="AF2112" s="30"/>
      <c r="AG2112" s="30"/>
      <c r="AH2112" s="30"/>
    </row>
    <row r="2113" spans="1:34" ht="13">
      <c r="A2113" s="30"/>
      <c r="B2113" s="30"/>
      <c r="C2113" s="30"/>
      <c r="D2113" s="30"/>
      <c r="E2113" s="30"/>
      <c r="F2113" s="30"/>
      <c r="G2113" s="30"/>
      <c r="H2113" s="48"/>
      <c r="I2113" s="49"/>
      <c r="J2113" s="49"/>
      <c r="K2113" s="48"/>
      <c r="L2113" s="50"/>
      <c r="M2113" s="30"/>
      <c r="N2113" s="30"/>
      <c r="O2113" s="30"/>
      <c r="P2113" s="30"/>
      <c r="Q2113" s="30"/>
      <c r="R2113" s="30"/>
      <c r="S2113" s="30"/>
      <c r="T2113" s="30"/>
      <c r="U2113" s="30"/>
      <c r="V2113" s="30"/>
      <c r="W2113" s="30"/>
      <c r="X2113" s="30"/>
      <c r="Y2113" s="30"/>
      <c r="Z2113" s="30"/>
      <c r="AA2113" s="30"/>
      <c r="AB2113" s="30"/>
      <c r="AC2113" s="30"/>
      <c r="AD2113" s="30"/>
      <c r="AE2113" s="30"/>
      <c r="AF2113" s="30"/>
      <c r="AG2113" s="30"/>
      <c r="AH2113" s="30"/>
    </row>
    <row r="2114" spans="1:34" ht="13">
      <c r="A2114" s="30"/>
      <c r="B2114" s="30"/>
      <c r="C2114" s="30"/>
      <c r="D2114" s="30"/>
      <c r="E2114" s="30"/>
      <c r="F2114" s="30"/>
      <c r="G2114" s="30"/>
      <c r="H2114" s="48"/>
      <c r="I2114" s="49"/>
      <c r="J2114" s="49"/>
      <c r="K2114" s="48"/>
      <c r="L2114" s="50"/>
      <c r="M2114" s="30"/>
      <c r="N2114" s="30"/>
      <c r="O2114" s="30"/>
      <c r="P2114" s="30"/>
      <c r="Q2114" s="30"/>
      <c r="R2114" s="30"/>
      <c r="S2114" s="30"/>
      <c r="T2114" s="30"/>
      <c r="U2114" s="30"/>
      <c r="V2114" s="30"/>
      <c r="W2114" s="30"/>
      <c r="X2114" s="30"/>
      <c r="Y2114" s="30"/>
      <c r="Z2114" s="30"/>
      <c r="AA2114" s="30"/>
      <c r="AB2114" s="30"/>
      <c r="AC2114" s="30"/>
      <c r="AD2114" s="30"/>
      <c r="AE2114" s="30"/>
      <c r="AF2114" s="30"/>
      <c r="AG2114" s="30"/>
      <c r="AH2114" s="30"/>
    </row>
    <row r="2115" spans="1:34" ht="13">
      <c r="A2115" s="30"/>
      <c r="B2115" s="30"/>
      <c r="C2115" s="30"/>
      <c r="D2115" s="30"/>
      <c r="E2115" s="30"/>
      <c r="F2115" s="30"/>
      <c r="G2115" s="30"/>
      <c r="H2115" s="48"/>
      <c r="I2115" s="49"/>
      <c r="J2115" s="49"/>
      <c r="K2115" s="48"/>
      <c r="L2115" s="50"/>
      <c r="M2115" s="30"/>
      <c r="N2115" s="30"/>
      <c r="O2115" s="30"/>
      <c r="P2115" s="30"/>
      <c r="Q2115" s="30"/>
      <c r="R2115" s="30"/>
      <c r="S2115" s="30"/>
      <c r="T2115" s="30"/>
      <c r="U2115" s="30"/>
      <c r="V2115" s="30"/>
      <c r="W2115" s="30"/>
      <c r="X2115" s="30"/>
      <c r="Y2115" s="30"/>
      <c r="Z2115" s="30"/>
      <c r="AA2115" s="30"/>
      <c r="AB2115" s="30"/>
      <c r="AC2115" s="30"/>
      <c r="AD2115" s="30"/>
      <c r="AE2115" s="30"/>
      <c r="AF2115" s="30"/>
      <c r="AG2115" s="30"/>
      <c r="AH2115" s="30"/>
    </row>
    <row r="2116" spans="1:34" ht="13">
      <c r="A2116" s="30"/>
      <c r="B2116" s="30"/>
      <c r="C2116" s="30"/>
      <c r="D2116" s="30"/>
      <c r="E2116" s="30"/>
      <c r="F2116" s="30"/>
      <c r="G2116" s="30"/>
      <c r="H2116" s="48"/>
      <c r="I2116" s="49"/>
      <c r="J2116" s="49"/>
      <c r="K2116" s="48"/>
      <c r="L2116" s="50"/>
      <c r="M2116" s="30"/>
      <c r="N2116" s="30"/>
      <c r="O2116" s="30"/>
      <c r="P2116" s="30"/>
      <c r="Q2116" s="30"/>
      <c r="R2116" s="30"/>
      <c r="S2116" s="30"/>
      <c r="T2116" s="30"/>
      <c r="U2116" s="30"/>
      <c r="V2116" s="30"/>
      <c r="W2116" s="30"/>
      <c r="X2116" s="30"/>
      <c r="Y2116" s="30"/>
      <c r="Z2116" s="30"/>
      <c r="AA2116" s="30"/>
      <c r="AB2116" s="30"/>
      <c r="AC2116" s="30"/>
      <c r="AD2116" s="30"/>
      <c r="AE2116" s="30"/>
      <c r="AF2116" s="30"/>
      <c r="AG2116" s="30"/>
      <c r="AH2116" s="30"/>
    </row>
    <row r="2117" spans="1:34" ht="13">
      <c r="A2117" s="30"/>
      <c r="B2117" s="30"/>
      <c r="C2117" s="30"/>
      <c r="D2117" s="30"/>
      <c r="E2117" s="30"/>
      <c r="F2117" s="30"/>
      <c r="G2117" s="30"/>
      <c r="H2117" s="48"/>
      <c r="I2117" s="49"/>
      <c r="J2117" s="49"/>
      <c r="K2117" s="48"/>
      <c r="L2117" s="50"/>
      <c r="M2117" s="30"/>
      <c r="N2117" s="30"/>
      <c r="O2117" s="30"/>
      <c r="P2117" s="30"/>
      <c r="Q2117" s="30"/>
      <c r="R2117" s="30"/>
      <c r="S2117" s="30"/>
      <c r="T2117" s="30"/>
      <c r="U2117" s="30"/>
      <c r="V2117" s="30"/>
      <c r="W2117" s="30"/>
      <c r="X2117" s="30"/>
      <c r="Y2117" s="30"/>
      <c r="Z2117" s="30"/>
      <c r="AA2117" s="30"/>
      <c r="AB2117" s="30"/>
      <c r="AC2117" s="30"/>
      <c r="AD2117" s="30"/>
      <c r="AE2117" s="30"/>
      <c r="AF2117" s="30"/>
      <c r="AG2117" s="30"/>
      <c r="AH2117" s="30"/>
    </row>
    <row r="2118" spans="1:34" ht="13">
      <c r="A2118" s="30"/>
      <c r="B2118" s="30"/>
      <c r="C2118" s="30"/>
      <c r="D2118" s="30"/>
      <c r="E2118" s="30"/>
      <c r="F2118" s="30"/>
      <c r="G2118" s="30"/>
      <c r="H2118" s="48"/>
      <c r="I2118" s="49"/>
      <c r="J2118" s="49"/>
      <c r="K2118" s="48"/>
      <c r="L2118" s="50"/>
      <c r="M2118" s="30"/>
      <c r="N2118" s="30"/>
      <c r="O2118" s="30"/>
      <c r="P2118" s="30"/>
      <c r="Q2118" s="30"/>
      <c r="R2118" s="30"/>
      <c r="S2118" s="30"/>
      <c r="T2118" s="30"/>
      <c r="U2118" s="30"/>
      <c r="V2118" s="30"/>
      <c r="W2118" s="30"/>
      <c r="X2118" s="30"/>
      <c r="Y2118" s="30"/>
      <c r="Z2118" s="30"/>
      <c r="AA2118" s="30"/>
      <c r="AB2118" s="30"/>
      <c r="AC2118" s="30"/>
      <c r="AD2118" s="30"/>
      <c r="AE2118" s="30"/>
      <c r="AF2118" s="30"/>
      <c r="AG2118" s="30"/>
      <c r="AH2118" s="30"/>
    </row>
    <row r="2119" spans="1:34" ht="13">
      <c r="A2119" s="30"/>
      <c r="B2119" s="30"/>
      <c r="C2119" s="30"/>
      <c r="D2119" s="30"/>
      <c r="E2119" s="30"/>
      <c r="F2119" s="30"/>
      <c r="G2119" s="30"/>
      <c r="H2119" s="48"/>
      <c r="I2119" s="49"/>
      <c r="J2119" s="49"/>
      <c r="K2119" s="48"/>
      <c r="L2119" s="50"/>
      <c r="M2119" s="30"/>
      <c r="N2119" s="30"/>
      <c r="O2119" s="30"/>
      <c r="P2119" s="30"/>
      <c r="Q2119" s="30"/>
      <c r="R2119" s="30"/>
      <c r="S2119" s="30"/>
      <c r="T2119" s="30"/>
      <c r="U2119" s="30"/>
      <c r="V2119" s="30"/>
      <c r="W2119" s="30"/>
      <c r="X2119" s="30"/>
      <c r="Y2119" s="30"/>
      <c r="Z2119" s="30"/>
      <c r="AA2119" s="30"/>
      <c r="AB2119" s="30"/>
      <c r="AC2119" s="30"/>
      <c r="AD2119" s="30"/>
      <c r="AE2119" s="30"/>
      <c r="AF2119" s="30"/>
      <c r="AG2119" s="30"/>
      <c r="AH2119" s="30"/>
    </row>
    <row r="2120" spans="1:34" ht="13">
      <c r="A2120" s="30"/>
      <c r="B2120" s="30"/>
      <c r="C2120" s="30"/>
      <c r="D2120" s="30"/>
      <c r="E2120" s="30"/>
      <c r="F2120" s="30"/>
      <c r="G2120" s="30"/>
      <c r="H2120" s="48"/>
      <c r="I2120" s="49"/>
      <c r="J2120" s="49"/>
      <c r="K2120" s="48"/>
      <c r="L2120" s="50"/>
      <c r="M2120" s="30"/>
      <c r="N2120" s="30"/>
      <c r="O2120" s="30"/>
      <c r="P2120" s="30"/>
      <c r="Q2120" s="30"/>
      <c r="R2120" s="30"/>
      <c r="S2120" s="30"/>
      <c r="T2120" s="30"/>
      <c r="U2120" s="30"/>
      <c r="V2120" s="30"/>
      <c r="W2120" s="30"/>
      <c r="X2120" s="30"/>
      <c r="Y2120" s="30"/>
      <c r="Z2120" s="30"/>
      <c r="AA2120" s="30"/>
      <c r="AB2120" s="30"/>
      <c r="AC2120" s="30"/>
      <c r="AD2120" s="30"/>
      <c r="AE2120" s="30"/>
      <c r="AF2120" s="30"/>
      <c r="AG2120" s="30"/>
      <c r="AH2120" s="30"/>
    </row>
    <row r="2121" spans="1:34" ht="13">
      <c r="A2121" s="30"/>
      <c r="B2121" s="30"/>
      <c r="C2121" s="30"/>
      <c r="D2121" s="30"/>
      <c r="E2121" s="30"/>
      <c r="F2121" s="30"/>
      <c r="G2121" s="30"/>
      <c r="H2121" s="48"/>
      <c r="I2121" s="49"/>
      <c r="J2121" s="49"/>
      <c r="K2121" s="48"/>
      <c r="L2121" s="50"/>
      <c r="M2121" s="30"/>
      <c r="N2121" s="30"/>
      <c r="O2121" s="30"/>
      <c r="P2121" s="30"/>
      <c r="Q2121" s="30"/>
      <c r="R2121" s="30"/>
      <c r="S2121" s="30"/>
      <c r="T2121" s="30"/>
      <c r="U2121" s="30"/>
      <c r="V2121" s="30"/>
      <c r="W2121" s="30"/>
      <c r="X2121" s="30"/>
      <c r="Y2121" s="30"/>
      <c r="Z2121" s="30"/>
      <c r="AA2121" s="30"/>
      <c r="AB2121" s="30"/>
      <c r="AC2121" s="30"/>
      <c r="AD2121" s="30"/>
      <c r="AE2121" s="30"/>
      <c r="AF2121" s="30"/>
      <c r="AG2121" s="30"/>
      <c r="AH2121" s="30"/>
    </row>
    <row r="2122" spans="1:34" ht="13">
      <c r="A2122" s="30"/>
      <c r="B2122" s="30"/>
      <c r="C2122" s="30"/>
      <c r="D2122" s="30"/>
      <c r="E2122" s="30"/>
      <c r="F2122" s="30"/>
      <c r="G2122" s="30"/>
      <c r="H2122" s="48"/>
      <c r="I2122" s="49"/>
      <c r="J2122" s="49"/>
      <c r="K2122" s="48"/>
      <c r="L2122" s="50"/>
      <c r="M2122" s="30"/>
      <c r="N2122" s="30"/>
      <c r="O2122" s="30"/>
      <c r="P2122" s="30"/>
      <c r="Q2122" s="30"/>
      <c r="R2122" s="30"/>
      <c r="S2122" s="30"/>
      <c r="T2122" s="30"/>
      <c r="U2122" s="30"/>
      <c r="V2122" s="30"/>
      <c r="W2122" s="30"/>
      <c r="X2122" s="30"/>
      <c r="Y2122" s="30"/>
      <c r="Z2122" s="30"/>
      <c r="AA2122" s="30"/>
      <c r="AB2122" s="30"/>
      <c r="AC2122" s="30"/>
      <c r="AD2122" s="30"/>
      <c r="AE2122" s="30"/>
      <c r="AF2122" s="30"/>
      <c r="AG2122" s="30"/>
      <c r="AH2122" s="30"/>
    </row>
    <row r="2123" spans="1:34" ht="13">
      <c r="A2123" s="30"/>
      <c r="B2123" s="30"/>
      <c r="C2123" s="30"/>
      <c r="D2123" s="30"/>
      <c r="E2123" s="30"/>
      <c r="F2123" s="30"/>
      <c r="G2123" s="30"/>
      <c r="H2123" s="48"/>
      <c r="I2123" s="49"/>
      <c r="J2123" s="49"/>
      <c r="K2123" s="48"/>
      <c r="L2123" s="50"/>
      <c r="M2123" s="30"/>
      <c r="N2123" s="30"/>
      <c r="O2123" s="30"/>
      <c r="P2123" s="30"/>
      <c r="Q2123" s="30"/>
      <c r="R2123" s="30"/>
      <c r="S2123" s="30"/>
      <c r="T2123" s="30"/>
      <c r="U2123" s="30"/>
      <c r="V2123" s="30"/>
      <c r="W2123" s="30"/>
      <c r="X2123" s="30"/>
      <c r="Y2123" s="30"/>
      <c r="Z2123" s="30"/>
      <c r="AA2123" s="30"/>
      <c r="AB2123" s="30"/>
      <c r="AC2123" s="30"/>
      <c r="AD2123" s="30"/>
      <c r="AE2123" s="30"/>
      <c r="AF2123" s="30"/>
      <c r="AG2123" s="30"/>
      <c r="AH2123" s="30"/>
    </row>
    <row r="2124" spans="1:34" ht="13">
      <c r="A2124" s="30"/>
      <c r="B2124" s="30"/>
      <c r="C2124" s="30"/>
      <c r="D2124" s="30"/>
      <c r="E2124" s="30"/>
      <c r="F2124" s="30"/>
      <c r="G2124" s="30"/>
      <c r="H2124" s="48"/>
      <c r="I2124" s="49"/>
      <c r="J2124" s="49"/>
      <c r="K2124" s="48"/>
      <c r="L2124" s="50"/>
      <c r="M2124" s="30"/>
      <c r="N2124" s="30"/>
      <c r="O2124" s="30"/>
      <c r="P2124" s="30"/>
      <c r="Q2124" s="30"/>
      <c r="R2124" s="30"/>
      <c r="S2124" s="30"/>
      <c r="T2124" s="30"/>
      <c r="U2124" s="30"/>
      <c r="V2124" s="30"/>
      <c r="W2124" s="30"/>
      <c r="X2124" s="30"/>
      <c r="Y2124" s="30"/>
      <c r="Z2124" s="30"/>
      <c r="AA2124" s="30"/>
      <c r="AB2124" s="30"/>
      <c r="AC2124" s="30"/>
      <c r="AD2124" s="30"/>
      <c r="AE2124" s="30"/>
      <c r="AF2124" s="30"/>
      <c r="AG2124" s="30"/>
      <c r="AH2124" s="30"/>
    </row>
    <row r="2125" spans="1:34" ht="13">
      <c r="A2125" s="30"/>
      <c r="B2125" s="30"/>
      <c r="C2125" s="30"/>
      <c r="D2125" s="30"/>
      <c r="E2125" s="30"/>
      <c r="F2125" s="30"/>
      <c r="G2125" s="30"/>
      <c r="H2125" s="48"/>
      <c r="I2125" s="49"/>
      <c r="J2125" s="49"/>
      <c r="K2125" s="48"/>
      <c r="L2125" s="50"/>
      <c r="M2125" s="30"/>
      <c r="N2125" s="30"/>
      <c r="O2125" s="30"/>
      <c r="P2125" s="30"/>
      <c r="Q2125" s="30"/>
      <c r="R2125" s="30"/>
      <c r="S2125" s="30"/>
      <c r="T2125" s="30"/>
      <c r="U2125" s="30"/>
      <c r="V2125" s="30"/>
      <c r="W2125" s="30"/>
      <c r="X2125" s="30"/>
      <c r="Y2125" s="30"/>
      <c r="Z2125" s="30"/>
      <c r="AA2125" s="30"/>
      <c r="AB2125" s="30"/>
      <c r="AC2125" s="30"/>
      <c r="AD2125" s="30"/>
      <c r="AE2125" s="30"/>
      <c r="AF2125" s="30"/>
      <c r="AG2125" s="30"/>
      <c r="AH2125" s="30"/>
    </row>
    <row r="2126" spans="1:34" ht="13">
      <c r="A2126" s="30"/>
      <c r="B2126" s="30"/>
      <c r="C2126" s="30"/>
      <c r="D2126" s="30"/>
      <c r="E2126" s="30"/>
      <c r="F2126" s="30"/>
      <c r="G2126" s="30"/>
      <c r="H2126" s="48"/>
      <c r="I2126" s="49"/>
      <c r="J2126" s="49"/>
      <c r="K2126" s="48"/>
      <c r="L2126" s="50"/>
      <c r="M2126" s="30"/>
      <c r="N2126" s="30"/>
      <c r="O2126" s="30"/>
      <c r="P2126" s="30"/>
      <c r="Q2126" s="30"/>
      <c r="R2126" s="30"/>
      <c r="S2126" s="30"/>
      <c r="T2126" s="30"/>
      <c r="U2126" s="30"/>
      <c r="V2126" s="30"/>
      <c r="W2126" s="30"/>
      <c r="X2126" s="30"/>
      <c r="Y2126" s="30"/>
      <c r="Z2126" s="30"/>
      <c r="AA2126" s="30"/>
      <c r="AB2126" s="30"/>
      <c r="AC2126" s="30"/>
      <c r="AD2126" s="30"/>
      <c r="AE2126" s="30"/>
      <c r="AF2126" s="30"/>
      <c r="AG2126" s="30"/>
      <c r="AH2126" s="30"/>
    </row>
    <row r="2127" spans="1:34" ht="13">
      <c r="A2127" s="30"/>
      <c r="B2127" s="30"/>
      <c r="C2127" s="30"/>
      <c r="D2127" s="30"/>
      <c r="E2127" s="30"/>
      <c r="F2127" s="30"/>
      <c r="G2127" s="30"/>
      <c r="H2127" s="48"/>
      <c r="I2127" s="49"/>
      <c r="J2127" s="49"/>
      <c r="K2127" s="48"/>
      <c r="L2127" s="50"/>
      <c r="M2127" s="30"/>
      <c r="N2127" s="30"/>
      <c r="O2127" s="30"/>
      <c r="P2127" s="30"/>
      <c r="Q2127" s="30"/>
      <c r="R2127" s="30"/>
      <c r="S2127" s="30"/>
      <c r="T2127" s="30"/>
      <c r="U2127" s="30"/>
      <c r="V2127" s="30"/>
      <c r="W2127" s="30"/>
      <c r="X2127" s="30"/>
      <c r="Y2127" s="30"/>
      <c r="Z2127" s="30"/>
      <c r="AA2127" s="30"/>
      <c r="AB2127" s="30"/>
      <c r="AC2127" s="30"/>
      <c r="AD2127" s="30"/>
      <c r="AE2127" s="30"/>
      <c r="AF2127" s="30"/>
      <c r="AG2127" s="30"/>
      <c r="AH2127" s="30"/>
    </row>
    <row r="2128" spans="1:34" ht="13">
      <c r="A2128" s="30"/>
      <c r="B2128" s="30"/>
      <c r="C2128" s="30"/>
      <c r="D2128" s="30"/>
      <c r="E2128" s="30"/>
      <c r="F2128" s="30"/>
      <c r="G2128" s="30"/>
      <c r="H2128" s="48"/>
      <c r="I2128" s="49"/>
      <c r="J2128" s="49"/>
      <c r="K2128" s="48"/>
      <c r="L2128" s="50"/>
      <c r="M2128" s="30"/>
      <c r="N2128" s="30"/>
      <c r="O2128" s="30"/>
      <c r="P2128" s="30"/>
      <c r="Q2128" s="30"/>
      <c r="R2128" s="30"/>
      <c r="S2128" s="30"/>
      <c r="T2128" s="30"/>
      <c r="U2128" s="30"/>
      <c r="V2128" s="30"/>
      <c r="W2128" s="30"/>
      <c r="X2128" s="30"/>
      <c r="Y2128" s="30"/>
      <c r="Z2128" s="30"/>
      <c r="AA2128" s="30"/>
      <c r="AB2128" s="30"/>
      <c r="AC2128" s="30"/>
      <c r="AD2128" s="30"/>
      <c r="AE2128" s="30"/>
      <c r="AF2128" s="30"/>
      <c r="AG2128" s="30"/>
      <c r="AH2128" s="30"/>
    </row>
    <row r="2129" spans="1:34" ht="13">
      <c r="A2129" s="30"/>
      <c r="B2129" s="30"/>
      <c r="C2129" s="30"/>
      <c r="D2129" s="30"/>
      <c r="E2129" s="30"/>
      <c r="F2129" s="30"/>
      <c r="G2129" s="30"/>
      <c r="H2129" s="48"/>
      <c r="I2129" s="49"/>
      <c r="J2129" s="49"/>
      <c r="K2129" s="48"/>
      <c r="L2129" s="50"/>
      <c r="M2129" s="30"/>
      <c r="N2129" s="30"/>
      <c r="O2129" s="30"/>
      <c r="P2129" s="30"/>
      <c r="Q2129" s="30"/>
      <c r="R2129" s="30"/>
      <c r="S2129" s="30"/>
      <c r="T2129" s="30"/>
      <c r="U2129" s="30"/>
      <c r="V2129" s="30"/>
      <c r="W2129" s="30"/>
      <c r="X2129" s="30"/>
      <c r="Y2129" s="30"/>
      <c r="Z2129" s="30"/>
      <c r="AA2129" s="30"/>
      <c r="AB2129" s="30"/>
      <c r="AC2129" s="30"/>
      <c r="AD2129" s="30"/>
      <c r="AE2129" s="30"/>
      <c r="AF2129" s="30"/>
      <c r="AG2129" s="30"/>
      <c r="AH2129" s="30"/>
    </row>
    <row r="2130" spans="1:34" ht="13">
      <c r="A2130" s="30"/>
      <c r="B2130" s="30"/>
      <c r="C2130" s="30"/>
      <c r="D2130" s="30"/>
      <c r="E2130" s="30"/>
      <c r="F2130" s="30"/>
      <c r="G2130" s="30"/>
      <c r="H2130" s="48"/>
      <c r="I2130" s="49"/>
      <c r="J2130" s="49"/>
      <c r="K2130" s="48"/>
      <c r="L2130" s="50"/>
      <c r="M2130" s="30"/>
      <c r="N2130" s="30"/>
      <c r="O2130" s="30"/>
      <c r="P2130" s="30"/>
      <c r="Q2130" s="30"/>
      <c r="R2130" s="30"/>
      <c r="S2130" s="30"/>
      <c r="T2130" s="30"/>
      <c r="U2130" s="30"/>
      <c r="V2130" s="30"/>
      <c r="W2130" s="30"/>
      <c r="X2130" s="30"/>
      <c r="Y2130" s="30"/>
      <c r="Z2130" s="30"/>
      <c r="AA2130" s="30"/>
      <c r="AB2130" s="30"/>
      <c r="AC2130" s="30"/>
      <c r="AD2130" s="30"/>
      <c r="AE2130" s="30"/>
      <c r="AF2130" s="30"/>
      <c r="AG2130" s="30"/>
      <c r="AH2130" s="30"/>
    </row>
    <row r="2131" spans="1:34" ht="13">
      <c r="A2131" s="30"/>
      <c r="B2131" s="30"/>
      <c r="C2131" s="30"/>
      <c r="D2131" s="30"/>
      <c r="E2131" s="30"/>
      <c r="F2131" s="30"/>
      <c r="G2131" s="30"/>
      <c r="H2131" s="48"/>
      <c r="I2131" s="49"/>
      <c r="J2131" s="49"/>
      <c r="K2131" s="48"/>
      <c r="L2131" s="50"/>
      <c r="M2131" s="30"/>
      <c r="N2131" s="30"/>
      <c r="O2131" s="30"/>
      <c r="P2131" s="30"/>
      <c r="Q2131" s="30"/>
      <c r="R2131" s="30"/>
      <c r="S2131" s="30"/>
      <c r="T2131" s="30"/>
      <c r="U2131" s="30"/>
      <c r="V2131" s="30"/>
      <c r="W2131" s="30"/>
      <c r="X2131" s="30"/>
      <c r="Y2131" s="30"/>
      <c r="Z2131" s="30"/>
      <c r="AA2131" s="30"/>
      <c r="AB2131" s="30"/>
      <c r="AC2131" s="30"/>
      <c r="AD2131" s="30"/>
      <c r="AE2131" s="30"/>
      <c r="AF2131" s="30"/>
      <c r="AG2131" s="30"/>
      <c r="AH2131" s="30"/>
    </row>
    <row r="2132" spans="1:34" ht="13">
      <c r="A2132" s="30"/>
      <c r="B2132" s="30"/>
      <c r="C2132" s="30"/>
      <c r="D2132" s="30"/>
      <c r="E2132" s="30"/>
      <c r="F2132" s="30"/>
      <c r="G2132" s="30"/>
      <c r="H2132" s="48"/>
      <c r="I2132" s="49"/>
      <c r="J2132" s="49"/>
      <c r="K2132" s="48"/>
      <c r="L2132" s="50"/>
      <c r="M2132" s="30"/>
      <c r="N2132" s="30"/>
      <c r="O2132" s="30"/>
      <c r="P2132" s="30"/>
      <c r="Q2132" s="30"/>
      <c r="R2132" s="30"/>
      <c r="S2132" s="30"/>
      <c r="T2132" s="30"/>
      <c r="U2132" s="30"/>
      <c r="V2132" s="30"/>
      <c r="W2132" s="30"/>
      <c r="X2132" s="30"/>
      <c r="Y2132" s="30"/>
      <c r="Z2132" s="30"/>
      <c r="AA2132" s="30"/>
      <c r="AB2132" s="30"/>
      <c r="AC2132" s="30"/>
      <c r="AD2132" s="30"/>
      <c r="AE2132" s="30"/>
      <c r="AF2132" s="30"/>
      <c r="AG2132" s="30"/>
      <c r="AH2132" s="30"/>
    </row>
    <row r="2133" spans="1:34" ht="13">
      <c r="A2133" s="30"/>
      <c r="B2133" s="30"/>
      <c r="C2133" s="30"/>
      <c r="D2133" s="30"/>
      <c r="E2133" s="30"/>
      <c r="F2133" s="30"/>
      <c r="G2133" s="30"/>
      <c r="H2133" s="48"/>
      <c r="I2133" s="49"/>
      <c r="J2133" s="49"/>
      <c r="K2133" s="48"/>
      <c r="L2133" s="50"/>
      <c r="M2133" s="30"/>
      <c r="N2133" s="30"/>
      <c r="O2133" s="30"/>
      <c r="P2133" s="30"/>
      <c r="Q2133" s="30"/>
      <c r="R2133" s="30"/>
      <c r="S2133" s="30"/>
      <c r="T2133" s="30"/>
      <c r="U2133" s="30"/>
      <c r="V2133" s="30"/>
      <c r="W2133" s="30"/>
      <c r="X2133" s="30"/>
      <c r="Y2133" s="30"/>
      <c r="Z2133" s="30"/>
      <c r="AA2133" s="30"/>
      <c r="AB2133" s="30"/>
      <c r="AC2133" s="30"/>
      <c r="AD2133" s="30"/>
      <c r="AE2133" s="30"/>
      <c r="AF2133" s="30"/>
      <c r="AG2133" s="30"/>
      <c r="AH2133" s="30"/>
    </row>
    <row r="2134" spans="1:34" ht="13">
      <c r="A2134" s="30"/>
      <c r="B2134" s="30"/>
      <c r="C2134" s="30"/>
      <c r="D2134" s="30"/>
      <c r="E2134" s="30"/>
      <c r="F2134" s="30"/>
      <c r="G2134" s="30"/>
      <c r="H2134" s="48"/>
      <c r="I2134" s="49"/>
      <c r="J2134" s="49"/>
      <c r="K2134" s="48"/>
      <c r="L2134" s="50"/>
      <c r="M2134" s="30"/>
      <c r="N2134" s="30"/>
      <c r="O2134" s="30"/>
      <c r="P2134" s="30"/>
      <c r="Q2134" s="30"/>
      <c r="R2134" s="30"/>
      <c r="S2134" s="30"/>
      <c r="T2134" s="30"/>
      <c r="U2134" s="30"/>
      <c r="V2134" s="30"/>
      <c r="W2134" s="30"/>
      <c r="X2134" s="30"/>
      <c r="Y2134" s="30"/>
      <c r="Z2134" s="30"/>
      <c r="AA2134" s="30"/>
      <c r="AB2134" s="30"/>
      <c r="AC2134" s="30"/>
      <c r="AD2134" s="30"/>
      <c r="AE2134" s="30"/>
      <c r="AF2134" s="30"/>
      <c r="AG2134" s="30"/>
      <c r="AH2134" s="30"/>
    </row>
    <row r="2135" spans="1:34" ht="13">
      <c r="A2135" s="30"/>
      <c r="B2135" s="30"/>
      <c r="C2135" s="30"/>
      <c r="D2135" s="30"/>
      <c r="E2135" s="30"/>
      <c r="F2135" s="30"/>
      <c r="G2135" s="30"/>
      <c r="H2135" s="48"/>
      <c r="I2135" s="49"/>
      <c r="J2135" s="49"/>
      <c r="K2135" s="48"/>
      <c r="L2135" s="50"/>
      <c r="M2135" s="30"/>
      <c r="N2135" s="30"/>
      <c r="O2135" s="30"/>
      <c r="P2135" s="30"/>
      <c r="Q2135" s="30"/>
      <c r="R2135" s="30"/>
      <c r="S2135" s="30"/>
      <c r="T2135" s="30"/>
      <c r="U2135" s="30"/>
      <c r="V2135" s="30"/>
      <c r="W2135" s="30"/>
      <c r="X2135" s="30"/>
      <c r="Y2135" s="30"/>
      <c r="Z2135" s="30"/>
      <c r="AA2135" s="30"/>
      <c r="AB2135" s="30"/>
      <c r="AC2135" s="30"/>
      <c r="AD2135" s="30"/>
      <c r="AE2135" s="30"/>
      <c r="AF2135" s="30"/>
      <c r="AG2135" s="30"/>
      <c r="AH2135" s="30"/>
    </row>
    <row r="2136" spans="1:34" ht="13">
      <c r="A2136" s="30"/>
      <c r="B2136" s="30"/>
      <c r="C2136" s="30"/>
      <c r="D2136" s="30"/>
      <c r="E2136" s="30"/>
      <c r="F2136" s="30"/>
      <c r="G2136" s="30"/>
      <c r="H2136" s="48"/>
      <c r="I2136" s="49"/>
      <c r="J2136" s="49"/>
      <c r="K2136" s="48"/>
      <c r="L2136" s="50"/>
      <c r="M2136" s="30"/>
      <c r="N2136" s="30"/>
      <c r="O2136" s="30"/>
      <c r="P2136" s="30"/>
      <c r="Q2136" s="30"/>
      <c r="R2136" s="30"/>
      <c r="S2136" s="30"/>
      <c r="T2136" s="30"/>
      <c r="U2136" s="30"/>
      <c r="V2136" s="30"/>
      <c r="W2136" s="30"/>
      <c r="X2136" s="30"/>
      <c r="Y2136" s="30"/>
      <c r="Z2136" s="30"/>
      <c r="AA2136" s="30"/>
      <c r="AB2136" s="30"/>
      <c r="AC2136" s="30"/>
      <c r="AD2136" s="30"/>
      <c r="AE2136" s="30"/>
      <c r="AF2136" s="30"/>
      <c r="AG2136" s="30"/>
      <c r="AH2136" s="30"/>
    </row>
    <row r="2137" spans="1:34" ht="13">
      <c r="A2137" s="30"/>
      <c r="B2137" s="30"/>
      <c r="C2137" s="30"/>
      <c r="D2137" s="30"/>
      <c r="E2137" s="30"/>
      <c r="F2137" s="30"/>
      <c r="G2137" s="30"/>
      <c r="H2137" s="48"/>
      <c r="I2137" s="49"/>
      <c r="J2137" s="49"/>
      <c r="K2137" s="48"/>
      <c r="L2137" s="50"/>
      <c r="M2137" s="30"/>
      <c r="N2137" s="30"/>
      <c r="O2137" s="30"/>
      <c r="P2137" s="30"/>
      <c r="Q2137" s="30"/>
      <c r="R2137" s="30"/>
      <c r="S2137" s="30"/>
      <c r="T2137" s="30"/>
      <c r="U2137" s="30"/>
      <c r="V2137" s="30"/>
      <c r="W2137" s="30"/>
      <c r="X2137" s="30"/>
      <c r="Y2137" s="30"/>
      <c r="Z2137" s="30"/>
      <c r="AA2137" s="30"/>
      <c r="AB2137" s="30"/>
      <c r="AC2137" s="30"/>
      <c r="AD2137" s="30"/>
      <c r="AE2137" s="30"/>
      <c r="AF2137" s="30"/>
      <c r="AG2137" s="30"/>
      <c r="AH2137" s="30"/>
    </row>
    <row r="2138" spans="1:34" ht="13">
      <c r="A2138" s="30"/>
      <c r="B2138" s="30"/>
      <c r="C2138" s="30"/>
      <c r="D2138" s="30"/>
      <c r="E2138" s="30"/>
      <c r="F2138" s="30"/>
      <c r="G2138" s="30"/>
      <c r="H2138" s="48"/>
      <c r="I2138" s="49"/>
      <c r="J2138" s="49"/>
      <c r="K2138" s="48"/>
      <c r="L2138" s="50"/>
      <c r="M2138" s="30"/>
      <c r="N2138" s="30"/>
      <c r="O2138" s="30"/>
      <c r="P2138" s="30"/>
      <c r="Q2138" s="30"/>
      <c r="R2138" s="30"/>
      <c r="S2138" s="30"/>
      <c r="T2138" s="30"/>
      <c r="U2138" s="30"/>
      <c r="V2138" s="30"/>
      <c r="W2138" s="30"/>
      <c r="X2138" s="30"/>
      <c r="Y2138" s="30"/>
      <c r="Z2138" s="30"/>
      <c r="AA2138" s="30"/>
      <c r="AB2138" s="30"/>
      <c r="AC2138" s="30"/>
      <c r="AD2138" s="30"/>
      <c r="AE2138" s="30"/>
      <c r="AF2138" s="30"/>
      <c r="AG2138" s="30"/>
      <c r="AH2138" s="30"/>
    </row>
    <row r="2139" spans="1:34" ht="13">
      <c r="A2139" s="30"/>
      <c r="B2139" s="30"/>
      <c r="C2139" s="30"/>
      <c r="D2139" s="30"/>
      <c r="E2139" s="30"/>
      <c r="F2139" s="30"/>
      <c r="G2139" s="30"/>
      <c r="H2139" s="48"/>
      <c r="I2139" s="49"/>
      <c r="J2139" s="49"/>
      <c r="K2139" s="48"/>
      <c r="L2139" s="50"/>
      <c r="M2139" s="30"/>
      <c r="N2139" s="30"/>
      <c r="O2139" s="30"/>
      <c r="P2139" s="30"/>
      <c r="Q2139" s="30"/>
      <c r="R2139" s="30"/>
      <c r="S2139" s="30"/>
      <c r="T2139" s="30"/>
      <c r="U2139" s="30"/>
      <c r="V2139" s="30"/>
      <c r="W2139" s="30"/>
      <c r="X2139" s="30"/>
      <c r="Y2139" s="30"/>
      <c r="Z2139" s="30"/>
      <c r="AA2139" s="30"/>
      <c r="AB2139" s="30"/>
      <c r="AC2139" s="30"/>
      <c r="AD2139" s="30"/>
      <c r="AE2139" s="30"/>
      <c r="AF2139" s="30"/>
      <c r="AG2139" s="30"/>
      <c r="AH2139" s="30"/>
    </row>
    <row r="2140" spans="1:34" ht="13">
      <c r="A2140" s="30"/>
      <c r="B2140" s="30"/>
      <c r="C2140" s="30"/>
      <c r="D2140" s="30"/>
      <c r="E2140" s="30"/>
      <c r="F2140" s="30"/>
      <c r="G2140" s="30"/>
      <c r="H2140" s="48"/>
      <c r="I2140" s="49"/>
      <c r="J2140" s="49"/>
      <c r="K2140" s="48"/>
      <c r="L2140" s="50"/>
      <c r="M2140" s="30"/>
      <c r="N2140" s="30"/>
      <c r="O2140" s="30"/>
      <c r="P2140" s="30"/>
      <c r="Q2140" s="30"/>
      <c r="R2140" s="30"/>
      <c r="S2140" s="30"/>
      <c r="T2140" s="30"/>
      <c r="U2140" s="30"/>
      <c r="V2140" s="30"/>
      <c r="W2140" s="30"/>
      <c r="X2140" s="30"/>
      <c r="Y2140" s="30"/>
      <c r="Z2140" s="30"/>
      <c r="AA2140" s="30"/>
      <c r="AB2140" s="30"/>
      <c r="AC2140" s="30"/>
      <c r="AD2140" s="30"/>
      <c r="AE2140" s="30"/>
      <c r="AF2140" s="30"/>
      <c r="AG2140" s="30"/>
      <c r="AH2140" s="30"/>
    </row>
    <row r="2141" spans="1:34" ht="13">
      <c r="A2141" s="30"/>
      <c r="B2141" s="30"/>
      <c r="C2141" s="30"/>
      <c r="D2141" s="30"/>
      <c r="E2141" s="30"/>
      <c r="F2141" s="30"/>
      <c r="G2141" s="30"/>
      <c r="H2141" s="48"/>
      <c r="I2141" s="49"/>
      <c r="J2141" s="49"/>
      <c r="K2141" s="48"/>
      <c r="L2141" s="50"/>
      <c r="M2141" s="30"/>
      <c r="N2141" s="30"/>
      <c r="O2141" s="30"/>
      <c r="P2141" s="30"/>
      <c r="Q2141" s="30"/>
      <c r="R2141" s="30"/>
      <c r="S2141" s="30"/>
      <c r="T2141" s="30"/>
      <c r="U2141" s="30"/>
      <c r="V2141" s="30"/>
      <c r="W2141" s="30"/>
      <c r="X2141" s="30"/>
      <c r="Y2141" s="30"/>
      <c r="Z2141" s="30"/>
      <c r="AA2141" s="30"/>
      <c r="AB2141" s="30"/>
      <c r="AC2141" s="30"/>
      <c r="AD2141" s="30"/>
      <c r="AE2141" s="30"/>
      <c r="AF2141" s="30"/>
      <c r="AG2141" s="30"/>
      <c r="AH2141" s="30"/>
    </row>
    <row r="2142" spans="1:34" ht="13">
      <c r="A2142" s="30"/>
      <c r="B2142" s="30"/>
      <c r="C2142" s="30"/>
      <c r="D2142" s="30"/>
      <c r="E2142" s="30"/>
      <c r="F2142" s="30"/>
      <c r="G2142" s="30"/>
      <c r="H2142" s="48"/>
      <c r="I2142" s="49"/>
      <c r="J2142" s="49"/>
      <c r="K2142" s="48"/>
      <c r="L2142" s="50"/>
      <c r="M2142" s="30"/>
      <c r="N2142" s="30"/>
      <c r="O2142" s="30"/>
      <c r="P2142" s="30"/>
      <c r="Q2142" s="30"/>
      <c r="R2142" s="30"/>
      <c r="S2142" s="30"/>
      <c r="T2142" s="30"/>
      <c r="U2142" s="30"/>
      <c r="V2142" s="30"/>
      <c r="W2142" s="30"/>
      <c r="X2142" s="30"/>
      <c r="Y2142" s="30"/>
      <c r="Z2142" s="30"/>
      <c r="AA2142" s="30"/>
      <c r="AB2142" s="30"/>
      <c r="AC2142" s="30"/>
      <c r="AD2142" s="30"/>
      <c r="AE2142" s="30"/>
      <c r="AF2142" s="30"/>
      <c r="AG2142" s="30"/>
      <c r="AH2142" s="30"/>
    </row>
    <row r="2143" spans="1:34" ht="13">
      <c r="A2143" s="30"/>
      <c r="B2143" s="30"/>
      <c r="C2143" s="30"/>
      <c r="D2143" s="30"/>
      <c r="E2143" s="30"/>
      <c r="F2143" s="30"/>
      <c r="G2143" s="30"/>
      <c r="H2143" s="48"/>
      <c r="I2143" s="49"/>
      <c r="J2143" s="49"/>
      <c r="K2143" s="48"/>
      <c r="L2143" s="50"/>
      <c r="M2143" s="30"/>
      <c r="N2143" s="30"/>
      <c r="O2143" s="30"/>
      <c r="P2143" s="30"/>
      <c r="Q2143" s="30"/>
      <c r="R2143" s="30"/>
      <c r="S2143" s="30"/>
      <c r="T2143" s="30"/>
      <c r="U2143" s="30"/>
      <c r="V2143" s="30"/>
      <c r="W2143" s="30"/>
      <c r="X2143" s="30"/>
      <c r="Y2143" s="30"/>
      <c r="Z2143" s="30"/>
      <c r="AA2143" s="30"/>
      <c r="AB2143" s="30"/>
      <c r="AC2143" s="30"/>
      <c r="AD2143" s="30"/>
      <c r="AE2143" s="30"/>
      <c r="AF2143" s="30"/>
      <c r="AG2143" s="30"/>
      <c r="AH2143" s="30"/>
    </row>
    <row r="2144" spans="1:34" ht="13">
      <c r="A2144" s="30"/>
      <c r="B2144" s="30"/>
      <c r="C2144" s="30"/>
      <c r="D2144" s="30"/>
      <c r="E2144" s="30"/>
      <c r="F2144" s="30"/>
      <c r="G2144" s="30"/>
      <c r="H2144" s="48"/>
      <c r="I2144" s="49"/>
      <c r="J2144" s="49"/>
      <c r="K2144" s="48"/>
      <c r="L2144" s="50"/>
      <c r="M2144" s="30"/>
      <c r="N2144" s="30"/>
      <c r="O2144" s="30"/>
      <c r="P2144" s="30"/>
      <c r="Q2144" s="30"/>
      <c r="R2144" s="30"/>
      <c r="S2144" s="30"/>
      <c r="T2144" s="30"/>
      <c r="U2144" s="30"/>
      <c r="V2144" s="30"/>
      <c r="W2144" s="30"/>
      <c r="X2144" s="30"/>
      <c r="Y2144" s="30"/>
      <c r="Z2144" s="30"/>
      <c r="AA2144" s="30"/>
      <c r="AB2144" s="30"/>
      <c r="AC2144" s="30"/>
      <c r="AD2144" s="30"/>
      <c r="AE2144" s="30"/>
      <c r="AF2144" s="30"/>
      <c r="AG2144" s="30"/>
      <c r="AH2144" s="30"/>
    </row>
    <row r="2145" spans="1:34" ht="13">
      <c r="A2145" s="30"/>
      <c r="B2145" s="30"/>
      <c r="C2145" s="30"/>
      <c r="D2145" s="30"/>
      <c r="E2145" s="30"/>
      <c r="F2145" s="30"/>
      <c r="G2145" s="30"/>
      <c r="H2145" s="48"/>
      <c r="I2145" s="49"/>
      <c r="J2145" s="49"/>
      <c r="K2145" s="48"/>
      <c r="L2145" s="50"/>
      <c r="M2145" s="30"/>
      <c r="N2145" s="30"/>
      <c r="O2145" s="30"/>
      <c r="P2145" s="30"/>
      <c r="Q2145" s="30"/>
      <c r="R2145" s="30"/>
      <c r="S2145" s="30"/>
      <c r="T2145" s="30"/>
      <c r="U2145" s="30"/>
      <c r="V2145" s="30"/>
      <c r="W2145" s="30"/>
      <c r="X2145" s="30"/>
      <c r="Y2145" s="30"/>
      <c r="Z2145" s="30"/>
      <c r="AA2145" s="30"/>
      <c r="AB2145" s="30"/>
      <c r="AC2145" s="30"/>
      <c r="AD2145" s="30"/>
      <c r="AE2145" s="30"/>
      <c r="AF2145" s="30"/>
      <c r="AG2145" s="30"/>
      <c r="AH2145" s="30"/>
    </row>
    <row r="2146" spans="1:34" ht="13">
      <c r="A2146" s="30"/>
      <c r="B2146" s="30"/>
      <c r="C2146" s="30"/>
      <c r="D2146" s="30"/>
      <c r="E2146" s="30"/>
      <c r="F2146" s="30"/>
      <c r="G2146" s="30"/>
      <c r="H2146" s="48"/>
      <c r="I2146" s="49"/>
      <c r="J2146" s="49"/>
      <c r="K2146" s="48"/>
      <c r="L2146" s="50"/>
      <c r="M2146" s="30"/>
      <c r="N2146" s="30"/>
      <c r="O2146" s="30"/>
      <c r="P2146" s="30"/>
      <c r="Q2146" s="30"/>
      <c r="R2146" s="30"/>
      <c r="S2146" s="30"/>
      <c r="T2146" s="30"/>
      <c r="U2146" s="30"/>
      <c r="V2146" s="30"/>
      <c r="W2146" s="30"/>
      <c r="X2146" s="30"/>
      <c r="Y2146" s="30"/>
      <c r="Z2146" s="30"/>
      <c r="AA2146" s="30"/>
      <c r="AB2146" s="30"/>
      <c r="AC2146" s="30"/>
      <c r="AD2146" s="30"/>
      <c r="AE2146" s="30"/>
      <c r="AF2146" s="30"/>
      <c r="AG2146" s="30"/>
      <c r="AH2146" s="30"/>
    </row>
    <row r="2147" spans="1:34" ht="13">
      <c r="A2147" s="30"/>
      <c r="B2147" s="30"/>
      <c r="C2147" s="30"/>
      <c r="D2147" s="30"/>
      <c r="E2147" s="30"/>
      <c r="F2147" s="30"/>
      <c r="G2147" s="30"/>
      <c r="H2147" s="48"/>
      <c r="I2147" s="49"/>
      <c r="J2147" s="49"/>
      <c r="K2147" s="48"/>
      <c r="L2147" s="50"/>
      <c r="M2147" s="30"/>
      <c r="N2147" s="30"/>
      <c r="O2147" s="30"/>
      <c r="P2147" s="30"/>
      <c r="Q2147" s="30"/>
      <c r="R2147" s="30"/>
      <c r="S2147" s="30"/>
      <c r="T2147" s="30"/>
      <c r="U2147" s="30"/>
      <c r="V2147" s="30"/>
      <c r="W2147" s="30"/>
      <c r="X2147" s="30"/>
      <c r="Y2147" s="30"/>
      <c r="Z2147" s="30"/>
      <c r="AA2147" s="30"/>
      <c r="AB2147" s="30"/>
      <c r="AC2147" s="30"/>
      <c r="AD2147" s="30"/>
      <c r="AE2147" s="30"/>
      <c r="AF2147" s="30"/>
      <c r="AG2147" s="30"/>
      <c r="AH2147" s="30"/>
    </row>
    <row r="2148" spans="1:34" ht="13">
      <c r="A2148" s="30"/>
      <c r="B2148" s="30"/>
      <c r="C2148" s="30"/>
      <c r="D2148" s="30"/>
      <c r="E2148" s="30"/>
      <c r="F2148" s="30"/>
      <c r="G2148" s="30"/>
      <c r="H2148" s="48"/>
      <c r="I2148" s="49"/>
      <c r="J2148" s="49"/>
      <c r="K2148" s="48"/>
      <c r="L2148" s="50"/>
      <c r="M2148" s="30"/>
      <c r="N2148" s="30"/>
      <c r="O2148" s="30"/>
      <c r="P2148" s="30"/>
      <c r="Q2148" s="30"/>
      <c r="R2148" s="30"/>
      <c r="S2148" s="30"/>
      <c r="T2148" s="30"/>
      <c r="U2148" s="30"/>
      <c r="V2148" s="30"/>
      <c r="W2148" s="30"/>
      <c r="X2148" s="30"/>
      <c r="Y2148" s="30"/>
      <c r="Z2148" s="30"/>
      <c r="AA2148" s="30"/>
      <c r="AB2148" s="30"/>
      <c r="AC2148" s="30"/>
      <c r="AD2148" s="30"/>
      <c r="AE2148" s="30"/>
      <c r="AF2148" s="30"/>
      <c r="AG2148" s="30"/>
      <c r="AH2148" s="30"/>
    </row>
    <row r="2149" spans="1:34" ht="13">
      <c r="A2149" s="30"/>
      <c r="B2149" s="30"/>
      <c r="C2149" s="30"/>
      <c r="D2149" s="30"/>
      <c r="E2149" s="30"/>
      <c r="F2149" s="30"/>
      <c r="G2149" s="30"/>
      <c r="H2149" s="48"/>
      <c r="I2149" s="49"/>
      <c r="J2149" s="49"/>
      <c r="K2149" s="48"/>
      <c r="L2149" s="50"/>
      <c r="M2149" s="30"/>
      <c r="N2149" s="30"/>
      <c r="O2149" s="30"/>
      <c r="P2149" s="30"/>
      <c r="Q2149" s="30"/>
      <c r="R2149" s="30"/>
      <c r="S2149" s="30"/>
      <c r="T2149" s="30"/>
      <c r="U2149" s="30"/>
      <c r="V2149" s="30"/>
      <c r="W2149" s="30"/>
      <c r="X2149" s="30"/>
      <c r="Y2149" s="30"/>
      <c r="Z2149" s="30"/>
      <c r="AA2149" s="30"/>
      <c r="AB2149" s="30"/>
      <c r="AC2149" s="30"/>
      <c r="AD2149" s="30"/>
      <c r="AE2149" s="30"/>
      <c r="AF2149" s="30"/>
      <c r="AG2149" s="30"/>
      <c r="AH2149" s="30"/>
    </row>
    <row r="2150" spans="1:34" ht="13">
      <c r="A2150" s="30"/>
      <c r="B2150" s="30"/>
      <c r="C2150" s="30"/>
      <c r="D2150" s="30"/>
      <c r="E2150" s="30"/>
      <c r="F2150" s="30"/>
      <c r="G2150" s="30"/>
      <c r="H2150" s="48"/>
      <c r="I2150" s="49"/>
      <c r="J2150" s="49"/>
      <c r="K2150" s="48"/>
      <c r="L2150" s="50"/>
      <c r="M2150" s="30"/>
      <c r="N2150" s="30"/>
      <c r="O2150" s="30"/>
      <c r="P2150" s="30"/>
      <c r="Q2150" s="30"/>
      <c r="R2150" s="30"/>
      <c r="S2150" s="30"/>
      <c r="T2150" s="30"/>
      <c r="U2150" s="30"/>
      <c r="V2150" s="30"/>
      <c r="W2150" s="30"/>
      <c r="X2150" s="30"/>
      <c r="Y2150" s="30"/>
      <c r="Z2150" s="30"/>
      <c r="AA2150" s="30"/>
      <c r="AB2150" s="30"/>
      <c r="AC2150" s="30"/>
      <c r="AD2150" s="30"/>
      <c r="AE2150" s="30"/>
      <c r="AF2150" s="30"/>
      <c r="AG2150" s="30"/>
      <c r="AH2150" s="30"/>
    </row>
    <row r="2151" spans="1:34" ht="13">
      <c r="A2151" s="30"/>
      <c r="B2151" s="30"/>
      <c r="C2151" s="30"/>
      <c r="D2151" s="30"/>
      <c r="E2151" s="30"/>
      <c r="F2151" s="30"/>
      <c r="G2151" s="30"/>
      <c r="H2151" s="48"/>
      <c r="I2151" s="49"/>
      <c r="J2151" s="49"/>
      <c r="K2151" s="48"/>
      <c r="L2151" s="50"/>
      <c r="M2151" s="30"/>
      <c r="N2151" s="30"/>
      <c r="O2151" s="30"/>
      <c r="P2151" s="30"/>
      <c r="Q2151" s="30"/>
      <c r="R2151" s="30"/>
      <c r="S2151" s="30"/>
      <c r="T2151" s="30"/>
      <c r="U2151" s="30"/>
      <c r="V2151" s="30"/>
      <c r="W2151" s="30"/>
      <c r="X2151" s="30"/>
      <c r="Y2151" s="30"/>
      <c r="Z2151" s="30"/>
      <c r="AA2151" s="30"/>
      <c r="AB2151" s="30"/>
      <c r="AC2151" s="30"/>
      <c r="AD2151" s="30"/>
      <c r="AE2151" s="30"/>
      <c r="AF2151" s="30"/>
      <c r="AG2151" s="30"/>
      <c r="AH2151" s="30"/>
    </row>
    <row r="2152" spans="1:34" ht="13">
      <c r="A2152" s="30"/>
      <c r="B2152" s="30"/>
      <c r="C2152" s="30"/>
      <c r="D2152" s="30"/>
      <c r="E2152" s="30"/>
      <c r="F2152" s="30"/>
      <c r="G2152" s="30"/>
      <c r="H2152" s="48"/>
      <c r="I2152" s="49"/>
      <c r="J2152" s="49"/>
      <c r="K2152" s="48"/>
      <c r="L2152" s="50"/>
      <c r="M2152" s="30"/>
      <c r="N2152" s="30"/>
      <c r="O2152" s="30"/>
      <c r="P2152" s="30"/>
      <c r="Q2152" s="30"/>
      <c r="R2152" s="30"/>
      <c r="S2152" s="30"/>
      <c r="T2152" s="30"/>
      <c r="U2152" s="30"/>
      <c r="V2152" s="30"/>
      <c r="W2152" s="30"/>
      <c r="X2152" s="30"/>
      <c r="Y2152" s="30"/>
      <c r="Z2152" s="30"/>
      <c r="AA2152" s="30"/>
      <c r="AB2152" s="30"/>
      <c r="AC2152" s="30"/>
      <c r="AD2152" s="30"/>
      <c r="AE2152" s="30"/>
      <c r="AF2152" s="30"/>
      <c r="AG2152" s="30"/>
      <c r="AH2152" s="30"/>
    </row>
    <row r="2153" spans="1:34" ht="13">
      <c r="A2153" s="30"/>
      <c r="B2153" s="30"/>
      <c r="C2153" s="30"/>
      <c r="D2153" s="30"/>
      <c r="E2153" s="30"/>
      <c r="F2153" s="30"/>
      <c r="G2153" s="30"/>
      <c r="H2153" s="48"/>
      <c r="I2153" s="49"/>
      <c r="J2153" s="49"/>
      <c r="K2153" s="48"/>
      <c r="L2153" s="50"/>
      <c r="M2153" s="30"/>
      <c r="N2153" s="30"/>
      <c r="O2153" s="30"/>
      <c r="P2153" s="30"/>
      <c r="Q2153" s="30"/>
      <c r="R2153" s="30"/>
      <c r="S2153" s="30"/>
      <c r="T2153" s="30"/>
      <c r="U2153" s="30"/>
      <c r="V2153" s="30"/>
      <c r="W2153" s="30"/>
      <c r="X2153" s="30"/>
      <c r="Y2153" s="30"/>
      <c r="Z2153" s="30"/>
      <c r="AA2153" s="30"/>
      <c r="AB2153" s="30"/>
      <c r="AC2153" s="30"/>
      <c r="AD2153" s="30"/>
      <c r="AE2153" s="30"/>
      <c r="AF2153" s="30"/>
      <c r="AG2153" s="30"/>
      <c r="AH2153" s="30"/>
    </row>
    <row r="2154" spans="1:34" ht="13">
      <c r="A2154" s="30"/>
      <c r="B2154" s="30"/>
      <c r="C2154" s="30"/>
      <c r="D2154" s="30"/>
      <c r="E2154" s="30"/>
      <c r="F2154" s="30"/>
      <c r="G2154" s="30"/>
      <c r="H2154" s="48"/>
      <c r="I2154" s="49"/>
      <c r="J2154" s="49"/>
      <c r="K2154" s="48"/>
      <c r="L2154" s="50"/>
      <c r="M2154" s="30"/>
      <c r="N2154" s="30"/>
      <c r="O2154" s="30"/>
      <c r="P2154" s="30"/>
      <c r="Q2154" s="30"/>
      <c r="R2154" s="30"/>
      <c r="S2154" s="30"/>
      <c r="T2154" s="30"/>
      <c r="U2154" s="30"/>
      <c r="V2154" s="30"/>
      <c r="W2154" s="30"/>
      <c r="X2154" s="30"/>
      <c r="Y2154" s="30"/>
      <c r="Z2154" s="30"/>
      <c r="AA2154" s="30"/>
      <c r="AB2154" s="30"/>
      <c r="AC2154" s="30"/>
      <c r="AD2154" s="30"/>
      <c r="AE2154" s="30"/>
      <c r="AF2154" s="30"/>
      <c r="AG2154" s="30"/>
      <c r="AH2154" s="30"/>
    </row>
    <row r="2155" spans="1:34" ht="13">
      <c r="A2155" s="30"/>
      <c r="B2155" s="30"/>
      <c r="C2155" s="30"/>
      <c r="D2155" s="30"/>
      <c r="E2155" s="30"/>
      <c r="F2155" s="30"/>
      <c r="G2155" s="30"/>
      <c r="H2155" s="48"/>
      <c r="I2155" s="49"/>
      <c r="J2155" s="49"/>
      <c r="K2155" s="48"/>
      <c r="L2155" s="50"/>
      <c r="M2155" s="30"/>
      <c r="N2155" s="30"/>
      <c r="O2155" s="30"/>
      <c r="P2155" s="30"/>
      <c r="Q2155" s="30"/>
      <c r="R2155" s="30"/>
      <c r="S2155" s="30"/>
      <c r="T2155" s="30"/>
      <c r="U2155" s="30"/>
      <c r="V2155" s="30"/>
      <c r="W2155" s="30"/>
      <c r="X2155" s="30"/>
      <c r="Y2155" s="30"/>
      <c r="Z2155" s="30"/>
      <c r="AA2155" s="30"/>
      <c r="AB2155" s="30"/>
      <c r="AC2155" s="30"/>
      <c r="AD2155" s="30"/>
      <c r="AE2155" s="30"/>
      <c r="AF2155" s="30"/>
      <c r="AG2155" s="30"/>
      <c r="AH2155" s="30"/>
    </row>
    <row r="2156" spans="1:34" ht="13">
      <c r="A2156" s="30"/>
      <c r="B2156" s="30"/>
      <c r="C2156" s="30"/>
      <c r="D2156" s="30"/>
      <c r="E2156" s="30"/>
      <c r="F2156" s="30"/>
      <c r="G2156" s="30"/>
      <c r="H2156" s="48"/>
      <c r="I2156" s="49"/>
      <c r="J2156" s="49"/>
      <c r="K2156" s="48"/>
      <c r="L2156" s="50"/>
      <c r="M2156" s="30"/>
      <c r="N2156" s="30"/>
      <c r="O2156" s="30"/>
      <c r="P2156" s="30"/>
      <c r="Q2156" s="30"/>
      <c r="R2156" s="30"/>
      <c r="S2156" s="30"/>
      <c r="T2156" s="30"/>
      <c r="U2156" s="30"/>
      <c r="V2156" s="30"/>
      <c r="W2156" s="30"/>
      <c r="X2156" s="30"/>
      <c r="Y2156" s="30"/>
      <c r="Z2156" s="30"/>
      <c r="AA2156" s="30"/>
      <c r="AB2156" s="30"/>
      <c r="AC2156" s="30"/>
      <c r="AD2156" s="30"/>
      <c r="AE2156" s="30"/>
      <c r="AF2156" s="30"/>
      <c r="AG2156" s="30"/>
      <c r="AH2156" s="30"/>
    </row>
    <row r="2157" spans="1:34" ht="13">
      <c r="A2157" s="30"/>
      <c r="B2157" s="30"/>
      <c r="C2157" s="30"/>
      <c r="D2157" s="30"/>
      <c r="E2157" s="30"/>
      <c r="F2157" s="30"/>
      <c r="G2157" s="30"/>
      <c r="H2157" s="48"/>
      <c r="I2157" s="49"/>
      <c r="J2157" s="49"/>
      <c r="K2157" s="48"/>
      <c r="L2157" s="50"/>
      <c r="M2157" s="30"/>
      <c r="N2157" s="30"/>
      <c r="O2157" s="30"/>
      <c r="P2157" s="30"/>
      <c r="Q2157" s="30"/>
      <c r="R2157" s="30"/>
      <c r="S2157" s="30"/>
      <c r="T2157" s="30"/>
      <c r="U2157" s="30"/>
      <c r="V2157" s="30"/>
      <c r="W2157" s="30"/>
      <c r="X2157" s="30"/>
      <c r="Y2157" s="30"/>
      <c r="Z2157" s="30"/>
      <c r="AA2157" s="30"/>
      <c r="AB2157" s="30"/>
      <c r="AC2157" s="30"/>
      <c r="AD2157" s="30"/>
      <c r="AE2157" s="30"/>
      <c r="AF2157" s="30"/>
      <c r="AG2157" s="30"/>
      <c r="AH2157" s="30"/>
    </row>
    <row r="2158" spans="1:34" ht="13">
      <c r="A2158" s="30"/>
      <c r="B2158" s="30"/>
      <c r="C2158" s="30"/>
      <c r="D2158" s="30"/>
      <c r="E2158" s="30"/>
      <c r="F2158" s="30"/>
      <c r="G2158" s="30"/>
      <c r="H2158" s="48"/>
      <c r="I2158" s="49"/>
      <c r="J2158" s="49"/>
      <c r="K2158" s="48"/>
      <c r="L2158" s="50"/>
      <c r="M2158" s="30"/>
      <c r="N2158" s="30"/>
      <c r="O2158" s="30"/>
      <c r="P2158" s="30"/>
      <c r="Q2158" s="30"/>
      <c r="R2158" s="30"/>
      <c r="S2158" s="30"/>
      <c r="T2158" s="30"/>
      <c r="U2158" s="30"/>
      <c r="V2158" s="30"/>
      <c r="W2158" s="30"/>
      <c r="X2158" s="30"/>
      <c r="Y2158" s="30"/>
      <c r="Z2158" s="30"/>
      <c r="AA2158" s="30"/>
      <c r="AB2158" s="30"/>
      <c r="AC2158" s="30"/>
      <c r="AD2158" s="30"/>
      <c r="AE2158" s="30"/>
      <c r="AF2158" s="30"/>
      <c r="AG2158" s="30"/>
      <c r="AH2158" s="30"/>
    </row>
    <row r="2159" spans="1:34" ht="13">
      <c r="A2159" s="30"/>
      <c r="B2159" s="30"/>
      <c r="C2159" s="30"/>
      <c r="D2159" s="30"/>
      <c r="E2159" s="30"/>
      <c r="F2159" s="30"/>
      <c r="G2159" s="30"/>
      <c r="H2159" s="48"/>
      <c r="I2159" s="49"/>
      <c r="J2159" s="49"/>
      <c r="K2159" s="48"/>
      <c r="L2159" s="50"/>
      <c r="M2159" s="30"/>
      <c r="N2159" s="30"/>
      <c r="O2159" s="30"/>
      <c r="P2159" s="30"/>
      <c r="Q2159" s="30"/>
      <c r="R2159" s="30"/>
      <c r="S2159" s="30"/>
      <c r="T2159" s="30"/>
      <c r="U2159" s="30"/>
      <c r="V2159" s="30"/>
      <c r="W2159" s="30"/>
      <c r="X2159" s="30"/>
      <c r="Y2159" s="30"/>
      <c r="Z2159" s="30"/>
      <c r="AA2159" s="30"/>
      <c r="AB2159" s="30"/>
      <c r="AC2159" s="30"/>
      <c r="AD2159" s="30"/>
      <c r="AE2159" s="30"/>
      <c r="AF2159" s="30"/>
      <c r="AG2159" s="30"/>
      <c r="AH2159" s="30"/>
    </row>
    <row r="2160" spans="1:34" ht="13">
      <c r="A2160" s="30"/>
      <c r="B2160" s="30"/>
      <c r="C2160" s="30"/>
      <c r="D2160" s="30"/>
      <c r="E2160" s="30"/>
      <c r="F2160" s="30"/>
      <c r="G2160" s="30"/>
      <c r="H2160" s="48"/>
      <c r="I2160" s="49"/>
      <c r="J2160" s="49"/>
      <c r="K2160" s="48"/>
      <c r="L2160" s="50"/>
      <c r="M2160" s="30"/>
      <c r="N2160" s="30"/>
      <c r="O2160" s="30"/>
      <c r="P2160" s="30"/>
      <c r="Q2160" s="30"/>
      <c r="R2160" s="30"/>
      <c r="S2160" s="30"/>
      <c r="T2160" s="30"/>
      <c r="U2160" s="30"/>
      <c r="V2160" s="30"/>
      <c r="W2160" s="30"/>
      <c r="X2160" s="30"/>
      <c r="Y2160" s="30"/>
      <c r="Z2160" s="30"/>
      <c r="AA2160" s="30"/>
      <c r="AB2160" s="30"/>
      <c r="AC2160" s="30"/>
      <c r="AD2160" s="30"/>
      <c r="AE2160" s="30"/>
      <c r="AF2160" s="30"/>
      <c r="AG2160" s="30"/>
      <c r="AH2160" s="30"/>
    </row>
    <row r="2161" spans="1:34" ht="13">
      <c r="A2161" s="30"/>
      <c r="B2161" s="30"/>
      <c r="C2161" s="30"/>
      <c r="D2161" s="30"/>
      <c r="E2161" s="30"/>
      <c r="F2161" s="30"/>
      <c r="G2161" s="30"/>
      <c r="H2161" s="48"/>
      <c r="I2161" s="49"/>
      <c r="J2161" s="49"/>
      <c r="K2161" s="48"/>
      <c r="L2161" s="50"/>
      <c r="M2161" s="30"/>
      <c r="N2161" s="30"/>
      <c r="O2161" s="30"/>
      <c r="P2161" s="30"/>
      <c r="Q2161" s="30"/>
      <c r="R2161" s="30"/>
      <c r="S2161" s="30"/>
      <c r="T2161" s="30"/>
      <c r="U2161" s="30"/>
      <c r="V2161" s="30"/>
      <c r="W2161" s="30"/>
      <c r="X2161" s="30"/>
      <c r="Y2161" s="30"/>
      <c r="Z2161" s="30"/>
      <c r="AA2161" s="30"/>
      <c r="AB2161" s="30"/>
      <c r="AC2161" s="30"/>
      <c r="AD2161" s="30"/>
      <c r="AE2161" s="30"/>
      <c r="AF2161" s="30"/>
      <c r="AG2161" s="30"/>
      <c r="AH2161" s="30"/>
    </row>
    <row r="2162" spans="1:34" ht="13">
      <c r="A2162" s="30"/>
      <c r="B2162" s="30"/>
      <c r="C2162" s="30"/>
      <c r="D2162" s="30"/>
      <c r="E2162" s="30"/>
      <c r="F2162" s="30"/>
      <c r="G2162" s="30"/>
      <c r="H2162" s="48"/>
      <c r="I2162" s="49"/>
      <c r="J2162" s="49"/>
      <c r="K2162" s="48"/>
      <c r="L2162" s="50"/>
      <c r="M2162" s="30"/>
      <c r="N2162" s="30"/>
      <c r="O2162" s="30"/>
      <c r="P2162" s="30"/>
      <c r="Q2162" s="30"/>
      <c r="R2162" s="30"/>
      <c r="S2162" s="30"/>
      <c r="T2162" s="30"/>
      <c r="U2162" s="30"/>
      <c r="V2162" s="30"/>
      <c r="W2162" s="30"/>
      <c r="X2162" s="30"/>
      <c r="Y2162" s="30"/>
      <c r="Z2162" s="30"/>
      <c r="AA2162" s="30"/>
      <c r="AB2162" s="30"/>
      <c r="AC2162" s="30"/>
      <c r="AD2162" s="30"/>
      <c r="AE2162" s="30"/>
      <c r="AF2162" s="30"/>
      <c r="AG2162" s="30"/>
      <c r="AH2162" s="30"/>
    </row>
    <row r="2163" spans="1:34" ht="13">
      <c r="A2163" s="30"/>
      <c r="B2163" s="30"/>
      <c r="C2163" s="30"/>
      <c r="D2163" s="30"/>
      <c r="E2163" s="30"/>
      <c r="F2163" s="30"/>
      <c r="G2163" s="30"/>
      <c r="H2163" s="48"/>
      <c r="I2163" s="49"/>
      <c r="J2163" s="49"/>
      <c r="K2163" s="48"/>
      <c r="L2163" s="50"/>
      <c r="M2163" s="30"/>
      <c r="N2163" s="30"/>
      <c r="O2163" s="30"/>
      <c r="P2163" s="30"/>
      <c r="Q2163" s="30"/>
      <c r="R2163" s="30"/>
      <c r="S2163" s="30"/>
      <c r="T2163" s="30"/>
      <c r="U2163" s="30"/>
      <c r="V2163" s="30"/>
      <c r="W2163" s="30"/>
      <c r="X2163" s="30"/>
      <c r="Y2163" s="30"/>
      <c r="Z2163" s="30"/>
      <c r="AA2163" s="30"/>
      <c r="AB2163" s="30"/>
      <c r="AC2163" s="30"/>
      <c r="AD2163" s="30"/>
      <c r="AE2163" s="30"/>
      <c r="AF2163" s="30"/>
      <c r="AG2163" s="30"/>
      <c r="AH2163" s="30"/>
    </row>
    <row r="2164" spans="1:34" ht="13">
      <c r="A2164" s="30"/>
      <c r="B2164" s="30"/>
      <c r="C2164" s="30"/>
      <c r="D2164" s="30"/>
      <c r="E2164" s="30"/>
      <c r="F2164" s="30"/>
      <c r="G2164" s="30"/>
      <c r="H2164" s="48"/>
      <c r="I2164" s="49"/>
      <c r="J2164" s="49"/>
      <c r="K2164" s="48"/>
      <c r="L2164" s="50"/>
      <c r="M2164" s="30"/>
      <c r="N2164" s="30"/>
      <c r="O2164" s="30"/>
      <c r="P2164" s="30"/>
      <c r="Q2164" s="30"/>
      <c r="R2164" s="30"/>
      <c r="S2164" s="30"/>
      <c r="T2164" s="30"/>
      <c r="U2164" s="30"/>
      <c r="V2164" s="30"/>
      <c r="W2164" s="30"/>
      <c r="X2164" s="30"/>
      <c r="Y2164" s="30"/>
      <c r="Z2164" s="30"/>
      <c r="AA2164" s="30"/>
      <c r="AB2164" s="30"/>
      <c r="AC2164" s="30"/>
      <c r="AD2164" s="30"/>
      <c r="AE2164" s="30"/>
      <c r="AF2164" s="30"/>
      <c r="AG2164" s="30"/>
      <c r="AH2164" s="30"/>
    </row>
    <row r="2165" spans="1:34" ht="13">
      <c r="A2165" s="30"/>
      <c r="B2165" s="30"/>
      <c r="C2165" s="30"/>
      <c r="D2165" s="30"/>
      <c r="E2165" s="30"/>
      <c r="F2165" s="30"/>
      <c r="G2165" s="30"/>
      <c r="H2165" s="48"/>
      <c r="I2165" s="49"/>
      <c r="J2165" s="49"/>
      <c r="K2165" s="48"/>
      <c r="L2165" s="50"/>
      <c r="M2165" s="30"/>
      <c r="N2165" s="30"/>
      <c r="O2165" s="30"/>
      <c r="P2165" s="30"/>
      <c r="Q2165" s="30"/>
      <c r="R2165" s="30"/>
      <c r="S2165" s="30"/>
      <c r="T2165" s="30"/>
      <c r="U2165" s="30"/>
      <c r="V2165" s="30"/>
      <c r="W2165" s="30"/>
      <c r="X2165" s="30"/>
      <c r="Y2165" s="30"/>
      <c r="Z2165" s="30"/>
      <c r="AA2165" s="30"/>
      <c r="AB2165" s="30"/>
      <c r="AC2165" s="30"/>
      <c r="AD2165" s="30"/>
      <c r="AE2165" s="30"/>
      <c r="AF2165" s="30"/>
      <c r="AG2165" s="30"/>
      <c r="AH2165" s="30"/>
    </row>
    <row r="2166" spans="1:34" ht="13">
      <c r="A2166" s="30"/>
      <c r="B2166" s="30"/>
      <c r="C2166" s="30"/>
      <c r="D2166" s="30"/>
      <c r="E2166" s="30"/>
      <c r="F2166" s="30"/>
      <c r="G2166" s="30"/>
      <c r="H2166" s="48"/>
      <c r="I2166" s="49"/>
      <c r="J2166" s="49"/>
      <c r="K2166" s="48"/>
      <c r="L2166" s="50"/>
      <c r="M2166" s="30"/>
      <c r="N2166" s="30"/>
      <c r="O2166" s="30"/>
      <c r="P2166" s="30"/>
      <c r="Q2166" s="30"/>
      <c r="R2166" s="30"/>
      <c r="S2166" s="30"/>
      <c r="T2166" s="30"/>
      <c r="U2166" s="30"/>
      <c r="V2166" s="30"/>
      <c r="W2166" s="30"/>
      <c r="X2166" s="30"/>
      <c r="Y2166" s="30"/>
      <c r="Z2166" s="30"/>
      <c r="AA2166" s="30"/>
      <c r="AB2166" s="30"/>
      <c r="AC2166" s="30"/>
      <c r="AD2166" s="30"/>
      <c r="AE2166" s="30"/>
      <c r="AF2166" s="30"/>
      <c r="AG2166" s="30"/>
      <c r="AH2166" s="30"/>
    </row>
    <row r="2167" spans="1:34" ht="13">
      <c r="A2167" s="30"/>
      <c r="B2167" s="30"/>
      <c r="C2167" s="30"/>
      <c r="D2167" s="30"/>
      <c r="E2167" s="30"/>
      <c r="F2167" s="30"/>
      <c r="G2167" s="30"/>
      <c r="H2167" s="48"/>
      <c r="I2167" s="49"/>
      <c r="J2167" s="49"/>
      <c r="K2167" s="48"/>
      <c r="L2167" s="50"/>
      <c r="M2167" s="30"/>
      <c r="N2167" s="30"/>
      <c r="O2167" s="30"/>
      <c r="P2167" s="30"/>
      <c r="Q2167" s="30"/>
      <c r="R2167" s="30"/>
      <c r="S2167" s="30"/>
      <c r="T2167" s="30"/>
      <c r="U2167" s="30"/>
      <c r="V2167" s="30"/>
      <c r="W2167" s="30"/>
      <c r="X2167" s="30"/>
      <c r="Y2167" s="30"/>
      <c r="Z2167" s="30"/>
      <c r="AA2167" s="30"/>
      <c r="AB2167" s="30"/>
      <c r="AC2167" s="30"/>
      <c r="AD2167" s="30"/>
      <c r="AE2167" s="30"/>
      <c r="AF2167" s="30"/>
      <c r="AG2167" s="30"/>
      <c r="AH2167" s="30"/>
    </row>
    <row r="2168" spans="1:34" ht="13">
      <c r="A2168" s="30"/>
      <c r="B2168" s="30"/>
      <c r="C2168" s="30"/>
      <c r="D2168" s="30"/>
      <c r="E2168" s="30"/>
      <c r="F2168" s="30"/>
      <c r="G2168" s="30"/>
      <c r="H2168" s="48"/>
      <c r="I2168" s="49"/>
      <c r="J2168" s="49"/>
      <c r="K2168" s="48"/>
      <c r="L2168" s="50"/>
      <c r="M2168" s="30"/>
      <c r="N2168" s="30"/>
      <c r="O2168" s="30"/>
      <c r="P2168" s="30"/>
      <c r="Q2168" s="30"/>
      <c r="R2168" s="30"/>
      <c r="S2168" s="30"/>
      <c r="T2168" s="30"/>
      <c r="U2168" s="30"/>
      <c r="V2168" s="30"/>
      <c r="W2168" s="30"/>
      <c r="X2168" s="30"/>
      <c r="Y2168" s="30"/>
      <c r="Z2168" s="30"/>
      <c r="AA2168" s="30"/>
      <c r="AB2168" s="30"/>
      <c r="AC2168" s="30"/>
      <c r="AD2168" s="30"/>
      <c r="AE2168" s="30"/>
      <c r="AF2168" s="30"/>
      <c r="AG2168" s="30"/>
      <c r="AH2168" s="30"/>
    </row>
    <row r="2169" spans="1:34" ht="13">
      <c r="A2169" s="30"/>
      <c r="B2169" s="30"/>
      <c r="C2169" s="30"/>
      <c r="D2169" s="30"/>
      <c r="E2169" s="30"/>
      <c r="F2169" s="30"/>
      <c r="G2169" s="30"/>
      <c r="H2169" s="48"/>
      <c r="I2169" s="49"/>
      <c r="J2169" s="49"/>
      <c r="K2169" s="48"/>
      <c r="L2169" s="50"/>
      <c r="M2169" s="30"/>
      <c r="N2169" s="30"/>
      <c r="O2169" s="30"/>
      <c r="P2169" s="30"/>
      <c r="Q2169" s="30"/>
      <c r="R2169" s="30"/>
      <c r="S2169" s="30"/>
      <c r="T2169" s="30"/>
      <c r="U2169" s="30"/>
      <c r="V2169" s="30"/>
      <c r="W2169" s="30"/>
      <c r="X2169" s="30"/>
      <c r="Y2169" s="30"/>
      <c r="Z2169" s="30"/>
      <c r="AA2169" s="30"/>
      <c r="AB2169" s="30"/>
      <c r="AC2169" s="30"/>
      <c r="AD2169" s="30"/>
      <c r="AE2169" s="30"/>
      <c r="AF2169" s="30"/>
      <c r="AG2169" s="30"/>
      <c r="AH2169" s="30"/>
    </row>
    <row r="2170" spans="1:34" ht="13">
      <c r="A2170" s="30"/>
      <c r="B2170" s="30"/>
      <c r="C2170" s="30"/>
      <c r="D2170" s="30"/>
      <c r="E2170" s="30"/>
      <c r="F2170" s="30"/>
      <c r="G2170" s="30"/>
      <c r="H2170" s="48"/>
      <c r="I2170" s="49"/>
      <c r="J2170" s="49"/>
      <c r="K2170" s="48"/>
      <c r="L2170" s="50"/>
      <c r="M2170" s="30"/>
      <c r="N2170" s="30"/>
      <c r="O2170" s="30"/>
      <c r="P2170" s="30"/>
      <c r="Q2170" s="30"/>
      <c r="R2170" s="30"/>
      <c r="S2170" s="30"/>
      <c r="T2170" s="30"/>
      <c r="U2170" s="30"/>
      <c r="V2170" s="30"/>
      <c r="W2170" s="30"/>
      <c r="X2170" s="30"/>
      <c r="Y2170" s="30"/>
      <c r="Z2170" s="30"/>
      <c r="AA2170" s="30"/>
      <c r="AB2170" s="30"/>
      <c r="AC2170" s="30"/>
      <c r="AD2170" s="30"/>
      <c r="AE2170" s="30"/>
      <c r="AF2170" s="30"/>
      <c r="AG2170" s="30"/>
      <c r="AH2170" s="30"/>
    </row>
    <row r="2171" spans="1:34" ht="13">
      <c r="A2171" s="30"/>
      <c r="B2171" s="30"/>
      <c r="C2171" s="30"/>
      <c r="D2171" s="30"/>
      <c r="E2171" s="30"/>
      <c r="F2171" s="30"/>
      <c r="G2171" s="30"/>
      <c r="H2171" s="48"/>
      <c r="I2171" s="49"/>
      <c r="J2171" s="49"/>
      <c r="K2171" s="48"/>
      <c r="L2171" s="50"/>
      <c r="M2171" s="30"/>
      <c r="N2171" s="30"/>
      <c r="O2171" s="30"/>
      <c r="P2171" s="30"/>
      <c r="Q2171" s="30"/>
      <c r="R2171" s="30"/>
      <c r="S2171" s="30"/>
      <c r="T2171" s="30"/>
      <c r="U2171" s="30"/>
      <c r="V2171" s="30"/>
      <c r="W2171" s="30"/>
      <c r="X2171" s="30"/>
      <c r="Y2171" s="30"/>
      <c r="Z2171" s="30"/>
      <c r="AA2171" s="30"/>
      <c r="AB2171" s="30"/>
      <c r="AC2171" s="30"/>
      <c r="AD2171" s="30"/>
      <c r="AE2171" s="30"/>
      <c r="AF2171" s="30"/>
      <c r="AG2171" s="30"/>
      <c r="AH2171" s="30"/>
    </row>
    <row r="2172" spans="1:34" ht="13">
      <c r="A2172" s="30"/>
      <c r="B2172" s="30"/>
      <c r="C2172" s="30"/>
      <c r="D2172" s="30"/>
      <c r="E2172" s="30"/>
      <c r="F2172" s="30"/>
      <c r="G2172" s="30"/>
      <c r="H2172" s="48"/>
      <c r="I2172" s="49"/>
      <c r="J2172" s="49"/>
      <c r="K2172" s="48"/>
      <c r="L2172" s="50"/>
      <c r="M2172" s="30"/>
      <c r="N2172" s="30"/>
      <c r="O2172" s="30"/>
      <c r="P2172" s="30"/>
      <c r="Q2172" s="30"/>
      <c r="R2172" s="30"/>
      <c r="S2172" s="30"/>
      <c r="T2172" s="30"/>
      <c r="U2172" s="30"/>
      <c r="V2172" s="30"/>
      <c r="W2172" s="30"/>
      <c r="X2172" s="30"/>
      <c r="Y2172" s="30"/>
      <c r="Z2172" s="30"/>
      <c r="AA2172" s="30"/>
      <c r="AB2172" s="30"/>
      <c r="AC2172" s="30"/>
      <c r="AD2172" s="30"/>
      <c r="AE2172" s="30"/>
      <c r="AF2172" s="30"/>
      <c r="AG2172" s="30"/>
      <c r="AH2172" s="30"/>
    </row>
    <row r="2173" spans="1:34" ht="13">
      <c r="A2173" s="30"/>
      <c r="B2173" s="30"/>
      <c r="C2173" s="30"/>
      <c r="D2173" s="30"/>
      <c r="E2173" s="30"/>
      <c r="F2173" s="30"/>
      <c r="G2173" s="30"/>
      <c r="H2173" s="48"/>
      <c r="I2173" s="49"/>
      <c r="J2173" s="49"/>
      <c r="K2173" s="48"/>
      <c r="L2173" s="50"/>
      <c r="M2173" s="30"/>
      <c r="N2173" s="30"/>
      <c r="O2173" s="30"/>
      <c r="P2173" s="30"/>
      <c r="Q2173" s="30"/>
      <c r="R2173" s="30"/>
      <c r="S2173" s="30"/>
      <c r="T2173" s="30"/>
      <c r="U2173" s="30"/>
      <c r="V2173" s="30"/>
      <c r="W2173" s="30"/>
      <c r="X2173" s="30"/>
      <c r="Y2173" s="30"/>
      <c r="Z2173" s="30"/>
      <c r="AA2173" s="30"/>
      <c r="AB2173" s="30"/>
      <c r="AC2173" s="30"/>
      <c r="AD2173" s="30"/>
      <c r="AE2173" s="30"/>
      <c r="AF2173" s="30"/>
      <c r="AG2173" s="30"/>
      <c r="AH2173" s="30"/>
    </row>
    <row r="2174" spans="1:34" ht="13">
      <c r="A2174" s="30"/>
      <c r="B2174" s="30"/>
      <c r="C2174" s="30"/>
      <c r="D2174" s="30"/>
      <c r="E2174" s="30"/>
      <c r="F2174" s="30"/>
      <c r="G2174" s="30"/>
      <c r="H2174" s="48"/>
      <c r="I2174" s="49"/>
      <c r="J2174" s="49"/>
      <c r="K2174" s="48"/>
      <c r="L2174" s="50"/>
      <c r="M2174" s="30"/>
      <c r="N2174" s="30"/>
      <c r="O2174" s="30"/>
      <c r="P2174" s="30"/>
      <c r="Q2174" s="30"/>
      <c r="R2174" s="30"/>
      <c r="S2174" s="30"/>
      <c r="T2174" s="30"/>
      <c r="U2174" s="30"/>
      <c r="V2174" s="30"/>
      <c r="W2174" s="30"/>
      <c r="X2174" s="30"/>
      <c r="Y2174" s="30"/>
      <c r="Z2174" s="30"/>
      <c r="AA2174" s="30"/>
      <c r="AB2174" s="30"/>
      <c r="AC2174" s="30"/>
      <c r="AD2174" s="30"/>
      <c r="AE2174" s="30"/>
      <c r="AF2174" s="30"/>
      <c r="AG2174" s="30"/>
      <c r="AH2174" s="30"/>
    </row>
    <row r="2175" spans="1:34" ht="13">
      <c r="A2175" s="30"/>
      <c r="B2175" s="30"/>
      <c r="C2175" s="30"/>
      <c r="D2175" s="30"/>
      <c r="E2175" s="30"/>
      <c r="F2175" s="30"/>
      <c r="G2175" s="30"/>
      <c r="H2175" s="48"/>
      <c r="I2175" s="49"/>
      <c r="J2175" s="49"/>
      <c r="K2175" s="48"/>
      <c r="L2175" s="50"/>
      <c r="M2175" s="30"/>
      <c r="N2175" s="30"/>
      <c r="O2175" s="30"/>
      <c r="P2175" s="30"/>
      <c r="Q2175" s="30"/>
      <c r="R2175" s="30"/>
      <c r="S2175" s="30"/>
      <c r="T2175" s="30"/>
      <c r="U2175" s="30"/>
      <c r="V2175" s="30"/>
      <c r="W2175" s="30"/>
      <c r="X2175" s="30"/>
      <c r="Y2175" s="30"/>
      <c r="Z2175" s="30"/>
      <c r="AA2175" s="30"/>
      <c r="AB2175" s="30"/>
      <c r="AC2175" s="30"/>
      <c r="AD2175" s="30"/>
      <c r="AE2175" s="30"/>
      <c r="AF2175" s="30"/>
      <c r="AG2175" s="30"/>
      <c r="AH2175" s="30"/>
    </row>
    <row r="2176" spans="1:34" ht="13">
      <c r="A2176" s="30"/>
      <c r="B2176" s="30"/>
      <c r="C2176" s="30"/>
      <c r="D2176" s="30"/>
      <c r="E2176" s="30"/>
      <c r="F2176" s="30"/>
      <c r="G2176" s="30"/>
      <c r="H2176" s="48"/>
      <c r="I2176" s="49"/>
      <c r="J2176" s="49"/>
      <c r="K2176" s="48"/>
      <c r="L2176" s="50"/>
      <c r="M2176" s="30"/>
      <c r="N2176" s="30"/>
      <c r="O2176" s="30"/>
      <c r="P2176" s="30"/>
      <c r="Q2176" s="30"/>
      <c r="R2176" s="30"/>
      <c r="S2176" s="30"/>
      <c r="T2176" s="30"/>
      <c r="U2176" s="30"/>
      <c r="V2176" s="30"/>
      <c r="W2176" s="30"/>
      <c r="X2176" s="30"/>
      <c r="Y2176" s="30"/>
      <c r="Z2176" s="30"/>
      <c r="AA2176" s="30"/>
      <c r="AB2176" s="30"/>
      <c r="AC2176" s="30"/>
      <c r="AD2176" s="30"/>
      <c r="AE2176" s="30"/>
      <c r="AF2176" s="30"/>
      <c r="AG2176" s="30"/>
      <c r="AH2176" s="30"/>
    </row>
    <row r="2177" spans="1:34" ht="13">
      <c r="A2177" s="30"/>
      <c r="B2177" s="30"/>
      <c r="C2177" s="30"/>
      <c r="D2177" s="30"/>
      <c r="E2177" s="30"/>
      <c r="F2177" s="30"/>
      <c r="G2177" s="30"/>
      <c r="H2177" s="48"/>
      <c r="I2177" s="49"/>
      <c r="J2177" s="49"/>
      <c r="K2177" s="48"/>
      <c r="L2177" s="50"/>
      <c r="M2177" s="30"/>
      <c r="N2177" s="30"/>
      <c r="O2177" s="30"/>
      <c r="P2177" s="30"/>
      <c r="Q2177" s="30"/>
      <c r="R2177" s="30"/>
      <c r="S2177" s="30"/>
      <c r="T2177" s="30"/>
      <c r="U2177" s="30"/>
      <c r="V2177" s="30"/>
      <c r="W2177" s="30"/>
      <c r="X2177" s="30"/>
      <c r="Y2177" s="30"/>
      <c r="Z2177" s="30"/>
      <c r="AA2177" s="30"/>
      <c r="AB2177" s="30"/>
      <c r="AC2177" s="30"/>
      <c r="AD2177" s="30"/>
      <c r="AE2177" s="30"/>
      <c r="AF2177" s="30"/>
      <c r="AG2177" s="30"/>
      <c r="AH2177" s="30"/>
    </row>
    <row r="2178" spans="1:34" ht="13">
      <c r="A2178" s="30"/>
      <c r="B2178" s="30"/>
      <c r="C2178" s="30"/>
      <c r="D2178" s="30"/>
      <c r="E2178" s="30"/>
      <c r="F2178" s="30"/>
      <c r="G2178" s="30"/>
      <c r="H2178" s="48"/>
      <c r="I2178" s="49"/>
      <c r="J2178" s="49"/>
      <c r="K2178" s="48"/>
      <c r="L2178" s="50"/>
      <c r="M2178" s="30"/>
      <c r="N2178" s="30"/>
      <c r="O2178" s="30"/>
      <c r="P2178" s="30"/>
      <c r="Q2178" s="30"/>
      <c r="R2178" s="30"/>
      <c r="S2178" s="30"/>
      <c r="T2178" s="30"/>
      <c r="U2178" s="30"/>
      <c r="V2178" s="30"/>
      <c r="W2178" s="30"/>
      <c r="X2178" s="30"/>
      <c r="Y2178" s="30"/>
      <c r="Z2178" s="30"/>
      <c r="AA2178" s="30"/>
      <c r="AB2178" s="30"/>
      <c r="AC2178" s="30"/>
      <c r="AD2178" s="30"/>
      <c r="AE2178" s="30"/>
      <c r="AF2178" s="30"/>
      <c r="AG2178" s="30"/>
      <c r="AH2178" s="30"/>
    </row>
    <row r="2179" spans="1:34" ht="13">
      <c r="A2179" s="30"/>
      <c r="B2179" s="30"/>
      <c r="C2179" s="30"/>
      <c r="D2179" s="30"/>
      <c r="E2179" s="30"/>
      <c r="F2179" s="30"/>
      <c r="G2179" s="30"/>
      <c r="H2179" s="48"/>
      <c r="I2179" s="49"/>
      <c r="J2179" s="49"/>
      <c r="K2179" s="48"/>
      <c r="L2179" s="50"/>
      <c r="M2179" s="30"/>
      <c r="N2179" s="30"/>
      <c r="O2179" s="30"/>
      <c r="P2179" s="30"/>
      <c r="Q2179" s="30"/>
      <c r="R2179" s="30"/>
      <c r="S2179" s="30"/>
      <c r="T2179" s="30"/>
      <c r="U2179" s="30"/>
      <c r="V2179" s="30"/>
      <c r="W2179" s="30"/>
      <c r="X2179" s="30"/>
      <c r="Y2179" s="30"/>
      <c r="Z2179" s="30"/>
      <c r="AA2179" s="30"/>
      <c r="AB2179" s="30"/>
      <c r="AC2179" s="30"/>
      <c r="AD2179" s="30"/>
      <c r="AE2179" s="30"/>
      <c r="AF2179" s="30"/>
      <c r="AG2179" s="30"/>
      <c r="AH2179" s="30"/>
    </row>
    <row r="2180" spans="1:34" ht="13">
      <c r="A2180" s="30"/>
      <c r="B2180" s="30"/>
      <c r="C2180" s="30"/>
      <c r="D2180" s="30"/>
      <c r="E2180" s="30"/>
      <c r="F2180" s="30"/>
      <c r="G2180" s="30"/>
      <c r="H2180" s="48"/>
      <c r="I2180" s="49"/>
      <c r="J2180" s="49"/>
      <c r="K2180" s="48"/>
      <c r="L2180" s="50"/>
      <c r="M2180" s="30"/>
      <c r="N2180" s="30"/>
      <c r="O2180" s="30"/>
      <c r="P2180" s="30"/>
      <c r="Q2180" s="30"/>
      <c r="R2180" s="30"/>
      <c r="S2180" s="30"/>
      <c r="T2180" s="30"/>
      <c r="U2180" s="30"/>
      <c r="V2180" s="30"/>
      <c r="W2180" s="30"/>
      <c r="X2180" s="30"/>
      <c r="Y2180" s="30"/>
      <c r="Z2180" s="30"/>
      <c r="AA2180" s="30"/>
      <c r="AB2180" s="30"/>
      <c r="AC2180" s="30"/>
      <c r="AD2180" s="30"/>
      <c r="AE2180" s="30"/>
      <c r="AF2180" s="30"/>
      <c r="AG2180" s="30"/>
      <c r="AH2180" s="30"/>
    </row>
    <row r="2181" spans="1:34" ht="13">
      <c r="A2181" s="30"/>
      <c r="B2181" s="30"/>
      <c r="C2181" s="30"/>
      <c r="D2181" s="30"/>
      <c r="E2181" s="30"/>
      <c r="F2181" s="30"/>
      <c r="G2181" s="30"/>
      <c r="H2181" s="48"/>
      <c r="I2181" s="49"/>
      <c r="J2181" s="49"/>
      <c r="K2181" s="48"/>
      <c r="L2181" s="50"/>
      <c r="M2181" s="30"/>
      <c r="N2181" s="30"/>
      <c r="O2181" s="30"/>
      <c r="P2181" s="30"/>
      <c r="Q2181" s="30"/>
      <c r="R2181" s="30"/>
      <c r="S2181" s="30"/>
      <c r="T2181" s="30"/>
      <c r="U2181" s="30"/>
      <c r="V2181" s="30"/>
      <c r="W2181" s="30"/>
      <c r="X2181" s="30"/>
      <c r="Y2181" s="30"/>
      <c r="Z2181" s="30"/>
      <c r="AA2181" s="30"/>
      <c r="AB2181" s="30"/>
      <c r="AC2181" s="30"/>
      <c r="AD2181" s="30"/>
      <c r="AE2181" s="30"/>
      <c r="AF2181" s="30"/>
      <c r="AG2181" s="30"/>
      <c r="AH2181" s="30"/>
    </row>
    <row r="2182" spans="1:34" ht="13">
      <c r="A2182" s="30"/>
      <c r="B2182" s="30"/>
      <c r="C2182" s="30"/>
      <c r="D2182" s="30"/>
      <c r="E2182" s="30"/>
      <c r="F2182" s="30"/>
      <c r="G2182" s="30"/>
      <c r="H2182" s="48"/>
      <c r="I2182" s="49"/>
      <c r="J2182" s="49"/>
      <c r="K2182" s="48"/>
      <c r="L2182" s="50"/>
      <c r="M2182" s="30"/>
      <c r="N2182" s="30"/>
      <c r="O2182" s="30"/>
      <c r="P2182" s="30"/>
      <c r="Q2182" s="30"/>
      <c r="R2182" s="30"/>
      <c r="S2182" s="30"/>
      <c r="T2182" s="30"/>
      <c r="U2182" s="30"/>
      <c r="V2182" s="30"/>
      <c r="W2182" s="30"/>
      <c r="X2182" s="30"/>
      <c r="Y2182" s="30"/>
      <c r="Z2182" s="30"/>
      <c r="AA2182" s="30"/>
      <c r="AB2182" s="30"/>
      <c r="AC2182" s="30"/>
      <c r="AD2182" s="30"/>
      <c r="AE2182" s="30"/>
      <c r="AF2182" s="30"/>
      <c r="AG2182" s="30"/>
      <c r="AH2182" s="30"/>
    </row>
    <row r="2183" spans="1:34" ht="13">
      <c r="A2183" s="30"/>
      <c r="B2183" s="30"/>
      <c r="C2183" s="30"/>
      <c r="D2183" s="30"/>
      <c r="E2183" s="30"/>
      <c r="F2183" s="30"/>
      <c r="G2183" s="30"/>
      <c r="H2183" s="48"/>
      <c r="I2183" s="49"/>
      <c r="J2183" s="49"/>
      <c r="K2183" s="48"/>
      <c r="L2183" s="50"/>
      <c r="M2183" s="30"/>
      <c r="N2183" s="30"/>
      <c r="O2183" s="30"/>
      <c r="P2183" s="30"/>
      <c r="Q2183" s="30"/>
      <c r="R2183" s="30"/>
      <c r="S2183" s="30"/>
      <c r="T2183" s="30"/>
      <c r="U2183" s="30"/>
      <c r="V2183" s="30"/>
      <c r="W2183" s="30"/>
      <c r="X2183" s="30"/>
      <c r="Y2183" s="30"/>
      <c r="Z2183" s="30"/>
      <c r="AA2183" s="30"/>
      <c r="AB2183" s="30"/>
      <c r="AC2183" s="30"/>
      <c r="AD2183" s="30"/>
      <c r="AE2183" s="30"/>
      <c r="AF2183" s="30"/>
      <c r="AG2183" s="30"/>
      <c r="AH2183" s="30"/>
    </row>
    <row r="2184" spans="1:34" ht="13">
      <c r="A2184" s="30"/>
      <c r="B2184" s="30"/>
      <c r="C2184" s="30"/>
      <c r="D2184" s="30"/>
      <c r="E2184" s="30"/>
      <c r="F2184" s="30"/>
      <c r="G2184" s="30"/>
      <c r="H2184" s="48"/>
      <c r="I2184" s="49"/>
      <c r="J2184" s="49"/>
      <c r="K2184" s="48"/>
      <c r="L2184" s="50"/>
      <c r="M2184" s="30"/>
      <c r="N2184" s="30"/>
      <c r="O2184" s="30"/>
      <c r="P2184" s="30"/>
      <c r="Q2184" s="30"/>
      <c r="R2184" s="30"/>
      <c r="S2184" s="30"/>
      <c r="T2184" s="30"/>
      <c r="U2184" s="30"/>
      <c r="V2184" s="30"/>
      <c r="W2184" s="30"/>
      <c r="X2184" s="30"/>
      <c r="Y2184" s="30"/>
      <c r="Z2184" s="30"/>
      <c r="AA2184" s="30"/>
      <c r="AB2184" s="30"/>
      <c r="AC2184" s="30"/>
      <c r="AD2184" s="30"/>
      <c r="AE2184" s="30"/>
      <c r="AF2184" s="30"/>
      <c r="AG2184" s="30"/>
      <c r="AH2184" s="30"/>
    </row>
    <row r="2185" spans="1:34" ht="13">
      <c r="A2185" s="30"/>
      <c r="B2185" s="30"/>
      <c r="C2185" s="30"/>
      <c r="D2185" s="30"/>
      <c r="E2185" s="30"/>
      <c r="F2185" s="30"/>
      <c r="G2185" s="30"/>
      <c r="H2185" s="48"/>
      <c r="I2185" s="49"/>
      <c r="J2185" s="49"/>
      <c r="K2185" s="48"/>
      <c r="L2185" s="50"/>
      <c r="M2185" s="30"/>
      <c r="N2185" s="30"/>
      <c r="O2185" s="30"/>
      <c r="P2185" s="30"/>
      <c r="Q2185" s="30"/>
      <c r="R2185" s="30"/>
      <c r="S2185" s="30"/>
      <c r="T2185" s="30"/>
      <c r="U2185" s="30"/>
      <c r="V2185" s="30"/>
      <c r="W2185" s="30"/>
      <c r="X2185" s="30"/>
      <c r="Y2185" s="30"/>
      <c r="Z2185" s="30"/>
      <c r="AA2185" s="30"/>
      <c r="AB2185" s="30"/>
      <c r="AC2185" s="30"/>
      <c r="AD2185" s="30"/>
      <c r="AE2185" s="30"/>
      <c r="AF2185" s="30"/>
      <c r="AG2185" s="30"/>
      <c r="AH2185" s="30"/>
    </row>
    <row r="2186" spans="1:34" ht="13">
      <c r="A2186" s="30"/>
      <c r="B2186" s="30"/>
      <c r="C2186" s="30"/>
      <c r="D2186" s="30"/>
      <c r="E2186" s="30"/>
      <c r="F2186" s="30"/>
      <c r="G2186" s="30"/>
      <c r="H2186" s="48"/>
      <c r="I2186" s="49"/>
      <c r="J2186" s="49"/>
      <c r="K2186" s="48"/>
      <c r="L2186" s="50"/>
      <c r="M2186" s="30"/>
      <c r="N2186" s="30"/>
      <c r="O2186" s="30"/>
      <c r="P2186" s="30"/>
      <c r="Q2186" s="30"/>
      <c r="R2186" s="30"/>
      <c r="S2186" s="30"/>
      <c r="T2186" s="30"/>
      <c r="U2186" s="30"/>
      <c r="V2186" s="30"/>
      <c r="W2186" s="30"/>
      <c r="X2186" s="30"/>
      <c r="Y2186" s="30"/>
      <c r="Z2186" s="30"/>
      <c r="AA2186" s="30"/>
      <c r="AB2186" s="30"/>
      <c r="AC2186" s="30"/>
      <c r="AD2186" s="30"/>
      <c r="AE2186" s="30"/>
      <c r="AF2186" s="30"/>
      <c r="AG2186" s="30"/>
      <c r="AH2186" s="30"/>
    </row>
    <row r="2187" spans="1:34" ht="13">
      <c r="A2187" s="30"/>
      <c r="B2187" s="30"/>
      <c r="C2187" s="30"/>
      <c r="D2187" s="30"/>
      <c r="E2187" s="30"/>
      <c r="F2187" s="30"/>
      <c r="G2187" s="30"/>
      <c r="H2187" s="48"/>
      <c r="I2187" s="49"/>
      <c r="J2187" s="49"/>
      <c r="K2187" s="48"/>
      <c r="L2187" s="50"/>
      <c r="M2187" s="30"/>
      <c r="N2187" s="30"/>
      <c r="O2187" s="30"/>
      <c r="P2187" s="30"/>
      <c r="Q2187" s="30"/>
      <c r="R2187" s="30"/>
      <c r="S2187" s="30"/>
      <c r="T2187" s="30"/>
      <c r="U2187" s="30"/>
      <c r="V2187" s="30"/>
      <c r="W2187" s="30"/>
      <c r="X2187" s="30"/>
      <c r="Y2187" s="30"/>
      <c r="Z2187" s="30"/>
      <c r="AA2187" s="30"/>
      <c r="AB2187" s="30"/>
      <c r="AC2187" s="30"/>
      <c r="AD2187" s="30"/>
      <c r="AE2187" s="30"/>
      <c r="AF2187" s="30"/>
      <c r="AG2187" s="30"/>
      <c r="AH2187" s="30"/>
    </row>
    <row r="2188" spans="1:34" ht="13">
      <c r="A2188" s="30"/>
      <c r="B2188" s="30"/>
      <c r="C2188" s="30"/>
      <c r="D2188" s="30"/>
      <c r="E2188" s="30"/>
      <c r="F2188" s="30"/>
      <c r="G2188" s="30"/>
      <c r="H2188" s="48"/>
      <c r="I2188" s="49"/>
      <c r="J2188" s="49"/>
      <c r="K2188" s="48"/>
      <c r="L2188" s="50"/>
      <c r="M2188" s="30"/>
      <c r="N2188" s="30"/>
      <c r="O2188" s="30"/>
      <c r="P2188" s="30"/>
      <c r="Q2188" s="30"/>
      <c r="R2188" s="30"/>
      <c r="S2188" s="30"/>
      <c r="T2188" s="30"/>
      <c r="U2188" s="30"/>
      <c r="V2188" s="30"/>
      <c r="W2188" s="30"/>
      <c r="X2188" s="30"/>
      <c r="Y2188" s="30"/>
      <c r="Z2188" s="30"/>
      <c r="AA2188" s="30"/>
      <c r="AB2188" s="30"/>
      <c r="AC2188" s="30"/>
      <c r="AD2188" s="30"/>
      <c r="AE2188" s="30"/>
      <c r="AF2188" s="30"/>
      <c r="AG2188" s="30"/>
      <c r="AH2188" s="30"/>
    </row>
    <row r="2189" spans="1:34" ht="13">
      <c r="A2189" s="30"/>
      <c r="B2189" s="30"/>
      <c r="C2189" s="30"/>
      <c r="D2189" s="30"/>
      <c r="E2189" s="30"/>
      <c r="F2189" s="30"/>
      <c r="G2189" s="30"/>
      <c r="H2189" s="48"/>
      <c r="I2189" s="49"/>
      <c r="J2189" s="49"/>
      <c r="K2189" s="48"/>
      <c r="L2189" s="50"/>
      <c r="M2189" s="30"/>
      <c r="N2189" s="30"/>
      <c r="O2189" s="30"/>
      <c r="P2189" s="30"/>
      <c r="Q2189" s="30"/>
      <c r="R2189" s="30"/>
      <c r="S2189" s="30"/>
      <c r="T2189" s="30"/>
      <c r="U2189" s="30"/>
      <c r="V2189" s="30"/>
      <c r="W2189" s="30"/>
      <c r="X2189" s="30"/>
      <c r="Y2189" s="30"/>
      <c r="Z2189" s="30"/>
      <c r="AA2189" s="30"/>
      <c r="AB2189" s="30"/>
      <c r="AC2189" s="30"/>
      <c r="AD2189" s="30"/>
      <c r="AE2189" s="30"/>
      <c r="AF2189" s="30"/>
      <c r="AG2189" s="30"/>
      <c r="AH2189" s="30"/>
    </row>
    <row r="2190" spans="1:34" ht="13">
      <c r="A2190" s="30"/>
      <c r="B2190" s="30"/>
      <c r="C2190" s="30"/>
      <c r="D2190" s="30"/>
      <c r="E2190" s="30"/>
      <c r="F2190" s="30"/>
      <c r="G2190" s="30"/>
      <c r="H2190" s="48"/>
      <c r="I2190" s="49"/>
      <c r="J2190" s="49"/>
      <c r="K2190" s="48"/>
      <c r="L2190" s="50"/>
      <c r="M2190" s="30"/>
      <c r="N2190" s="30"/>
      <c r="O2190" s="30"/>
      <c r="P2190" s="30"/>
      <c r="Q2190" s="30"/>
      <c r="R2190" s="30"/>
      <c r="S2190" s="30"/>
      <c r="T2190" s="30"/>
      <c r="U2190" s="30"/>
      <c r="V2190" s="30"/>
      <c r="W2190" s="30"/>
      <c r="X2190" s="30"/>
      <c r="Y2190" s="30"/>
      <c r="Z2190" s="30"/>
      <c r="AA2190" s="30"/>
      <c r="AB2190" s="30"/>
      <c r="AC2190" s="30"/>
      <c r="AD2190" s="30"/>
      <c r="AE2190" s="30"/>
      <c r="AF2190" s="30"/>
      <c r="AG2190" s="30"/>
      <c r="AH2190" s="30"/>
    </row>
    <row r="2191" spans="1:34" ht="13">
      <c r="A2191" s="30"/>
      <c r="B2191" s="30"/>
      <c r="C2191" s="30"/>
      <c r="D2191" s="30"/>
      <c r="E2191" s="30"/>
      <c r="F2191" s="30"/>
      <c r="G2191" s="30"/>
      <c r="H2191" s="48"/>
      <c r="I2191" s="49"/>
      <c r="J2191" s="49"/>
      <c r="K2191" s="48"/>
      <c r="L2191" s="50"/>
      <c r="M2191" s="30"/>
      <c r="N2191" s="30"/>
      <c r="O2191" s="30"/>
      <c r="P2191" s="30"/>
      <c r="Q2191" s="30"/>
      <c r="R2191" s="30"/>
      <c r="S2191" s="30"/>
      <c r="T2191" s="30"/>
      <c r="U2191" s="30"/>
      <c r="V2191" s="30"/>
      <c r="W2191" s="30"/>
      <c r="X2191" s="30"/>
      <c r="Y2191" s="30"/>
      <c r="Z2191" s="30"/>
      <c r="AA2191" s="30"/>
      <c r="AB2191" s="30"/>
      <c r="AC2191" s="30"/>
      <c r="AD2191" s="30"/>
      <c r="AE2191" s="30"/>
      <c r="AF2191" s="30"/>
      <c r="AG2191" s="30"/>
      <c r="AH2191" s="30"/>
    </row>
    <row r="2192" spans="1:34" ht="13">
      <c r="A2192" s="30"/>
      <c r="B2192" s="30"/>
      <c r="C2192" s="30"/>
      <c r="D2192" s="30"/>
      <c r="E2192" s="30"/>
      <c r="F2192" s="30"/>
      <c r="G2192" s="30"/>
      <c r="H2192" s="48"/>
      <c r="I2192" s="49"/>
      <c r="J2192" s="49"/>
      <c r="K2192" s="48"/>
      <c r="L2192" s="50"/>
      <c r="M2192" s="30"/>
      <c r="N2192" s="30"/>
      <c r="O2192" s="30"/>
      <c r="P2192" s="30"/>
      <c r="Q2192" s="30"/>
      <c r="R2192" s="30"/>
      <c r="S2192" s="30"/>
      <c r="T2192" s="30"/>
      <c r="U2192" s="30"/>
      <c r="V2192" s="30"/>
      <c r="W2192" s="30"/>
      <c r="X2192" s="30"/>
      <c r="Y2192" s="30"/>
      <c r="Z2192" s="30"/>
      <c r="AA2192" s="30"/>
      <c r="AB2192" s="30"/>
      <c r="AC2192" s="30"/>
      <c r="AD2192" s="30"/>
      <c r="AE2192" s="30"/>
      <c r="AF2192" s="30"/>
      <c r="AG2192" s="30"/>
      <c r="AH2192" s="30"/>
    </row>
    <row r="2193" spans="1:34" ht="13">
      <c r="A2193" s="30"/>
      <c r="B2193" s="30"/>
      <c r="C2193" s="30"/>
      <c r="D2193" s="30"/>
      <c r="E2193" s="30"/>
      <c r="F2193" s="30"/>
      <c r="G2193" s="30"/>
      <c r="H2193" s="48"/>
      <c r="I2193" s="49"/>
      <c r="J2193" s="49"/>
      <c r="K2193" s="48"/>
      <c r="L2193" s="50"/>
      <c r="M2193" s="30"/>
      <c r="N2193" s="30"/>
      <c r="O2193" s="30"/>
      <c r="P2193" s="30"/>
      <c r="Q2193" s="30"/>
      <c r="R2193" s="30"/>
      <c r="S2193" s="30"/>
      <c r="T2193" s="30"/>
      <c r="U2193" s="30"/>
      <c r="V2193" s="30"/>
      <c r="W2193" s="30"/>
      <c r="X2193" s="30"/>
      <c r="Y2193" s="30"/>
      <c r="Z2193" s="30"/>
      <c r="AA2193" s="30"/>
      <c r="AB2193" s="30"/>
      <c r="AC2193" s="30"/>
      <c r="AD2193" s="30"/>
      <c r="AE2193" s="30"/>
      <c r="AF2193" s="30"/>
      <c r="AG2193" s="30"/>
      <c r="AH2193" s="30"/>
    </row>
    <row r="2194" spans="1:34" ht="13">
      <c r="A2194" s="30"/>
      <c r="B2194" s="30"/>
      <c r="C2194" s="30"/>
      <c r="D2194" s="30"/>
      <c r="E2194" s="30"/>
      <c r="F2194" s="30"/>
      <c r="G2194" s="30"/>
      <c r="H2194" s="48"/>
      <c r="I2194" s="49"/>
      <c r="J2194" s="49"/>
      <c r="K2194" s="48"/>
      <c r="L2194" s="50"/>
      <c r="M2194" s="30"/>
      <c r="N2194" s="30"/>
      <c r="O2194" s="30"/>
      <c r="P2194" s="30"/>
      <c r="Q2194" s="30"/>
      <c r="R2194" s="30"/>
      <c r="S2194" s="30"/>
      <c r="T2194" s="30"/>
      <c r="U2194" s="30"/>
      <c r="V2194" s="30"/>
      <c r="W2194" s="30"/>
      <c r="X2194" s="30"/>
      <c r="Y2194" s="30"/>
      <c r="Z2194" s="30"/>
      <c r="AA2194" s="30"/>
      <c r="AB2194" s="30"/>
      <c r="AC2194" s="30"/>
      <c r="AD2194" s="30"/>
      <c r="AE2194" s="30"/>
      <c r="AF2194" s="30"/>
      <c r="AG2194" s="30"/>
      <c r="AH2194" s="30"/>
    </row>
    <row r="2195" spans="1:34" ht="13">
      <c r="A2195" s="30"/>
      <c r="B2195" s="30"/>
      <c r="C2195" s="30"/>
      <c r="D2195" s="30"/>
      <c r="E2195" s="30"/>
      <c r="F2195" s="30"/>
      <c r="G2195" s="30"/>
      <c r="H2195" s="48"/>
      <c r="I2195" s="49"/>
      <c r="J2195" s="49"/>
      <c r="K2195" s="48"/>
      <c r="L2195" s="50"/>
      <c r="M2195" s="30"/>
      <c r="N2195" s="30"/>
      <c r="O2195" s="30"/>
      <c r="P2195" s="30"/>
      <c r="Q2195" s="30"/>
      <c r="R2195" s="30"/>
      <c r="S2195" s="30"/>
      <c r="T2195" s="30"/>
      <c r="U2195" s="30"/>
      <c r="V2195" s="30"/>
      <c r="W2195" s="30"/>
      <c r="X2195" s="30"/>
      <c r="Y2195" s="30"/>
      <c r="Z2195" s="30"/>
      <c r="AA2195" s="30"/>
      <c r="AB2195" s="30"/>
      <c r="AC2195" s="30"/>
      <c r="AD2195" s="30"/>
      <c r="AE2195" s="30"/>
      <c r="AF2195" s="30"/>
      <c r="AG2195" s="30"/>
      <c r="AH2195" s="30"/>
    </row>
    <row r="2196" spans="1:34" ht="13">
      <c r="A2196" s="30"/>
      <c r="B2196" s="30"/>
      <c r="C2196" s="30"/>
      <c r="D2196" s="30"/>
      <c r="E2196" s="30"/>
      <c r="F2196" s="30"/>
      <c r="G2196" s="30"/>
      <c r="H2196" s="48"/>
      <c r="I2196" s="49"/>
      <c r="J2196" s="49"/>
      <c r="K2196" s="48"/>
      <c r="L2196" s="50"/>
      <c r="M2196" s="30"/>
      <c r="N2196" s="30"/>
      <c r="O2196" s="30"/>
      <c r="P2196" s="30"/>
      <c r="Q2196" s="30"/>
      <c r="R2196" s="30"/>
      <c r="S2196" s="30"/>
      <c r="T2196" s="30"/>
      <c r="U2196" s="30"/>
      <c r="V2196" s="30"/>
      <c r="W2196" s="30"/>
      <c r="X2196" s="30"/>
      <c r="Y2196" s="30"/>
      <c r="Z2196" s="30"/>
      <c r="AA2196" s="30"/>
      <c r="AB2196" s="30"/>
      <c r="AC2196" s="30"/>
      <c r="AD2196" s="30"/>
      <c r="AE2196" s="30"/>
      <c r="AF2196" s="30"/>
      <c r="AG2196" s="30"/>
      <c r="AH2196" s="30"/>
    </row>
    <row r="2197" spans="1:34" ht="13">
      <c r="A2197" s="30"/>
      <c r="B2197" s="30"/>
      <c r="C2197" s="30"/>
      <c r="D2197" s="30"/>
      <c r="E2197" s="30"/>
      <c r="F2197" s="30"/>
      <c r="G2197" s="30"/>
      <c r="H2197" s="48"/>
      <c r="I2197" s="49"/>
      <c r="J2197" s="49"/>
      <c r="K2197" s="48"/>
      <c r="L2197" s="50"/>
      <c r="M2197" s="30"/>
      <c r="N2197" s="30"/>
      <c r="O2197" s="30"/>
      <c r="P2197" s="30"/>
      <c r="Q2197" s="30"/>
      <c r="R2197" s="30"/>
      <c r="S2197" s="30"/>
      <c r="T2197" s="30"/>
      <c r="U2197" s="30"/>
      <c r="V2197" s="30"/>
      <c r="W2197" s="30"/>
      <c r="X2197" s="30"/>
      <c r="Y2197" s="30"/>
      <c r="Z2197" s="30"/>
      <c r="AA2197" s="30"/>
      <c r="AB2197" s="30"/>
      <c r="AC2197" s="30"/>
      <c r="AD2197" s="30"/>
      <c r="AE2197" s="30"/>
      <c r="AF2197" s="30"/>
      <c r="AG2197" s="30"/>
      <c r="AH2197" s="30"/>
    </row>
    <row r="2198" spans="1:34" ht="13">
      <c r="A2198" s="30"/>
      <c r="B2198" s="30"/>
      <c r="C2198" s="30"/>
      <c r="D2198" s="30"/>
      <c r="E2198" s="30"/>
      <c r="F2198" s="30"/>
      <c r="G2198" s="30"/>
      <c r="H2198" s="48"/>
      <c r="I2198" s="49"/>
      <c r="J2198" s="49"/>
      <c r="K2198" s="48"/>
      <c r="L2198" s="50"/>
      <c r="M2198" s="30"/>
      <c r="N2198" s="30"/>
      <c r="O2198" s="30"/>
      <c r="P2198" s="30"/>
      <c r="Q2198" s="30"/>
      <c r="R2198" s="30"/>
      <c r="S2198" s="30"/>
      <c r="T2198" s="30"/>
      <c r="U2198" s="30"/>
      <c r="V2198" s="30"/>
      <c r="W2198" s="30"/>
      <c r="X2198" s="30"/>
      <c r="Y2198" s="30"/>
      <c r="Z2198" s="30"/>
      <c r="AA2198" s="30"/>
      <c r="AB2198" s="30"/>
      <c r="AC2198" s="30"/>
      <c r="AD2198" s="30"/>
      <c r="AE2198" s="30"/>
      <c r="AF2198" s="30"/>
      <c r="AG2198" s="30"/>
      <c r="AH2198" s="30"/>
    </row>
    <row r="2199" spans="1:34" ht="13">
      <c r="A2199" s="30"/>
      <c r="B2199" s="30"/>
      <c r="C2199" s="30"/>
      <c r="D2199" s="30"/>
      <c r="E2199" s="30"/>
      <c r="F2199" s="30"/>
      <c r="G2199" s="30"/>
      <c r="H2199" s="48"/>
      <c r="I2199" s="49"/>
      <c r="J2199" s="49"/>
      <c r="K2199" s="48"/>
      <c r="L2199" s="50"/>
      <c r="M2199" s="30"/>
      <c r="N2199" s="30"/>
      <c r="O2199" s="30"/>
      <c r="P2199" s="30"/>
      <c r="Q2199" s="30"/>
      <c r="R2199" s="30"/>
      <c r="S2199" s="30"/>
      <c r="T2199" s="30"/>
      <c r="U2199" s="30"/>
      <c r="V2199" s="30"/>
      <c r="W2199" s="30"/>
      <c r="X2199" s="30"/>
      <c r="Y2199" s="30"/>
      <c r="Z2199" s="30"/>
      <c r="AA2199" s="30"/>
      <c r="AB2199" s="30"/>
      <c r="AC2199" s="30"/>
      <c r="AD2199" s="30"/>
      <c r="AE2199" s="30"/>
      <c r="AF2199" s="30"/>
      <c r="AG2199" s="30"/>
      <c r="AH2199" s="30"/>
    </row>
    <row r="2200" spans="1:34" ht="13">
      <c r="A2200" s="30"/>
      <c r="B2200" s="30"/>
      <c r="C2200" s="30"/>
      <c r="D2200" s="30"/>
      <c r="E2200" s="30"/>
      <c r="F2200" s="30"/>
      <c r="G2200" s="30"/>
      <c r="H2200" s="48"/>
      <c r="I2200" s="49"/>
      <c r="J2200" s="49"/>
      <c r="K2200" s="48"/>
      <c r="L2200" s="50"/>
      <c r="M2200" s="30"/>
      <c r="N2200" s="30"/>
      <c r="O2200" s="30"/>
      <c r="P2200" s="30"/>
      <c r="Q2200" s="30"/>
      <c r="R2200" s="30"/>
      <c r="S2200" s="30"/>
      <c r="T2200" s="30"/>
      <c r="U2200" s="30"/>
      <c r="V2200" s="30"/>
      <c r="W2200" s="30"/>
      <c r="X2200" s="30"/>
      <c r="Y2200" s="30"/>
      <c r="Z2200" s="30"/>
      <c r="AA2200" s="30"/>
      <c r="AB2200" s="30"/>
      <c r="AC2200" s="30"/>
      <c r="AD2200" s="30"/>
      <c r="AE2200" s="30"/>
      <c r="AF2200" s="30"/>
      <c r="AG2200" s="30"/>
      <c r="AH2200" s="30"/>
    </row>
    <row r="2201" spans="1:34" ht="13">
      <c r="A2201" s="30"/>
      <c r="B2201" s="30"/>
      <c r="C2201" s="30"/>
      <c r="D2201" s="30"/>
      <c r="E2201" s="30"/>
      <c r="F2201" s="30"/>
      <c r="G2201" s="30"/>
      <c r="H2201" s="48"/>
      <c r="I2201" s="49"/>
      <c r="J2201" s="49"/>
      <c r="K2201" s="48"/>
      <c r="L2201" s="50"/>
      <c r="M2201" s="30"/>
      <c r="N2201" s="30"/>
      <c r="O2201" s="30"/>
      <c r="P2201" s="30"/>
      <c r="Q2201" s="30"/>
      <c r="R2201" s="30"/>
      <c r="S2201" s="30"/>
      <c r="T2201" s="30"/>
      <c r="U2201" s="30"/>
      <c r="V2201" s="30"/>
      <c r="W2201" s="30"/>
      <c r="X2201" s="30"/>
      <c r="Y2201" s="30"/>
      <c r="Z2201" s="30"/>
      <c r="AA2201" s="30"/>
      <c r="AB2201" s="30"/>
      <c r="AC2201" s="30"/>
      <c r="AD2201" s="30"/>
      <c r="AE2201" s="30"/>
      <c r="AF2201" s="30"/>
      <c r="AG2201" s="30"/>
      <c r="AH2201" s="30"/>
    </row>
    <row r="2202" spans="1:34" ht="13">
      <c r="A2202" s="30"/>
      <c r="B2202" s="30"/>
      <c r="C2202" s="30"/>
      <c r="D2202" s="30"/>
      <c r="E2202" s="30"/>
      <c r="F2202" s="30"/>
      <c r="G2202" s="30"/>
      <c r="H2202" s="48"/>
      <c r="I2202" s="49"/>
      <c r="J2202" s="49"/>
      <c r="K2202" s="48"/>
      <c r="L2202" s="50"/>
      <c r="M2202" s="30"/>
      <c r="N2202" s="30"/>
      <c r="O2202" s="30"/>
      <c r="P2202" s="30"/>
      <c r="Q2202" s="30"/>
      <c r="R2202" s="30"/>
      <c r="S2202" s="30"/>
      <c r="T2202" s="30"/>
      <c r="U2202" s="30"/>
      <c r="V2202" s="30"/>
      <c r="W2202" s="30"/>
      <c r="X2202" s="30"/>
      <c r="Y2202" s="30"/>
      <c r="Z2202" s="30"/>
      <c r="AA2202" s="30"/>
      <c r="AB2202" s="30"/>
      <c r="AC2202" s="30"/>
      <c r="AD2202" s="30"/>
      <c r="AE2202" s="30"/>
      <c r="AF2202" s="30"/>
      <c r="AG2202" s="30"/>
      <c r="AH2202" s="30"/>
    </row>
    <row r="2203" spans="1:34" ht="13">
      <c r="A2203" s="30"/>
      <c r="B2203" s="30"/>
      <c r="C2203" s="30"/>
      <c r="D2203" s="30"/>
      <c r="E2203" s="30"/>
      <c r="F2203" s="30"/>
      <c r="G2203" s="30"/>
      <c r="H2203" s="48"/>
      <c r="I2203" s="49"/>
      <c r="J2203" s="49"/>
      <c r="K2203" s="48"/>
      <c r="L2203" s="50"/>
      <c r="M2203" s="30"/>
      <c r="N2203" s="30"/>
      <c r="O2203" s="30"/>
      <c r="P2203" s="30"/>
      <c r="Q2203" s="30"/>
      <c r="R2203" s="30"/>
      <c r="S2203" s="30"/>
      <c r="T2203" s="30"/>
      <c r="U2203" s="30"/>
      <c r="V2203" s="30"/>
      <c r="W2203" s="30"/>
      <c r="X2203" s="30"/>
      <c r="Y2203" s="30"/>
      <c r="Z2203" s="30"/>
      <c r="AA2203" s="30"/>
      <c r="AB2203" s="30"/>
      <c r="AC2203" s="30"/>
      <c r="AD2203" s="30"/>
      <c r="AE2203" s="30"/>
      <c r="AF2203" s="30"/>
      <c r="AG2203" s="30"/>
      <c r="AH2203" s="30"/>
    </row>
    <row r="2204" spans="1:34" ht="13">
      <c r="A2204" s="30"/>
      <c r="B2204" s="30"/>
      <c r="C2204" s="30"/>
      <c r="D2204" s="30"/>
      <c r="E2204" s="30"/>
      <c r="F2204" s="30"/>
      <c r="G2204" s="30"/>
      <c r="H2204" s="48"/>
      <c r="I2204" s="49"/>
      <c r="J2204" s="49"/>
      <c r="K2204" s="48"/>
      <c r="L2204" s="50"/>
      <c r="M2204" s="30"/>
      <c r="N2204" s="30"/>
      <c r="O2204" s="30"/>
      <c r="P2204" s="30"/>
      <c r="Q2204" s="30"/>
      <c r="R2204" s="30"/>
      <c r="S2204" s="30"/>
      <c r="T2204" s="30"/>
      <c r="U2204" s="30"/>
      <c r="V2204" s="30"/>
      <c r="W2204" s="30"/>
      <c r="X2204" s="30"/>
      <c r="Y2204" s="30"/>
      <c r="Z2204" s="30"/>
      <c r="AA2204" s="30"/>
      <c r="AB2204" s="30"/>
      <c r="AC2204" s="30"/>
      <c r="AD2204" s="30"/>
      <c r="AE2204" s="30"/>
      <c r="AF2204" s="30"/>
      <c r="AG2204" s="30"/>
      <c r="AH2204" s="30"/>
    </row>
    <row r="2205" spans="1:34" ht="13">
      <c r="A2205" s="30"/>
      <c r="B2205" s="30"/>
      <c r="C2205" s="30"/>
      <c r="D2205" s="30"/>
      <c r="E2205" s="30"/>
      <c r="F2205" s="30"/>
      <c r="G2205" s="30"/>
      <c r="H2205" s="48"/>
      <c r="I2205" s="49"/>
      <c r="J2205" s="49"/>
      <c r="K2205" s="48"/>
      <c r="L2205" s="50"/>
      <c r="M2205" s="30"/>
      <c r="N2205" s="30"/>
      <c r="O2205" s="30"/>
      <c r="P2205" s="30"/>
      <c r="Q2205" s="30"/>
      <c r="R2205" s="30"/>
      <c r="S2205" s="30"/>
      <c r="T2205" s="30"/>
      <c r="U2205" s="30"/>
      <c r="V2205" s="30"/>
      <c r="W2205" s="30"/>
      <c r="X2205" s="30"/>
      <c r="Y2205" s="30"/>
      <c r="Z2205" s="30"/>
      <c r="AA2205" s="30"/>
      <c r="AB2205" s="30"/>
      <c r="AC2205" s="30"/>
      <c r="AD2205" s="30"/>
      <c r="AE2205" s="30"/>
      <c r="AF2205" s="30"/>
      <c r="AG2205" s="30"/>
      <c r="AH2205" s="30"/>
    </row>
    <row r="2206" spans="1:34" ht="13">
      <c r="A2206" s="30"/>
      <c r="B2206" s="30"/>
      <c r="C2206" s="30"/>
      <c r="D2206" s="30"/>
      <c r="E2206" s="30"/>
      <c r="F2206" s="30"/>
      <c r="G2206" s="30"/>
      <c r="H2206" s="48"/>
      <c r="I2206" s="49"/>
      <c r="J2206" s="49"/>
      <c r="K2206" s="48"/>
      <c r="L2206" s="50"/>
      <c r="M2206" s="30"/>
      <c r="N2206" s="30"/>
      <c r="O2206" s="30"/>
      <c r="P2206" s="30"/>
      <c r="Q2206" s="30"/>
      <c r="R2206" s="30"/>
      <c r="S2206" s="30"/>
      <c r="T2206" s="30"/>
      <c r="U2206" s="30"/>
      <c r="V2206" s="30"/>
      <c r="W2206" s="30"/>
      <c r="X2206" s="30"/>
      <c r="Y2206" s="30"/>
      <c r="Z2206" s="30"/>
      <c r="AA2206" s="30"/>
      <c r="AB2206" s="30"/>
      <c r="AC2206" s="30"/>
      <c r="AD2206" s="30"/>
      <c r="AE2206" s="30"/>
      <c r="AF2206" s="30"/>
      <c r="AG2206" s="30"/>
      <c r="AH2206" s="30"/>
    </row>
    <row r="2207" spans="1:34" ht="13">
      <c r="A2207" s="30"/>
      <c r="B2207" s="30"/>
      <c r="C2207" s="30"/>
      <c r="D2207" s="30"/>
      <c r="E2207" s="30"/>
      <c r="F2207" s="30"/>
      <c r="G2207" s="30"/>
      <c r="H2207" s="48"/>
      <c r="I2207" s="49"/>
      <c r="J2207" s="49"/>
      <c r="K2207" s="48"/>
      <c r="L2207" s="50"/>
      <c r="M2207" s="30"/>
      <c r="N2207" s="30"/>
      <c r="O2207" s="30"/>
      <c r="P2207" s="30"/>
      <c r="Q2207" s="30"/>
      <c r="R2207" s="30"/>
      <c r="S2207" s="30"/>
      <c r="T2207" s="30"/>
      <c r="U2207" s="30"/>
      <c r="V2207" s="30"/>
      <c r="W2207" s="30"/>
      <c r="X2207" s="30"/>
      <c r="Y2207" s="30"/>
      <c r="Z2207" s="30"/>
      <c r="AA2207" s="30"/>
      <c r="AB2207" s="30"/>
      <c r="AC2207" s="30"/>
      <c r="AD2207" s="30"/>
      <c r="AE2207" s="30"/>
      <c r="AF2207" s="30"/>
      <c r="AG2207" s="30"/>
      <c r="AH2207" s="30"/>
    </row>
    <row r="2208" spans="1:34" ht="13">
      <c r="A2208" s="30"/>
      <c r="B2208" s="30"/>
      <c r="C2208" s="30"/>
      <c r="D2208" s="30"/>
      <c r="E2208" s="30"/>
      <c r="F2208" s="30"/>
      <c r="G2208" s="30"/>
      <c r="H2208" s="48"/>
      <c r="I2208" s="49"/>
      <c r="J2208" s="49"/>
      <c r="K2208" s="48"/>
      <c r="L2208" s="50"/>
      <c r="M2208" s="30"/>
      <c r="N2208" s="30"/>
      <c r="O2208" s="30"/>
      <c r="P2208" s="30"/>
      <c r="Q2208" s="30"/>
      <c r="R2208" s="30"/>
      <c r="S2208" s="30"/>
      <c r="T2208" s="30"/>
      <c r="U2208" s="30"/>
      <c r="V2208" s="30"/>
      <c r="W2208" s="30"/>
      <c r="X2208" s="30"/>
      <c r="Y2208" s="30"/>
      <c r="Z2208" s="30"/>
      <c r="AA2208" s="30"/>
      <c r="AB2208" s="30"/>
      <c r="AC2208" s="30"/>
      <c r="AD2208" s="30"/>
      <c r="AE2208" s="30"/>
      <c r="AF2208" s="30"/>
      <c r="AG2208" s="30"/>
      <c r="AH2208" s="30"/>
    </row>
    <row r="2209" spans="1:34" ht="13">
      <c r="A2209" s="30"/>
      <c r="B2209" s="30"/>
      <c r="C2209" s="30"/>
      <c r="D2209" s="30"/>
      <c r="E2209" s="30"/>
      <c r="F2209" s="30"/>
      <c r="G2209" s="30"/>
      <c r="H2209" s="48"/>
      <c r="I2209" s="49"/>
      <c r="J2209" s="49"/>
      <c r="K2209" s="48"/>
      <c r="L2209" s="50"/>
      <c r="M2209" s="30"/>
      <c r="N2209" s="30"/>
      <c r="O2209" s="30"/>
      <c r="P2209" s="30"/>
      <c r="Q2209" s="30"/>
      <c r="R2209" s="30"/>
      <c r="S2209" s="30"/>
      <c r="T2209" s="30"/>
      <c r="U2209" s="30"/>
      <c r="V2209" s="30"/>
      <c r="W2209" s="30"/>
      <c r="X2209" s="30"/>
      <c r="Y2209" s="30"/>
      <c r="Z2209" s="30"/>
      <c r="AA2209" s="30"/>
      <c r="AB2209" s="30"/>
      <c r="AC2209" s="30"/>
      <c r="AD2209" s="30"/>
      <c r="AE2209" s="30"/>
      <c r="AF2209" s="30"/>
      <c r="AG2209" s="30"/>
      <c r="AH2209" s="30"/>
    </row>
    <row r="2210" spans="1:34" ht="13">
      <c r="A2210" s="30"/>
      <c r="B2210" s="30"/>
      <c r="C2210" s="30"/>
      <c r="D2210" s="30"/>
      <c r="E2210" s="30"/>
      <c r="F2210" s="30"/>
      <c r="G2210" s="30"/>
      <c r="H2210" s="48"/>
      <c r="I2210" s="49"/>
      <c r="J2210" s="49"/>
      <c r="K2210" s="48"/>
      <c r="L2210" s="50"/>
      <c r="M2210" s="30"/>
      <c r="N2210" s="30"/>
      <c r="O2210" s="30"/>
      <c r="P2210" s="30"/>
      <c r="Q2210" s="30"/>
      <c r="R2210" s="30"/>
      <c r="S2210" s="30"/>
      <c r="T2210" s="30"/>
      <c r="U2210" s="30"/>
      <c r="V2210" s="30"/>
      <c r="W2210" s="30"/>
      <c r="X2210" s="30"/>
      <c r="Y2210" s="30"/>
      <c r="Z2210" s="30"/>
      <c r="AA2210" s="30"/>
      <c r="AB2210" s="30"/>
      <c r="AC2210" s="30"/>
      <c r="AD2210" s="30"/>
      <c r="AE2210" s="30"/>
      <c r="AF2210" s="30"/>
      <c r="AG2210" s="30"/>
      <c r="AH2210" s="30"/>
    </row>
    <row r="2211" spans="1:34" ht="13">
      <c r="A2211" s="30"/>
      <c r="B2211" s="30"/>
      <c r="C2211" s="30"/>
      <c r="D2211" s="30"/>
      <c r="E2211" s="30"/>
      <c r="F2211" s="30"/>
      <c r="G2211" s="30"/>
      <c r="H2211" s="48"/>
      <c r="I2211" s="49"/>
      <c r="J2211" s="49"/>
      <c r="K2211" s="48"/>
      <c r="L2211" s="50"/>
      <c r="M2211" s="30"/>
      <c r="N2211" s="30"/>
      <c r="O2211" s="30"/>
      <c r="P2211" s="30"/>
      <c r="Q2211" s="30"/>
      <c r="R2211" s="30"/>
      <c r="S2211" s="30"/>
      <c r="T2211" s="30"/>
      <c r="U2211" s="30"/>
      <c r="V2211" s="30"/>
      <c r="W2211" s="30"/>
      <c r="X2211" s="30"/>
      <c r="Y2211" s="30"/>
      <c r="Z2211" s="30"/>
      <c r="AA2211" s="30"/>
      <c r="AB2211" s="30"/>
      <c r="AC2211" s="30"/>
      <c r="AD2211" s="30"/>
      <c r="AE2211" s="30"/>
      <c r="AF2211" s="30"/>
      <c r="AG2211" s="30"/>
      <c r="AH2211" s="30"/>
    </row>
    <row r="2212" spans="1:34" ht="13">
      <c r="A2212" s="30"/>
      <c r="B2212" s="30"/>
      <c r="C2212" s="30"/>
      <c r="D2212" s="30"/>
      <c r="E2212" s="30"/>
      <c r="F2212" s="30"/>
      <c r="G2212" s="30"/>
      <c r="H2212" s="48"/>
      <c r="I2212" s="49"/>
      <c r="J2212" s="49"/>
      <c r="K2212" s="48"/>
      <c r="L2212" s="50"/>
      <c r="M2212" s="30"/>
      <c r="N2212" s="30"/>
      <c r="O2212" s="30"/>
      <c r="P2212" s="30"/>
      <c r="Q2212" s="30"/>
      <c r="R2212" s="30"/>
      <c r="S2212" s="30"/>
      <c r="T2212" s="30"/>
      <c r="U2212" s="30"/>
      <c r="V2212" s="30"/>
      <c r="W2212" s="30"/>
      <c r="X2212" s="30"/>
      <c r="Y2212" s="30"/>
      <c r="Z2212" s="30"/>
      <c r="AA2212" s="30"/>
      <c r="AB2212" s="30"/>
      <c r="AC2212" s="30"/>
      <c r="AD2212" s="30"/>
      <c r="AE2212" s="30"/>
      <c r="AF2212" s="30"/>
      <c r="AG2212" s="30"/>
      <c r="AH2212" s="30"/>
    </row>
    <row r="2213" spans="1:34" ht="13">
      <c r="A2213" s="30"/>
      <c r="B2213" s="30"/>
      <c r="C2213" s="30"/>
      <c r="D2213" s="30"/>
      <c r="E2213" s="30"/>
      <c r="F2213" s="30"/>
      <c r="G2213" s="30"/>
      <c r="H2213" s="48"/>
      <c r="I2213" s="49"/>
      <c r="J2213" s="49"/>
      <c r="K2213" s="48"/>
      <c r="L2213" s="50"/>
      <c r="M2213" s="30"/>
      <c r="N2213" s="30"/>
      <c r="O2213" s="30"/>
      <c r="P2213" s="30"/>
      <c r="Q2213" s="30"/>
      <c r="R2213" s="30"/>
      <c r="S2213" s="30"/>
      <c r="T2213" s="30"/>
      <c r="U2213" s="30"/>
      <c r="V2213" s="30"/>
      <c r="W2213" s="30"/>
      <c r="X2213" s="30"/>
      <c r="Y2213" s="30"/>
      <c r="Z2213" s="30"/>
      <c r="AA2213" s="30"/>
      <c r="AB2213" s="30"/>
      <c r="AC2213" s="30"/>
      <c r="AD2213" s="30"/>
      <c r="AE2213" s="30"/>
      <c r="AF2213" s="30"/>
      <c r="AG2213" s="30"/>
      <c r="AH2213" s="30"/>
    </row>
    <row r="2214" spans="1:34" ht="13">
      <c r="A2214" s="30"/>
      <c r="B2214" s="30"/>
      <c r="C2214" s="30"/>
      <c r="D2214" s="30"/>
      <c r="E2214" s="30"/>
      <c r="F2214" s="30"/>
      <c r="G2214" s="30"/>
      <c r="H2214" s="48"/>
      <c r="I2214" s="49"/>
      <c r="J2214" s="49"/>
      <c r="K2214" s="48"/>
      <c r="L2214" s="50"/>
      <c r="M2214" s="30"/>
      <c r="N2214" s="30"/>
      <c r="O2214" s="30"/>
      <c r="P2214" s="30"/>
      <c r="Q2214" s="30"/>
      <c r="R2214" s="30"/>
      <c r="S2214" s="30"/>
      <c r="T2214" s="30"/>
      <c r="U2214" s="30"/>
      <c r="V2214" s="30"/>
      <c r="W2214" s="30"/>
      <c r="X2214" s="30"/>
      <c r="Y2214" s="30"/>
      <c r="Z2214" s="30"/>
      <c r="AA2214" s="30"/>
      <c r="AB2214" s="30"/>
      <c r="AC2214" s="30"/>
      <c r="AD2214" s="30"/>
      <c r="AE2214" s="30"/>
      <c r="AF2214" s="30"/>
      <c r="AG2214" s="30"/>
      <c r="AH2214" s="30"/>
    </row>
    <row r="2215" spans="1:34" ht="13">
      <c r="A2215" s="30"/>
      <c r="B2215" s="30"/>
      <c r="C2215" s="30"/>
      <c r="D2215" s="30"/>
      <c r="E2215" s="30"/>
      <c r="F2215" s="30"/>
      <c r="G2215" s="30"/>
      <c r="H2215" s="48"/>
      <c r="I2215" s="49"/>
      <c r="J2215" s="49"/>
      <c r="K2215" s="48"/>
      <c r="L2215" s="50"/>
      <c r="M2215" s="30"/>
      <c r="N2215" s="30"/>
      <c r="O2215" s="30"/>
      <c r="P2215" s="30"/>
      <c r="Q2215" s="30"/>
      <c r="R2215" s="30"/>
      <c r="S2215" s="30"/>
      <c r="T2215" s="30"/>
      <c r="U2215" s="30"/>
      <c r="V2215" s="30"/>
      <c r="W2215" s="30"/>
      <c r="X2215" s="30"/>
      <c r="Y2215" s="30"/>
      <c r="Z2215" s="30"/>
      <c r="AA2215" s="30"/>
      <c r="AB2215" s="30"/>
      <c r="AC2215" s="30"/>
      <c r="AD2215" s="30"/>
      <c r="AE2215" s="30"/>
      <c r="AF2215" s="30"/>
      <c r="AG2215" s="30"/>
      <c r="AH2215" s="30"/>
    </row>
    <row r="2216" spans="1:34" ht="13">
      <c r="A2216" s="30"/>
      <c r="B2216" s="30"/>
      <c r="C2216" s="30"/>
      <c r="D2216" s="30"/>
      <c r="E2216" s="30"/>
      <c r="F2216" s="30"/>
      <c r="G2216" s="30"/>
      <c r="H2216" s="48"/>
      <c r="I2216" s="49"/>
      <c r="J2216" s="49"/>
      <c r="K2216" s="48"/>
      <c r="L2216" s="50"/>
      <c r="M2216" s="30"/>
      <c r="N2216" s="30"/>
      <c r="O2216" s="30"/>
      <c r="P2216" s="30"/>
      <c r="Q2216" s="30"/>
      <c r="R2216" s="30"/>
      <c r="S2216" s="30"/>
      <c r="T2216" s="30"/>
      <c r="U2216" s="30"/>
      <c r="V2216" s="30"/>
      <c r="W2216" s="30"/>
      <c r="X2216" s="30"/>
      <c r="Y2216" s="30"/>
      <c r="Z2216" s="30"/>
      <c r="AA2216" s="30"/>
      <c r="AB2216" s="30"/>
      <c r="AC2216" s="30"/>
      <c r="AD2216" s="30"/>
      <c r="AE2216" s="30"/>
      <c r="AF2216" s="30"/>
      <c r="AG2216" s="30"/>
      <c r="AH2216" s="30"/>
    </row>
    <row r="2217" spans="1:34" ht="13">
      <c r="A2217" s="30"/>
      <c r="B2217" s="30"/>
      <c r="C2217" s="30"/>
      <c r="D2217" s="30"/>
      <c r="E2217" s="30"/>
      <c r="F2217" s="30"/>
      <c r="G2217" s="30"/>
      <c r="H2217" s="48"/>
      <c r="I2217" s="49"/>
      <c r="J2217" s="49"/>
      <c r="K2217" s="48"/>
      <c r="L2217" s="50"/>
      <c r="M2217" s="30"/>
      <c r="N2217" s="30"/>
      <c r="O2217" s="30"/>
      <c r="P2217" s="30"/>
      <c r="Q2217" s="30"/>
      <c r="R2217" s="30"/>
      <c r="S2217" s="30"/>
      <c r="T2217" s="30"/>
      <c r="U2217" s="30"/>
      <c r="V2217" s="30"/>
      <c r="W2217" s="30"/>
      <c r="X2217" s="30"/>
      <c r="Y2217" s="30"/>
      <c r="Z2217" s="30"/>
      <c r="AA2217" s="30"/>
      <c r="AB2217" s="30"/>
      <c r="AC2217" s="30"/>
      <c r="AD2217" s="30"/>
      <c r="AE2217" s="30"/>
      <c r="AF2217" s="30"/>
      <c r="AG2217" s="30"/>
      <c r="AH2217" s="30"/>
    </row>
    <row r="2218" spans="1:34" ht="13">
      <c r="A2218" s="30"/>
      <c r="B2218" s="30"/>
      <c r="C2218" s="30"/>
      <c r="D2218" s="30"/>
      <c r="E2218" s="30"/>
      <c r="F2218" s="30"/>
      <c r="G2218" s="30"/>
      <c r="H2218" s="48"/>
      <c r="I2218" s="49"/>
      <c r="J2218" s="49"/>
      <c r="K2218" s="48"/>
      <c r="L2218" s="50"/>
      <c r="M2218" s="30"/>
      <c r="N2218" s="30"/>
      <c r="O2218" s="30"/>
      <c r="P2218" s="30"/>
      <c r="Q2218" s="30"/>
      <c r="R2218" s="30"/>
      <c r="S2218" s="30"/>
      <c r="T2218" s="30"/>
      <c r="U2218" s="30"/>
      <c r="V2218" s="30"/>
      <c r="W2218" s="30"/>
      <c r="X2218" s="30"/>
      <c r="Y2218" s="30"/>
      <c r="Z2218" s="30"/>
      <c r="AA2218" s="30"/>
      <c r="AB2218" s="30"/>
      <c r="AC2218" s="30"/>
      <c r="AD2218" s="30"/>
      <c r="AE2218" s="30"/>
      <c r="AF2218" s="30"/>
      <c r="AG2218" s="30"/>
      <c r="AH2218" s="30"/>
    </row>
    <row r="2219" spans="1:34" ht="13">
      <c r="A2219" s="30"/>
      <c r="B2219" s="30"/>
      <c r="C2219" s="30"/>
      <c r="D2219" s="30"/>
      <c r="E2219" s="30"/>
      <c r="F2219" s="30"/>
      <c r="G2219" s="30"/>
      <c r="H2219" s="48"/>
      <c r="I2219" s="49"/>
      <c r="J2219" s="49"/>
      <c r="K2219" s="48"/>
      <c r="L2219" s="50"/>
      <c r="M2219" s="30"/>
      <c r="N2219" s="30"/>
      <c r="O2219" s="30"/>
      <c r="P2219" s="30"/>
      <c r="Q2219" s="30"/>
      <c r="R2219" s="30"/>
      <c r="S2219" s="30"/>
      <c r="T2219" s="30"/>
      <c r="U2219" s="30"/>
      <c r="V2219" s="30"/>
      <c r="W2219" s="30"/>
      <c r="X2219" s="30"/>
      <c r="Y2219" s="30"/>
      <c r="Z2219" s="30"/>
      <c r="AA2219" s="30"/>
      <c r="AB2219" s="30"/>
      <c r="AC2219" s="30"/>
      <c r="AD2219" s="30"/>
      <c r="AE2219" s="30"/>
      <c r="AF2219" s="30"/>
      <c r="AG2219" s="30"/>
      <c r="AH2219" s="30"/>
    </row>
    <row r="2220" spans="1:34" ht="13">
      <c r="A2220" s="30"/>
      <c r="B2220" s="30"/>
      <c r="C2220" s="30"/>
      <c r="D2220" s="30"/>
      <c r="E2220" s="30"/>
      <c r="F2220" s="30"/>
      <c r="G2220" s="30"/>
      <c r="H2220" s="48"/>
      <c r="I2220" s="49"/>
      <c r="J2220" s="49"/>
      <c r="K2220" s="48"/>
      <c r="L2220" s="50"/>
      <c r="M2220" s="30"/>
      <c r="N2220" s="30"/>
      <c r="O2220" s="30"/>
      <c r="P2220" s="30"/>
      <c r="Q2220" s="30"/>
      <c r="R2220" s="30"/>
      <c r="S2220" s="30"/>
      <c r="T2220" s="30"/>
      <c r="U2220" s="30"/>
      <c r="V2220" s="30"/>
      <c r="W2220" s="30"/>
      <c r="X2220" s="30"/>
      <c r="Y2220" s="30"/>
      <c r="Z2220" s="30"/>
      <c r="AA2220" s="30"/>
      <c r="AB2220" s="30"/>
      <c r="AC2220" s="30"/>
      <c r="AD2220" s="30"/>
      <c r="AE2220" s="30"/>
      <c r="AF2220" s="30"/>
      <c r="AG2220" s="30"/>
      <c r="AH2220" s="30"/>
    </row>
    <row r="2221" spans="1:34" ht="13">
      <c r="A2221" s="30"/>
      <c r="B2221" s="30"/>
      <c r="C2221" s="30"/>
      <c r="D2221" s="30"/>
      <c r="E2221" s="30"/>
      <c r="F2221" s="30"/>
      <c r="G2221" s="30"/>
      <c r="H2221" s="48"/>
      <c r="I2221" s="49"/>
      <c r="J2221" s="49"/>
      <c r="K2221" s="48"/>
      <c r="L2221" s="50"/>
      <c r="M2221" s="30"/>
      <c r="N2221" s="30"/>
      <c r="O2221" s="30"/>
      <c r="P2221" s="30"/>
      <c r="Q2221" s="30"/>
      <c r="R2221" s="30"/>
      <c r="S2221" s="30"/>
      <c r="T2221" s="30"/>
      <c r="U2221" s="30"/>
      <c r="V2221" s="30"/>
      <c r="W2221" s="30"/>
      <c r="X2221" s="30"/>
      <c r="Y2221" s="30"/>
      <c r="Z2221" s="30"/>
      <c r="AA2221" s="30"/>
      <c r="AB2221" s="30"/>
      <c r="AC2221" s="30"/>
      <c r="AD2221" s="30"/>
      <c r="AE2221" s="30"/>
      <c r="AF2221" s="30"/>
      <c r="AG2221" s="30"/>
      <c r="AH2221" s="30"/>
    </row>
    <row r="2222" spans="1:34" ht="13">
      <c r="A2222" s="30"/>
      <c r="B2222" s="30"/>
      <c r="C2222" s="30"/>
      <c r="D2222" s="30"/>
      <c r="E2222" s="30"/>
      <c r="F2222" s="30"/>
      <c r="G2222" s="30"/>
      <c r="H2222" s="48"/>
      <c r="I2222" s="49"/>
      <c r="J2222" s="49"/>
      <c r="K2222" s="48"/>
      <c r="L2222" s="50"/>
      <c r="M2222" s="30"/>
      <c r="N2222" s="30"/>
      <c r="O2222" s="30"/>
      <c r="P2222" s="30"/>
      <c r="Q2222" s="30"/>
      <c r="R2222" s="30"/>
      <c r="S2222" s="30"/>
      <c r="T2222" s="30"/>
      <c r="U2222" s="30"/>
      <c r="V2222" s="30"/>
      <c r="W2222" s="30"/>
      <c r="X2222" s="30"/>
      <c r="Y2222" s="30"/>
      <c r="Z2222" s="30"/>
      <c r="AA2222" s="30"/>
      <c r="AB2222" s="30"/>
      <c r="AC2222" s="30"/>
      <c r="AD2222" s="30"/>
      <c r="AE2222" s="30"/>
      <c r="AF2222" s="30"/>
      <c r="AG2222" s="30"/>
      <c r="AH2222" s="30"/>
    </row>
    <row r="2223" spans="1:34" ht="13">
      <c r="A2223" s="30"/>
      <c r="B2223" s="30"/>
      <c r="C2223" s="30"/>
      <c r="D2223" s="30"/>
      <c r="E2223" s="30"/>
      <c r="F2223" s="30"/>
      <c r="G2223" s="30"/>
      <c r="H2223" s="48"/>
      <c r="I2223" s="49"/>
      <c r="J2223" s="49"/>
      <c r="K2223" s="48"/>
      <c r="L2223" s="50"/>
      <c r="M2223" s="30"/>
      <c r="N2223" s="30"/>
      <c r="O2223" s="30"/>
      <c r="P2223" s="30"/>
      <c r="Q2223" s="30"/>
      <c r="R2223" s="30"/>
      <c r="S2223" s="30"/>
      <c r="T2223" s="30"/>
      <c r="U2223" s="30"/>
      <c r="V2223" s="30"/>
      <c r="W2223" s="30"/>
      <c r="X2223" s="30"/>
      <c r="Y2223" s="30"/>
      <c r="Z2223" s="30"/>
      <c r="AA2223" s="30"/>
      <c r="AB2223" s="30"/>
      <c r="AC2223" s="30"/>
      <c r="AD2223" s="30"/>
      <c r="AE2223" s="30"/>
      <c r="AF2223" s="30"/>
      <c r="AG2223" s="30"/>
      <c r="AH2223" s="30"/>
    </row>
    <row r="2224" spans="1:34" ht="13">
      <c r="A2224" s="30"/>
      <c r="B2224" s="30"/>
      <c r="C2224" s="30"/>
      <c r="D2224" s="30"/>
      <c r="E2224" s="30"/>
      <c r="F2224" s="30"/>
      <c r="G2224" s="30"/>
      <c r="H2224" s="48"/>
      <c r="I2224" s="49"/>
      <c r="J2224" s="49"/>
      <c r="K2224" s="48"/>
      <c r="L2224" s="50"/>
      <c r="M2224" s="30"/>
      <c r="N2224" s="30"/>
      <c r="O2224" s="30"/>
      <c r="P2224" s="30"/>
      <c r="Q2224" s="30"/>
      <c r="R2224" s="30"/>
      <c r="S2224" s="30"/>
      <c r="T2224" s="30"/>
      <c r="U2224" s="30"/>
      <c r="V2224" s="30"/>
      <c r="W2224" s="30"/>
      <c r="X2224" s="30"/>
      <c r="Y2224" s="30"/>
      <c r="Z2224" s="30"/>
      <c r="AA2224" s="30"/>
      <c r="AB2224" s="30"/>
      <c r="AC2224" s="30"/>
      <c r="AD2224" s="30"/>
      <c r="AE2224" s="30"/>
      <c r="AF2224" s="30"/>
      <c r="AG2224" s="30"/>
      <c r="AH2224" s="30"/>
    </row>
    <row r="2225" spans="1:34" ht="13">
      <c r="A2225" s="30"/>
      <c r="B2225" s="30"/>
      <c r="C2225" s="30"/>
      <c r="D2225" s="30"/>
      <c r="E2225" s="30"/>
      <c r="F2225" s="30"/>
      <c r="G2225" s="30"/>
      <c r="H2225" s="48"/>
      <c r="I2225" s="49"/>
      <c r="J2225" s="49"/>
      <c r="K2225" s="48"/>
      <c r="L2225" s="50"/>
      <c r="M2225" s="30"/>
      <c r="N2225" s="30"/>
      <c r="O2225" s="30"/>
      <c r="P2225" s="30"/>
      <c r="Q2225" s="30"/>
      <c r="R2225" s="30"/>
      <c r="S2225" s="30"/>
      <c r="T2225" s="30"/>
      <c r="U2225" s="30"/>
      <c r="V2225" s="30"/>
      <c r="W2225" s="30"/>
      <c r="X2225" s="30"/>
      <c r="Y2225" s="30"/>
      <c r="Z2225" s="30"/>
      <c r="AA2225" s="30"/>
      <c r="AB2225" s="30"/>
      <c r="AC2225" s="30"/>
      <c r="AD2225" s="30"/>
      <c r="AE2225" s="30"/>
      <c r="AF2225" s="30"/>
      <c r="AG2225" s="30"/>
      <c r="AH2225" s="30"/>
    </row>
    <row r="2226" spans="1:34" ht="13">
      <c r="A2226" s="30"/>
      <c r="B2226" s="30"/>
      <c r="C2226" s="30"/>
      <c r="D2226" s="30"/>
      <c r="E2226" s="30"/>
      <c r="F2226" s="30"/>
      <c r="G2226" s="30"/>
      <c r="H2226" s="48"/>
      <c r="I2226" s="49"/>
      <c r="J2226" s="49"/>
      <c r="K2226" s="48"/>
      <c r="L2226" s="50"/>
      <c r="M2226" s="30"/>
      <c r="N2226" s="30"/>
      <c r="O2226" s="30"/>
      <c r="P2226" s="30"/>
      <c r="Q2226" s="30"/>
      <c r="R2226" s="30"/>
      <c r="S2226" s="30"/>
      <c r="T2226" s="30"/>
      <c r="U2226" s="30"/>
      <c r="V2226" s="30"/>
      <c r="W2226" s="30"/>
      <c r="X2226" s="30"/>
      <c r="Y2226" s="30"/>
      <c r="Z2226" s="30"/>
      <c r="AA2226" s="30"/>
      <c r="AB2226" s="30"/>
      <c r="AC2226" s="30"/>
      <c r="AD2226" s="30"/>
      <c r="AE2226" s="30"/>
      <c r="AF2226" s="30"/>
      <c r="AG2226" s="30"/>
      <c r="AH2226" s="30"/>
    </row>
    <row r="2227" spans="1:34" ht="13">
      <c r="A2227" s="30"/>
      <c r="B2227" s="30"/>
      <c r="C2227" s="30"/>
      <c r="D2227" s="30"/>
      <c r="E2227" s="30"/>
      <c r="F2227" s="30"/>
      <c r="G2227" s="30"/>
      <c r="H2227" s="48"/>
      <c r="I2227" s="49"/>
      <c r="J2227" s="49"/>
      <c r="K2227" s="48"/>
      <c r="L2227" s="50"/>
      <c r="M2227" s="30"/>
      <c r="N2227" s="30"/>
      <c r="O2227" s="30"/>
      <c r="P2227" s="30"/>
      <c r="Q2227" s="30"/>
      <c r="R2227" s="30"/>
      <c r="S2227" s="30"/>
      <c r="T2227" s="30"/>
      <c r="U2227" s="30"/>
      <c r="V2227" s="30"/>
      <c r="W2227" s="30"/>
      <c r="X2227" s="30"/>
      <c r="Y2227" s="30"/>
      <c r="Z2227" s="30"/>
      <c r="AA2227" s="30"/>
      <c r="AB2227" s="30"/>
      <c r="AC2227" s="30"/>
      <c r="AD2227" s="30"/>
      <c r="AE2227" s="30"/>
      <c r="AF2227" s="30"/>
      <c r="AG2227" s="30"/>
      <c r="AH2227" s="30"/>
    </row>
    <row r="2228" spans="1:34" ht="13">
      <c r="A2228" s="30"/>
      <c r="B2228" s="30"/>
      <c r="C2228" s="30"/>
      <c r="D2228" s="30"/>
      <c r="E2228" s="30"/>
      <c r="F2228" s="30"/>
      <c r="G2228" s="30"/>
      <c r="H2228" s="48"/>
      <c r="I2228" s="49"/>
      <c r="J2228" s="49"/>
      <c r="K2228" s="48"/>
      <c r="L2228" s="50"/>
      <c r="M2228" s="30"/>
      <c r="N2228" s="30"/>
      <c r="O2228" s="30"/>
      <c r="P2228" s="30"/>
      <c r="Q2228" s="30"/>
      <c r="R2228" s="30"/>
      <c r="S2228" s="30"/>
      <c r="T2228" s="30"/>
      <c r="U2228" s="30"/>
      <c r="V2228" s="30"/>
      <c r="W2228" s="30"/>
      <c r="X2228" s="30"/>
      <c r="Y2228" s="30"/>
      <c r="Z2228" s="30"/>
      <c r="AA2228" s="30"/>
      <c r="AB2228" s="30"/>
      <c r="AC2228" s="30"/>
      <c r="AD2228" s="30"/>
      <c r="AE2228" s="30"/>
      <c r="AF2228" s="30"/>
      <c r="AG2228" s="30"/>
      <c r="AH2228" s="30"/>
    </row>
    <row r="2229" spans="1:34" ht="13">
      <c r="A2229" s="30"/>
      <c r="B2229" s="30"/>
      <c r="C2229" s="30"/>
      <c r="D2229" s="30"/>
      <c r="E2229" s="30"/>
      <c r="F2229" s="30"/>
      <c r="G2229" s="30"/>
      <c r="H2229" s="48"/>
      <c r="I2229" s="49"/>
      <c r="J2229" s="49"/>
      <c r="K2229" s="48"/>
      <c r="L2229" s="50"/>
      <c r="M2229" s="30"/>
      <c r="N2229" s="30"/>
      <c r="O2229" s="30"/>
      <c r="P2229" s="30"/>
      <c r="Q2229" s="30"/>
      <c r="R2229" s="30"/>
      <c r="S2229" s="30"/>
      <c r="T2229" s="30"/>
      <c r="U2229" s="30"/>
      <c r="V2229" s="30"/>
      <c r="W2229" s="30"/>
      <c r="X2229" s="30"/>
      <c r="Y2229" s="30"/>
      <c r="Z2229" s="30"/>
      <c r="AA2229" s="30"/>
      <c r="AB2229" s="30"/>
      <c r="AC2229" s="30"/>
      <c r="AD2229" s="30"/>
      <c r="AE2229" s="30"/>
      <c r="AF2229" s="30"/>
      <c r="AG2229" s="30"/>
      <c r="AH2229" s="30"/>
    </row>
    <row r="2230" spans="1:34" ht="13">
      <c r="A2230" s="30"/>
      <c r="B2230" s="30"/>
      <c r="C2230" s="30"/>
      <c r="D2230" s="30"/>
      <c r="E2230" s="30"/>
      <c r="F2230" s="30"/>
      <c r="G2230" s="30"/>
      <c r="H2230" s="48"/>
      <c r="I2230" s="49"/>
      <c r="J2230" s="49"/>
      <c r="K2230" s="48"/>
      <c r="L2230" s="50"/>
      <c r="M2230" s="30"/>
      <c r="N2230" s="30"/>
      <c r="O2230" s="30"/>
      <c r="P2230" s="30"/>
      <c r="Q2230" s="30"/>
      <c r="R2230" s="30"/>
      <c r="S2230" s="30"/>
      <c r="T2230" s="30"/>
      <c r="U2230" s="30"/>
      <c r="V2230" s="30"/>
      <c r="W2230" s="30"/>
      <c r="X2230" s="30"/>
      <c r="Y2230" s="30"/>
      <c r="Z2230" s="30"/>
      <c r="AA2230" s="30"/>
      <c r="AB2230" s="30"/>
      <c r="AC2230" s="30"/>
      <c r="AD2230" s="30"/>
      <c r="AE2230" s="30"/>
      <c r="AF2230" s="30"/>
      <c r="AG2230" s="30"/>
      <c r="AH2230" s="30"/>
    </row>
    <row r="2231" spans="1:34" ht="13">
      <c r="A2231" s="30"/>
      <c r="B2231" s="30"/>
      <c r="C2231" s="30"/>
      <c r="D2231" s="30"/>
      <c r="E2231" s="30"/>
      <c r="F2231" s="30"/>
      <c r="G2231" s="30"/>
      <c r="H2231" s="48"/>
      <c r="I2231" s="49"/>
      <c r="J2231" s="49"/>
      <c r="K2231" s="48"/>
      <c r="L2231" s="50"/>
      <c r="M2231" s="30"/>
      <c r="N2231" s="30"/>
      <c r="O2231" s="30"/>
      <c r="P2231" s="30"/>
      <c r="Q2231" s="30"/>
      <c r="R2231" s="30"/>
      <c r="S2231" s="30"/>
      <c r="T2231" s="30"/>
      <c r="U2231" s="30"/>
      <c r="V2231" s="30"/>
      <c r="W2231" s="30"/>
      <c r="X2231" s="30"/>
      <c r="Y2231" s="30"/>
      <c r="Z2231" s="30"/>
      <c r="AA2231" s="30"/>
      <c r="AB2231" s="30"/>
      <c r="AC2231" s="30"/>
      <c r="AD2231" s="30"/>
      <c r="AE2231" s="30"/>
      <c r="AF2231" s="30"/>
      <c r="AG2231" s="30"/>
      <c r="AH2231" s="30"/>
    </row>
    <row r="2232" spans="1:34" ht="13">
      <c r="A2232" s="30"/>
      <c r="B2232" s="30"/>
      <c r="C2232" s="30"/>
      <c r="D2232" s="30"/>
      <c r="E2232" s="30"/>
      <c r="F2232" s="30"/>
      <c r="G2232" s="30"/>
      <c r="H2232" s="48"/>
      <c r="I2232" s="49"/>
      <c r="J2232" s="49"/>
      <c r="K2232" s="48"/>
      <c r="L2232" s="50"/>
      <c r="M2232" s="30"/>
      <c r="N2232" s="30"/>
      <c r="O2232" s="30"/>
      <c r="P2232" s="30"/>
      <c r="Q2232" s="30"/>
      <c r="R2232" s="30"/>
      <c r="S2232" s="30"/>
      <c r="T2232" s="30"/>
      <c r="U2232" s="30"/>
      <c r="V2232" s="30"/>
      <c r="W2232" s="30"/>
      <c r="X2232" s="30"/>
      <c r="Y2232" s="30"/>
      <c r="Z2232" s="30"/>
      <c r="AA2232" s="30"/>
      <c r="AB2232" s="30"/>
      <c r="AC2232" s="30"/>
      <c r="AD2232" s="30"/>
      <c r="AE2232" s="30"/>
      <c r="AF2232" s="30"/>
      <c r="AG2232" s="30"/>
      <c r="AH2232" s="30"/>
    </row>
    <row r="2233" spans="1:34" ht="13">
      <c r="A2233" s="30"/>
      <c r="B2233" s="30"/>
      <c r="C2233" s="30"/>
      <c r="D2233" s="30"/>
      <c r="E2233" s="30"/>
      <c r="F2233" s="30"/>
      <c r="G2233" s="30"/>
      <c r="H2233" s="48"/>
      <c r="I2233" s="49"/>
      <c r="J2233" s="49"/>
      <c r="K2233" s="48"/>
      <c r="L2233" s="50"/>
      <c r="M2233" s="30"/>
      <c r="N2233" s="30"/>
      <c r="O2233" s="30"/>
      <c r="P2233" s="30"/>
      <c r="Q2233" s="30"/>
      <c r="R2233" s="30"/>
      <c r="S2233" s="30"/>
      <c r="T2233" s="30"/>
      <c r="U2233" s="30"/>
      <c r="V2233" s="30"/>
      <c r="W2233" s="30"/>
      <c r="X2233" s="30"/>
      <c r="Y2233" s="30"/>
      <c r="Z2233" s="30"/>
      <c r="AA2233" s="30"/>
      <c r="AB2233" s="30"/>
      <c r="AC2233" s="30"/>
      <c r="AD2233" s="30"/>
      <c r="AE2233" s="30"/>
      <c r="AF2233" s="30"/>
      <c r="AG2233" s="30"/>
      <c r="AH2233" s="30"/>
    </row>
    <row r="2234" spans="1:34" ht="13">
      <c r="A2234" s="30"/>
      <c r="B2234" s="30"/>
      <c r="C2234" s="30"/>
      <c r="D2234" s="30"/>
      <c r="E2234" s="30"/>
      <c r="F2234" s="30"/>
      <c r="G2234" s="30"/>
      <c r="H2234" s="48"/>
      <c r="I2234" s="49"/>
      <c r="J2234" s="49"/>
      <c r="K2234" s="48"/>
      <c r="L2234" s="50"/>
      <c r="M2234" s="30"/>
      <c r="N2234" s="30"/>
      <c r="O2234" s="30"/>
      <c r="P2234" s="30"/>
      <c r="Q2234" s="30"/>
      <c r="R2234" s="30"/>
      <c r="S2234" s="30"/>
      <c r="T2234" s="30"/>
      <c r="U2234" s="30"/>
      <c r="V2234" s="30"/>
      <c r="W2234" s="30"/>
      <c r="X2234" s="30"/>
      <c r="Y2234" s="30"/>
      <c r="Z2234" s="30"/>
      <c r="AA2234" s="30"/>
      <c r="AB2234" s="30"/>
      <c r="AC2234" s="30"/>
      <c r="AD2234" s="30"/>
      <c r="AE2234" s="30"/>
      <c r="AF2234" s="30"/>
      <c r="AG2234" s="30"/>
      <c r="AH2234" s="30"/>
    </row>
    <row r="2235" spans="1:34" ht="13">
      <c r="A2235" s="30"/>
      <c r="B2235" s="30"/>
      <c r="C2235" s="30"/>
      <c r="D2235" s="30"/>
      <c r="E2235" s="30"/>
      <c r="F2235" s="30"/>
      <c r="G2235" s="30"/>
      <c r="H2235" s="48"/>
      <c r="I2235" s="49"/>
      <c r="J2235" s="49"/>
      <c r="K2235" s="48"/>
      <c r="L2235" s="50"/>
      <c r="M2235" s="30"/>
      <c r="N2235" s="30"/>
      <c r="O2235" s="30"/>
      <c r="P2235" s="30"/>
      <c r="Q2235" s="30"/>
      <c r="R2235" s="30"/>
      <c r="S2235" s="30"/>
      <c r="T2235" s="30"/>
      <c r="U2235" s="30"/>
      <c r="V2235" s="30"/>
      <c r="W2235" s="30"/>
      <c r="X2235" s="30"/>
      <c r="Y2235" s="30"/>
      <c r="Z2235" s="30"/>
      <c r="AA2235" s="30"/>
      <c r="AB2235" s="30"/>
      <c r="AC2235" s="30"/>
      <c r="AD2235" s="30"/>
      <c r="AE2235" s="30"/>
      <c r="AF2235" s="30"/>
      <c r="AG2235" s="30"/>
      <c r="AH2235" s="30"/>
    </row>
    <row r="2236" spans="1:34" ht="13">
      <c r="A2236" s="30"/>
      <c r="B2236" s="30"/>
      <c r="C2236" s="30"/>
      <c r="D2236" s="30"/>
      <c r="E2236" s="30"/>
      <c r="F2236" s="30"/>
      <c r="G2236" s="30"/>
      <c r="H2236" s="48"/>
      <c r="I2236" s="49"/>
      <c r="J2236" s="49"/>
      <c r="K2236" s="48"/>
      <c r="L2236" s="50"/>
      <c r="M2236" s="30"/>
      <c r="N2236" s="30"/>
      <c r="O2236" s="30"/>
      <c r="P2236" s="30"/>
      <c r="Q2236" s="30"/>
      <c r="R2236" s="30"/>
      <c r="S2236" s="30"/>
      <c r="T2236" s="30"/>
      <c r="U2236" s="30"/>
      <c r="V2236" s="30"/>
      <c r="W2236" s="30"/>
      <c r="X2236" s="30"/>
      <c r="Y2236" s="30"/>
      <c r="Z2236" s="30"/>
      <c r="AA2236" s="30"/>
      <c r="AB2236" s="30"/>
      <c r="AC2236" s="30"/>
      <c r="AD2236" s="30"/>
      <c r="AE2236" s="30"/>
      <c r="AF2236" s="30"/>
      <c r="AG2236" s="30"/>
      <c r="AH2236" s="30"/>
    </row>
    <row r="2237" spans="1:34" ht="13">
      <c r="A2237" s="30"/>
      <c r="B2237" s="30"/>
      <c r="C2237" s="30"/>
      <c r="D2237" s="30"/>
      <c r="E2237" s="30"/>
      <c r="F2237" s="30"/>
      <c r="G2237" s="30"/>
      <c r="H2237" s="48"/>
      <c r="I2237" s="49"/>
      <c r="J2237" s="49"/>
      <c r="K2237" s="48"/>
      <c r="L2237" s="50"/>
      <c r="M2237" s="30"/>
      <c r="N2237" s="30"/>
      <c r="O2237" s="30"/>
      <c r="P2237" s="30"/>
      <c r="Q2237" s="30"/>
      <c r="R2237" s="30"/>
      <c r="S2237" s="30"/>
      <c r="T2237" s="30"/>
      <c r="U2237" s="30"/>
      <c r="V2237" s="30"/>
      <c r="W2237" s="30"/>
      <c r="X2237" s="30"/>
      <c r="Y2237" s="30"/>
      <c r="Z2237" s="30"/>
      <c r="AA2237" s="30"/>
      <c r="AB2237" s="30"/>
      <c r="AC2237" s="30"/>
      <c r="AD2237" s="30"/>
      <c r="AE2237" s="30"/>
      <c r="AF2237" s="30"/>
      <c r="AG2237" s="30"/>
      <c r="AH2237" s="30"/>
    </row>
    <row r="2238" spans="1:34" ht="13">
      <c r="A2238" s="30"/>
      <c r="B2238" s="30"/>
      <c r="C2238" s="30"/>
      <c r="D2238" s="30"/>
      <c r="E2238" s="30"/>
      <c r="F2238" s="30"/>
      <c r="G2238" s="30"/>
      <c r="H2238" s="48"/>
      <c r="I2238" s="49"/>
      <c r="J2238" s="49"/>
      <c r="K2238" s="48"/>
      <c r="L2238" s="50"/>
      <c r="M2238" s="30"/>
      <c r="N2238" s="30"/>
      <c r="O2238" s="30"/>
      <c r="P2238" s="30"/>
      <c r="Q2238" s="30"/>
      <c r="R2238" s="30"/>
      <c r="S2238" s="30"/>
      <c r="T2238" s="30"/>
      <c r="U2238" s="30"/>
      <c r="V2238" s="30"/>
      <c r="W2238" s="30"/>
      <c r="X2238" s="30"/>
      <c r="Y2238" s="30"/>
      <c r="Z2238" s="30"/>
      <c r="AA2238" s="30"/>
      <c r="AB2238" s="30"/>
      <c r="AC2238" s="30"/>
      <c r="AD2238" s="30"/>
      <c r="AE2238" s="30"/>
      <c r="AF2238" s="30"/>
      <c r="AG2238" s="30"/>
      <c r="AH2238" s="30"/>
    </row>
    <row r="2239" spans="1:34" ht="13">
      <c r="A2239" s="30"/>
      <c r="B2239" s="30"/>
      <c r="C2239" s="30"/>
      <c r="D2239" s="30"/>
      <c r="E2239" s="30"/>
      <c r="F2239" s="30"/>
      <c r="G2239" s="30"/>
      <c r="H2239" s="48"/>
      <c r="I2239" s="49"/>
      <c r="J2239" s="49"/>
      <c r="K2239" s="48"/>
      <c r="L2239" s="50"/>
      <c r="M2239" s="30"/>
      <c r="N2239" s="30"/>
      <c r="O2239" s="30"/>
      <c r="P2239" s="30"/>
      <c r="Q2239" s="30"/>
      <c r="R2239" s="30"/>
      <c r="S2239" s="30"/>
      <c r="T2239" s="30"/>
      <c r="U2239" s="30"/>
      <c r="V2239" s="30"/>
      <c r="W2239" s="30"/>
      <c r="X2239" s="30"/>
      <c r="Y2239" s="30"/>
      <c r="Z2239" s="30"/>
      <c r="AA2239" s="30"/>
      <c r="AB2239" s="30"/>
      <c r="AC2239" s="30"/>
      <c r="AD2239" s="30"/>
      <c r="AE2239" s="30"/>
      <c r="AF2239" s="30"/>
      <c r="AG2239" s="30"/>
      <c r="AH2239" s="30"/>
    </row>
    <row r="2240" spans="1:34" ht="13">
      <c r="A2240" s="30"/>
      <c r="B2240" s="30"/>
      <c r="C2240" s="30"/>
      <c r="D2240" s="30"/>
      <c r="E2240" s="30"/>
      <c r="F2240" s="30"/>
      <c r="G2240" s="30"/>
      <c r="H2240" s="48"/>
      <c r="I2240" s="49"/>
      <c r="J2240" s="49"/>
      <c r="K2240" s="48"/>
      <c r="L2240" s="50"/>
      <c r="M2240" s="30"/>
      <c r="N2240" s="30"/>
      <c r="O2240" s="30"/>
      <c r="P2240" s="30"/>
      <c r="Q2240" s="30"/>
      <c r="R2240" s="30"/>
      <c r="S2240" s="30"/>
      <c r="T2240" s="30"/>
      <c r="U2240" s="30"/>
      <c r="V2240" s="30"/>
      <c r="W2240" s="30"/>
      <c r="X2240" s="30"/>
      <c r="Y2240" s="30"/>
      <c r="Z2240" s="30"/>
      <c r="AA2240" s="30"/>
      <c r="AB2240" s="30"/>
      <c r="AC2240" s="30"/>
      <c r="AD2240" s="30"/>
      <c r="AE2240" s="30"/>
      <c r="AF2240" s="30"/>
      <c r="AG2240" s="30"/>
      <c r="AH2240" s="30"/>
    </row>
    <row r="2241" spans="1:34" ht="13">
      <c r="A2241" s="30"/>
      <c r="B2241" s="30"/>
      <c r="C2241" s="30"/>
      <c r="D2241" s="30"/>
      <c r="E2241" s="30"/>
      <c r="F2241" s="30"/>
      <c r="G2241" s="30"/>
      <c r="H2241" s="48"/>
      <c r="I2241" s="49"/>
      <c r="J2241" s="49"/>
      <c r="K2241" s="48"/>
      <c r="L2241" s="50"/>
      <c r="M2241" s="30"/>
      <c r="N2241" s="30"/>
      <c r="O2241" s="30"/>
      <c r="P2241" s="30"/>
      <c r="Q2241" s="30"/>
      <c r="R2241" s="30"/>
      <c r="S2241" s="30"/>
      <c r="T2241" s="30"/>
      <c r="U2241" s="30"/>
      <c r="V2241" s="30"/>
      <c r="W2241" s="30"/>
      <c r="X2241" s="30"/>
      <c r="Y2241" s="30"/>
      <c r="Z2241" s="30"/>
      <c r="AA2241" s="30"/>
      <c r="AB2241" s="30"/>
      <c r="AC2241" s="30"/>
      <c r="AD2241" s="30"/>
      <c r="AE2241" s="30"/>
      <c r="AF2241" s="30"/>
      <c r="AG2241" s="30"/>
      <c r="AH2241" s="30"/>
    </row>
    <row r="2242" spans="1:34" ht="13">
      <c r="A2242" s="30"/>
      <c r="B2242" s="30"/>
      <c r="C2242" s="30"/>
      <c r="D2242" s="30"/>
      <c r="E2242" s="30"/>
      <c r="F2242" s="30"/>
      <c r="G2242" s="30"/>
      <c r="H2242" s="48"/>
      <c r="I2242" s="49"/>
      <c r="J2242" s="49"/>
      <c r="K2242" s="48"/>
      <c r="L2242" s="50"/>
      <c r="M2242" s="30"/>
      <c r="N2242" s="30"/>
      <c r="O2242" s="30"/>
      <c r="P2242" s="30"/>
      <c r="Q2242" s="30"/>
      <c r="R2242" s="30"/>
      <c r="S2242" s="30"/>
      <c r="T2242" s="30"/>
      <c r="U2242" s="30"/>
      <c r="V2242" s="30"/>
      <c r="W2242" s="30"/>
      <c r="X2242" s="30"/>
      <c r="Y2242" s="30"/>
      <c r="Z2242" s="30"/>
      <c r="AA2242" s="30"/>
      <c r="AB2242" s="30"/>
      <c r="AC2242" s="30"/>
      <c r="AD2242" s="30"/>
      <c r="AE2242" s="30"/>
      <c r="AF2242" s="30"/>
      <c r="AG2242" s="30"/>
      <c r="AH2242" s="30"/>
    </row>
    <row r="2243" spans="1:34" ht="13">
      <c r="A2243" s="30"/>
      <c r="B2243" s="30"/>
      <c r="C2243" s="30"/>
      <c r="D2243" s="30"/>
      <c r="E2243" s="30"/>
      <c r="F2243" s="30"/>
      <c r="G2243" s="30"/>
      <c r="H2243" s="48"/>
      <c r="I2243" s="49"/>
      <c r="J2243" s="49"/>
      <c r="K2243" s="48"/>
      <c r="L2243" s="50"/>
      <c r="M2243" s="30"/>
      <c r="N2243" s="30"/>
      <c r="O2243" s="30"/>
      <c r="P2243" s="30"/>
      <c r="Q2243" s="30"/>
      <c r="R2243" s="30"/>
      <c r="S2243" s="30"/>
      <c r="T2243" s="30"/>
      <c r="U2243" s="30"/>
      <c r="V2243" s="30"/>
      <c r="W2243" s="30"/>
      <c r="X2243" s="30"/>
      <c r="Y2243" s="30"/>
      <c r="Z2243" s="30"/>
      <c r="AA2243" s="30"/>
      <c r="AB2243" s="30"/>
      <c r="AC2243" s="30"/>
      <c r="AD2243" s="30"/>
      <c r="AE2243" s="30"/>
      <c r="AF2243" s="30"/>
      <c r="AG2243" s="30"/>
      <c r="AH2243" s="30"/>
    </row>
    <row r="2244" spans="1:34" ht="13">
      <c r="A2244" s="30"/>
      <c r="B2244" s="30"/>
      <c r="C2244" s="30"/>
      <c r="D2244" s="30"/>
      <c r="E2244" s="30"/>
      <c r="F2244" s="30"/>
      <c r="G2244" s="30"/>
      <c r="H2244" s="48"/>
      <c r="I2244" s="49"/>
      <c r="J2244" s="49"/>
      <c r="K2244" s="48"/>
      <c r="L2244" s="50"/>
      <c r="M2244" s="30"/>
      <c r="N2244" s="30"/>
      <c r="O2244" s="30"/>
      <c r="P2244" s="30"/>
      <c r="Q2244" s="30"/>
      <c r="R2244" s="30"/>
      <c r="S2244" s="30"/>
      <c r="T2244" s="30"/>
      <c r="U2244" s="30"/>
      <c r="V2244" s="30"/>
      <c r="W2244" s="30"/>
      <c r="X2244" s="30"/>
      <c r="Y2244" s="30"/>
      <c r="Z2244" s="30"/>
      <c r="AA2244" s="30"/>
      <c r="AB2244" s="30"/>
      <c r="AC2244" s="30"/>
      <c r="AD2244" s="30"/>
      <c r="AE2244" s="30"/>
      <c r="AF2244" s="30"/>
      <c r="AG2244" s="30"/>
      <c r="AH2244" s="30"/>
    </row>
    <row r="2245" spans="1:34" ht="13">
      <c r="A2245" s="30"/>
      <c r="B2245" s="30"/>
      <c r="C2245" s="30"/>
      <c r="D2245" s="30"/>
      <c r="E2245" s="30"/>
      <c r="F2245" s="30"/>
      <c r="G2245" s="30"/>
      <c r="H2245" s="48"/>
      <c r="I2245" s="49"/>
      <c r="J2245" s="49"/>
      <c r="K2245" s="48"/>
      <c r="L2245" s="50"/>
      <c r="M2245" s="30"/>
      <c r="N2245" s="30"/>
      <c r="O2245" s="30"/>
      <c r="P2245" s="30"/>
      <c r="Q2245" s="30"/>
      <c r="R2245" s="30"/>
      <c r="S2245" s="30"/>
      <c r="T2245" s="30"/>
      <c r="U2245" s="30"/>
      <c r="V2245" s="30"/>
      <c r="W2245" s="30"/>
      <c r="X2245" s="30"/>
      <c r="Y2245" s="30"/>
      <c r="Z2245" s="30"/>
      <c r="AA2245" s="30"/>
      <c r="AB2245" s="30"/>
      <c r="AC2245" s="30"/>
      <c r="AD2245" s="30"/>
      <c r="AE2245" s="30"/>
      <c r="AF2245" s="30"/>
      <c r="AG2245" s="30"/>
      <c r="AH2245" s="30"/>
    </row>
    <row r="2246" spans="1:34" ht="13">
      <c r="A2246" s="30"/>
      <c r="B2246" s="30"/>
      <c r="C2246" s="30"/>
      <c r="D2246" s="30"/>
      <c r="E2246" s="30"/>
      <c r="F2246" s="30"/>
      <c r="G2246" s="30"/>
      <c r="H2246" s="48"/>
      <c r="I2246" s="49"/>
      <c r="J2246" s="49"/>
      <c r="K2246" s="48"/>
      <c r="L2246" s="50"/>
      <c r="M2246" s="30"/>
      <c r="N2246" s="30"/>
      <c r="O2246" s="30"/>
      <c r="P2246" s="30"/>
      <c r="Q2246" s="30"/>
      <c r="R2246" s="30"/>
      <c r="S2246" s="30"/>
      <c r="T2246" s="30"/>
      <c r="U2246" s="30"/>
      <c r="V2246" s="30"/>
      <c r="W2246" s="30"/>
      <c r="X2246" s="30"/>
      <c r="Y2246" s="30"/>
      <c r="Z2246" s="30"/>
      <c r="AA2246" s="30"/>
      <c r="AB2246" s="30"/>
      <c r="AC2246" s="30"/>
      <c r="AD2246" s="30"/>
      <c r="AE2246" s="30"/>
      <c r="AF2246" s="30"/>
      <c r="AG2246" s="30"/>
      <c r="AH2246" s="30"/>
    </row>
    <row r="2247" spans="1:34" ht="13">
      <c r="A2247" s="30"/>
      <c r="B2247" s="30"/>
      <c r="C2247" s="30"/>
      <c r="D2247" s="30"/>
      <c r="E2247" s="30"/>
      <c r="F2247" s="30"/>
      <c r="G2247" s="30"/>
      <c r="H2247" s="48"/>
      <c r="I2247" s="49"/>
      <c r="J2247" s="49"/>
      <c r="K2247" s="48"/>
      <c r="L2247" s="50"/>
      <c r="M2247" s="30"/>
      <c r="N2247" s="30"/>
      <c r="O2247" s="30"/>
      <c r="P2247" s="30"/>
      <c r="Q2247" s="30"/>
      <c r="R2247" s="30"/>
      <c r="S2247" s="30"/>
      <c r="T2247" s="30"/>
      <c r="U2247" s="30"/>
      <c r="V2247" s="30"/>
      <c r="W2247" s="30"/>
      <c r="X2247" s="30"/>
      <c r="Y2247" s="30"/>
      <c r="Z2247" s="30"/>
      <c r="AA2247" s="30"/>
      <c r="AB2247" s="30"/>
      <c r="AC2247" s="30"/>
      <c r="AD2247" s="30"/>
      <c r="AE2247" s="30"/>
      <c r="AF2247" s="30"/>
      <c r="AG2247" s="30"/>
      <c r="AH2247" s="30"/>
    </row>
    <row r="2248" spans="1:34" ht="13">
      <c r="A2248" s="30"/>
      <c r="B2248" s="30"/>
      <c r="C2248" s="30"/>
      <c r="D2248" s="30"/>
      <c r="E2248" s="30"/>
      <c r="F2248" s="30"/>
      <c r="G2248" s="30"/>
      <c r="H2248" s="48"/>
      <c r="I2248" s="49"/>
      <c r="J2248" s="49"/>
      <c r="K2248" s="48"/>
      <c r="L2248" s="50"/>
      <c r="M2248" s="30"/>
      <c r="N2248" s="30"/>
      <c r="O2248" s="30"/>
      <c r="P2248" s="30"/>
      <c r="Q2248" s="30"/>
      <c r="R2248" s="30"/>
      <c r="S2248" s="30"/>
      <c r="T2248" s="30"/>
      <c r="U2248" s="30"/>
      <c r="V2248" s="30"/>
      <c r="W2248" s="30"/>
      <c r="X2248" s="30"/>
      <c r="Y2248" s="30"/>
      <c r="Z2248" s="30"/>
      <c r="AA2248" s="30"/>
      <c r="AB2248" s="30"/>
      <c r="AC2248" s="30"/>
      <c r="AD2248" s="30"/>
      <c r="AE2248" s="30"/>
      <c r="AF2248" s="30"/>
      <c r="AG2248" s="30"/>
      <c r="AH2248" s="30"/>
    </row>
    <row r="2249" spans="1:34" ht="13">
      <c r="A2249" s="30"/>
      <c r="B2249" s="30"/>
      <c r="C2249" s="30"/>
      <c r="D2249" s="30"/>
      <c r="E2249" s="30"/>
      <c r="F2249" s="30"/>
      <c r="G2249" s="30"/>
      <c r="H2249" s="48"/>
      <c r="I2249" s="49"/>
      <c r="J2249" s="49"/>
      <c r="K2249" s="48"/>
      <c r="L2249" s="50"/>
      <c r="M2249" s="30"/>
      <c r="N2249" s="30"/>
      <c r="O2249" s="30"/>
      <c r="P2249" s="30"/>
      <c r="Q2249" s="30"/>
      <c r="R2249" s="30"/>
      <c r="S2249" s="30"/>
      <c r="T2249" s="30"/>
      <c r="U2249" s="30"/>
      <c r="V2249" s="30"/>
      <c r="W2249" s="30"/>
      <c r="X2249" s="30"/>
      <c r="Y2249" s="30"/>
      <c r="Z2249" s="30"/>
      <c r="AA2249" s="30"/>
      <c r="AB2249" s="30"/>
      <c r="AC2249" s="30"/>
      <c r="AD2249" s="30"/>
      <c r="AE2249" s="30"/>
      <c r="AF2249" s="30"/>
      <c r="AG2249" s="30"/>
      <c r="AH2249" s="30"/>
    </row>
    <row r="2250" spans="1:34" ht="13">
      <c r="A2250" s="30"/>
      <c r="B2250" s="30"/>
      <c r="C2250" s="30"/>
      <c r="D2250" s="30"/>
      <c r="E2250" s="30"/>
      <c r="F2250" s="30"/>
      <c r="G2250" s="30"/>
      <c r="H2250" s="48"/>
      <c r="I2250" s="49"/>
      <c r="J2250" s="49"/>
      <c r="K2250" s="48"/>
      <c r="L2250" s="50"/>
      <c r="M2250" s="30"/>
      <c r="N2250" s="30"/>
      <c r="O2250" s="30"/>
      <c r="P2250" s="30"/>
      <c r="Q2250" s="30"/>
      <c r="R2250" s="30"/>
      <c r="S2250" s="30"/>
      <c r="T2250" s="30"/>
      <c r="U2250" s="30"/>
      <c r="V2250" s="30"/>
      <c r="W2250" s="30"/>
      <c r="X2250" s="30"/>
      <c r="Y2250" s="30"/>
      <c r="Z2250" s="30"/>
      <c r="AA2250" s="30"/>
      <c r="AB2250" s="30"/>
      <c r="AC2250" s="30"/>
      <c r="AD2250" s="30"/>
      <c r="AE2250" s="30"/>
      <c r="AF2250" s="30"/>
      <c r="AG2250" s="30"/>
      <c r="AH2250" s="30"/>
    </row>
    <row r="2251" spans="1:34" ht="13">
      <c r="A2251" s="30"/>
      <c r="B2251" s="30"/>
      <c r="C2251" s="30"/>
      <c r="D2251" s="30"/>
      <c r="E2251" s="30"/>
      <c r="F2251" s="30"/>
      <c r="G2251" s="30"/>
      <c r="H2251" s="48"/>
      <c r="I2251" s="49"/>
      <c r="J2251" s="49"/>
      <c r="K2251" s="48"/>
      <c r="L2251" s="50"/>
      <c r="M2251" s="30"/>
      <c r="N2251" s="30"/>
      <c r="O2251" s="30"/>
      <c r="P2251" s="30"/>
      <c r="Q2251" s="30"/>
      <c r="R2251" s="30"/>
      <c r="S2251" s="30"/>
      <c r="T2251" s="30"/>
      <c r="U2251" s="30"/>
      <c r="V2251" s="30"/>
      <c r="W2251" s="30"/>
      <c r="X2251" s="30"/>
      <c r="Y2251" s="30"/>
      <c r="Z2251" s="30"/>
      <c r="AA2251" s="30"/>
      <c r="AB2251" s="30"/>
      <c r="AC2251" s="30"/>
      <c r="AD2251" s="30"/>
      <c r="AE2251" s="30"/>
      <c r="AF2251" s="30"/>
      <c r="AG2251" s="30"/>
      <c r="AH2251" s="30"/>
    </row>
    <row r="2252" spans="1:34" ht="13">
      <c r="A2252" s="30"/>
      <c r="B2252" s="30"/>
      <c r="C2252" s="30"/>
      <c r="D2252" s="30"/>
      <c r="E2252" s="30"/>
      <c r="F2252" s="30"/>
      <c r="G2252" s="30"/>
      <c r="H2252" s="48"/>
      <c r="I2252" s="49"/>
      <c r="J2252" s="49"/>
      <c r="K2252" s="48"/>
      <c r="L2252" s="50"/>
      <c r="M2252" s="30"/>
      <c r="N2252" s="30"/>
      <c r="O2252" s="30"/>
      <c r="P2252" s="30"/>
      <c r="Q2252" s="30"/>
      <c r="R2252" s="30"/>
      <c r="S2252" s="30"/>
      <c r="T2252" s="30"/>
      <c r="U2252" s="30"/>
      <c r="V2252" s="30"/>
      <c r="W2252" s="30"/>
      <c r="X2252" s="30"/>
      <c r="Y2252" s="30"/>
      <c r="Z2252" s="30"/>
      <c r="AA2252" s="30"/>
      <c r="AB2252" s="30"/>
      <c r="AC2252" s="30"/>
      <c r="AD2252" s="30"/>
      <c r="AE2252" s="30"/>
      <c r="AF2252" s="30"/>
      <c r="AG2252" s="30"/>
      <c r="AH2252" s="30"/>
    </row>
    <row r="2253" spans="1:34" ht="13">
      <c r="A2253" s="30"/>
      <c r="B2253" s="30"/>
      <c r="C2253" s="30"/>
      <c r="D2253" s="30"/>
      <c r="E2253" s="30"/>
      <c r="F2253" s="30"/>
      <c r="G2253" s="30"/>
      <c r="H2253" s="48"/>
      <c r="I2253" s="49"/>
      <c r="J2253" s="49"/>
      <c r="K2253" s="48"/>
      <c r="L2253" s="50"/>
      <c r="M2253" s="30"/>
      <c r="N2253" s="30"/>
      <c r="O2253" s="30"/>
      <c r="P2253" s="30"/>
      <c r="Q2253" s="30"/>
      <c r="R2253" s="30"/>
      <c r="S2253" s="30"/>
      <c r="T2253" s="30"/>
      <c r="U2253" s="30"/>
      <c r="V2253" s="30"/>
      <c r="W2253" s="30"/>
      <c r="X2253" s="30"/>
      <c r="Y2253" s="30"/>
      <c r="Z2253" s="30"/>
      <c r="AA2253" s="30"/>
      <c r="AB2253" s="30"/>
      <c r="AC2253" s="30"/>
      <c r="AD2253" s="30"/>
      <c r="AE2253" s="30"/>
      <c r="AF2253" s="30"/>
      <c r="AG2253" s="30"/>
      <c r="AH2253" s="30"/>
    </row>
    <row r="2254" spans="1:34" ht="13">
      <c r="A2254" s="30"/>
      <c r="B2254" s="30"/>
      <c r="C2254" s="30"/>
      <c r="D2254" s="30"/>
      <c r="E2254" s="30"/>
      <c r="F2254" s="30"/>
      <c r="G2254" s="30"/>
      <c r="H2254" s="48"/>
      <c r="I2254" s="49"/>
      <c r="J2254" s="49"/>
      <c r="K2254" s="48"/>
      <c r="L2254" s="50"/>
      <c r="M2254" s="30"/>
      <c r="N2254" s="30"/>
      <c r="O2254" s="30"/>
      <c r="P2254" s="30"/>
      <c r="Q2254" s="30"/>
      <c r="R2254" s="30"/>
      <c r="S2254" s="30"/>
      <c r="T2254" s="30"/>
      <c r="U2254" s="30"/>
      <c r="V2254" s="30"/>
      <c r="W2254" s="30"/>
      <c r="X2254" s="30"/>
      <c r="Y2254" s="30"/>
      <c r="Z2254" s="30"/>
      <c r="AA2254" s="30"/>
      <c r="AB2254" s="30"/>
      <c r="AC2254" s="30"/>
      <c r="AD2254" s="30"/>
      <c r="AE2254" s="30"/>
      <c r="AF2254" s="30"/>
      <c r="AG2254" s="30"/>
      <c r="AH2254" s="30"/>
    </row>
    <row r="2255" spans="1:34" ht="13">
      <c r="A2255" s="30"/>
      <c r="B2255" s="30"/>
      <c r="C2255" s="30"/>
      <c r="D2255" s="30"/>
      <c r="E2255" s="30"/>
      <c r="F2255" s="30"/>
      <c r="G2255" s="30"/>
      <c r="H2255" s="48"/>
      <c r="I2255" s="49"/>
      <c r="J2255" s="49"/>
      <c r="K2255" s="48"/>
      <c r="L2255" s="50"/>
      <c r="M2255" s="30"/>
      <c r="N2255" s="30"/>
      <c r="O2255" s="30"/>
      <c r="P2255" s="30"/>
      <c r="Q2255" s="30"/>
      <c r="R2255" s="30"/>
      <c r="S2255" s="30"/>
      <c r="T2255" s="30"/>
      <c r="U2255" s="30"/>
      <c r="V2255" s="30"/>
      <c r="W2255" s="30"/>
      <c r="X2255" s="30"/>
      <c r="Y2255" s="30"/>
      <c r="Z2255" s="30"/>
      <c r="AA2255" s="30"/>
      <c r="AB2255" s="30"/>
      <c r="AC2255" s="30"/>
      <c r="AD2255" s="30"/>
      <c r="AE2255" s="30"/>
      <c r="AF2255" s="30"/>
      <c r="AG2255" s="30"/>
      <c r="AH2255" s="30"/>
    </row>
    <row r="2256" spans="1:34" ht="13">
      <c r="A2256" s="30"/>
      <c r="B2256" s="30"/>
      <c r="C2256" s="30"/>
      <c r="D2256" s="30"/>
      <c r="E2256" s="30"/>
      <c r="F2256" s="30"/>
      <c r="G2256" s="30"/>
      <c r="H2256" s="48"/>
      <c r="I2256" s="49"/>
      <c r="J2256" s="49"/>
      <c r="K2256" s="48"/>
      <c r="L2256" s="50"/>
      <c r="M2256" s="30"/>
      <c r="N2256" s="30"/>
      <c r="O2256" s="30"/>
      <c r="P2256" s="30"/>
      <c r="Q2256" s="30"/>
      <c r="R2256" s="30"/>
      <c r="S2256" s="30"/>
      <c r="T2256" s="30"/>
      <c r="U2256" s="30"/>
      <c r="V2256" s="30"/>
      <c r="W2256" s="30"/>
      <c r="X2256" s="30"/>
      <c r="Y2256" s="30"/>
      <c r="Z2256" s="30"/>
      <c r="AA2256" s="30"/>
      <c r="AB2256" s="30"/>
      <c r="AC2256" s="30"/>
      <c r="AD2256" s="30"/>
      <c r="AE2256" s="30"/>
      <c r="AF2256" s="30"/>
      <c r="AG2256" s="30"/>
      <c r="AH2256" s="30"/>
    </row>
    <row r="2257" spans="1:34" ht="13">
      <c r="A2257" s="30"/>
      <c r="B2257" s="30"/>
      <c r="C2257" s="30"/>
      <c r="D2257" s="30"/>
      <c r="E2257" s="30"/>
      <c r="F2257" s="30"/>
      <c r="G2257" s="30"/>
      <c r="H2257" s="48"/>
      <c r="I2257" s="49"/>
      <c r="J2257" s="49"/>
      <c r="K2257" s="48"/>
      <c r="L2257" s="50"/>
      <c r="M2257" s="30"/>
      <c r="N2257" s="30"/>
      <c r="O2257" s="30"/>
      <c r="P2257" s="30"/>
      <c r="Q2257" s="30"/>
      <c r="R2257" s="30"/>
      <c r="S2257" s="30"/>
      <c r="T2257" s="30"/>
      <c r="U2257" s="30"/>
      <c r="V2257" s="30"/>
      <c r="W2257" s="30"/>
      <c r="X2257" s="30"/>
      <c r="Y2257" s="30"/>
      <c r="Z2257" s="30"/>
      <c r="AA2257" s="30"/>
      <c r="AB2257" s="30"/>
      <c r="AC2257" s="30"/>
      <c r="AD2257" s="30"/>
      <c r="AE2257" s="30"/>
      <c r="AF2257" s="30"/>
      <c r="AG2257" s="30"/>
      <c r="AH2257" s="30"/>
    </row>
    <row r="2258" spans="1:34" ht="13">
      <c r="A2258" s="30"/>
      <c r="B2258" s="30"/>
      <c r="C2258" s="30"/>
      <c r="D2258" s="30"/>
      <c r="E2258" s="30"/>
      <c r="F2258" s="30"/>
      <c r="G2258" s="30"/>
      <c r="H2258" s="48"/>
      <c r="I2258" s="49"/>
      <c r="J2258" s="49"/>
      <c r="K2258" s="48"/>
      <c r="L2258" s="50"/>
      <c r="M2258" s="30"/>
      <c r="N2258" s="30"/>
      <c r="O2258" s="30"/>
      <c r="P2258" s="30"/>
      <c r="Q2258" s="30"/>
      <c r="R2258" s="30"/>
      <c r="S2258" s="30"/>
      <c r="T2258" s="30"/>
      <c r="U2258" s="30"/>
      <c r="V2258" s="30"/>
      <c r="W2258" s="30"/>
      <c r="X2258" s="30"/>
      <c r="Y2258" s="30"/>
      <c r="Z2258" s="30"/>
      <c r="AA2258" s="30"/>
      <c r="AB2258" s="30"/>
      <c r="AC2258" s="30"/>
      <c r="AD2258" s="30"/>
      <c r="AE2258" s="30"/>
      <c r="AF2258" s="30"/>
      <c r="AG2258" s="30"/>
      <c r="AH2258" s="30"/>
    </row>
    <row r="2259" spans="1:34" ht="13">
      <c r="A2259" s="30"/>
      <c r="B2259" s="30"/>
      <c r="C2259" s="30"/>
      <c r="D2259" s="30"/>
      <c r="E2259" s="30"/>
      <c r="F2259" s="30"/>
      <c r="G2259" s="30"/>
      <c r="H2259" s="48"/>
      <c r="I2259" s="49"/>
      <c r="J2259" s="49"/>
      <c r="K2259" s="48"/>
      <c r="L2259" s="50"/>
      <c r="M2259" s="30"/>
      <c r="N2259" s="30"/>
      <c r="O2259" s="30"/>
      <c r="P2259" s="30"/>
      <c r="Q2259" s="30"/>
      <c r="R2259" s="30"/>
      <c r="S2259" s="30"/>
      <c r="T2259" s="30"/>
      <c r="U2259" s="30"/>
      <c r="V2259" s="30"/>
      <c r="W2259" s="30"/>
      <c r="X2259" s="30"/>
      <c r="Y2259" s="30"/>
      <c r="Z2259" s="30"/>
      <c r="AA2259" s="30"/>
      <c r="AB2259" s="30"/>
      <c r="AC2259" s="30"/>
      <c r="AD2259" s="30"/>
      <c r="AE2259" s="30"/>
      <c r="AF2259" s="30"/>
      <c r="AG2259" s="30"/>
      <c r="AH2259" s="30"/>
    </row>
    <row r="2260" spans="1:34" ht="13">
      <c r="A2260" s="30"/>
      <c r="B2260" s="30"/>
      <c r="C2260" s="30"/>
      <c r="D2260" s="30"/>
      <c r="E2260" s="30"/>
      <c r="F2260" s="30"/>
      <c r="G2260" s="30"/>
      <c r="H2260" s="48"/>
      <c r="I2260" s="49"/>
      <c r="J2260" s="49"/>
      <c r="K2260" s="48"/>
      <c r="L2260" s="50"/>
      <c r="M2260" s="30"/>
      <c r="N2260" s="30"/>
      <c r="O2260" s="30"/>
      <c r="P2260" s="30"/>
      <c r="Q2260" s="30"/>
      <c r="R2260" s="30"/>
      <c r="S2260" s="30"/>
      <c r="T2260" s="30"/>
      <c r="U2260" s="30"/>
      <c r="V2260" s="30"/>
      <c r="W2260" s="30"/>
      <c r="X2260" s="30"/>
      <c r="Y2260" s="30"/>
      <c r="Z2260" s="30"/>
      <c r="AA2260" s="30"/>
      <c r="AB2260" s="30"/>
      <c r="AC2260" s="30"/>
      <c r="AD2260" s="30"/>
      <c r="AE2260" s="30"/>
      <c r="AF2260" s="30"/>
      <c r="AG2260" s="30"/>
      <c r="AH2260" s="30"/>
    </row>
    <row r="2261" spans="1:34" ht="13">
      <c r="A2261" s="30"/>
      <c r="B2261" s="30"/>
      <c r="C2261" s="30"/>
      <c r="D2261" s="30"/>
      <c r="E2261" s="30"/>
      <c r="F2261" s="30"/>
      <c r="G2261" s="30"/>
      <c r="H2261" s="48"/>
      <c r="I2261" s="49"/>
      <c r="J2261" s="49"/>
      <c r="K2261" s="48"/>
      <c r="L2261" s="50"/>
      <c r="M2261" s="30"/>
      <c r="N2261" s="30"/>
      <c r="O2261" s="30"/>
      <c r="P2261" s="30"/>
      <c r="Q2261" s="30"/>
      <c r="R2261" s="30"/>
      <c r="S2261" s="30"/>
      <c r="T2261" s="30"/>
      <c r="U2261" s="30"/>
      <c r="V2261" s="30"/>
      <c r="W2261" s="30"/>
      <c r="X2261" s="30"/>
      <c r="Y2261" s="30"/>
      <c r="Z2261" s="30"/>
      <c r="AA2261" s="30"/>
      <c r="AB2261" s="30"/>
      <c r="AC2261" s="30"/>
      <c r="AD2261" s="30"/>
      <c r="AE2261" s="30"/>
      <c r="AF2261" s="30"/>
      <c r="AG2261" s="30"/>
      <c r="AH2261" s="30"/>
    </row>
    <row r="2262" spans="1:34" ht="13">
      <c r="A2262" s="30"/>
      <c r="B2262" s="30"/>
      <c r="C2262" s="30"/>
      <c r="D2262" s="30"/>
      <c r="E2262" s="30"/>
      <c r="F2262" s="30"/>
      <c r="G2262" s="30"/>
      <c r="H2262" s="48"/>
      <c r="I2262" s="49"/>
      <c r="J2262" s="49"/>
      <c r="K2262" s="48"/>
      <c r="L2262" s="50"/>
      <c r="M2262" s="30"/>
      <c r="N2262" s="30"/>
      <c r="O2262" s="30"/>
      <c r="P2262" s="30"/>
      <c r="Q2262" s="30"/>
      <c r="R2262" s="30"/>
      <c r="S2262" s="30"/>
      <c r="T2262" s="30"/>
      <c r="U2262" s="30"/>
      <c r="V2262" s="30"/>
      <c r="W2262" s="30"/>
      <c r="X2262" s="30"/>
      <c r="Y2262" s="30"/>
      <c r="Z2262" s="30"/>
      <c r="AA2262" s="30"/>
      <c r="AB2262" s="30"/>
      <c r="AC2262" s="30"/>
      <c r="AD2262" s="30"/>
      <c r="AE2262" s="30"/>
      <c r="AF2262" s="30"/>
      <c r="AG2262" s="30"/>
      <c r="AH2262" s="30"/>
    </row>
    <row r="2263" spans="1:34" ht="13">
      <c r="A2263" s="30"/>
      <c r="B2263" s="30"/>
      <c r="C2263" s="30"/>
      <c r="D2263" s="30"/>
      <c r="E2263" s="30"/>
      <c r="F2263" s="30"/>
      <c r="G2263" s="30"/>
      <c r="H2263" s="48"/>
      <c r="I2263" s="49"/>
      <c r="J2263" s="49"/>
      <c r="K2263" s="48"/>
      <c r="L2263" s="50"/>
      <c r="M2263" s="30"/>
      <c r="N2263" s="30"/>
      <c r="O2263" s="30"/>
      <c r="P2263" s="30"/>
      <c r="Q2263" s="30"/>
      <c r="R2263" s="30"/>
      <c r="S2263" s="30"/>
      <c r="T2263" s="30"/>
      <c r="U2263" s="30"/>
      <c r="V2263" s="30"/>
      <c r="W2263" s="30"/>
      <c r="X2263" s="30"/>
      <c r="Y2263" s="30"/>
      <c r="Z2263" s="30"/>
      <c r="AA2263" s="30"/>
      <c r="AB2263" s="30"/>
      <c r="AC2263" s="30"/>
      <c r="AD2263" s="30"/>
      <c r="AE2263" s="30"/>
      <c r="AF2263" s="30"/>
      <c r="AG2263" s="30"/>
      <c r="AH2263" s="30"/>
    </row>
    <row r="2264" spans="1:34" ht="13">
      <c r="A2264" s="30"/>
      <c r="B2264" s="30"/>
      <c r="C2264" s="30"/>
      <c r="D2264" s="30"/>
      <c r="E2264" s="30"/>
      <c r="F2264" s="30"/>
      <c r="G2264" s="30"/>
      <c r="H2264" s="48"/>
      <c r="I2264" s="49"/>
      <c r="J2264" s="49"/>
      <c r="K2264" s="48"/>
      <c r="L2264" s="50"/>
      <c r="M2264" s="30"/>
      <c r="N2264" s="30"/>
      <c r="O2264" s="30"/>
      <c r="P2264" s="30"/>
      <c r="Q2264" s="30"/>
      <c r="R2264" s="30"/>
      <c r="S2264" s="30"/>
      <c r="T2264" s="30"/>
      <c r="U2264" s="30"/>
      <c r="V2264" s="30"/>
      <c r="W2264" s="30"/>
      <c r="X2264" s="30"/>
      <c r="Y2264" s="30"/>
      <c r="Z2264" s="30"/>
      <c r="AA2264" s="30"/>
      <c r="AB2264" s="30"/>
      <c r="AC2264" s="30"/>
      <c r="AD2264" s="30"/>
      <c r="AE2264" s="30"/>
      <c r="AF2264" s="30"/>
      <c r="AG2264" s="30"/>
      <c r="AH2264" s="30"/>
    </row>
    <row r="2265" spans="1:34" ht="13">
      <c r="A2265" s="30"/>
      <c r="B2265" s="30"/>
      <c r="C2265" s="30"/>
      <c r="D2265" s="30"/>
      <c r="E2265" s="30"/>
      <c r="F2265" s="30"/>
      <c r="G2265" s="30"/>
      <c r="H2265" s="48"/>
      <c r="I2265" s="49"/>
      <c r="J2265" s="49"/>
      <c r="K2265" s="48"/>
      <c r="L2265" s="50"/>
      <c r="M2265" s="30"/>
      <c r="N2265" s="30"/>
      <c r="O2265" s="30"/>
      <c r="P2265" s="30"/>
      <c r="Q2265" s="30"/>
      <c r="R2265" s="30"/>
      <c r="S2265" s="30"/>
      <c r="T2265" s="30"/>
      <c r="U2265" s="30"/>
      <c r="V2265" s="30"/>
      <c r="W2265" s="30"/>
      <c r="X2265" s="30"/>
      <c r="Y2265" s="30"/>
      <c r="Z2265" s="30"/>
      <c r="AA2265" s="30"/>
      <c r="AB2265" s="30"/>
      <c r="AC2265" s="30"/>
      <c r="AD2265" s="30"/>
      <c r="AE2265" s="30"/>
      <c r="AF2265" s="30"/>
      <c r="AG2265" s="30"/>
      <c r="AH2265" s="30"/>
    </row>
    <row r="2266" spans="1:34" ht="13">
      <c r="A2266" s="30"/>
      <c r="B2266" s="30"/>
      <c r="C2266" s="30"/>
      <c r="D2266" s="30"/>
      <c r="E2266" s="30"/>
      <c r="F2266" s="30"/>
      <c r="G2266" s="30"/>
      <c r="H2266" s="48"/>
      <c r="I2266" s="49"/>
      <c r="J2266" s="49"/>
      <c r="K2266" s="48"/>
      <c r="L2266" s="50"/>
      <c r="M2266" s="30"/>
      <c r="N2266" s="30"/>
      <c r="O2266" s="30"/>
      <c r="P2266" s="30"/>
      <c r="Q2266" s="30"/>
      <c r="R2266" s="30"/>
      <c r="S2266" s="30"/>
      <c r="T2266" s="30"/>
      <c r="U2266" s="30"/>
      <c r="V2266" s="30"/>
      <c r="W2266" s="30"/>
      <c r="X2266" s="30"/>
      <c r="Y2266" s="30"/>
      <c r="Z2266" s="30"/>
      <c r="AA2266" s="30"/>
      <c r="AB2266" s="30"/>
      <c r="AC2266" s="30"/>
      <c r="AD2266" s="30"/>
      <c r="AE2266" s="30"/>
      <c r="AF2266" s="30"/>
      <c r="AG2266" s="30"/>
      <c r="AH2266" s="30"/>
    </row>
    <row r="2267" spans="1:34" ht="13">
      <c r="A2267" s="30"/>
      <c r="B2267" s="30"/>
      <c r="C2267" s="30"/>
      <c r="D2267" s="30"/>
      <c r="E2267" s="30"/>
      <c r="F2267" s="30"/>
      <c r="G2267" s="30"/>
      <c r="H2267" s="48"/>
      <c r="I2267" s="49"/>
      <c r="J2267" s="49"/>
      <c r="K2267" s="48"/>
      <c r="L2267" s="50"/>
      <c r="M2267" s="30"/>
      <c r="N2267" s="30"/>
      <c r="O2267" s="30"/>
      <c r="P2267" s="30"/>
      <c r="Q2267" s="30"/>
      <c r="R2267" s="30"/>
      <c r="S2267" s="30"/>
      <c r="T2267" s="30"/>
      <c r="U2267" s="30"/>
      <c r="V2267" s="30"/>
      <c r="W2267" s="30"/>
      <c r="X2267" s="30"/>
      <c r="Y2267" s="30"/>
      <c r="Z2267" s="30"/>
      <c r="AA2267" s="30"/>
      <c r="AB2267" s="30"/>
      <c r="AC2267" s="30"/>
      <c r="AD2267" s="30"/>
      <c r="AE2267" s="30"/>
      <c r="AF2267" s="30"/>
      <c r="AG2267" s="30"/>
      <c r="AH2267" s="30"/>
    </row>
    <row r="2268" spans="1:34" ht="13">
      <c r="A2268" s="30"/>
      <c r="B2268" s="30"/>
      <c r="C2268" s="30"/>
      <c r="D2268" s="30"/>
      <c r="E2268" s="30"/>
      <c r="F2268" s="30"/>
      <c r="G2268" s="30"/>
      <c r="H2268" s="48"/>
      <c r="I2268" s="49"/>
      <c r="J2268" s="49"/>
      <c r="K2268" s="48"/>
      <c r="L2268" s="50"/>
      <c r="M2268" s="30"/>
      <c r="N2268" s="30"/>
      <c r="O2268" s="30"/>
      <c r="P2268" s="30"/>
      <c r="Q2268" s="30"/>
      <c r="R2268" s="30"/>
      <c r="S2268" s="30"/>
      <c r="T2268" s="30"/>
      <c r="U2268" s="30"/>
      <c r="V2268" s="30"/>
      <c r="W2268" s="30"/>
      <c r="X2268" s="30"/>
      <c r="Y2268" s="30"/>
      <c r="Z2268" s="30"/>
      <c r="AA2268" s="30"/>
      <c r="AB2268" s="30"/>
      <c r="AC2268" s="30"/>
      <c r="AD2268" s="30"/>
      <c r="AE2268" s="30"/>
      <c r="AF2268" s="30"/>
      <c r="AG2268" s="30"/>
      <c r="AH2268" s="30"/>
    </row>
    <row r="2269" spans="1:34" ht="13">
      <c r="A2269" s="30"/>
      <c r="B2269" s="30"/>
      <c r="C2269" s="30"/>
      <c r="D2269" s="30"/>
      <c r="E2269" s="30"/>
      <c r="F2269" s="30"/>
      <c r="G2269" s="30"/>
      <c r="H2269" s="48"/>
      <c r="I2269" s="49"/>
      <c r="J2269" s="49"/>
      <c r="K2269" s="48"/>
      <c r="L2269" s="50"/>
      <c r="M2269" s="30"/>
      <c r="N2269" s="30"/>
      <c r="O2269" s="30"/>
      <c r="P2269" s="30"/>
      <c r="Q2269" s="30"/>
      <c r="R2269" s="30"/>
      <c r="S2269" s="30"/>
      <c r="T2269" s="30"/>
      <c r="U2269" s="30"/>
      <c r="V2269" s="30"/>
      <c r="W2269" s="30"/>
      <c r="X2269" s="30"/>
      <c r="Y2269" s="30"/>
      <c r="Z2269" s="30"/>
      <c r="AA2269" s="30"/>
      <c r="AB2269" s="30"/>
      <c r="AC2269" s="30"/>
      <c r="AD2269" s="30"/>
      <c r="AE2269" s="30"/>
      <c r="AF2269" s="30"/>
      <c r="AG2269" s="30"/>
      <c r="AH2269" s="30"/>
    </row>
    <row r="2270" spans="1:34" ht="13">
      <c r="A2270" s="30"/>
      <c r="B2270" s="30"/>
      <c r="C2270" s="30"/>
      <c r="D2270" s="30"/>
      <c r="E2270" s="30"/>
      <c r="F2270" s="30"/>
      <c r="G2270" s="30"/>
      <c r="H2270" s="48"/>
      <c r="I2270" s="49"/>
      <c r="J2270" s="49"/>
      <c r="K2270" s="48"/>
      <c r="L2270" s="50"/>
      <c r="M2270" s="30"/>
      <c r="N2270" s="30"/>
      <c r="O2270" s="30"/>
      <c r="P2270" s="30"/>
      <c r="Q2270" s="30"/>
      <c r="R2270" s="30"/>
      <c r="S2270" s="30"/>
      <c r="T2270" s="30"/>
      <c r="U2270" s="30"/>
      <c r="V2270" s="30"/>
      <c r="W2270" s="30"/>
      <c r="X2270" s="30"/>
      <c r="Y2270" s="30"/>
      <c r="Z2270" s="30"/>
      <c r="AA2270" s="30"/>
      <c r="AB2270" s="30"/>
      <c r="AC2270" s="30"/>
      <c r="AD2270" s="30"/>
      <c r="AE2270" s="30"/>
      <c r="AF2270" s="30"/>
      <c r="AG2270" s="30"/>
      <c r="AH2270" s="30"/>
    </row>
    <row r="2271" spans="1:34" ht="13">
      <c r="A2271" s="30"/>
      <c r="B2271" s="30"/>
      <c r="C2271" s="30"/>
      <c r="D2271" s="30"/>
      <c r="E2271" s="30"/>
      <c r="F2271" s="30"/>
      <c r="G2271" s="30"/>
      <c r="H2271" s="48"/>
      <c r="I2271" s="49"/>
      <c r="J2271" s="49"/>
      <c r="K2271" s="48"/>
      <c r="L2271" s="50"/>
      <c r="M2271" s="30"/>
      <c r="N2271" s="30"/>
      <c r="O2271" s="30"/>
      <c r="P2271" s="30"/>
      <c r="Q2271" s="30"/>
      <c r="R2271" s="30"/>
      <c r="S2271" s="30"/>
      <c r="T2271" s="30"/>
      <c r="U2271" s="30"/>
      <c r="V2271" s="30"/>
      <c r="W2271" s="30"/>
      <c r="X2271" s="30"/>
      <c r="Y2271" s="30"/>
      <c r="Z2271" s="30"/>
      <c r="AA2271" s="30"/>
      <c r="AB2271" s="30"/>
      <c r="AC2271" s="30"/>
      <c r="AD2271" s="30"/>
      <c r="AE2271" s="30"/>
      <c r="AF2271" s="30"/>
      <c r="AG2271" s="30"/>
      <c r="AH2271" s="30"/>
    </row>
    <row r="2272" spans="1:34" ht="13">
      <c r="A2272" s="30"/>
      <c r="B2272" s="30"/>
      <c r="C2272" s="30"/>
      <c r="D2272" s="30"/>
      <c r="E2272" s="30"/>
      <c r="F2272" s="30"/>
      <c r="G2272" s="30"/>
      <c r="H2272" s="48"/>
      <c r="I2272" s="49"/>
      <c r="J2272" s="49"/>
      <c r="K2272" s="48"/>
      <c r="L2272" s="50"/>
      <c r="M2272" s="30"/>
      <c r="N2272" s="30"/>
      <c r="O2272" s="30"/>
      <c r="P2272" s="30"/>
      <c r="Q2272" s="30"/>
      <c r="R2272" s="30"/>
      <c r="S2272" s="30"/>
      <c r="T2272" s="30"/>
      <c r="U2272" s="30"/>
      <c r="V2272" s="30"/>
      <c r="W2272" s="30"/>
      <c r="X2272" s="30"/>
      <c r="Y2272" s="30"/>
      <c r="Z2272" s="30"/>
      <c r="AA2272" s="30"/>
      <c r="AB2272" s="30"/>
      <c r="AC2272" s="30"/>
      <c r="AD2272" s="30"/>
      <c r="AE2272" s="30"/>
      <c r="AF2272" s="30"/>
      <c r="AG2272" s="30"/>
      <c r="AH2272" s="30"/>
    </row>
    <row r="2273" spans="1:34" ht="13">
      <c r="A2273" s="30"/>
      <c r="B2273" s="30"/>
      <c r="C2273" s="30"/>
      <c r="D2273" s="30"/>
      <c r="E2273" s="30"/>
      <c r="F2273" s="30"/>
      <c r="G2273" s="30"/>
      <c r="H2273" s="48"/>
      <c r="I2273" s="49"/>
      <c r="J2273" s="49"/>
      <c r="K2273" s="48"/>
      <c r="L2273" s="50"/>
      <c r="M2273" s="30"/>
      <c r="N2273" s="30"/>
      <c r="O2273" s="30"/>
      <c r="P2273" s="30"/>
      <c r="Q2273" s="30"/>
      <c r="R2273" s="30"/>
      <c r="S2273" s="30"/>
      <c r="T2273" s="30"/>
      <c r="U2273" s="30"/>
      <c r="V2273" s="30"/>
      <c r="W2273" s="30"/>
      <c r="X2273" s="30"/>
      <c r="Y2273" s="30"/>
      <c r="Z2273" s="30"/>
      <c r="AA2273" s="30"/>
      <c r="AB2273" s="30"/>
      <c r="AC2273" s="30"/>
      <c r="AD2273" s="30"/>
      <c r="AE2273" s="30"/>
      <c r="AF2273" s="30"/>
      <c r="AG2273" s="30"/>
      <c r="AH2273" s="30"/>
    </row>
    <row r="2274" spans="1:34" ht="13">
      <c r="A2274" s="30"/>
      <c r="B2274" s="30"/>
      <c r="C2274" s="30"/>
      <c r="D2274" s="30"/>
      <c r="E2274" s="30"/>
      <c r="F2274" s="30"/>
      <c r="G2274" s="30"/>
      <c r="H2274" s="48"/>
      <c r="I2274" s="49"/>
      <c r="J2274" s="49"/>
      <c r="K2274" s="48"/>
      <c r="L2274" s="50"/>
      <c r="M2274" s="30"/>
      <c r="N2274" s="30"/>
      <c r="O2274" s="30"/>
      <c r="P2274" s="30"/>
      <c r="Q2274" s="30"/>
      <c r="R2274" s="30"/>
      <c r="S2274" s="30"/>
      <c r="T2274" s="30"/>
      <c r="U2274" s="30"/>
      <c r="V2274" s="30"/>
      <c r="W2274" s="30"/>
      <c r="X2274" s="30"/>
      <c r="Y2274" s="30"/>
      <c r="Z2274" s="30"/>
      <c r="AA2274" s="30"/>
      <c r="AB2274" s="30"/>
      <c r="AC2274" s="30"/>
      <c r="AD2274" s="30"/>
      <c r="AE2274" s="30"/>
      <c r="AF2274" s="30"/>
      <c r="AG2274" s="30"/>
      <c r="AH2274" s="30"/>
    </row>
    <row r="2275" spans="1:34" ht="13">
      <c r="A2275" s="30"/>
      <c r="B2275" s="30"/>
      <c r="C2275" s="30"/>
      <c r="D2275" s="30"/>
      <c r="E2275" s="30"/>
      <c r="F2275" s="30"/>
      <c r="G2275" s="30"/>
      <c r="H2275" s="48"/>
      <c r="I2275" s="49"/>
      <c r="J2275" s="49"/>
      <c r="K2275" s="48"/>
      <c r="L2275" s="50"/>
      <c r="M2275" s="30"/>
      <c r="N2275" s="30"/>
      <c r="O2275" s="30"/>
      <c r="P2275" s="30"/>
      <c r="Q2275" s="30"/>
      <c r="R2275" s="30"/>
      <c r="S2275" s="30"/>
      <c r="T2275" s="30"/>
      <c r="U2275" s="30"/>
      <c r="V2275" s="30"/>
      <c r="W2275" s="30"/>
      <c r="X2275" s="30"/>
      <c r="Y2275" s="30"/>
      <c r="Z2275" s="30"/>
      <c r="AA2275" s="30"/>
      <c r="AB2275" s="30"/>
      <c r="AC2275" s="30"/>
      <c r="AD2275" s="30"/>
      <c r="AE2275" s="30"/>
      <c r="AF2275" s="30"/>
      <c r="AG2275" s="30"/>
      <c r="AH2275" s="30"/>
    </row>
    <row r="2276" spans="1:34" ht="13">
      <c r="A2276" s="30"/>
      <c r="B2276" s="30"/>
      <c r="C2276" s="30"/>
      <c r="D2276" s="30"/>
      <c r="E2276" s="30"/>
      <c r="F2276" s="30"/>
      <c r="G2276" s="30"/>
      <c r="H2276" s="48"/>
      <c r="I2276" s="49"/>
      <c r="J2276" s="49"/>
      <c r="K2276" s="48"/>
      <c r="L2276" s="50"/>
      <c r="M2276" s="30"/>
      <c r="N2276" s="30"/>
      <c r="O2276" s="30"/>
      <c r="P2276" s="30"/>
      <c r="Q2276" s="30"/>
      <c r="R2276" s="30"/>
      <c r="S2276" s="30"/>
      <c r="T2276" s="30"/>
      <c r="U2276" s="30"/>
      <c r="V2276" s="30"/>
      <c r="W2276" s="30"/>
      <c r="X2276" s="30"/>
      <c r="Y2276" s="30"/>
      <c r="Z2276" s="30"/>
      <c r="AA2276" s="30"/>
      <c r="AB2276" s="30"/>
      <c r="AC2276" s="30"/>
      <c r="AD2276" s="30"/>
      <c r="AE2276" s="30"/>
      <c r="AF2276" s="30"/>
      <c r="AG2276" s="30"/>
      <c r="AH2276" s="30"/>
    </row>
    <row r="2277" spans="1:34" ht="13">
      <c r="A2277" s="30"/>
      <c r="B2277" s="30"/>
      <c r="C2277" s="30"/>
      <c r="D2277" s="30"/>
      <c r="E2277" s="30"/>
      <c r="F2277" s="30"/>
      <c r="G2277" s="30"/>
      <c r="H2277" s="48"/>
      <c r="I2277" s="49"/>
      <c r="J2277" s="49"/>
      <c r="K2277" s="48"/>
      <c r="L2277" s="50"/>
      <c r="M2277" s="30"/>
      <c r="N2277" s="30"/>
      <c r="O2277" s="30"/>
      <c r="P2277" s="30"/>
      <c r="Q2277" s="30"/>
      <c r="R2277" s="30"/>
      <c r="S2277" s="30"/>
      <c r="T2277" s="30"/>
      <c r="U2277" s="30"/>
      <c r="V2277" s="30"/>
      <c r="W2277" s="30"/>
      <c r="X2277" s="30"/>
      <c r="Y2277" s="30"/>
      <c r="Z2277" s="30"/>
      <c r="AA2277" s="30"/>
      <c r="AB2277" s="30"/>
      <c r="AC2277" s="30"/>
      <c r="AD2277" s="30"/>
      <c r="AE2277" s="30"/>
      <c r="AF2277" s="30"/>
      <c r="AG2277" s="30"/>
      <c r="AH2277" s="30"/>
    </row>
    <row r="2278" spans="1:34" ht="13">
      <c r="A2278" s="30"/>
      <c r="B2278" s="30"/>
      <c r="C2278" s="30"/>
      <c r="D2278" s="30"/>
      <c r="E2278" s="30"/>
      <c r="F2278" s="30"/>
      <c r="G2278" s="30"/>
      <c r="H2278" s="48"/>
      <c r="I2278" s="49"/>
      <c r="J2278" s="49"/>
      <c r="K2278" s="48"/>
      <c r="L2278" s="50"/>
      <c r="M2278" s="30"/>
      <c r="N2278" s="30"/>
      <c r="O2278" s="30"/>
      <c r="P2278" s="30"/>
      <c r="Q2278" s="30"/>
      <c r="R2278" s="30"/>
      <c r="S2278" s="30"/>
      <c r="T2278" s="30"/>
      <c r="U2278" s="30"/>
      <c r="V2278" s="30"/>
      <c r="W2278" s="30"/>
      <c r="X2278" s="30"/>
      <c r="Y2278" s="30"/>
      <c r="Z2278" s="30"/>
      <c r="AA2278" s="30"/>
      <c r="AB2278" s="30"/>
      <c r="AC2278" s="30"/>
      <c r="AD2278" s="30"/>
      <c r="AE2278" s="30"/>
      <c r="AF2278" s="30"/>
      <c r="AG2278" s="30"/>
      <c r="AH2278" s="30"/>
    </row>
    <row r="2279" spans="1:34" ht="13">
      <c r="A2279" s="30"/>
      <c r="B2279" s="30"/>
      <c r="C2279" s="30"/>
      <c r="D2279" s="30"/>
      <c r="E2279" s="30"/>
      <c r="F2279" s="30"/>
      <c r="G2279" s="30"/>
      <c r="H2279" s="48"/>
      <c r="I2279" s="49"/>
      <c r="J2279" s="49"/>
      <c r="K2279" s="48"/>
      <c r="L2279" s="50"/>
      <c r="M2279" s="30"/>
      <c r="N2279" s="30"/>
      <c r="O2279" s="30"/>
      <c r="P2279" s="30"/>
      <c r="Q2279" s="30"/>
      <c r="R2279" s="30"/>
      <c r="S2279" s="30"/>
      <c r="T2279" s="30"/>
      <c r="U2279" s="30"/>
      <c r="V2279" s="30"/>
      <c r="W2279" s="30"/>
      <c r="X2279" s="30"/>
      <c r="Y2279" s="30"/>
      <c r="Z2279" s="30"/>
      <c r="AA2279" s="30"/>
      <c r="AB2279" s="30"/>
      <c r="AC2279" s="30"/>
      <c r="AD2279" s="30"/>
      <c r="AE2279" s="30"/>
      <c r="AF2279" s="30"/>
      <c r="AG2279" s="30"/>
      <c r="AH2279" s="30"/>
    </row>
    <row r="2280" spans="1:34" ht="13">
      <c r="A2280" s="30"/>
      <c r="B2280" s="30"/>
      <c r="C2280" s="30"/>
      <c r="D2280" s="30"/>
      <c r="E2280" s="30"/>
      <c r="F2280" s="30"/>
      <c r="G2280" s="30"/>
      <c r="H2280" s="48"/>
      <c r="I2280" s="49"/>
      <c r="J2280" s="49"/>
      <c r="K2280" s="48"/>
      <c r="L2280" s="50"/>
      <c r="M2280" s="30"/>
      <c r="N2280" s="30"/>
      <c r="O2280" s="30"/>
      <c r="P2280" s="30"/>
      <c r="Q2280" s="30"/>
      <c r="R2280" s="30"/>
      <c r="S2280" s="30"/>
      <c r="T2280" s="30"/>
      <c r="U2280" s="30"/>
      <c r="V2280" s="30"/>
      <c r="W2280" s="30"/>
      <c r="X2280" s="30"/>
      <c r="Y2280" s="30"/>
      <c r="Z2280" s="30"/>
      <c r="AA2280" s="30"/>
      <c r="AB2280" s="30"/>
      <c r="AC2280" s="30"/>
      <c r="AD2280" s="30"/>
      <c r="AE2280" s="30"/>
      <c r="AF2280" s="30"/>
      <c r="AG2280" s="30"/>
      <c r="AH2280" s="30"/>
    </row>
    <row r="2281" spans="1:34" ht="13">
      <c r="A2281" s="30"/>
      <c r="B2281" s="30"/>
      <c r="C2281" s="30"/>
      <c r="D2281" s="30"/>
      <c r="E2281" s="30"/>
      <c r="F2281" s="30"/>
      <c r="G2281" s="30"/>
      <c r="H2281" s="48"/>
      <c r="I2281" s="49"/>
      <c r="J2281" s="49"/>
      <c r="K2281" s="48"/>
      <c r="L2281" s="50"/>
      <c r="M2281" s="30"/>
      <c r="N2281" s="30"/>
      <c r="O2281" s="30"/>
      <c r="P2281" s="30"/>
      <c r="Q2281" s="30"/>
      <c r="R2281" s="30"/>
      <c r="S2281" s="30"/>
      <c r="T2281" s="30"/>
      <c r="U2281" s="30"/>
      <c r="V2281" s="30"/>
      <c r="W2281" s="30"/>
      <c r="X2281" s="30"/>
      <c r="Y2281" s="30"/>
      <c r="Z2281" s="30"/>
      <c r="AA2281" s="30"/>
      <c r="AB2281" s="30"/>
      <c r="AC2281" s="30"/>
      <c r="AD2281" s="30"/>
      <c r="AE2281" s="30"/>
      <c r="AF2281" s="30"/>
      <c r="AG2281" s="30"/>
      <c r="AH2281" s="30"/>
    </row>
    <row r="2282" spans="1:34" ht="13">
      <c r="A2282" s="30"/>
      <c r="B2282" s="30"/>
      <c r="C2282" s="30"/>
      <c r="D2282" s="30"/>
      <c r="E2282" s="30"/>
      <c r="F2282" s="30"/>
      <c r="G2282" s="30"/>
      <c r="H2282" s="48"/>
      <c r="I2282" s="49"/>
      <c r="J2282" s="49"/>
      <c r="K2282" s="48"/>
      <c r="L2282" s="50"/>
      <c r="M2282" s="30"/>
      <c r="N2282" s="30"/>
      <c r="O2282" s="30"/>
      <c r="P2282" s="30"/>
      <c r="Q2282" s="30"/>
      <c r="R2282" s="30"/>
      <c r="S2282" s="30"/>
      <c r="T2282" s="30"/>
      <c r="U2282" s="30"/>
      <c r="V2282" s="30"/>
      <c r="W2282" s="30"/>
      <c r="X2282" s="30"/>
      <c r="Y2282" s="30"/>
      <c r="Z2282" s="30"/>
      <c r="AA2282" s="30"/>
      <c r="AB2282" s="30"/>
      <c r="AC2282" s="30"/>
      <c r="AD2282" s="30"/>
      <c r="AE2282" s="30"/>
      <c r="AF2282" s="30"/>
      <c r="AG2282" s="30"/>
      <c r="AH2282" s="30"/>
    </row>
    <row r="2283" spans="1:34" ht="13">
      <c r="A2283" s="30"/>
      <c r="B2283" s="30"/>
      <c r="C2283" s="30"/>
      <c r="D2283" s="30"/>
      <c r="E2283" s="30"/>
      <c r="F2283" s="30"/>
      <c r="G2283" s="30"/>
      <c r="H2283" s="48"/>
      <c r="I2283" s="49"/>
      <c r="J2283" s="49"/>
      <c r="K2283" s="48"/>
      <c r="L2283" s="50"/>
      <c r="M2283" s="30"/>
      <c r="N2283" s="30"/>
      <c r="O2283" s="30"/>
      <c r="P2283" s="30"/>
      <c r="Q2283" s="30"/>
      <c r="R2283" s="30"/>
      <c r="S2283" s="30"/>
      <c r="T2283" s="30"/>
      <c r="U2283" s="30"/>
      <c r="V2283" s="30"/>
      <c r="W2283" s="30"/>
      <c r="X2283" s="30"/>
      <c r="Y2283" s="30"/>
      <c r="Z2283" s="30"/>
      <c r="AA2283" s="30"/>
      <c r="AB2283" s="30"/>
      <c r="AC2283" s="30"/>
      <c r="AD2283" s="30"/>
      <c r="AE2283" s="30"/>
      <c r="AF2283" s="30"/>
      <c r="AG2283" s="30"/>
      <c r="AH2283" s="30"/>
    </row>
    <row r="2284" spans="1:34" ht="13">
      <c r="A2284" s="30"/>
      <c r="B2284" s="30"/>
      <c r="C2284" s="30"/>
      <c r="D2284" s="30"/>
      <c r="E2284" s="30"/>
      <c r="F2284" s="30"/>
      <c r="G2284" s="30"/>
      <c r="H2284" s="48"/>
      <c r="I2284" s="49"/>
      <c r="J2284" s="49"/>
      <c r="K2284" s="48"/>
      <c r="L2284" s="50"/>
      <c r="M2284" s="30"/>
      <c r="N2284" s="30"/>
      <c r="O2284" s="30"/>
      <c r="P2284" s="30"/>
      <c r="Q2284" s="30"/>
      <c r="R2284" s="30"/>
      <c r="S2284" s="30"/>
      <c r="T2284" s="30"/>
      <c r="U2284" s="30"/>
      <c r="V2284" s="30"/>
      <c r="W2284" s="30"/>
      <c r="X2284" s="30"/>
      <c r="Y2284" s="30"/>
      <c r="Z2284" s="30"/>
      <c r="AA2284" s="30"/>
      <c r="AB2284" s="30"/>
      <c r="AC2284" s="30"/>
      <c r="AD2284" s="30"/>
      <c r="AE2284" s="30"/>
      <c r="AF2284" s="30"/>
      <c r="AG2284" s="30"/>
      <c r="AH2284" s="30"/>
    </row>
    <row r="2285" spans="1:34" ht="13">
      <c r="A2285" s="30"/>
      <c r="B2285" s="30"/>
      <c r="C2285" s="30"/>
      <c r="D2285" s="30"/>
      <c r="E2285" s="30"/>
      <c r="F2285" s="30"/>
      <c r="G2285" s="30"/>
      <c r="H2285" s="48"/>
      <c r="I2285" s="49"/>
      <c r="J2285" s="49"/>
      <c r="K2285" s="48"/>
      <c r="L2285" s="50"/>
      <c r="M2285" s="30"/>
      <c r="N2285" s="30"/>
      <c r="O2285" s="30"/>
      <c r="P2285" s="30"/>
      <c r="Q2285" s="30"/>
      <c r="R2285" s="30"/>
      <c r="S2285" s="30"/>
      <c r="T2285" s="30"/>
      <c r="U2285" s="30"/>
      <c r="V2285" s="30"/>
      <c r="W2285" s="30"/>
      <c r="X2285" s="30"/>
      <c r="Y2285" s="30"/>
      <c r="Z2285" s="30"/>
      <c r="AA2285" s="30"/>
      <c r="AB2285" s="30"/>
      <c r="AC2285" s="30"/>
      <c r="AD2285" s="30"/>
      <c r="AE2285" s="30"/>
      <c r="AF2285" s="30"/>
      <c r="AG2285" s="30"/>
      <c r="AH2285" s="30"/>
    </row>
    <row r="2286" spans="1:34" ht="13">
      <c r="A2286" s="30"/>
      <c r="B2286" s="30"/>
      <c r="C2286" s="30"/>
      <c r="D2286" s="30"/>
      <c r="E2286" s="30"/>
      <c r="F2286" s="30"/>
      <c r="G2286" s="30"/>
      <c r="H2286" s="48"/>
      <c r="I2286" s="49"/>
      <c r="J2286" s="49"/>
      <c r="K2286" s="48"/>
      <c r="L2286" s="50"/>
      <c r="M2286" s="30"/>
      <c r="N2286" s="30"/>
      <c r="O2286" s="30"/>
      <c r="P2286" s="30"/>
      <c r="Q2286" s="30"/>
      <c r="R2286" s="30"/>
      <c r="S2286" s="30"/>
      <c r="T2286" s="30"/>
      <c r="U2286" s="30"/>
      <c r="V2286" s="30"/>
      <c r="W2286" s="30"/>
      <c r="X2286" s="30"/>
      <c r="Y2286" s="30"/>
      <c r="Z2286" s="30"/>
      <c r="AA2286" s="30"/>
      <c r="AB2286" s="30"/>
      <c r="AC2286" s="30"/>
      <c r="AD2286" s="30"/>
      <c r="AE2286" s="30"/>
      <c r="AF2286" s="30"/>
      <c r="AG2286" s="30"/>
      <c r="AH2286" s="30"/>
    </row>
    <row r="2287" spans="1:34" ht="13">
      <c r="A2287" s="30"/>
      <c r="B2287" s="30"/>
      <c r="C2287" s="30"/>
      <c r="D2287" s="30"/>
      <c r="E2287" s="30"/>
      <c r="F2287" s="30"/>
      <c r="G2287" s="30"/>
      <c r="H2287" s="48"/>
      <c r="I2287" s="49"/>
      <c r="J2287" s="49"/>
      <c r="K2287" s="48"/>
      <c r="L2287" s="50"/>
      <c r="M2287" s="30"/>
      <c r="N2287" s="30"/>
      <c r="O2287" s="30"/>
      <c r="P2287" s="30"/>
      <c r="Q2287" s="30"/>
      <c r="R2287" s="30"/>
      <c r="S2287" s="30"/>
      <c r="T2287" s="30"/>
      <c r="U2287" s="30"/>
      <c r="V2287" s="30"/>
      <c r="W2287" s="30"/>
      <c r="X2287" s="30"/>
      <c r="Y2287" s="30"/>
      <c r="Z2287" s="30"/>
      <c r="AA2287" s="30"/>
      <c r="AB2287" s="30"/>
      <c r="AC2287" s="30"/>
      <c r="AD2287" s="30"/>
      <c r="AE2287" s="30"/>
      <c r="AF2287" s="30"/>
      <c r="AG2287" s="30"/>
      <c r="AH2287" s="30"/>
    </row>
    <row r="2288" spans="1:34" ht="13">
      <c r="A2288" s="30"/>
      <c r="B2288" s="30"/>
      <c r="C2288" s="30"/>
      <c r="D2288" s="30"/>
      <c r="E2288" s="30"/>
      <c r="F2288" s="30"/>
      <c r="G2288" s="30"/>
      <c r="H2288" s="48"/>
      <c r="I2288" s="49"/>
      <c r="J2288" s="49"/>
      <c r="K2288" s="48"/>
      <c r="L2288" s="50"/>
      <c r="M2288" s="30"/>
      <c r="N2288" s="30"/>
      <c r="O2288" s="30"/>
      <c r="P2288" s="30"/>
      <c r="Q2288" s="30"/>
      <c r="R2288" s="30"/>
      <c r="S2288" s="30"/>
      <c r="T2288" s="30"/>
      <c r="U2288" s="30"/>
      <c r="V2288" s="30"/>
      <c r="W2288" s="30"/>
      <c r="X2288" s="30"/>
      <c r="Y2288" s="30"/>
      <c r="Z2288" s="30"/>
      <c r="AA2288" s="30"/>
      <c r="AB2288" s="30"/>
      <c r="AC2288" s="30"/>
      <c r="AD2288" s="30"/>
      <c r="AE2288" s="30"/>
      <c r="AF2288" s="30"/>
      <c r="AG2288" s="30"/>
      <c r="AH2288" s="30"/>
    </row>
    <row r="2289" spans="1:34" ht="13">
      <c r="A2289" s="30"/>
      <c r="B2289" s="30"/>
      <c r="C2289" s="30"/>
      <c r="D2289" s="30"/>
      <c r="E2289" s="30"/>
      <c r="F2289" s="30"/>
      <c r="G2289" s="30"/>
      <c r="H2289" s="48"/>
      <c r="I2289" s="49"/>
      <c r="J2289" s="49"/>
      <c r="K2289" s="48"/>
      <c r="L2289" s="50"/>
      <c r="M2289" s="30"/>
      <c r="N2289" s="30"/>
      <c r="O2289" s="30"/>
      <c r="P2289" s="30"/>
      <c r="Q2289" s="30"/>
      <c r="R2289" s="30"/>
      <c r="S2289" s="30"/>
      <c r="T2289" s="30"/>
      <c r="U2289" s="30"/>
      <c r="V2289" s="30"/>
      <c r="W2289" s="30"/>
      <c r="X2289" s="30"/>
      <c r="Y2289" s="30"/>
      <c r="Z2289" s="30"/>
      <c r="AA2289" s="30"/>
      <c r="AB2289" s="30"/>
      <c r="AC2289" s="30"/>
      <c r="AD2289" s="30"/>
      <c r="AE2289" s="30"/>
      <c r="AF2289" s="30"/>
      <c r="AG2289" s="30"/>
      <c r="AH2289" s="30"/>
    </row>
    <row r="2290" spans="1:34" ht="13">
      <c r="A2290" s="30"/>
      <c r="B2290" s="30"/>
      <c r="C2290" s="30"/>
      <c r="D2290" s="30"/>
      <c r="E2290" s="30"/>
      <c r="F2290" s="30"/>
      <c r="G2290" s="30"/>
      <c r="H2290" s="48"/>
      <c r="I2290" s="49"/>
      <c r="J2290" s="49"/>
      <c r="K2290" s="48"/>
      <c r="L2290" s="50"/>
      <c r="M2290" s="30"/>
      <c r="N2290" s="30"/>
      <c r="O2290" s="30"/>
      <c r="P2290" s="30"/>
      <c r="Q2290" s="30"/>
      <c r="R2290" s="30"/>
      <c r="S2290" s="30"/>
      <c r="T2290" s="30"/>
      <c r="U2290" s="30"/>
      <c r="V2290" s="30"/>
      <c r="W2290" s="30"/>
      <c r="X2290" s="30"/>
      <c r="Y2290" s="30"/>
      <c r="Z2290" s="30"/>
      <c r="AA2290" s="30"/>
      <c r="AB2290" s="30"/>
      <c r="AC2290" s="30"/>
      <c r="AD2290" s="30"/>
      <c r="AE2290" s="30"/>
      <c r="AF2290" s="30"/>
      <c r="AG2290" s="30"/>
      <c r="AH2290" s="30"/>
    </row>
    <row r="2291" spans="1:34" ht="13">
      <c r="A2291" s="30"/>
      <c r="B2291" s="30"/>
      <c r="C2291" s="30"/>
      <c r="D2291" s="30"/>
      <c r="E2291" s="30"/>
      <c r="F2291" s="30"/>
      <c r="G2291" s="30"/>
      <c r="H2291" s="48"/>
      <c r="I2291" s="49"/>
      <c r="J2291" s="49"/>
      <c r="K2291" s="48"/>
      <c r="L2291" s="50"/>
      <c r="M2291" s="30"/>
      <c r="N2291" s="30"/>
      <c r="O2291" s="30"/>
      <c r="P2291" s="30"/>
      <c r="Q2291" s="30"/>
      <c r="R2291" s="30"/>
      <c r="S2291" s="30"/>
      <c r="T2291" s="30"/>
      <c r="U2291" s="30"/>
      <c r="V2291" s="30"/>
      <c r="W2291" s="30"/>
      <c r="X2291" s="30"/>
      <c r="Y2291" s="30"/>
      <c r="Z2291" s="30"/>
      <c r="AA2291" s="30"/>
      <c r="AB2291" s="30"/>
      <c r="AC2291" s="30"/>
      <c r="AD2291" s="30"/>
      <c r="AE2291" s="30"/>
      <c r="AF2291" s="30"/>
      <c r="AG2291" s="30"/>
      <c r="AH2291" s="30"/>
    </row>
    <row r="2292" spans="1:34" ht="13">
      <c r="A2292" s="30"/>
      <c r="B2292" s="30"/>
      <c r="C2292" s="30"/>
      <c r="D2292" s="30"/>
      <c r="E2292" s="30"/>
      <c r="F2292" s="30"/>
      <c r="G2292" s="30"/>
      <c r="H2292" s="48"/>
      <c r="I2292" s="49"/>
      <c r="J2292" s="49"/>
      <c r="K2292" s="48"/>
      <c r="L2292" s="50"/>
      <c r="M2292" s="30"/>
      <c r="N2292" s="30"/>
      <c r="O2292" s="30"/>
      <c r="P2292" s="30"/>
      <c r="Q2292" s="30"/>
      <c r="R2292" s="30"/>
      <c r="S2292" s="30"/>
      <c r="T2292" s="30"/>
      <c r="U2292" s="30"/>
      <c r="V2292" s="30"/>
      <c r="W2292" s="30"/>
      <c r="X2292" s="30"/>
      <c r="Y2292" s="30"/>
      <c r="Z2292" s="30"/>
      <c r="AA2292" s="30"/>
      <c r="AB2292" s="30"/>
      <c r="AC2292" s="30"/>
      <c r="AD2292" s="30"/>
      <c r="AE2292" s="30"/>
      <c r="AF2292" s="30"/>
      <c r="AG2292" s="30"/>
      <c r="AH2292" s="30"/>
    </row>
    <row r="2293" spans="1:34" ht="13">
      <c r="A2293" s="30"/>
      <c r="B2293" s="30"/>
      <c r="C2293" s="30"/>
      <c r="D2293" s="30"/>
      <c r="E2293" s="30"/>
      <c r="F2293" s="30"/>
      <c r="G2293" s="30"/>
      <c r="H2293" s="48"/>
      <c r="I2293" s="49"/>
      <c r="J2293" s="49"/>
      <c r="K2293" s="48"/>
      <c r="L2293" s="50"/>
      <c r="M2293" s="30"/>
      <c r="N2293" s="30"/>
      <c r="O2293" s="30"/>
      <c r="P2293" s="30"/>
      <c r="Q2293" s="30"/>
      <c r="R2293" s="30"/>
      <c r="S2293" s="30"/>
      <c r="T2293" s="30"/>
      <c r="U2293" s="30"/>
      <c r="V2293" s="30"/>
      <c r="W2293" s="30"/>
      <c r="X2293" s="30"/>
      <c r="Y2293" s="30"/>
      <c r="Z2293" s="30"/>
      <c r="AA2293" s="30"/>
      <c r="AB2293" s="30"/>
      <c r="AC2293" s="30"/>
      <c r="AD2293" s="30"/>
      <c r="AE2293" s="30"/>
      <c r="AF2293" s="30"/>
      <c r="AG2293" s="30"/>
      <c r="AH2293" s="30"/>
    </row>
    <row r="2294" spans="1:34" ht="13">
      <c r="A2294" s="30"/>
      <c r="B2294" s="30"/>
      <c r="C2294" s="30"/>
      <c r="D2294" s="30"/>
      <c r="E2294" s="30"/>
      <c r="F2294" s="30"/>
      <c r="G2294" s="30"/>
      <c r="H2294" s="48"/>
      <c r="I2294" s="49"/>
      <c r="J2294" s="49"/>
      <c r="K2294" s="48"/>
      <c r="L2294" s="50"/>
      <c r="M2294" s="30"/>
      <c r="N2294" s="30"/>
      <c r="O2294" s="30"/>
      <c r="P2294" s="30"/>
      <c r="Q2294" s="30"/>
      <c r="R2294" s="30"/>
      <c r="S2294" s="30"/>
      <c r="T2294" s="30"/>
      <c r="U2294" s="30"/>
      <c r="V2294" s="30"/>
      <c r="W2294" s="30"/>
      <c r="X2294" s="30"/>
      <c r="Y2294" s="30"/>
      <c r="Z2294" s="30"/>
      <c r="AA2294" s="30"/>
      <c r="AB2294" s="30"/>
      <c r="AC2294" s="30"/>
      <c r="AD2294" s="30"/>
      <c r="AE2294" s="30"/>
      <c r="AF2294" s="30"/>
      <c r="AG2294" s="30"/>
      <c r="AH2294" s="30"/>
    </row>
    <row r="2295" spans="1:34" ht="13">
      <c r="A2295" s="30"/>
      <c r="B2295" s="30"/>
      <c r="C2295" s="30"/>
      <c r="D2295" s="30"/>
      <c r="E2295" s="30"/>
      <c r="F2295" s="30"/>
      <c r="G2295" s="30"/>
      <c r="H2295" s="48"/>
      <c r="I2295" s="49"/>
      <c r="J2295" s="49"/>
      <c r="K2295" s="48"/>
      <c r="L2295" s="50"/>
      <c r="M2295" s="30"/>
      <c r="N2295" s="30"/>
      <c r="O2295" s="30"/>
      <c r="P2295" s="30"/>
      <c r="Q2295" s="30"/>
      <c r="R2295" s="30"/>
      <c r="S2295" s="30"/>
      <c r="T2295" s="30"/>
      <c r="U2295" s="30"/>
      <c r="V2295" s="30"/>
      <c r="W2295" s="30"/>
      <c r="X2295" s="30"/>
      <c r="Y2295" s="30"/>
      <c r="Z2295" s="30"/>
      <c r="AA2295" s="30"/>
      <c r="AB2295" s="30"/>
      <c r="AC2295" s="30"/>
      <c r="AD2295" s="30"/>
      <c r="AE2295" s="30"/>
      <c r="AF2295" s="30"/>
      <c r="AG2295" s="30"/>
      <c r="AH2295" s="30"/>
    </row>
    <row r="2296" spans="1:34" ht="13">
      <c r="A2296" s="30"/>
      <c r="B2296" s="30"/>
      <c r="C2296" s="30"/>
      <c r="D2296" s="30"/>
      <c r="E2296" s="30"/>
      <c r="F2296" s="30"/>
      <c r="G2296" s="30"/>
      <c r="H2296" s="48"/>
      <c r="I2296" s="49"/>
      <c r="J2296" s="49"/>
      <c r="K2296" s="48"/>
      <c r="L2296" s="50"/>
      <c r="M2296" s="30"/>
      <c r="N2296" s="30"/>
      <c r="O2296" s="30"/>
      <c r="P2296" s="30"/>
      <c r="Q2296" s="30"/>
      <c r="R2296" s="30"/>
      <c r="S2296" s="30"/>
      <c r="T2296" s="30"/>
      <c r="U2296" s="30"/>
      <c r="V2296" s="30"/>
      <c r="W2296" s="30"/>
      <c r="X2296" s="30"/>
      <c r="Y2296" s="30"/>
      <c r="Z2296" s="30"/>
      <c r="AA2296" s="30"/>
      <c r="AB2296" s="30"/>
      <c r="AC2296" s="30"/>
      <c r="AD2296" s="30"/>
      <c r="AE2296" s="30"/>
      <c r="AF2296" s="30"/>
      <c r="AG2296" s="30"/>
      <c r="AH2296" s="30"/>
    </row>
    <row r="2297" spans="1:34" ht="13">
      <c r="A2297" s="30"/>
      <c r="B2297" s="30"/>
      <c r="C2297" s="30"/>
      <c r="D2297" s="30"/>
      <c r="E2297" s="30"/>
      <c r="F2297" s="30"/>
      <c r="G2297" s="30"/>
      <c r="H2297" s="48"/>
      <c r="I2297" s="49"/>
      <c r="J2297" s="49"/>
      <c r="K2297" s="48"/>
      <c r="L2297" s="50"/>
      <c r="M2297" s="30"/>
      <c r="N2297" s="30"/>
      <c r="O2297" s="30"/>
      <c r="P2297" s="30"/>
      <c r="Q2297" s="30"/>
      <c r="R2297" s="30"/>
      <c r="S2297" s="30"/>
      <c r="T2297" s="30"/>
      <c r="U2297" s="30"/>
      <c r="V2297" s="30"/>
      <c r="W2297" s="30"/>
      <c r="X2297" s="30"/>
      <c r="Y2297" s="30"/>
      <c r="Z2297" s="30"/>
      <c r="AA2297" s="30"/>
      <c r="AB2297" s="30"/>
      <c r="AC2297" s="30"/>
      <c r="AD2297" s="30"/>
      <c r="AE2297" s="30"/>
      <c r="AF2297" s="30"/>
      <c r="AG2297" s="30"/>
      <c r="AH2297" s="30"/>
    </row>
    <row r="2298" spans="1:34" ht="13">
      <c r="A2298" s="30"/>
      <c r="B2298" s="30"/>
      <c r="C2298" s="30"/>
      <c r="D2298" s="30"/>
      <c r="E2298" s="30"/>
      <c r="F2298" s="30"/>
      <c r="G2298" s="30"/>
      <c r="H2298" s="48"/>
      <c r="I2298" s="49"/>
      <c r="J2298" s="49"/>
      <c r="K2298" s="48"/>
      <c r="L2298" s="50"/>
      <c r="M2298" s="30"/>
      <c r="N2298" s="30"/>
      <c r="O2298" s="30"/>
      <c r="P2298" s="30"/>
      <c r="Q2298" s="30"/>
      <c r="R2298" s="30"/>
      <c r="S2298" s="30"/>
      <c r="T2298" s="30"/>
      <c r="U2298" s="30"/>
      <c r="V2298" s="30"/>
      <c r="W2298" s="30"/>
      <c r="X2298" s="30"/>
      <c r="Y2298" s="30"/>
      <c r="Z2298" s="30"/>
      <c r="AA2298" s="30"/>
      <c r="AB2298" s="30"/>
      <c r="AC2298" s="30"/>
      <c r="AD2298" s="30"/>
      <c r="AE2298" s="30"/>
      <c r="AF2298" s="30"/>
      <c r="AG2298" s="30"/>
      <c r="AH2298" s="30"/>
    </row>
    <row r="2299" spans="1:34" ht="13">
      <c r="A2299" s="30"/>
      <c r="B2299" s="30"/>
      <c r="C2299" s="30"/>
      <c r="D2299" s="30"/>
      <c r="E2299" s="30"/>
      <c r="F2299" s="30"/>
      <c r="G2299" s="30"/>
      <c r="H2299" s="48"/>
      <c r="I2299" s="49"/>
      <c r="J2299" s="49"/>
      <c r="K2299" s="48"/>
      <c r="L2299" s="50"/>
      <c r="M2299" s="30"/>
      <c r="N2299" s="30"/>
      <c r="O2299" s="30"/>
      <c r="P2299" s="30"/>
      <c r="Q2299" s="30"/>
      <c r="R2299" s="30"/>
      <c r="S2299" s="30"/>
      <c r="T2299" s="30"/>
      <c r="U2299" s="30"/>
      <c r="V2299" s="30"/>
      <c r="W2299" s="30"/>
      <c r="X2299" s="30"/>
      <c r="Y2299" s="30"/>
      <c r="Z2299" s="30"/>
      <c r="AA2299" s="30"/>
      <c r="AB2299" s="30"/>
      <c r="AC2299" s="30"/>
      <c r="AD2299" s="30"/>
      <c r="AE2299" s="30"/>
      <c r="AF2299" s="30"/>
      <c r="AG2299" s="30"/>
      <c r="AH2299" s="30"/>
    </row>
    <row r="2300" spans="1:34" ht="13">
      <c r="A2300" s="30"/>
      <c r="B2300" s="30"/>
      <c r="C2300" s="30"/>
      <c r="D2300" s="30"/>
      <c r="E2300" s="30"/>
      <c r="F2300" s="30"/>
      <c r="G2300" s="30"/>
      <c r="H2300" s="48"/>
      <c r="I2300" s="49"/>
      <c r="J2300" s="49"/>
      <c r="K2300" s="48"/>
      <c r="L2300" s="50"/>
      <c r="M2300" s="30"/>
      <c r="N2300" s="30"/>
      <c r="O2300" s="30"/>
      <c r="P2300" s="30"/>
      <c r="Q2300" s="30"/>
      <c r="R2300" s="30"/>
      <c r="S2300" s="30"/>
      <c r="T2300" s="30"/>
      <c r="U2300" s="30"/>
      <c r="V2300" s="30"/>
      <c r="W2300" s="30"/>
      <c r="X2300" s="30"/>
      <c r="Y2300" s="30"/>
      <c r="Z2300" s="30"/>
      <c r="AA2300" s="30"/>
      <c r="AB2300" s="30"/>
      <c r="AC2300" s="30"/>
      <c r="AD2300" s="30"/>
      <c r="AE2300" s="30"/>
      <c r="AF2300" s="30"/>
      <c r="AG2300" s="30"/>
      <c r="AH2300" s="30"/>
    </row>
    <row r="2301" spans="1:34" ht="13">
      <c r="A2301" s="30"/>
      <c r="B2301" s="30"/>
      <c r="C2301" s="30"/>
      <c r="D2301" s="30"/>
      <c r="E2301" s="30"/>
      <c r="F2301" s="30"/>
      <c r="G2301" s="30"/>
      <c r="H2301" s="48"/>
      <c r="I2301" s="49"/>
      <c r="J2301" s="49"/>
      <c r="K2301" s="48"/>
      <c r="L2301" s="50"/>
      <c r="M2301" s="30"/>
      <c r="N2301" s="30"/>
      <c r="O2301" s="30"/>
      <c r="P2301" s="30"/>
      <c r="Q2301" s="30"/>
      <c r="R2301" s="30"/>
      <c r="S2301" s="30"/>
      <c r="T2301" s="30"/>
      <c r="U2301" s="30"/>
      <c r="V2301" s="30"/>
      <c r="W2301" s="30"/>
      <c r="X2301" s="30"/>
      <c r="Y2301" s="30"/>
      <c r="Z2301" s="30"/>
      <c r="AA2301" s="30"/>
      <c r="AB2301" s="30"/>
      <c r="AC2301" s="30"/>
      <c r="AD2301" s="30"/>
      <c r="AE2301" s="30"/>
      <c r="AF2301" s="30"/>
      <c r="AG2301" s="30"/>
      <c r="AH2301" s="30"/>
    </row>
    <row r="2302" spans="1:34" ht="13">
      <c r="A2302" s="30"/>
      <c r="B2302" s="30"/>
      <c r="C2302" s="30"/>
      <c r="D2302" s="30"/>
      <c r="E2302" s="30"/>
      <c r="F2302" s="30"/>
      <c r="G2302" s="30"/>
      <c r="H2302" s="48"/>
      <c r="I2302" s="49"/>
      <c r="J2302" s="49"/>
      <c r="K2302" s="48"/>
      <c r="L2302" s="50"/>
      <c r="M2302" s="30"/>
      <c r="N2302" s="30"/>
      <c r="O2302" s="30"/>
      <c r="P2302" s="30"/>
      <c r="Q2302" s="30"/>
      <c r="R2302" s="30"/>
      <c r="S2302" s="30"/>
      <c r="T2302" s="30"/>
      <c r="U2302" s="30"/>
      <c r="V2302" s="30"/>
      <c r="W2302" s="30"/>
      <c r="X2302" s="30"/>
      <c r="Y2302" s="30"/>
      <c r="Z2302" s="30"/>
      <c r="AA2302" s="30"/>
      <c r="AB2302" s="30"/>
      <c r="AC2302" s="30"/>
      <c r="AD2302" s="30"/>
      <c r="AE2302" s="30"/>
      <c r="AF2302" s="30"/>
      <c r="AG2302" s="30"/>
      <c r="AH2302" s="30"/>
    </row>
    <row r="2303" spans="1:34" ht="13">
      <c r="A2303" s="30"/>
      <c r="B2303" s="30"/>
      <c r="C2303" s="30"/>
      <c r="D2303" s="30"/>
      <c r="E2303" s="30"/>
      <c r="F2303" s="30"/>
      <c r="G2303" s="30"/>
      <c r="H2303" s="48"/>
      <c r="I2303" s="49"/>
      <c r="J2303" s="49"/>
      <c r="K2303" s="48"/>
      <c r="L2303" s="50"/>
      <c r="M2303" s="30"/>
      <c r="N2303" s="30"/>
      <c r="O2303" s="30"/>
      <c r="P2303" s="30"/>
      <c r="Q2303" s="30"/>
      <c r="R2303" s="30"/>
      <c r="S2303" s="30"/>
      <c r="T2303" s="30"/>
      <c r="U2303" s="30"/>
      <c r="V2303" s="30"/>
      <c r="W2303" s="30"/>
      <c r="X2303" s="30"/>
      <c r="Y2303" s="30"/>
      <c r="Z2303" s="30"/>
      <c r="AA2303" s="30"/>
      <c r="AB2303" s="30"/>
      <c r="AC2303" s="30"/>
      <c r="AD2303" s="30"/>
      <c r="AE2303" s="30"/>
      <c r="AF2303" s="30"/>
      <c r="AG2303" s="30"/>
      <c r="AH2303" s="30"/>
    </row>
    <row r="2304" spans="1:34" ht="13">
      <c r="A2304" s="30"/>
      <c r="B2304" s="30"/>
      <c r="C2304" s="30"/>
      <c r="D2304" s="30"/>
      <c r="E2304" s="30"/>
      <c r="F2304" s="30"/>
      <c r="G2304" s="30"/>
      <c r="H2304" s="48"/>
      <c r="I2304" s="49"/>
      <c r="J2304" s="49"/>
      <c r="K2304" s="48"/>
      <c r="L2304" s="50"/>
      <c r="M2304" s="30"/>
      <c r="N2304" s="30"/>
      <c r="O2304" s="30"/>
      <c r="P2304" s="30"/>
      <c r="Q2304" s="30"/>
      <c r="R2304" s="30"/>
      <c r="S2304" s="30"/>
      <c r="T2304" s="30"/>
      <c r="U2304" s="30"/>
      <c r="V2304" s="30"/>
      <c r="W2304" s="30"/>
      <c r="X2304" s="30"/>
      <c r="Y2304" s="30"/>
      <c r="Z2304" s="30"/>
      <c r="AA2304" s="30"/>
      <c r="AB2304" s="30"/>
      <c r="AC2304" s="30"/>
      <c r="AD2304" s="30"/>
      <c r="AE2304" s="30"/>
      <c r="AF2304" s="30"/>
      <c r="AG2304" s="30"/>
      <c r="AH2304" s="30"/>
    </row>
    <row r="2305" spans="1:34" ht="13">
      <c r="A2305" s="30"/>
      <c r="B2305" s="30"/>
      <c r="C2305" s="30"/>
      <c r="D2305" s="30"/>
      <c r="E2305" s="30"/>
      <c r="F2305" s="30"/>
      <c r="G2305" s="30"/>
      <c r="H2305" s="48"/>
      <c r="I2305" s="49"/>
      <c r="J2305" s="49"/>
      <c r="K2305" s="48"/>
      <c r="L2305" s="50"/>
      <c r="M2305" s="30"/>
      <c r="N2305" s="30"/>
      <c r="O2305" s="30"/>
      <c r="P2305" s="30"/>
      <c r="Q2305" s="30"/>
      <c r="R2305" s="30"/>
      <c r="S2305" s="30"/>
      <c r="T2305" s="30"/>
      <c r="U2305" s="30"/>
      <c r="V2305" s="30"/>
      <c r="W2305" s="30"/>
      <c r="X2305" s="30"/>
      <c r="Y2305" s="30"/>
      <c r="Z2305" s="30"/>
      <c r="AA2305" s="30"/>
      <c r="AB2305" s="30"/>
      <c r="AC2305" s="30"/>
      <c r="AD2305" s="30"/>
      <c r="AE2305" s="30"/>
      <c r="AF2305" s="30"/>
      <c r="AG2305" s="30"/>
      <c r="AH2305" s="30"/>
    </row>
    <row r="2306" spans="1:34" ht="13">
      <c r="A2306" s="30"/>
      <c r="B2306" s="30"/>
      <c r="C2306" s="30"/>
      <c r="D2306" s="30"/>
      <c r="E2306" s="30"/>
      <c r="F2306" s="30"/>
      <c r="G2306" s="30"/>
      <c r="H2306" s="48"/>
      <c r="I2306" s="49"/>
      <c r="J2306" s="49"/>
      <c r="K2306" s="48"/>
      <c r="L2306" s="50"/>
      <c r="M2306" s="30"/>
      <c r="N2306" s="30"/>
      <c r="O2306" s="30"/>
      <c r="P2306" s="30"/>
      <c r="Q2306" s="30"/>
      <c r="R2306" s="30"/>
      <c r="S2306" s="30"/>
      <c r="T2306" s="30"/>
      <c r="U2306" s="30"/>
      <c r="V2306" s="30"/>
      <c r="W2306" s="30"/>
      <c r="X2306" s="30"/>
      <c r="Y2306" s="30"/>
      <c r="Z2306" s="30"/>
      <c r="AA2306" s="30"/>
      <c r="AB2306" s="30"/>
      <c r="AC2306" s="30"/>
      <c r="AD2306" s="30"/>
      <c r="AE2306" s="30"/>
      <c r="AF2306" s="30"/>
      <c r="AG2306" s="30"/>
      <c r="AH2306" s="30"/>
    </row>
    <row r="2307" spans="1:34" ht="13">
      <c r="A2307" s="30"/>
      <c r="B2307" s="30"/>
      <c r="C2307" s="30"/>
      <c r="D2307" s="30"/>
      <c r="E2307" s="30"/>
      <c r="F2307" s="30"/>
      <c r="G2307" s="30"/>
      <c r="H2307" s="48"/>
      <c r="I2307" s="49"/>
      <c r="J2307" s="49"/>
      <c r="K2307" s="48"/>
      <c r="L2307" s="50"/>
      <c r="M2307" s="30"/>
      <c r="N2307" s="30"/>
      <c r="O2307" s="30"/>
      <c r="P2307" s="30"/>
      <c r="Q2307" s="30"/>
      <c r="R2307" s="30"/>
      <c r="S2307" s="30"/>
      <c r="T2307" s="30"/>
      <c r="U2307" s="30"/>
      <c r="V2307" s="30"/>
      <c r="W2307" s="30"/>
      <c r="X2307" s="30"/>
      <c r="Y2307" s="30"/>
      <c r="Z2307" s="30"/>
      <c r="AA2307" s="30"/>
      <c r="AB2307" s="30"/>
      <c r="AC2307" s="30"/>
      <c r="AD2307" s="30"/>
      <c r="AE2307" s="30"/>
      <c r="AF2307" s="30"/>
      <c r="AG2307" s="30"/>
      <c r="AH2307" s="30"/>
    </row>
    <row r="2308" spans="1:34" ht="13">
      <c r="A2308" s="30"/>
      <c r="B2308" s="30"/>
      <c r="C2308" s="30"/>
      <c r="D2308" s="30"/>
      <c r="E2308" s="30"/>
      <c r="F2308" s="30"/>
      <c r="G2308" s="30"/>
      <c r="H2308" s="48"/>
      <c r="I2308" s="49"/>
      <c r="J2308" s="49"/>
      <c r="K2308" s="48"/>
      <c r="L2308" s="50"/>
      <c r="M2308" s="30"/>
      <c r="N2308" s="30"/>
      <c r="O2308" s="30"/>
      <c r="P2308" s="30"/>
      <c r="Q2308" s="30"/>
      <c r="R2308" s="30"/>
      <c r="S2308" s="30"/>
      <c r="T2308" s="30"/>
      <c r="U2308" s="30"/>
      <c r="V2308" s="30"/>
      <c r="W2308" s="30"/>
      <c r="X2308" s="30"/>
      <c r="Y2308" s="30"/>
      <c r="Z2308" s="30"/>
      <c r="AA2308" s="30"/>
      <c r="AB2308" s="30"/>
      <c r="AC2308" s="30"/>
      <c r="AD2308" s="30"/>
      <c r="AE2308" s="30"/>
      <c r="AF2308" s="30"/>
      <c r="AG2308" s="30"/>
      <c r="AH2308" s="30"/>
    </row>
    <row r="2309" spans="1:34" ht="13">
      <c r="A2309" s="30"/>
      <c r="B2309" s="30"/>
      <c r="C2309" s="30"/>
      <c r="D2309" s="30"/>
      <c r="E2309" s="30"/>
      <c r="F2309" s="30"/>
      <c r="G2309" s="30"/>
      <c r="H2309" s="48"/>
      <c r="I2309" s="49"/>
      <c r="J2309" s="49"/>
      <c r="K2309" s="48"/>
      <c r="L2309" s="50"/>
      <c r="M2309" s="30"/>
      <c r="N2309" s="30"/>
      <c r="O2309" s="30"/>
      <c r="P2309" s="30"/>
      <c r="Q2309" s="30"/>
      <c r="R2309" s="30"/>
      <c r="S2309" s="30"/>
      <c r="T2309" s="30"/>
      <c r="U2309" s="30"/>
      <c r="V2309" s="30"/>
      <c r="W2309" s="30"/>
      <c r="X2309" s="30"/>
      <c r="Y2309" s="30"/>
      <c r="Z2309" s="30"/>
      <c r="AA2309" s="30"/>
      <c r="AB2309" s="30"/>
      <c r="AC2309" s="30"/>
      <c r="AD2309" s="30"/>
      <c r="AE2309" s="30"/>
      <c r="AF2309" s="30"/>
      <c r="AG2309" s="30"/>
      <c r="AH2309" s="30"/>
    </row>
    <row r="2310" spans="1:34" ht="13">
      <c r="A2310" s="30"/>
      <c r="B2310" s="30"/>
      <c r="C2310" s="30"/>
      <c r="D2310" s="30"/>
      <c r="E2310" s="30"/>
      <c r="F2310" s="30"/>
      <c r="G2310" s="30"/>
      <c r="H2310" s="48"/>
      <c r="I2310" s="49"/>
      <c r="J2310" s="49"/>
      <c r="K2310" s="48"/>
      <c r="L2310" s="50"/>
      <c r="M2310" s="30"/>
      <c r="N2310" s="30"/>
      <c r="O2310" s="30"/>
      <c r="P2310" s="30"/>
      <c r="Q2310" s="30"/>
      <c r="R2310" s="30"/>
      <c r="S2310" s="30"/>
      <c r="T2310" s="30"/>
      <c r="U2310" s="30"/>
      <c r="V2310" s="30"/>
      <c r="W2310" s="30"/>
      <c r="X2310" s="30"/>
      <c r="Y2310" s="30"/>
      <c r="Z2310" s="30"/>
      <c r="AA2310" s="30"/>
      <c r="AB2310" s="30"/>
      <c r="AC2310" s="30"/>
      <c r="AD2310" s="30"/>
      <c r="AE2310" s="30"/>
      <c r="AF2310" s="30"/>
      <c r="AG2310" s="30"/>
      <c r="AH2310" s="30"/>
    </row>
    <row r="2311" spans="1:34" ht="13">
      <c r="A2311" s="30"/>
      <c r="B2311" s="30"/>
      <c r="C2311" s="30"/>
      <c r="D2311" s="30"/>
      <c r="E2311" s="30"/>
      <c r="F2311" s="30"/>
      <c r="G2311" s="30"/>
      <c r="H2311" s="48"/>
      <c r="I2311" s="49"/>
      <c r="J2311" s="49"/>
      <c r="K2311" s="48"/>
      <c r="L2311" s="50"/>
      <c r="M2311" s="30"/>
      <c r="N2311" s="30"/>
      <c r="O2311" s="30"/>
      <c r="P2311" s="30"/>
      <c r="Q2311" s="30"/>
      <c r="R2311" s="30"/>
      <c r="S2311" s="30"/>
      <c r="T2311" s="30"/>
      <c r="U2311" s="30"/>
      <c r="V2311" s="30"/>
      <c r="W2311" s="30"/>
      <c r="X2311" s="30"/>
      <c r="Y2311" s="30"/>
      <c r="Z2311" s="30"/>
      <c r="AA2311" s="30"/>
      <c r="AB2311" s="30"/>
      <c r="AC2311" s="30"/>
      <c r="AD2311" s="30"/>
      <c r="AE2311" s="30"/>
      <c r="AF2311" s="30"/>
      <c r="AG2311" s="30"/>
      <c r="AH2311" s="30"/>
    </row>
    <row r="2312" spans="1:34" ht="13">
      <c r="A2312" s="30"/>
      <c r="B2312" s="30"/>
      <c r="C2312" s="30"/>
      <c r="D2312" s="30"/>
      <c r="E2312" s="30"/>
      <c r="F2312" s="30"/>
      <c r="G2312" s="30"/>
      <c r="H2312" s="48"/>
      <c r="I2312" s="49"/>
      <c r="J2312" s="49"/>
      <c r="K2312" s="48"/>
      <c r="L2312" s="50"/>
      <c r="M2312" s="30"/>
      <c r="N2312" s="30"/>
      <c r="O2312" s="30"/>
      <c r="P2312" s="30"/>
      <c r="Q2312" s="30"/>
      <c r="R2312" s="30"/>
      <c r="S2312" s="30"/>
      <c r="T2312" s="30"/>
      <c r="U2312" s="30"/>
      <c r="V2312" s="30"/>
      <c r="W2312" s="30"/>
      <c r="X2312" s="30"/>
      <c r="Y2312" s="30"/>
      <c r="Z2312" s="30"/>
      <c r="AA2312" s="30"/>
      <c r="AB2312" s="30"/>
      <c r="AC2312" s="30"/>
      <c r="AD2312" s="30"/>
      <c r="AE2312" s="30"/>
      <c r="AF2312" s="30"/>
      <c r="AG2312" s="30"/>
      <c r="AH2312" s="30"/>
    </row>
    <row r="2313" spans="1:34" ht="13">
      <c r="A2313" s="30"/>
      <c r="B2313" s="30"/>
      <c r="C2313" s="30"/>
      <c r="D2313" s="30"/>
      <c r="E2313" s="30"/>
      <c r="F2313" s="30"/>
      <c r="G2313" s="30"/>
      <c r="H2313" s="48"/>
      <c r="I2313" s="49"/>
      <c r="J2313" s="49"/>
      <c r="K2313" s="48"/>
      <c r="L2313" s="50"/>
      <c r="M2313" s="30"/>
      <c r="N2313" s="30"/>
      <c r="O2313" s="30"/>
      <c r="P2313" s="30"/>
      <c r="Q2313" s="30"/>
      <c r="R2313" s="30"/>
      <c r="S2313" s="30"/>
      <c r="T2313" s="30"/>
      <c r="U2313" s="30"/>
      <c r="V2313" s="30"/>
      <c r="W2313" s="30"/>
      <c r="X2313" s="30"/>
      <c r="Y2313" s="30"/>
      <c r="Z2313" s="30"/>
      <c r="AA2313" s="30"/>
      <c r="AB2313" s="30"/>
      <c r="AC2313" s="30"/>
      <c r="AD2313" s="30"/>
      <c r="AE2313" s="30"/>
      <c r="AF2313" s="30"/>
      <c r="AG2313" s="30"/>
      <c r="AH2313" s="30"/>
    </row>
    <row r="2314" spans="1:34" ht="13">
      <c r="A2314" s="30"/>
      <c r="B2314" s="30"/>
      <c r="C2314" s="30"/>
      <c r="D2314" s="30"/>
      <c r="E2314" s="30"/>
      <c r="F2314" s="30"/>
      <c r="G2314" s="30"/>
      <c r="H2314" s="48"/>
      <c r="I2314" s="49"/>
      <c r="J2314" s="49"/>
      <c r="K2314" s="48"/>
      <c r="L2314" s="50"/>
      <c r="M2314" s="30"/>
      <c r="N2314" s="30"/>
      <c r="O2314" s="30"/>
      <c r="P2314" s="30"/>
      <c r="Q2314" s="30"/>
      <c r="R2314" s="30"/>
      <c r="S2314" s="30"/>
      <c r="T2314" s="30"/>
      <c r="U2314" s="30"/>
      <c r="V2314" s="30"/>
      <c r="W2314" s="30"/>
      <c r="X2314" s="30"/>
      <c r="Y2314" s="30"/>
      <c r="Z2314" s="30"/>
      <c r="AA2314" s="30"/>
      <c r="AB2314" s="30"/>
      <c r="AC2314" s="30"/>
      <c r="AD2314" s="30"/>
      <c r="AE2314" s="30"/>
      <c r="AF2314" s="30"/>
      <c r="AG2314" s="30"/>
      <c r="AH2314" s="30"/>
    </row>
    <row r="2315" spans="1:34" ht="13">
      <c r="A2315" s="30"/>
      <c r="B2315" s="30"/>
      <c r="C2315" s="30"/>
      <c r="D2315" s="30"/>
      <c r="E2315" s="30"/>
      <c r="F2315" s="30"/>
      <c r="G2315" s="30"/>
      <c r="H2315" s="48"/>
      <c r="I2315" s="49"/>
      <c r="J2315" s="49"/>
      <c r="K2315" s="48"/>
      <c r="L2315" s="50"/>
      <c r="M2315" s="30"/>
      <c r="N2315" s="30"/>
      <c r="O2315" s="30"/>
      <c r="P2315" s="30"/>
      <c r="Q2315" s="30"/>
      <c r="R2315" s="30"/>
      <c r="S2315" s="30"/>
      <c r="T2315" s="30"/>
      <c r="U2315" s="30"/>
      <c r="V2315" s="30"/>
      <c r="W2315" s="30"/>
      <c r="X2315" s="30"/>
      <c r="Y2315" s="30"/>
      <c r="Z2315" s="30"/>
      <c r="AA2315" s="30"/>
      <c r="AB2315" s="30"/>
      <c r="AC2315" s="30"/>
      <c r="AD2315" s="30"/>
      <c r="AE2315" s="30"/>
      <c r="AF2315" s="30"/>
      <c r="AG2315" s="30"/>
      <c r="AH2315" s="30"/>
    </row>
    <row r="2316" spans="1:34" ht="13">
      <c r="A2316" s="30"/>
      <c r="B2316" s="30"/>
      <c r="C2316" s="30"/>
      <c r="D2316" s="30"/>
      <c r="E2316" s="30"/>
      <c r="F2316" s="30"/>
      <c r="G2316" s="30"/>
      <c r="H2316" s="48"/>
      <c r="I2316" s="49"/>
      <c r="J2316" s="49"/>
      <c r="K2316" s="48"/>
      <c r="L2316" s="50"/>
      <c r="M2316" s="30"/>
      <c r="N2316" s="30"/>
      <c r="O2316" s="30"/>
      <c r="P2316" s="30"/>
      <c r="Q2316" s="30"/>
      <c r="R2316" s="30"/>
      <c r="S2316" s="30"/>
      <c r="T2316" s="30"/>
      <c r="U2316" s="30"/>
      <c r="V2316" s="30"/>
      <c r="W2316" s="30"/>
      <c r="X2316" s="30"/>
      <c r="Y2316" s="30"/>
      <c r="Z2316" s="30"/>
      <c r="AA2316" s="30"/>
      <c r="AB2316" s="30"/>
      <c r="AC2316" s="30"/>
      <c r="AD2316" s="30"/>
      <c r="AE2316" s="30"/>
      <c r="AF2316" s="30"/>
      <c r="AG2316" s="30"/>
      <c r="AH2316" s="30"/>
    </row>
    <row r="2317" spans="1:34" ht="13">
      <c r="A2317" s="30"/>
      <c r="B2317" s="30"/>
      <c r="C2317" s="30"/>
      <c r="D2317" s="30"/>
      <c r="E2317" s="30"/>
      <c r="F2317" s="30"/>
      <c r="G2317" s="30"/>
      <c r="H2317" s="48"/>
      <c r="I2317" s="49"/>
      <c r="J2317" s="49"/>
      <c r="K2317" s="48"/>
      <c r="L2317" s="50"/>
      <c r="M2317" s="30"/>
      <c r="N2317" s="30"/>
      <c r="O2317" s="30"/>
      <c r="P2317" s="30"/>
      <c r="Q2317" s="30"/>
      <c r="R2317" s="30"/>
      <c r="S2317" s="30"/>
      <c r="T2317" s="30"/>
      <c r="U2317" s="30"/>
      <c r="V2317" s="30"/>
      <c r="W2317" s="30"/>
      <c r="X2317" s="30"/>
      <c r="Y2317" s="30"/>
      <c r="Z2317" s="30"/>
      <c r="AA2317" s="30"/>
      <c r="AB2317" s="30"/>
      <c r="AC2317" s="30"/>
      <c r="AD2317" s="30"/>
      <c r="AE2317" s="30"/>
      <c r="AF2317" s="30"/>
      <c r="AG2317" s="30"/>
      <c r="AH2317" s="30"/>
    </row>
    <row r="2318" spans="1:34" ht="13">
      <c r="A2318" s="30"/>
      <c r="B2318" s="30"/>
      <c r="C2318" s="30"/>
      <c r="D2318" s="30"/>
      <c r="E2318" s="30"/>
      <c r="F2318" s="30"/>
      <c r="G2318" s="30"/>
      <c r="H2318" s="48"/>
      <c r="I2318" s="49"/>
      <c r="J2318" s="49"/>
      <c r="K2318" s="48"/>
      <c r="L2318" s="50"/>
      <c r="M2318" s="30"/>
      <c r="N2318" s="30"/>
      <c r="O2318" s="30"/>
      <c r="P2318" s="30"/>
      <c r="Q2318" s="30"/>
      <c r="R2318" s="30"/>
      <c r="S2318" s="30"/>
      <c r="T2318" s="30"/>
      <c r="U2318" s="30"/>
      <c r="V2318" s="30"/>
      <c r="W2318" s="30"/>
      <c r="X2318" s="30"/>
      <c r="Y2318" s="30"/>
      <c r="Z2318" s="30"/>
      <c r="AA2318" s="30"/>
      <c r="AB2318" s="30"/>
      <c r="AC2318" s="30"/>
      <c r="AD2318" s="30"/>
      <c r="AE2318" s="30"/>
      <c r="AF2318" s="30"/>
      <c r="AG2318" s="30"/>
      <c r="AH2318" s="30"/>
    </row>
    <row r="2319" spans="1:34" ht="13">
      <c r="A2319" s="30"/>
      <c r="B2319" s="30"/>
      <c r="C2319" s="30"/>
      <c r="D2319" s="30"/>
      <c r="E2319" s="30"/>
      <c r="F2319" s="30"/>
      <c r="G2319" s="30"/>
      <c r="H2319" s="48"/>
      <c r="I2319" s="49"/>
      <c r="J2319" s="49"/>
      <c r="K2319" s="48"/>
      <c r="L2319" s="50"/>
      <c r="M2319" s="30"/>
      <c r="N2319" s="30"/>
      <c r="O2319" s="30"/>
      <c r="P2319" s="30"/>
      <c r="Q2319" s="30"/>
      <c r="R2319" s="30"/>
      <c r="S2319" s="30"/>
      <c r="T2319" s="30"/>
      <c r="U2319" s="30"/>
      <c r="V2319" s="30"/>
      <c r="W2319" s="30"/>
      <c r="X2319" s="30"/>
      <c r="Y2319" s="30"/>
      <c r="Z2319" s="30"/>
      <c r="AA2319" s="30"/>
      <c r="AB2319" s="30"/>
      <c r="AC2319" s="30"/>
      <c r="AD2319" s="30"/>
      <c r="AE2319" s="30"/>
      <c r="AF2319" s="30"/>
      <c r="AG2319" s="30"/>
      <c r="AH2319" s="30"/>
    </row>
    <row r="2320" spans="1:34" ht="13">
      <c r="A2320" s="30"/>
      <c r="B2320" s="30"/>
      <c r="C2320" s="30"/>
      <c r="D2320" s="30"/>
      <c r="E2320" s="30"/>
      <c r="F2320" s="30"/>
      <c r="G2320" s="30"/>
      <c r="H2320" s="48"/>
      <c r="I2320" s="49"/>
      <c r="J2320" s="49"/>
      <c r="K2320" s="48"/>
      <c r="L2320" s="50"/>
      <c r="M2320" s="30"/>
      <c r="N2320" s="30"/>
      <c r="O2320" s="30"/>
      <c r="P2320" s="30"/>
      <c r="Q2320" s="30"/>
      <c r="R2320" s="30"/>
      <c r="S2320" s="30"/>
      <c r="T2320" s="30"/>
      <c r="U2320" s="30"/>
      <c r="V2320" s="30"/>
      <c r="W2320" s="30"/>
      <c r="X2320" s="30"/>
      <c r="Y2320" s="30"/>
      <c r="Z2320" s="30"/>
      <c r="AA2320" s="30"/>
      <c r="AB2320" s="30"/>
      <c r="AC2320" s="30"/>
      <c r="AD2320" s="30"/>
      <c r="AE2320" s="30"/>
      <c r="AF2320" s="30"/>
      <c r="AG2320" s="30"/>
      <c r="AH2320" s="30"/>
    </row>
    <row r="2321" spans="1:34" ht="13">
      <c r="A2321" s="30"/>
      <c r="B2321" s="30"/>
      <c r="C2321" s="30"/>
      <c r="D2321" s="30"/>
      <c r="E2321" s="30"/>
      <c r="F2321" s="30"/>
      <c r="G2321" s="30"/>
      <c r="H2321" s="48"/>
      <c r="I2321" s="49"/>
      <c r="J2321" s="49"/>
      <c r="K2321" s="48"/>
      <c r="L2321" s="50"/>
      <c r="M2321" s="30"/>
      <c r="N2321" s="30"/>
      <c r="O2321" s="30"/>
      <c r="P2321" s="30"/>
      <c r="Q2321" s="30"/>
      <c r="R2321" s="30"/>
      <c r="S2321" s="30"/>
      <c r="T2321" s="30"/>
      <c r="U2321" s="30"/>
      <c r="V2321" s="30"/>
      <c r="W2321" s="30"/>
      <c r="X2321" s="30"/>
      <c r="Y2321" s="30"/>
      <c r="Z2321" s="30"/>
      <c r="AA2321" s="30"/>
      <c r="AB2321" s="30"/>
      <c r="AC2321" s="30"/>
      <c r="AD2321" s="30"/>
      <c r="AE2321" s="30"/>
      <c r="AF2321" s="30"/>
      <c r="AG2321" s="30"/>
      <c r="AH2321" s="30"/>
    </row>
    <row r="2322" spans="1:34" ht="13">
      <c r="A2322" s="30"/>
      <c r="B2322" s="30"/>
      <c r="C2322" s="30"/>
      <c r="D2322" s="30"/>
      <c r="E2322" s="30"/>
      <c r="F2322" s="30"/>
      <c r="G2322" s="30"/>
      <c r="H2322" s="48"/>
      <c r="I2322" s="49"/>
      <c r="J2322" s="49"/>
      <c r="K2322" s="48"/>
      <c r="L2322" s="50"/>
      <c r="M2322" s="30"/>
      <c r="N2322" s="30"/>
      <c r="O2322" s="30"/>
      <c r="P2322" s="30"/>
      <c r="Q2322" s="30"/>
      <c r="R2322" s="30"/>
      <c r="S2322" s="30"/>
      <c r="T2322" s="30"/>
      <c r="U2322" s="30"/>
      <c r="V2322" s="30"/>
      <c r="W2322" s="30"/>
      <c r="X2322" s="30"/>
      <c r="Y2322" s="30"/>
      <c r="Z2322" s="30"/>
      <c r="AA2322" s="30"/>
      <c r="AB2322" s="30"/>
      <c r="AC2322" s="30"/>
      <c r="AD2322" s="30"/>
      <c r="AE2322" s="30"/>
      <c r="AF2322" s="30"/>
      <c r="AG2322" s="30"/>
      <c r="AH2322" s="30"/>
    </row>
    <row r="2323" spans="1:34" ht="13">
      <c r="A2323" s="30"/>
      <c r="B2323" s="30"/>
      <c r="C2323" s="30"/>
      <c r="D2323" s="30"/>
      <c r="E2323" s="30"/>
      <c r="F2323" s="30"/>
      <c r="G2323" s="30"/>
      <c r="H2323" s="48"/>
      <c r="I2323" s="49"/>
      <c r="J2323" s="49"/>
      <c r="K2323" s="48"/>
      <c r="L2323" s="50"/>
      <c r="M2323" s="30"/>
      <c r="N2323" s="30"/>
      <c r="O2323" s="30"/>
      <c r="P2323" s="30"/>
      <c r="Q2323" s="30"/>
      <c r="R2323" s="30"/>
      <c r="S2323" s="30"/>
      <c r="T2323" s="30"/>
      <c r="U2323" s="30"/>
      <c r="V2323" s="30"/>
      <c r="W2323" s="30"/>
      <c r="X2323" s="30"/>
      <c r="Y2323" s="30"/>
      <c r="Z2323" s="30"/>
      <c r="AA2323" s="30"/>
      <c r="AB2323" s="30"/>
      <c r="AC2323" s="30"/>
      <c r="AD2323" s="30"/>
      <c r="AE2323" s="30"/>
      <c r="AF2323" s="30"/>
      <c r="AG2323" s="30"/>
      <c r="AH2323" s="30"/>
    </row>
    <row r="2324" spans="1:34" ht="13">
      <c r="A2324" s="30"/>
      <c r="B2324" s="30"/>
      <c r="C2324" s="30"/>
      <c r="D2324" s="30"/>
      <c r="E2324" s="30"/>
      <c r="F2324" s="30"/>
      <c r="G2324" s="30"/>
      <c r="H2324" s="48"/>
      <c r="I2324" s="49"/>
      <c r="J2324" s="49"/>
      <c r="K2324" s="48"/>
      <c r="L2324" s="50"/>
      <c r="M2324" s="30"/>
      <c r="N2324" s="30"/>
      <c r="O2324" s="30"/>
      <c r="P2324" s="30"/>
      <c r="Q2324" s="30"/>
      <c r="R2324" s="30"/>
      <c r="S2324" s="30"/>
      <c r="T2324" s="30"/>
      <c r="U2324" s="30"/>
      <c r="V2324" s="30"/>
      <c r="W2324" s="30"/>
      <c r="X2324" s="30"/>
      <c r="Y2324" s="30"/>
      <c r="Z2324" s="30"/>
      <c r="AA2324" s="30"/>
      <c r="AB2324" s="30"/>
      <c r="AC2324" s="30"/>
      <c r="AD2324" s="30"/>
      <c r="AE2324" s="30"/>
      <c r="AF2324" s="30"/>
      <c r="AG2324" s="30"/>
      <c r="AH2324" s="30"/>
    </row>
    <row r="2325" spans="1:34" ht="13">
      <c r="A2325" s="30"/>
      <c r="B2325" s="30"/>
      <c r="C2325" s="30"/>
      <c r="D2325" s="30"/>
      <c r="E2325" s="30"/>
      <c r="F2325" s="30"/>
      <c r="G2325" s="30"/>
      <c r="H2325" s="48"/>
      <c r="I2325" s="49"/>
      <c r="J2325" s="49"/>
      <c r="K2325" s="48"/>
      <c r="L2325" s="50"/>
      <c r="M2325" s="30"/>
      <c r="N2325" s="30"/>
      <c r="O2325" s="30"/>
      <c r="P2325" s="30"/>
      <c r="Q2325" s="30"/>
      <c r="R2325" s="30"/>
      <c r="S2325" s="30"/>
      <c r="T2325" s="30"/>
      <c r="U2325" s="30"/>
      <c r="V2325" s="30"/>
      <c r="W2325" s="30"/>
      <c r="X2325" s="30"/>
      <c r="Y2325" s="30"/>
      <c r="Z2325" s="30"/>
      <c r="AA2325" s="30"/>
      <c r="AB2325" s="30"/>
      <c r="AC2325" s="30"/>
      <c r="AD2325" s="30"/>
      <c r="AE2325" s="30"/>
      <c r="AF2325" s="30"/>
      <c r="AG2325" s="30"/>
      <c r="AH2325" s="30"/>
    </row>
    <row r="2326" spans="1:34" ht="13">
      <c r="A2326" s="30"/>
      <c r="B2326" s="30"/>
      <c r="C2326" s="30"/>
      <c r="D2326" s="30"/>
      <c r="E2326" s="30"/>
      <c r="F2326" s="30"/>
      <c r="G2326" s="30"/>
      <c r="H2326" s="48"/>
      <c r="I2326" s="49"/>
      <c r="J2326" s="49"/>
      <c r="K2326" s="48"/>
      <c r="L2326" s="50"/>
      <c r="M2326" s="30"/>
      <c r="N2326" s="30"/>
      <c r="O2326" s="30"/>
      <c r="P2326" s="30"/>
      <c r="Q2326" s="30"/>
      <c r="R2326" s="30"/>
      <c r="S2326" s="30"/>
      <c r="T2326" s="30"/>
      <c r="U2326" s="30"/>
      <c r="V2326" s="30"/>
      <c r="W2326" s="30"/>
      <c r="X2326" s="30"/>
      <c r="Y2326" s="30"/>
      <c r="Z2326" s="30"/>
      <c r="AA2326" s="30"/>
      <c r="AB2326" s="30"/>
      <c r="AC2326" s="30"/>
      <c r="AD2326" s="30"/>
      <c r="AE2326" s="30"/>
      <c r="AF2326" s="30"/>
      <c r="AG2326" s="30"/>
      <c r="AH2326" s="30"/>
    </row>
    <row r="2327" spans="1:34" ht="13">
      <c r="A2327" s="30"/>
      <c r="B2327" s="30"/>
      <c r="C2327" s="30"/>
      <c r="D2327" s="30"/>
      <c r="E2327" s="30"/>
      <c r="F2327" s="30"/>
      <c r="G2327" s="30"/>
      <c r="H2327" s="48"/>
      <c r="I2327" s="49"/>
      <c r="J2327" s="49"/>
      <c r="K2327" s="48"/>
      <c r="L2327" s="50"/>
      <c r="M2327" s="30"/>
      <c r="N2327" s="30"/>
      <c r="O2327" s="30"/>
      <c r="P2327" s="30"/>
      <c r="Q2327" s="30"/>
      <c r="R2327" s="30"/>
      <c r="S2327" s="30"/>
      <c r="T2327" s="30"/>
      <c r="U2327" s="30"/>
      <c r="V2327" s="30"/>
      <c r="W2327" s="30"/>
      <c r="X2327" s="30"/>
      <c r="Y2327" s="30"/>
      <c r="Z2327" s="30"/>
      <c r="AA2327" s="30"/>
      <c r="AB2327" s="30"/>
      <c r="AC2327" s="30"/>
      <c r="AD2327" s="30"/>
      <c r="AE2327" s="30"/>
      <c r="AF2327" s="30"/>
      <c r="AG2327" s="30"/>
      <c r="AH2327" s="30"/>
    </row>
    <row r="2328" spans="1:34" ht="13">
      <c r="A2328" s="30"/>
      <c r="B2328" s="30"/>
      <c r="C2328" s="30"/>
      <c r="D2328" s="30"/>
      <c r="E2328" s="30"/>
      <c r="F2328" s="30"/>
      <c r="G2328" s="30"/>
      <c r="H2328" s="48"/>
      <c r="I2328" s="49"/>
      <c r="J2328" s="49"/>
      <c r="K2328" s="48"/>
      <c r="L2328" s="50"/>
      <c r="M2328" s="30"/>
      <c r="N2328" s="30"/>
      <c r="O2328" s="30"/>
      <c r="P2328" s="30"/>
      <c r="Q2328" s="30"/>
      <c r="R2328" s="30"/>
      <c r="S2328" s="30"/>
      <c r="T2328" s="30"/>
      <c r="U2328" s="30"/>
      <c r="V2328" s="30"/>
      <c r="W2328" s="30"/>
      <c r="X2328" s="30"/>
      <c r="Y2328" s="30"/>
      <c r="Z2328" s="30"/>
      <c r="AA2328" s="30"/>
      <c r="AB2328" s="30"/>
      <c r="AC2328" s="30"/>
      <c r="AD2328" s="30"/>
      <c r="AE2328" s="30"/>
      <c r="AF2328" s="30"/>
      <c r="AG2328" s="30"/>
      <c r="AH2328" s="30"/>
    </row>
    <row r="2329" spans="1:34" ht="13">
      <c r="A2329" s="30"/>
      <c r="B2329" s="30"/>
      <c r="C2329" s="30"/>
      <c r="D2329" s="30"/>
      <c r="E2329" s="30"/>
      <c r="F2329" s="30"/>
      <c r="G2329" s="30"/>
      <c r="H2329" s="48"/>
      <c r="I2329" s="49"/>
      <c r="J2329" s="49"/>
      <c r="K2329" s="48"/>
      <c r="L2329" s="50"/>
      <c r="M2329" s="30"/>
      <c r="N2329" s="30"/>
      <c r="O2329" s="30"/>
      <c r="P2329" s="30"/>
      <c r="Q2329" s="30"/>
      <c r="R2329" s="30"/>
      <c r="S2329" s="30"/>
      <c r="T2329" s="30"/>
      <c r="U2329" s="30"/>
      <c r="V2329" s="30"/>
      <c r="W2329" s="30"/>
      <c r="X2329" s="30"/>
      <c r="Y2329" s="30"/>
      <c r="Z2329" s="30"/>
      <c r="AA2329" s="30"/>
      <c r="AB2329" s="30"/>
      <c r="AC2329" s="30"/>
      <c r="AD2329" s="30"/>
      <c r="AE2329" s="30"/>
      <c r="AF2329" s="30"/>
      <c r="AG2329" s="30"/>
      <c r="AH2329" s="30"/>
    </row>
    <row r="2330" spans="1:34" ht="13">
      <c r="A2330" s="30"/>
      <c r="B2330" s="30"/>
      <c r="C2330" s="30"/>
      <c r="D2330" s="30"/>
      <c r="E2330" s="30"/>
      <c r="F2330" s="30"/>
      <c r="G2330" s="30"/>
      <c r="H2330" s="48"/>
      <c r="I2330" s="49"/>
      <c r="J2330" s="49"/>
      <c r="K2330" s="48"/>
      <c r="L2330" s="50"/>
      <c r="M2330" s="30"/>
      <c r="N2330" s="30"/>
      <c r="O2330" s="30"/>
      <c r="P2330" s="30"/>
      <c r="Q2330" s="30"/>
      <c r="R2330" s="30"/>
      <c r="S2330" s="30"/>
      <c r="T2330" s="30"/>
      <c r="U2330" s="30"/>
      <c r="V2330" s="30"/>
      <c r="W2330" s="30"/>
      <c r="X2330" s="30"/>
      <c r="Y2330" s="30"/>
      <c r="Z2330" s="30"/>
      <c r="AA2330" s="30"/>
      <c r="AB2330" s="30"/>
      <c r="AC2330" s="30"/>
      <c r="AD2330" s="30"/>
      <c r="AE2330" s="30"/>
      <c r="AF2330" s="30"/>
      <c r="AG2330" s="30"/>
      <c r="AH2330" s="30"/>
    </row>
    <row r="2331" spans="1:34" ht="13">
      <c r="A2331" s="30"/>
      <c r="B2331" s="30"/>
      <c r="C2331" s="30"/>
      <c r="D2331" s="30"/>
      <c r="E2331" s="30"/>
      <c r="F2331" s="30"/>
      <c r="G2331" s="30"/>
      <c r="H2331" s="48"/>
      <c r="I2331" s="49"/>
      <c r="J2331" s="49"/>
      <c r="K2331" s="48"/>
      <c r="L2331" s="50"/>
      <c r="M2331" s="30"/>
      <c r="N2331" s="30"/>
      <c r="O2331" s="30"/>
      <c r="P2331" s="30"/>
      <c r="Q2331" s="30"/>
      <c r="R2331" s="30"/>
      <c r="S2331" s="30"/>
      <c r="T2331" s="30"/>
      <c r="U2331" s="30"/>
      <c r="V2331" s="30"/>
      <c r="W2331" s="30"/>
      <c r="X2331" s="30"/>
      <c r="Y2331" s="30"/>
      <c r="Z2331" s="30"/>
      <c r="AA2331" s="30"/>
      <c r="AB2331" s="30"/>
      <c r="AC2331" s="30"/>
      <c r="AD2331" s="30"/>
      <c r="AE2331" s="30"/>
      <c r="AF2331" s="30"/>
      <c r="AG2331" s="30"/>
      <c r="AH2331" s="30"/>
    </row>
    <row r="2332" spans="1:34" ht="13">
      <c r="A2332" s="30"/>
      <c r="B2332" s="30"/>
      <c r="C2332" s="30"/>
      <c r="D2332" s="30"/>
      <c r="E2332" s="30"/>
      <c r="F2332" s="30"/>
      <c r="G2332" s="30"/>
      <c r="H2332" s="48"/>
      <c r="I2332" s="49"/>
      <c r="J2332" s="49"/>
      <c r="K2332" s="48"/>
      <c r="L2332" s="50"/>
      <c r="M2332" s="30"/>
      <c r="N2332" s="30"/>
      <c r="O2332" s="30"/>
      <c r="P2332" s="30"/>
      <c r="Q2332" s="30"/>
      <c r="R2332" s="30"/>
      <c r="S2332" s="30"/>
      <c r="T2332" s="30"/>
      <c r="U2332" s="30"/>
      <c r="V2332" s="30"/>
      <c r="W2332" s="30"/>
      <c r="X2332" s="30"/>
      <c r="Y2332" s="30"/>
      <c r="Z2332" s="30"/>
      <c r="AA2332" s="30"/>
      <c r="AB2332" s="30"/>
      <c r="AC2332" s="30"/>
      <c r="AD2332" s="30"/>
      <c r="AE2332" s="30"/>
      <c r="AF2332" s="30"/>
      <c r="AG2332" s="30"/>
      <c r="AH2332" s="30"/>
    </row>
    <row r="2333" spans="1:34" ht="13">
      <c r="A2333" s="30"/>
      <c r="B2333" s="30"/>
      <c r="C2333" s="30"/>
      <c r="D2333" s="30"/>
      <c r="E2333" s="30"/>
      <c r="F2333" s="30"/>
      <c r="G2333" s="30"/>
      <c r="H2333" s="48"/>
      <c r="I2333" s="49"/>
      <c r="J2333" s="49"/>
      <c r="K2333" s="48"/>
      <c r="L2333" s="50"/>
      <c r="M2333" s="30"/>
      <c r="N2333" s="30"/>
      <c r="O2333" s="30"/>
      <c r="P2333" s="30"/>
      <c r="Q2333" s="30"/>
      <c r="R2333" s="30"/>
      <c r="S2333" s="30"/>
      <c r="T2333" s="30"/>
      <c r="U2333" s="30"/>
      <c r="V2333" s="30"/>
      <c r="W2333" s="30"/>
      <c r="X2333" s="30"/>
      <c r="Y2333" s="30"/>
      <c r="Z2333" s="30"/>
      <c r="AA2333" s="30"/>
      <c r="AB2333" s="30"/>
      <c r="AC2333" s="30"/>
      <c r="AD2333" s="30"/>
      <c r="AE2333" s="30"/>
      <c r="AF2333" s="30"/>
      <c r="AG2333" s="30"/>
      <c r="AH2333" s="30"/>
    </row>
    <row r="2334" spans="1:34" ht="13">
      <c r="A2334" s="30"/>
      <c r="B2334" s="30"/>
      <c r="C2334" s="30"/>
      <c r="D2334" s="30"/>
      <c r="E2334" s="30"/>
      <c r="F2334" s="30"/>
      <c r="G2334" s="30"/>
      <c r="H2334" s="48"/>
      <c r="I2334" s="49"/>
      <c r="J2334" s="49"/>
      <c r="K2334" s="48"/>
      <c r="L2334" s="50"/>
      <c r="M2334" s="30"/>
      <c r="N2334" s="30"/>
      <c r="O2334" s="30"/>
      <c r="P2334" s="30"/>
      <c r="Q2334" s="30"/>
      <c r="R2334" s="30"/>
      <c r="S2334" s="30"/>
      <c r="T2334" s="30"/>
      <c r="U2334" s="30"/>
      <c r="V2334" s="30"/>
      <c r="W2334" s="30"/>
      <c r="X2334" s="30"/>
      <c r="Y2334" s="30"/>
      <c r="Z2334" s="30"/>
      <c r="AA2334" s="30"/>
      <c r="AB2334" s="30"/>
      <c r="AC2334" s="30"/>
      <c r="AD2334" s="30"/>
      <c r="AE2334" s="30"/>
      <c r="AF2334" s="30"/>
      <c r="AG2334" s="30"/>
      <c r="AH2334" s="30"/>
    </row>
    <row r="2335" spans="1:34" ht="13">
      <c r="A2335" s="30"/>
      <c r="B2335" s="30"/>
      <c r="C2335" s="30"/>
      <c r="D2335" s="30"/>
      <c r="E2335" s="30"/>
      <c r="F2335" s="30"/>
      <c r="G2335" s="30"/>
      <c r="H2335" s="48"/>
      <c r="I2335" s="49"/>
      <c r="J2335" s="49"/>
      <c r="K2335" s="48"/>
      <c r="L2335" s="50"/>
      <c r="M2335" s="30"/>
      <c r="N2335" s="30"/>
      <c r="O2335" s="30"/>
      <c r="P2335" s="30"/>
      <c r="Q2335" s="30"/>
      <c r="R2335" s="30"/>
      <c r="S2335" s="30"/>
      <c r="T2335" s="30"/>
      <c r="U2335" s="30"/>
      <c r="V2335" s="30"/>
      <c r="W2335" s="30"/>
      <c r="X2335" s="30"/>
      <c r="Y2335" s="30"/>
      <c r="Z2335" s="30"/>
      <c r="AA2335" s="30"/>
      <c r="AB2335" s="30"/>
      <c r="AC2335" s="30"/>
      <c r="AD2335" s="30"/>
      <c r="AE2335" s="30"/>
      <c r="AF2335" s="30"/>
      <c r="AG2335" s="30"/>
      <c r="AH2335" s="30"/>
    </row>
    <row r="2336" spans="1:34" ht="13">
      <c r="A2336" s="30"/>
      <c r="B2336" s="30"/>
      <c r="C2336" s="30"/>
      <c r="D2336" s="30"/>
      <c r="E2336" s="30"/>
      <c r="F2336" s="30"/>
      <c r="G2336" s="30"/>
      <c r="H2336" s="48"/>
      <c r="I2336" s="49"/>
      <c r="J2336" s="49"/>
      <c r="K2336" s="48"/>
      <c r="L2336" s="50"/>
      <c r="M2336" s="30"/>
      <c r="N2336" s="30"/>
      <c r="O2336" s="30"/>
      <c r="P2336" s="30"/>
      <c r="Q2336" s="30"/>
      <c r="R2336" s="30"/>
      <c r="S2336" s="30"/>
      <c r="T2336" s="30"/>
      <c r="U2336" s="30"/>
      <c r="V2336" s="30"/>
      <c r="W2336" s="30"/>
      <c r="X2336" s="30"/>
      <c r="Y2336" s="30"/>
      <c r="Z2336" s="30"/>
      <c r="AA2336" s="30"/>
      <c r="AB2336" s="30"/>
      <c r="AC2336" s="30"/>
      <c r="AD2336" s="30"/>
      <c r="AE2336" s="30"/>
      <c r="AF2336" s="30"/>
      <c r="AG2336" s="30"/>
      <c r="AH2336" s="30"/>
    </row>
    <row r="2337" spans="1:34" ht="13">
      <c r="A2337" s="30"/>
      <c r="B2337" s="30"/>
      <c r="C2337" s="30"/>
      <c r="D2337" s="30"/>
      <c r="E2337" s="30"/>
      <c r="F2337" s="30"/>
      <c r="G2337" s="30"/>
      <c r="H2337" s="48"/>
      <c r="I2337" s="49"/>
      <c r="J2337" s="49"/>
      <c r="K2337" s="48"/>
      <c r="L2337" s="50"/>
      <c r="M2337" s="30"/>
      <c r="N2337" s="30"/>
      <c r="O2337" s="30"/>
      <c r="P2337" s="30"/>
      <c r="Q2337" s="30"/>
      <c r="R2337" s="30"/>
      <c r="S2337" s="30"/>
      <c r="T2337" s="30"/>
      <c r="U2337" s="30"/>
      <c r="V2337" s="30"/>
      <c r="W2337" s="30"/>
      <c r="X2337" s="30"/>
      <c r="Y2337" s="30"/>
      <c r="Z2337" s="30"/>
      <c r="AA2337" s="30"/>
      <c r="AB2337" s="30"/>
      <c r="AC2337" s="30"/>
      <c r="AD2337" s="30"/>
      <c r="AE2337" s="30"/>
      <c r="AF2337" s="30"/>
      <c r="AG2337" s="30"/>
      <c r="AH2337" s="30"/>
    </row>
    <row r="2338" spans="1:34" ht="13">
      <c r="A2338" s="30"/>
      <c r="B2338" s="30"/>
      <c r="C2338" s="30"/>
      <c r="D2338" s="30"/>
      <c r="E2338" s="30"/>
      <c r="F2338" s="30"/>
      <c r="G2338" s="30"/>
      <c r="H2338" s="48"/>
      <c r="I2338" s="49"/>
      <c r="J2338" s="49"/>
      <c r="K2338" s="48"/>
      <c r="L2338" s="50"/>
      <c r="M2338" s="30"/>
      <c r="N2338" s="30"/>
      <c r="O2338" s="30"/>
      <c r="P2338" s="30"/>
      <c r="Q2338" s="30"/>
      <c r="R2338" s="30"/>
      <c r="S2338" s="30"/>
      <c r="T2338" s="30"/>
      <c r="U2338" s="30"/>
      <c r="V2338" s="30"/>
      <c r="W2338" s="30"/>
      <c r="X2338" s="30"/>
      <c r="Y2338" s="30"/>
      <c r="Z2338" s="30"/>
      <c r="AA2338" s="30"/>
      <c r="AB2338" s="30"/>
      <c r="AC2338" s="30"/>
      <c r="AD2338" s="30"/>
      <c r="AE2338" s="30"/>
      <c r="AF2338" s="30"/>
      <c r="AG2338" s="30"/>
      <c r="AH2338" s="30"/>
    </row>
    <row r="2339" spans="1:34" ht="13">
      <c r="A2339" s="30"/>
      <c r="B2339" s="30"/>
      <c r="C2339" s="30"/>
      <c r="D2339" s="30"/>
      <c r="E2339" s="30"/>
      <c r="F2339" s="30"/>
      <c r="G2339" s="30"/>
      <c r="H2339" s="48"/>
      <c r="I2339" s="49"/>
      <c r="J2339" s="49"/>
      <c r="K2339" s="48"/>
      <c r="L2339" s="50"/>
      <c r="M2339" s="30"/>
      <c r="N2339" s="30"/>
      <c r="O2339" s="30"/>
      <c r="P2339" s="30"/>
      <c r="Q2339" s="30"/>
      <c r="R2339" s="30"/>
      <c r="S2339" s="30"/>
      <c r="T2339" s="30"/>
      <c r="U2339" s="30"/>
      <c r="V2339" s="30"/>
      <c r="W2339" s="30"/>
      <c r="X2339" s="30"/>
      <c r="Y2339" s="30"/>
      <c r="Z2339" s="30"/>
      <c r="AA2339" s="30"/>
      <c r="AB2339" s="30"/>
      <c r="AC2339" s="30"/>
      <c r="AD2339" s="30"/>
      <c r="AE2339" s="30"/>
      <c r="AF2339" s="30"/>
      <c r="AG2339" s="30"/>
      <c r="AH2339" s="30"/>
    </row>
    <row r="2340" spans="1:34" ht="13">
      <c r="A2340" s="30"/>
      <c r="B2340" s="30"/>
      <c r="C2340" s="30"/>
      <c r="D2340" s="30"/>
      <c r="E2340" s="30"/>
      <c r="F2340" s="30"/>
      <c r="G2340" s="30"/>
      <c r="H2340" s="48"/>
      <c r="I2340" s="49"/>
      <c r="J2340" s="49"/>
      <c r="K2340" s="48"/>
      <c r="L2340" s="50"/>
      <c r="M2340" s="30"/>
      <c r="N2340" s="30"/>
      <c r="O2340" s="30"/>
      <c r="P2340" s="30"/>
      <c r="Q2340" s="30"/>
      <c r="R2340" s="30"/>
      <c r="S2340" s="30"/>
      <c r="T2340" s="30"/>
      <c r="U2340" s="30"/>
      <c r="V2340" s="30"/>
      <c r="W2340" s="30"/>
      <c r="X2340" s="30"/>
      <c r="Y2340" s="30"/>
      <c r="Z2340" s="30"/>
      <c r="AA2340" s="30"/>
      <c r="AB2340" s="30"/>
      <c r="AC2340" s="30"/>
      <c r="AD2340" s="30"/>
      <c r="AE2340" s="30"/>
      <c r="AF2340" s="30"/>
      <c r="AG2340" s="30"/>
      <c r="AH2340" s="30"/>
    </row>
    <row r="2341" spans="1:34" ht="13">
      <c r="A2341" s="30"/>
      <c r="B2341" s="30"/>
      <c r="C2341" s="30"/>
      <c r="D2341" s="30"/>
      <c r="E2341" s="30"/>
      <c r="F2341" s="30"/>
      <c r="G2341" s="30"/>
      <c r="H2341" s="48"/>
      <c r="I2341" s="49"/>
      <c r="J2341" s="49"/>
      <c r="K2341" s="48"/>
      <c r="L2341" s="50"/>
      <c r="M2341" s="30"/>
      <c r="N2341" s="30"/>
      <c r="O2341" s="30"/>
      <c r="P2341" s="30"/>
      <c r="Q2341" s="30"/>
      <c r="R2341" s="30"/>
      <c r="S2341" s="30"/>
      <c r="T2341" s="30"/>
      <c r="U2341" s="30"/>
      <c r="V2341" s="30"/>
      <c r="W2341" s="30"/>
      <c r="X2341" s="30"/>
      <c r="Y2341" s="30"/>
      <c r="Z2341" s="30"/>
      <c r="AA2341" s="30"/>
      <c r="AB2341" s="30"/>
      <c r="AC2341" s="30"/>
      <c r="AD2341" s="30"/>
      <c r="AE2341" s="30"/>
      <c r="AF2341" s="30"/>
      <c r="AG2341" s="30"/>
      <c r="AH2341" s="30"/>
    </row>
    <row r="2342" spans="1:34" ht="13">
      <c r="A2342" s="30"/>
      <c r="B2342" s="30"/>
      <c r="C2342" s="30"/>
      <c r="D2342" s="30"/>
      <c r="E2342" s="30"/>
      <c r="F2342" s="30"/>
      <c r="G2342" s="30"/>
      <c r="H2342" s="48"/>
      <c r="I2342" s="49"/>
      <c r="J2342" s="49"/>
      <c r="K2342" s="48"/>
      <c r="L2342" s="50"/>
      <c r="M2342" s="30"/>
      <c r="N2342" s="30"/>
      <c r="O2342" s="30"/>
      <c r="P2342" s="30"/>
      <c r="Q2342" s="30"/>
      <c r="R2342" s="30"/>
      <c r="S2342" s="30"/>
      <c r="T2342" s="30"/>
      <c r="U2342" s="30"/>
      <c r="V2342" s="30"/>
      <c r="W2342" s="30"/>
      <c r="X2342" s="30"/>
      <c r="Y2342" s="30"/>
      <c r="Z2342" s="30"/>
      <c r="AA2342" s="30"/>
      <c r="AB2342" s="30"/>
      <c r="AC2342" s="30"/>
      <c r="AD2342" s="30"/>
      <c r="AE2342" s="30"/>
      <c r="AF2342" s="30"/>
      <c r="AG2342" s="30"/>
      <c r="AH2342" s="30"/>
    </row>
    <row r="2343" spans="1:34" ht="13">
      <c r="A2343" s="30"/>
      <c r="B2343" s="30"/>
      <c r="C2343" s="30"/>
      <c r="D2343" s="30"/>
      <c r="E2343" s="30"/>
      <c r="F2343" s="30"/>
      <c r="G2343" s="30"/>
      <c r="H2343" s="48"/>
      <c r="I2343" s="49"/>
      <c r="J2343" s="49"/>
      <c r="K2343" s="48"/>
      <c r="L2343" s="50"/>
      <c r="M2343" s="30"/>
      <c r="N2343" s="30"/>
      <c r="O2343" s="30"/>
      <c r="P2343" s="30"/>
      <c r="Q2343" s="30"/>
      <c r="R2343" s="30"/>
      <c r="S2343" s="30"/>
      <c r="T2343" s="30"/>
      <c r="U2343" s="30"/>
      <c r="V2343" s="30"/>
      <c r="W2343" s="30"/>
      <c r="X2343" s="30"/>
      <c r="Y2343" s="30"/>
      <c r="Z2343" s="30"/>
      <c r="AA2343" s="30"/>
      <c r="AB2343" s="30"/>
      <c r="AC2343" s="30"/>
      <c r="AD2343" s="30"/>
      <c r="AE2343" s="30"/>
      <c r="AF2343" s="30"/>
      <c r="AG2343" s="30"/>
      <c r="AH2343" s="30"/>
    </row>
    <row r="2344" spans="1:34" ht="13">
      <c r="A2344" s="30"/>
      <c r="B2344" s="30"/>
      <c r="C2344" s="30"/>
      <c r="D2344" s="30"/>
      <c r="E2344" s="30"/>
      <c r="F2344" s="30"/>
      <c r="G2344" s="30"/>
      <c r="H2344" s="48"/>
      <c r="I2344" s="49"/>
      <c r="J2344" s="49"/>
      <c r="K2344" s="48"/>
      <c r="L2344" s="50"/>
      <c r="M2344" s="30"/>
      <c r="N2344" s="30"/>
      <c r="O2344" s="30"/>
      <c r="P2344" s="30"/>
      <c r="Q2344" s="30"/>
      <c r="R2344" s="30"/>
      <c r="S2344" s="30"/>
      <c r="T2344" s="30"/>
      <c r="U2344" s="30"/>
      <c r="V2344" s="30"/>
      <c r="W2344" s="30"/>
      <c r="X2344" s="30"/>
      <c r="Y2344" s="30"/>
      <c r="Z2344" s="30"/>
      <c r="AA2344" s="30"/>
      <c r="AB2344" s="30"/>
      <c r="AC2344" s="30"/>
      <c r="AD2344" s="30"/>
      <c r="AE2344" s="30"/>
      <c r="AF2344" s="30"/>
      <c r="AG2344" s="30"/>
      <c r="AH2344" s="30"/>
    </row>
    <row r="2345" spans="1:34" ht="13">
      <c r="A2345" s="30"/>
      <c r="B2345" s="30"/>
      <c r="C2345" s="30"/>
      <c r="D2345" s="30"/>
      <c r="E2345" s="30"/>
      <c r="F2345" s="30"/>
      <c r="G2345" s="30"/>
      <c r="H2345" s="48"/>
      <c r="I2345" s="49"/>
      <c r="J2345" s="49"/>
      <c r="K2345" s="48"/>
      <c r="L2345" s="50"/>
      <c r="M2345" s="30"/>
      <c r="N2345" s="30"/>
      <c r="O2345" s="30"/>
      <c r="P2345" s="30"/>
      <c r="Q2345" s="30"/>
      <c r="R2345" s="30"/>
      <c r="S2345" s="30"/>
      <c r="T2345" s="30"/>
      <c r="U2345" s="30"/>
      <c r="V2345" s="30"/>
      <c r="W2345" s="30"/>
      <c r="X2345" s="30"/>
      <c r="Y2345" s="30"/>
      <c r="Z2345" s="30"/>
      <c r="AA2345" s="30"/>
      <c r="AB2345" s="30"/>
      <c r="AC2345" s="30"/>
      <c r="AD2345" s="30"/>
      <c r="AE2345" s="30"/>
      <c r="AF2345" s="30"/>
      <c r="AG2345" s="30"/>
      <c r="AH2345" s="30"/>
    </row>
    <row r="2346" spans="1:34" ht="13">
      <c r="A2346" s="30"/>
      <c r="B2346" s="30"/>
      <c r="C2346" s="30"/>
      <c r="D2346" s="30"/>
      <c r="E2346" s="30"/>
      <c r="F2346" s="30"/>
      <c r="G2346" s="30"/>
      <c r="H2346" s="48"/>
      <c r="I2346" s="49"/>
      <c r="J2346" s="49"/>
      <c r="K2346" s="48"/>
      <c r="L2346" s="50"/>
      <c r="M2346" s="30"/>
      <c r="N2346" s="30"/>
      <c r="O2346" s="30"/>
      <c r="P2346" s="30"/>
      <c r="Q2346" s="30"/>
      <c r="R2346" s="30"/>
      <c r="S2346" s="30"/>
      <c r="T2346" s="30"/>
      <c r="U2346" s="30"/>
      <c r="V2346" s="30"/>
      <c r="W2346" s="30"/>
      <c r="X2346" s="30"/>
      <c r="Y2346" s="30"/>
      <c r="Z2346" s="30"/>
      <c r="AA2346" s="30"/>
      <c r="AB2346" s="30"/>
      <c r="AC2346" s="30"/>
      <c r="AD2346" s="30"/>
      <c r="AE2346" s="30"/>
      <c r="AF2346" s="30"/>
      <c r="AG2346" s="30"/>
      <c r="AH2346" s="30"/>
    </row>
    <row r="2347" spans="1:34" ht="13">
      <c r="A2347" s="30"/>
      <c r="B2347" s="30"/>
      <c r="C2347" s="30"/>
      <c r="D2347" s="30"/>
      <c r="E2347" s="30"/>
      <c r="F2347" s="30"/>
      <c r="G2347" s="30"/>
      <c r="H2347" s="48"/>
      <c r="I2347" s="49"/>
      <c r="J2347" s="49"/>
      <c r="K2347" s="48"/>
      <c r="L2347" s="50"/>
      <c r="M2347" s="30"/>
      <c r="N2347" s="30"/>
      <c r="O2347" s="30"/>
      <c r="P2347" s="30"/>
      <c r="Q2347" s="30"/>
      <c r="R2347" s="30"/>
      <c r="S2347" s="30"/>
      <c r="T2347" s="30"/>
      <c r="U2347" s="30"/>
      <c r="V2347" s="30"/>
      <c r="W2347" s="30"/>
      <c r="X2347" s="30"/>
      <c r="Y2347" s="30"/>
      <c r="Z2347" s="30"/>
      <c r="AA2347" s="30"/>
      <c r="AB2347" s="30"/>
      <c r="AC2347" s="30"/>
      <c r="AD2347" s="30"/>
      <c r="AE2347" s="30"/>
      <c r="AF2347" s="30"/>
      <c r="AG2347" s="30"/>
      <c r="AH2347" s="30"/>
    </row>
    <row r="2348" spans="1:34" ht="13">
      <c r="A2348" s="30"/>
      <c r="B2348" s="30"/>
      <c r="C2348" s="30"/>
      <c r="D2348" s="30"/>
      <c r="E2348" s="30"/>
      <c r="F2348" s="30"/>
      <c r="G2348" s="30"/>
      <c r="H2348" s="48"/>
      <c r="I2348" s="49"/>
      <c r="J2348" s="49"/>
      <c r="K2348" s="48"/>
      <c r="L2348" s="50"/>
      <c r="M2348" s="30"/>
      <c r="N2348" s="30"/>
      <c r="O2348" s="30"/>
      <c r="P2348" s="30"/>
      <c r="Q2348" s="30"/>
      <c r="R2348" s="30"/>
      <c r="S2348" s="30"/>
      <c r="T2348" s="30"/>
      <c r="U2348" s="30"/>
      <c r="V2348" s="30"/>
      <c r="W2348" s="30"/>
      <c r="X2348" s="30"/>
      <c r="Y2348" s="30"/>
      <c r="Z2348" s="30"/>
      <c r="AA2348" s="30"/>
      <c r="AB2348" s="30"/>
      <c r="AC2348" s="30"/>
      <c r="AD2348" s="30"/>
      <c r="AE2348" s="30"/>
      <c r="AF2348" s="30"/>
      <c r="AG2348" s="30"/>
      <c r="AH2348" s="30"/>
    </row>
    <row r="2349" spans="1:34" ht="13">
      <c r="A2349" s="30"/>
      <c r="B2349" s="30"/>
      <c r="C2349" s="30"/>
      <c r="D2349" s="30"/>
      <c r="E2349" s="30"/>
      <c r="F2349" s="30"/>
      <c r="G2349" s="30"/>
      <c r="H2349" s="48"/>
      <c r="I2349" s="49"/>
      <c r="J2349" s="49"/>
      <c r="K2349" s="48"/>
      <c r="L2349" s="50"/>
      <c r="M2349" s="30"/>
      <c r="N2349" s="30"/>
      <c r="O2349" s="30"/>
      <c r="P2349" s="30"/>
      <c r="Q2349" s="30"/>
      <c r="R2349" s="30"/>
      <c r="S2349" s="30"/>
      <c r="T2349" s="30"/>
      <c r="U2349" s="30"/>
      <c r="V2349" s="30"/>
      <c r="W2349" s="30"/>
      <c r="X2349" s="30"/>
      <c r="Y2349" s="30"/>
      <c r="Z2349" s="30"/>
      <c r="AA2349" s="30"/>
      <c r="AB2349" s="30"/>
      <c r="AC2349" s="30"/>
      <c r="AD2349" s="30"/>
      <c r="AE2349" s="30"/>
      <c r="AF2349" s="30"/>
      <c r="AG2349" s="30"/>
      <c r="AH2349" s="30"/>
    </row>
    <row r="2350" spans="1:34" ht="13">
      <c r="A2350" s="30"/>
      <c r="B2350" s="30"/>
      <c r="C2350" s="30"/>
      <c r="D2350" s="30"/>
      <c r="E2350" s="30"/>
      <c r="F2350" s="30"/>
      <c r="G2350" s="30"/>
      <c r="H2350" s="48"/>
      <c r="I2350" s="49"/>
      <c r="J2350" s="49"/>
      <c r="K2350" s="48"/>
      <c r="L2350" s="50"/>
      <c r="M2350" s="30"/>
      <c r="N2350" s="30"/>
      <c r="O2350" s="30"/>
      <c r="P2350" s="30"/>
      <c r="Q2350" s="30"/>
      <c r="R2350" s="30"/>
      <c r="S2350" s="30"/>
      <c r="T2350" s="30"/>
      <c r="U2350" s="30"/>
      <c r="V2350" s="30"/>
      <c r="W2350" s="30"/>
      <c r="X2350" s="30"/>
      <c r="Y2350" s="30"/>
      <c r="Z2350" s="30"/>
      <c r="AA2350" s="30"/>
      <c r="AB2350" s="30"/>
      <c r="AC2350" s="30"/>
      <c r="AD2350" s="30"/>
      <c r="AE2350" s="30"/>
      <c r="AF2350" s="30"/>
      <c r="AG2350" s="30"/>
      <c r="AH2350" s="30"/>
    </row>
    <row r="2351" spans="1:34" ht="13">
      <c r="A2351" s="30"/>
      <c r="B2351" s="30"/>
      <c r="C2351" s="30"/>
      <c r="D2351" s="30"/>
      <c r="E2351" s="30"/>
      <c r="F2351" s="30"/>
      <c r="G2351" s="30"/>
      <c r="H2351" s="48"/>
      <c r="I2351" s="49"/>
      <c r="J2351" s="49"/>
      <c r="K2351" s="48"/>
      <c r="L2351" s="50"/>
      <c r="M2351" s="30"/>
      <c r="N2351" s="30"/>
      <c r="O2351" s="30"/>
      <c r="P2351" s="30"/>
      <c r="Q2351" s="30"/>
      <c r="R2351" s="30"/>
      <c r="S2351" s="30"/>
      <c r="T2351" s="30"/>
      <c r="U2351" s="30"/>
      <c r="V2351" s="30"/>
      <c r="W2351" s="30"/>
      <c r="X2351" s="30"/>
      <c r="Y2351" s="30"/>
      <c r="Z2351" s="30"/>
      <c r="AA2351" s="30"/>
      <c r="AB2351" s="30"/>
      <c r="AC2351" s="30"/>
      <c r="AD2351" s="30"/>
      <c r="AE2351" s="30"/>
      <c r="AF2351" s="30"/>
      <c r="AG2351" s="30"/>
      <c r="AH2351" s="30"/>
    </row>
    <row r="2352" spans="1:34" ht="13">
      <c r="A2352" s="30"/>
      <c r="B2352" s="30"/>
      <c r="C2352" s="30"/>
      <c r="D2352" s="30"/>
      <c r="E2352" s="30"/>
      <c r="F2352" s="30"/>
      <c r="G2352" s="30"/>
      <c r="H2352" s="48"/>
      <c r="I2352" s="49"/>
      <c r="J2352" s="49"/>
      <c r="K2352" s="48"/>
      <c r="L2352" s="50"/>
      <c r="M2352" s="30"/>
      <c r="N2352" s="30"/>
      <c r="O2352" s="30"/>
      <c r="P2352" s="30"/>
      <c r="Q2352" s="30"/>
      <c r="R2352" s="30"/>
      <c r="S2352" s="30"/>
      <c r="T2352" s="30"/>
      <c r="U2352" s="30"/>
      <c r="V2352" s="30"/>
      <c r="W2352" s="30"/>
      <c r="X2352" s="30"/>
      <c r="Y2352" s="30"/>
      <c r="Z2352" s="30"/>
      <c r="AA2352" s="30"/>
      <c r="AB2352" s="30"/>
      <c r="AC2352" s="30"/>
      <c r="AD2352" s="30"/>
      <c r="AE2352" s="30"/>
      <c r="AF2352" s="30"/>
      <c r="AG2352" s="30"/>
      <c r="AH2352" s="30"/>
    </row>
    <row r="2353" spans="1:34" ht="13">
      <c r="A2353" s="30"/>
      <c r="B2353" s="30"/>
      <c r="C2353" s="30"/>
      <c r="D2353" s="30"/>
      <c r="E2353" s="30"/>
      <c r="F2353" s="30"/>
      <c r="G2353" s="30"/>
      <c r="H2353" s="48"/>
      <c r="I2353" s="49"/>
      <c r="J2353" s="49"/>
      <c r="K2353" s="48"/>
      <c r="L2353" s="50"/>
      <c r="M2353" s="30"/>
      <c r="N2353" s="30"/>
      <c r="O2353" s="30"/>
      <c r="P2353" s="30"/>
      <c r="Q2353" s="30"/>
      <c r="R2353" s="30"/>
      <c r="S2353" s="30"/>
      <c r="T2353" s="30"/>
      <c r="U2353" s="30"/>
      <c r="V2353" s="30"/>
      <c r="W2353" s="30"/>
      <c r="X2353" s="30"/>
      <c r="Y2353" s="30"/>
      <c r="Z2353" s="30"/>
      <c r="AA2353" s="30"/>
      <c r="AB2353" s="30"/>
      <c r="AC2353" s="30"/>
      <c r="AD2353" s="30"/>
      <c r="AE2353" s="30"/>
      <c r="AF2353" s="30"/>
      <c r="AG2353" s="30"/>
      <c r="AH2353" s="30"/>
    </row>
    <row r="2354" spans="1:34" ht="13">
      <c r="A2354" s="30"/>
      <c r="B2354" s="30"/>
      <c r="C2354" s="30"/>
      <c r="D2354" s="30"/>
      <c r="E2354" s="30"/>
      <c r="F2354" s="30"/>
      <c r="G2354" s="30"/>
      <c r="H2354" s="48"/>
      <c r="I2354" s="49"/>
      <c r="J2354" s="49"/>
      <c r="K2354" s="48"/>
      <c r="L2354" s="50"/>
      <c r="M2354" s="30"/>
      <c r="N2354" s="30"/>
      <c r="O2354" s="30"/>
      <c r="P2354" s="30"/>
      <c r="Q2354" s="30"/>
      <c r="R2354" s="30"/>
      <c r="S2354" s="30"/>
      <c r="T2354" s="30"/>
      <c r="U2354" s="30"/>
      <c r="V2354" s="30"/>
      <c r="W2354" s="30"/>
      <c r="X2354" s="30"/>
      <c r="Y2354" s="30"/>
      <c r="Z2354" s="30"/>
      <c r="AA2354" s="30"/>
      <c r="AB2354" s="30"/>
      <c r="AC2354" s="30"/>
      <c r="AD2354" s="30"/>
      <c r="AE2354" s="30"/>
      <c r="AF2354" s="30"/>
      <c r="AG2354" s="30"/>
      <c r="AH2354" s="30"/>
    </row>
    <row r="2355" spans="1:34" ht="13">
      <c r="A2355" s="30"/>
      <c r="B2355" s="30"/>
      <c r="C2355" s="30"/>
      <c r="D2355" s="30"/>
      <c r="E2355" s="30"/>
      <c r="F2355" s="30"/>
      <c r="G2355" s="30"/>
      <c r="H2355" s="48"/>
      <c r="I2355" s="49"/>
      <c r="J2355" s="49"/>
      <c r="K2355" s="48"/>
      <c r="L2355" s="50"/>
      <c r="M2355" s="30"/>
      <c r="N2355" s="30"/>
      <c r="O2355" s="30"/>
      <c r="P2355" s="30"/>
      <c r="Q2355" s="30"/>
      <c r="R2355" s="30"/>
      <c r="S2355" s="30"/>
      <c r="T2355" s="30"/>
      <c r="U2355" s="30"/>
      <c r="V2355" s="30"/>
      <c r="W2355" s="30"/>
      <c r="X2355" s="30"/>
      <c r="Y2355" s="30"/>
      <c r="Z2355" s="30"/>
      <c r="AA2355" s="30"/>
      <c r="AB2355" s="30"/>
      <c r="AC2355" s="30"/>
      <c r="AD2355" s="30"/>
      <c r="AE2355" s="30"/>
      <c r="AF2355" s="30"/>
      <c r="AG2355" s="30"/>
      <c r="AH2355" s="30"/>
    </row>
    <row r="2356" spans="1:34" ht="13">
      <c r="A2356" s="30"/>
      <c r="B2356" s="30"/>
      <c r="C2356" s="30"/>
      <c r="D2356" s="30"/>
      <c r="E2356" s="30"/>
      <c r="F2356" s="30"/>
      <c r="G2356" s="30"/>
      <c r="H2356" s="48"/>
      <c r="I2356" s="49"/>
      <c r="J2356" s="49"/>
      <c r="K2356" s="48"/>
      <c r="L2356" s="50"/>
      <c r="M2356" s="30"/>
      <c r="N2356" s="30"/>
      <c r="O2356" s="30"/>
      <c r="P2356" s="30"/>
      <c r="Q2356" s="30"/>
      <c r="R2356" s="30"/>
      <c r="S2356" s="30"/>
      <c r="T2356" s="30"/>
      <c r="U2356" s="30"/>
      <c r="V2356" s="30"/>
      <c r="W2356" s="30"/>
      <c r="X2356" s="30"/>
      <c r="Y2356" s="30"/>
      <c r="Z2356" s="30"/>
      <c r="AA2356" s="30"/>
      <c r="AB2356" s="30"/>
      <c r="AC2356" s="30"/>
      <c r="AD2356" s="30"/>
      <c r="AE2356" s="30"/>
      <c r="AF2356" s="30"/>
      <c r="AG2356" s="30"/>
      <c r="AH2356" s="30"/>
    </row>
    <row r="2357" spans="1:34" ht="13">
      <c r="A2357" s="30"/>
      <c r="B2357" s="30"/>
      <c r="C2357" s="30"/>
      <c r="D2357" s="30"/>
      <c r="E2357" s="30"/>
      <c r="F2357" s="30"/>
      <c r="G2357" s="30"/>
      <c r="H2357" s="48"/>
      <c r="I2357" s="49"/>
      <c r="J2357" s="49"/>
      <c r="K2357" s="48"/>
      <c r="L2357" s="50"/>
      <c r="M2357" s="30"/>
      <c r="N2357" s="30"/>
      <c r="O2357" s="30"/>
      <c r="P2357" s="30"/>
      <c r="Q2357" s="30"/>
      <c r="R2357" s="30"/>
      <c r="S2357" s="30"/>
      <c r="T2357" s="30"/>
      <c r="U2357" s="30"/>
      <c r="V2357" s="30"/>
      <c r="W2357" s="30"/>
      <c r="X2357" s="30"/>
      <c r="Y2357" s="30"/>
      <c r="Z2357" s="30"/>
      <c r="AA2357" s="30"/>
      <c r="AB2357" s="30"/>
      <c r="AC2357" s="30"/>
      <c r="AD2357" s="30"/>
      <c r="AE2357" s="30"/>
      <c r="AF2357" s="30"/>
      <c r="AG2357" s="30"/>
      <c r="AH2357" s="30"/>
    </row>
    <row r="2358" spans="1:34" ht="13">
      <c r="A2358" s="30"/>
      <c r="B2358" s="30"/>
      <c r="C2358" s="30"/>
      <c r="D2358" s="30"/>
      <c r="E2358" s="30"/>
      <c r="F2358" s="30"/>
      <c r="G2358" s="30"/>
      <c r="H2358" s="48"/>
      <c r="I2358" s="49"/>
      <c r="J2358" s="49"/>
      <c r="K2358" s="48"/>
      <c r="L2358" s="50"/>
      <c r="M2358" s="30"/>
      <c r="N2358" s="30"/>
      <c r="O2358" s="30"/>
      <c r="P2358" s="30"/>
      <c r="Q2358" s="30"/>
      <c r="R2358" s="30"/>
      <c r="S2358" s="30"/>
      <c r="T2358" s="30"/>
      <c r="U2358" s="30"/>
      <c r="V2358" s="30"/>
      <c r="W2358" s="30"/>
      <c r="X2358" s="30"/>
      <c r="Y2358" s="30"/>
      <c r="Z2358" s="30"/>
      <c r="AA2358" s="30"/>
      <c r="AB2358" s="30"/>
      <c r="AC2358" s="30"/>
      <c r="AD2358" s="30"/>
      <c r="AE2358" s="30"/>
      <c r="AF2358" s="30"/>
      <c r="AG2358" s="30"/>
      <c r="AH2358" s="30"/>
    </row>
    <row r="2359" spans="1:34" ht="13">
      <c r="A2359" s="30"/>
      <c r="B2359" s="30"/>
      <c r="C2359" s="30"/>
      <c r="D2359" s="30"/>
      <c r="E2359" s="30"/>
      <c r="F2359" s="30"/>
      <c r="G2359" s="30"/>
      <c r="H2359" s="48"/>
      <c r="I2359" s="49"/>
      <c r="J2359" s="49"/>
      <c r="K2359" s="48"/>
      <c r="L2359" s="50"/>
      <c r="M2359" s="30"/>
      <c r="N2359" s="30"/>
      <c r="O2359" s="30"/>
      <c r="P2359" s="30"/>
      <c r="Q2359" s="30"/>
      <c r="R2359" s="30"/>
      <c r="S2359" s="30"/>
      <c r="T2359" s="30"/>
      <c r="U2359" s="30"/>
      <c r="V2359" s="30"/>
      <c r="W2359" s="30"/>
      <c r="X2359" s="30"/>
      <c r="Y2359" s="30"/>
      <c r="Z2359" s="30"/>
      <c r="AA2359" s="30"/>
      <c r="AB2359" s="30"/>
      <c r="AC2359" s="30"/>
      <c r="AD2359" s="30"/>
      <c r="AE2359" s="30"/>
      <c r="AF2359" s="30"/>
      <c r="AG2359" s="30"/>
      <c r="AH2359" s="30"/>
    </row>
    <row r="2360" spans="1:34" ht="13">
      <c r="A2360" s="30"/>
      <c r="B2360" s="30"/>
      <c r="C2360" s="30"/>
      <c r="D2360" s="30"/>
      <c r="E2360" s="30"/>
      <c r="F2360" s="30"/>
      <c r="G2360" s="30"/>
      <c r="H2360" s="48"/>
      <c r="I2360" s="49"/>
      <c r="J2360" s="49"/>
      <c r="K2360" s="48"/>
      <c r="L2360" s="50"/>
      <c r="M2360" s="30"/>
      <c r="N2360" s="30"/>
      <c r="O2360" s="30"/>
      <c r="P2360" s="30"/>
      <c r="Q2360" s="30"/>
      <c r="R2360" s="30"/>
      <c r="S2360" s="30"/>
      <c r="T2360" s="30"/>
      <c r="U2360" s="30"/>
      <c r="V2360" s="30"/>
      <c r="W2360" s="30"/>
      <c r="X2360" s="30"/>
      <c r="Y2360" s="30"/>
      <c r="Z2360" s="30"/>
      <c r="AA2360" s="30"/>
      <c r="AB2360" s="30"/>
      <c r="AC2360" s="30"/>
      <c r="AD2360" s="30"/>
      <c r="AE2360" s="30"/>
      <c r="AF2360" s="30"/>
      <c r="AG2360" s="30"/>
      <c r="AH2360" s="30"/>
    </row>
    <row r="2361" spans="1:34" ht="13">
      <c r="A2361" s="30"/>
      <c r="B2361" s="30"/>
      <c r="C2361" s="30"/>
      <c r="D2361" s="30"/>
      <c r="E2361" s="30"/>
      <c r="F2361" s="30"/>
      <c r="G2361" s="30"/>
      <c r="H2361" s="48"/>
      <c r="I2361" s="49"/>
      <c r="J2361" s="49"/>
      <c r="K2361" s="48"/>
      <c r="L2361" s="50"/>
      <c r="M2361" s="30"/>
      <c r="N2361" s="30"/>
      <c r="O2361" s="30"/>
      <c r="P2361" s="30"/>
      <c r="Q2361" s="30"/>
      <c r="R2361" s="30"/>
      <c r="S2361" s="30"/>
      <c r="T2361" s="30"/>
      <c r="U2361" s="30"/>
      <c r="V2361" s="30"/>
      <c r="W2361" s="30"/>
      <c r="X2361" s="30"/>
      <c r="Y2361" s="30"/>
      <c r="Z2361" s="30"/>
      <c r="AA2361" s="30"/>
      <c r="AB2361" s="30"/>
      <c r="AC2361" s="30"/>
      <c r="AD2361" s="30"/>
      <c r="AE2361" s="30"/>
      <c r="AF2361" s="30"/>
      <c r="AG2361" s="30"/>
      <c r="AH2361" s="30"/>
    </row>
    <row r="2362" spans="1:34" ht="13">
      <c r="A2362" s="30"/>
      <c r="B2362" s="30"/>
      <c r="C2362" s="30"/>
      <c r="D2362" s="30"/>
      <c r="E2362" s="30"/>
      <c r="F2362" s="30"/>
      <c r="G2362" s="30"/>
      <c r="H2362" s="48"/>
      <c r="I2362" s="49"/>
      <c r="J2362" s="49"/>
      <c r="K2362" s="48"/>
      <c r="L2362" s="50"/>
      <c r="M2362" s="30"/>
      <c r="N2362" s="30"/>
      <c r="O2362" s="30"/>
      <c r="P2362" s="30"/>
      <c r="Q2362" s="30"/>
      <c r="R2362" s="30"/>
      <c r="S2362" s="30"/>
      <c r="T2362" s="30"/>
      <c r="U2362" s="30"/>
      <c r="V2362" s="30"/>
      <c r="W2362" s="30"/>
      <c r="X2362" s="30"/>
      <c r="Y2362" s="30"/>
      <c r="Z2362" s="30"/>
      <c r="AA2362" s="30"/>
      <c r="AB2362" s="30"/>
      <c r="AC2362" s="30"/>
      <c r="AD2362" s="30"/>
      <c r="AE2362" s="30"/>
      <c r="AF2362" s="30"/>
      <c r="AG2362" s="30"/>
      <c r="AH2362" s="30"/>
    </row>
    <row r="2363" spans="1:34" ht="13">
      <c r="A2363" s="30"/>
      <c r="B2363" s="30"/>
      <c r="C2363" s="30"/>
      <c r="D2363" s="30"/>
      <c r="E2363" s="30"/>
      <c r="F2363" s="30"/>
      <c r="G2363" s="30"/>
      <c r="H2363" s="48"/>
      <c r="I2363" s="49"/>
      <c r="J2363" s="49"/>
      <c r="K2363" s="48"/>
      <c r="L2363" s="50"/>
      <c r="M2363" s="30"/>
      <c r="N2363" s="30"/>
      <c r="O2363" s="30"/>
      <c r="P2363" s="30"/>
      <c r="Q2363" s="30"/>
      <c r="R2363" s="30"/>
      <c r="S2363" s="30"/>
      <c r="T2363" s="30"/>
      <c r="U2363" s="30"/>
      <c r="V2363" s="30"/>
      <c r="W2363" s="30"/>
      <c r="X2363" s="30"/>
      <c r="Y2363" s="30"/>
      <c r="Z2363" s="30"/>
      <c r="AA2363" s="30"/>
      <c r="AB2363" s="30"/>
      <c r="AC2363" s="30"/>
      <c r="AD2363" s="30"/>
      <c r="AE2363" s="30"/>
      <c r="AF2363" s="30"/>
      <c r="AG2363" s="30"/>
      <c r="AH2363" s="30"/>
    </row>
    <row r="2364" spans="1:34" ht="13">
      <c r="A2364" s="30"/>
      <c r="B2364" s="30"/>
      <c r="C2364" s="30"/>
      <c r="D2364" s="30"/>
      <c r="E2364" s="30"/>
      <c r="F2364" s="30"/>
      <c r="G2364" s="30"/>
      <c r="H2364" s="48"/>
      <c r="I2364" s="49"/>
      <c r="J2364" s="49"/>
      <c r="K2364" s="48"/>
      <c r="L2364" s="50"/>
      <c r="M2364" s="30"/>
      <c r="N2364" s="30"/>
      <c r="O2364" s="30"/>
      <c r="P2364" s="30"/>
      <c r="Q2364" s="30"/>
      <c r="R2364" s="30"/>
      <c r="S2364" s="30"/>
      <c r="T2364" s="30"/>
      <c r="U2364" s="30"/>
      <c r="V2364" s="30"/>
      <c r="W2364" s="30"/>
      <c r="X2364" s="30"/>
      <c r="Y2364" s="30"/>
      <c r="Z2364" s="30"/>
      <c r="AA2364" s="30"/>
      <c r="AB2364" s="30"/>
      <c r="AC2364" s="30"/>
      <c r="AD2364" s="30"/>
      <c r="AE2364" s="30"/>
      <c r="AF2364" s="30"/>
      <c r="AG2364" s="30"/>
      <c r="AH2364" s="30"/>
    </row>
    <row r="2365" spans="1:34" ht="13">
      <c r="A2365" s="30"/>
      <c r="B2365" s="30"/>
      <c r="C2365" s="30"/>
      <c r="D2365" s="30"/>
      <c r="E2365" s="30"/>
      <c r="F2365" s="30"/>
      <c r="G2365" s="30"/>
      <c r="H2365" s="48"/>
      <c r="I2365" s="49"/>
      <c r="J2365" s="49"/>
      <c r="K2365" s="48"/>
      <c r="L2365" s="50"/>
      <c r="M2365" s="30"/>
      <c r="N2365" s="30"/>
      <c r="O2365" s="30"/>
      <c r="P2365" s="30"/>
      <c r="Q2365" s="30"/>
      <c r="R2365" s="30"/>
      <c r="S2365" s="30"/>
      <c r="T2365" s="30"/>
      <c r="U2365" s="30"/>
      <c r="V2365" s="30"/>
      <c r="W2365" s="30"/>
      <c r="X2365" s="30"/>
      <c r="Y2365" s="30"/>
      <c r="Z2365" s="30"/>
      <c r="AA2365" s="30"/>
      <c r="AB2365" s="30"/>
      <c r="AC2365" s="30"/>
      <c r="AD2365" s="30"/>
      <c r="AE2365" s="30"/>
      <c r="AF2365" s="30"/>
      <c r="AG2365" s="30"/>
      <c r="AH2365" s="30"/>
    </row>
    <row r="2366" spans="1:34" ht="13">
      <c r="A2366" s="30"/>
      <c r="B2366" s="30"/>
      <c r="C2366" s="30"/>
      <c r="D2366" s="30"/>
      <c r="E2366" s="30"/>
      <c r="F2366" s="30"/>
      <c r="G2366" s="30"/>
      <c r="H2366" s="48"/>
      <c r="I2366" s="49"/>
      <c r="J2366" s="49"/>
      <c r="K2366" s="48"/>
      <c r="L2366" s="50"/>
      <c r="M2366" s="30"/>
      <c r="N2366" s="30"/>
      <c r="O2366" s="30"/>
      <c r="P2366" s="30"/>
      <c r="Q2366" s="30"/>
      <c r="R2366" s="30"/>
      <c r="S2366" s="30"/>
      <c r="T2366" s="30"/>
      <c r="U2366" s="30"/>
      <c r="V2366" s="30"/>
      <c r="W2366" s="30"/>
      <c r="X2366" s="30"/>
      <c r="Y2366" s="30"/>
      <c r="Z2366" s="30"/>
      <c r="AA2366" s="30"/>
      <c r="AB2366" s="30"/>
      <c r="AC2366" s="30"/>
      <c r="AD2366" s="30"/>
      <c r="AE2366" s="30"/>
      <c r="AF2366" s="30"/>
      <c r="AG2366" s="30"/>
      <c r="AH2366" s="30"/>
    </row>
    <row r="2367" spans="1:34" ht="13">
      <c r="A2367" s="30"/>
      <c r="B2367" s="30"/>
      <c r="C2367" s="30"/>
      <c r="D2367" s="30"/>
      <c r="E2367" s="30"/>
      <c r="F2367" s="30"/>
      <c r="G2367" s="30"/>
      <c r="H2367" s="48"/>
      <c r="I2367" s="49"/>
      <c r="J2367" s="49"/>
      <c r="K2367" s="48"/>
      <c r="L2367" s="50"/>
      <c r="M2367" s="30"/>
      <c r="N2367" s="30"/>
      <c r="O2367" s="30"/>
      <c r="P2367" s="30"/>
      <c r="Q2367" s="30"/>
      <c r="R2367" s="30"/>
      <c r="S2367" s="30"/>
      <c r="T2367" s="30"/>
      <c r="U2367" s="30"/>
      <c r="V2367" s="30"/>
      <c r="W2367" s="30"/>
      <c r="X2367" s="30"/>
      <c r="Y2367" s="30"/>
      <c r="Z2367" s="30"/>
      <c r="AA2367" s="30"/>
      <c r="AB2367" s="30"/>
      <c r="AC2367" s="30"/>
      <c r="AD2367" s="30"/>
      <c r="AE2367" s="30"/>
      <c r="AF2367" s="30"/>
      <c r="AG2367" s="30"/>
      <c r="AH2367" s="30"/>
    </row>
    <row r="2368" spans="1:34" ht="13">
      <c r="A2368" s="30"/>
      <c r="B2368" s="30"/>
      <c r="C2368" s="30"/>
      <c r="D2368" s="30"/>
      <c r="E2368" s="30"/>
      <c r="F2368" s="30"/>
      <c r="G2368" s="30"/>
      <c r="H2368" s="48"/>
      <c r="I2368" s="49"/>
      <c r="J2368" s="49"/>
      <c r="K2368" s="48"/>
      <c r="L2368" s="50"/>
      <c r="M2368" s="30"/>
      <c r="N2368" s="30"/>
      <c r="O2368" s="30"/>
      <c r="P2368" s="30"/>
      <c r="Q2368" s="30"/>
      <c r="R2368" s="30"/>
      <c r="S2368" s="30"/>
      <c r="T2368" s="30"/>
      <c r="U2368" s="30"/>
      <c r="V2368" s="30"/>
      <c r="W2368" s="30"/>
      <c r="X2368" s="30"/>
      <c r="Y2368" s="30"/>
      <c r="Z2368" s="30"/>
      <c r="AA2368" s="30"/>
      <c r="AB2368" s="30"/>
      <c r="AC2368" s="30"/>
      <c r="AD2368" s="30"/>
      <c r="AE2368" s="30"/>
      <c r="AF2368" s="30"/>
      <c r="AG2368" s="30"/>
      <c r="AH2368" s="30"/>
    </row>
    <row r="2369" spans="1:34" ht="13">
      <c r="A2369" s="30"/>
      <c r="B2369" s="30"/>
      <c r="C2369" s="30"/>
      <c r="D2369" s="30"/>
      <c r="E2369" s="30"/>
      <c r="F2369" s="30"/>
      <c r="G2369" s="30"/>
      <c r="H2369" s="48"/>
      <c r="I2369" s="49"/>
      <c r="J2369" s="49"/>
      <c r="K2369" s="48"/>
      <c r="L2369" s="50"/>
      <c r="M2369" s="30"/>
      <c r="N2369" s="30"/>
      <c r="O2369" s="30"/>
      <c r="P2369" s="30"/>
      <c r="Q2369" s="30"/>
      <c r="R2369" s="30"/>
      <c r="S2369" s="30"/>
      <c r="T2369" s="30"/>
      <c r="U2369" s="30"/>
      <c r="V2369" s="30"/>
      <c r="W2369" s="30"/>
      <c r="X2369" s="30"/>
      <c r="Y2369" s="30"/>
      <c r="Z2369" s="30"/>
      <c r="AA2369" s="30"/>
      <c r="AB2369" s="30"/>
      <c r="AC2369" s="30"/>
      <c r="AD2369" s="30"/>
      <c r="AE2369" s="30"/>
      <c r="AF2369" s="30"/>
      <c r="AG2369" s="30"/>
      <c r="AH2369" s="30"/>
    </row>
    <row r="2370" spans="1:34" ht="13">
      <c r="A2370" s="30"/>
      <c r="B2370" s="30"/>
      <c r="C2370" s="30"/>
      <c r="D2370" s="30"/>
      <c r="E2370" s="30"/>
      <c r="F2370" s="30"/>
      <c r="G2370" s="30"/>
      <c r="H2370" s="48"/>
      <c r="I2370" s="49"/>
      <c r="J2370" s="49"/>
      <c r="K2370" s="48"/>
      <c r="L2370" s="50"/>
      <c r="M2370" s="30"/>
      <c r="N2370" s="30"/>
      <c r="O2370" s="30"/>
      <c r="P2370" s="30"/>
      <c r="Q2370" s="30"/>
      <c r="R2370" s="30"/>
      <c r="S2370" s="30"/>
      <c r="T2370" s="30"/>
      <c r="U2370" s="30"/>
      <c r="V2370" s="30"/>
      <c r="W2370" s="30"/>
      <c r="X2370" s="30"/>
      <c r="Y2370" s="30"/>
      <c r="Z2370" s="30"/>
      <c r="AA2370" s="30"/>
      <c r="AB2370" s="30"/>
      <c r="AC2370" s="30"/>
      <c r="AD2370" s="30"/>
      <c r="AE2370" s="30"/>
      <c r="AF2370" s="30"/>
      <c r="AG2370" s="30"/>
      <c r="AH2370" s="30"/>
    </row>
    <row r="2371" spans="1:34" ht="13">
      <c r="A2371" s="30"/>
      <c r="B2371" s="30"/>
      <c r="C2371" s="30"/>
      <c r="D2371" s="30"/>
      <c r="E2371" s="30"/>
      <c r="F2371" s="30"/>
      <c r="G2371" s="30"/>
      <c r="H2371" s="48"/>
      <c r="I2371" s="49"/>
      <c r="J2371" s="49"/>
      <c r="K2371" s="48"/>
      <c r="L2371" s="50"/>
      <c r="M2371" s="30"/>
      <c r="N2371" s="30"/>
      <c r="O2371" s="30"/>
      <c r="P2371" s="30"/>
      <c r="Q2371" s="30"/>
      <c r="R2371" s="30"/>
      <c r="S2371" s="30"/>
      <c r="T2371" s="30"/>
      <c r="U2371" s="30"/>
      <c r="V2371" s="30"/>
      <c r="W2371" s="30"/>
      <c r="X2371" s="30"/>
      <c r="Y2371" s="30"/>
      <c r="Z2371" s="30"/>
      <c r="AA2371" s="30"/>
      <c r="AB2371" s="30"/>
      <c r="AC2371" s="30"/>
      <c r="AD2371" s="30"/>
      <c r="AE2371" s="30"/>
      <c r="AF2371" s="30"/>
      <c r="AG2371" s="30"/>
      <c r="AH2371" s="30"/>
    </row>
    <row r="2372" spans="1:34" ht="13">
      <c r="A2372" s="30"/>
      <c r="B2372" s="30"/>
      <c r="C2372" s="30"/>
      <c r="D2372" s="30"/>
      <c r="E2372" s="30"/>
      <c r="F2372" s="30"/>
      <c r="G2372" s="30"/>
      <c r="H2372" s="48"/>
      <c r="I2372" s="49"/>
      <c r="J2372" s="49"/>
      <c r="K2372" s="48"/>
      <c r="L2372" s="50"/>
      <c r="M2372" s="30"/>
      <c r="N2372" s="30"/>
      <c r="O2372" s="30"/>
      <c r="P2372" s="30"/>
      <c r="Q2372" s="30"/>
      <c r="R2372" s="30"/>
      <c r="S2372" s="30"/>
      <c r="T2372" s="30"/>
      <c r="U2372" s="30"/>
      <c r="V2372" s="30"/>
      <c r="W2372" s="30"/>
      <c r="X2372" s="30"/>
      <c r="Y2372" s="30"/>
      <c r="Z2372" s="30"/>
      <c r="AA2372" s="30"/>
      <c r="AB2372" s="30"/>
      <c r="AC2372" s="30"/>
      <c r="AD2372" s="30"/>
      <c r="AE2372" s="30"/>
      <c r="AF2372" s="30"/>
      <c r="AG2372" s="30"/>
      <c r="AH2372" s="30"/>
    </row>
    <row r="2373" spans="1:34" ht="13">
      <c r="A2373" s="30"/>
      <c r="B2373" s="30"/>
      <c r="C2373" s="30"/>
      <c r="D2373" s="30"/>
      <c r="E2373" s="30"/>
      <c r="F2373" s="30"/>
      <c r="G2373" s="30"/>
      <c r="H2373" s="48"/>
      <c r="I2373" s="49"/>
      <c r="J2373" s="49"/>
      <c r="K2373" s="48"/>
      <c r="L2373" s="50"/>
      <c r="M2373" s="30"/>
      <c r="N2373" s="30"/>
      <c r="O2373" s="30"/>
      <c r="P2373" s="30"/>
      <c r="Q2373" s="30"/>
      <c r="R2373" s="30"/>
      <c r="S2373" s="30"/>
      <c r="T2373" s="30"/>
      <c r="U2373" s="30"/>
      <c r="V2373" s="30"/>
      <c r="W2373" s="30"/>
      <c r="X2373" s="30"/>
      <c r="Y2373" s="30"/>
      <c r="Z2373" s="30"/>
      <c r="AA2373" s="30"/>
      <c r="AB2373" s="30"/>
      <c r="AC2373" s="30"/>
      <c r="AD2373" s="30"/>
      <c r="AE2373" s="30"/>
      <c r="AF2373" s="30"/>
      <c r="AG2373" s="30"/>
      <c r="AH2373" s="30"/>
    </row>
    <row r="2374" spans="1:34" ht="13">
      <c r="A2374" s="30"/>
      <c r="B2374" s="30"/>
      <c r="C2374" s="30"/>
      <c r="D2374" s="30"/>
      <c r="E2374" s="30"/>
      <c r="F2374" s="30"/>
      <c r="G2374" s="30"/>
      <c r="H2374" s="48"/>
      <c r="I2374" s="49"/>
      <c r="J2374" s="49"/>
      <c r="K2374" s="48"/>
      <c r="L2374" s="50"/>
      <c r="M2374" s="30"/>
      <c r="N2374" s="30"/>
      <c r="O2374" s="30"/>
      <c r="P2374" s="30"/>
      <c r="Q2374" s="30"/>
      <c r="R2374" s="30"/>
      <c r="S2374" s="30"/>
      <c r="T2374" s="30"/>
      <c r="U2374" s="30"/>
      <c r="V2374" s="30"/>
      <c r="W2374" s="30"/>
      <c r="X2374" s="30"/>
      <c r="Y2374" s="30"/>
      <c r="Z2374" s="30"/>
      <c r="AA2374" s="30"/>
      <c r="AB2374" s="30"/>
      <c r="AC2374" s="30"/>
      <c r="AD2374" s="30"/>
      <c r="AE2374" s="30"/>
      <c r="AF2374" s="30"/>
      <c r="AG2374" s="30"/>
      <c r="AH2374" s="30"/>
    </row>
    <row r="2375" spans="1:34" ht="13">
      <c r="A2375" s="30"/>
      <c r="B2375" s="30"/>
      <c r="C2375" s="30"/>
      <c r="D2375" s="30"/>
      <c r="E2375" s="30"/>
      <c r="F2375" s="30"/>
      <c r="G2375" s="30"/>
      <c r="H2375" s="48"/>
      <c r="I2375" s="49"/>
      <c r="J2375" s="49"/>
      <c r="K2375" s="48"/>
      <c r="L2375" s="50"/>
      <c r="M2375" s="30"/>
      <c r="N2375" s="30"/>
      <c r="O2375" s="30"/>
      <c r="P2375" s="30"/>
      <c r="Q2375" s="30"/>
      <c r="R2375" s="30"/>
      <c r="S2375" s="30"/>
      <c r="T2375" s="30"/>
      <c r="U2375" s="30"/>
      <c r="V2375" s="30"/>
      <c r="W2375" s="30"/>
      <c r="X2375" s="30"/>
      <c r="Y2375" s="30"/>
      <c r="Z2375" s="30"/>
      <c r="AA2375" s="30"/>
      <c r="AB2375" s="30"/>
      <c r="AC2375" s="30"/>
      <c r="AD2375" s="30"/>
      <c r="AE2375" s="30"/>
      <c r="AF2375" s="30"/>
      <c r="AG2375" s="30"/>
      <c r="AH2375" s="30"/>
    </row>
    <row r="2376" spans="1:34" ht="13">
      <c r="A2376" s="30"/>
      <c r="B2376" s="30"/>
      <c r="C2376" s="30"/>
      <c r="D2376" s="30"/>
      <c r="E2376" s="30"/>
      <c r="F2376" s="30"/>
      <c r="G2376" s="30"/>
      <c r="H2376" s="48"/>
      <c r="I2376" s="49"/>
      <c r="J2376" s="49"/>
      <c r="K2376" s="48"/>
      <c r="L2376" s="50"/>
      <c r="M2376" s="30"/>
      <c r="N2376" s="30"/>
      <c r="O2376" s="30"/>
      <c r="P2376" s="30"/>
      <c r="Q2376" s="30"/>
      <c r="R2376" s="30"/>
      <c r="S2376" s="30"/>
      <c r="T2376" s="30"/>
      <c r="U2376" s="30"/>
      <c r="V2376" s="30"/>
      <c r="W2376" s="30"/>
      <c r="X2376" s="30"/>
      <c r="Y2376" s="30"/>
      <c r="Z2376" s="30"/>
      <c r="AA2376" s="30"/>
      <c r="AB2376" s="30"/>
      <c r="AC2376" s="30"/>
      <c r="AD2376" s="30"/>
      <c r="AE2376" s="30"/>
      <c r="AF2376" s="30"/>
      <c r="AG2376" s="30"/>
      <c r="AH2376" s="30"/>
    </row>
    <row r="2377" spans="1:34" ht="13">
      <c r="A2377" s="30"/>
      <c r="B2377" s="30"/>
      <c r="C2377" s="30"/>
      <c r="D2377" s="30"/>
      <c r="E2377" s="30"/>
      <c r="F2377" s="30"/>
      <c r="G2377" s="30"/>
      <c r="H2377" s="48"/>
      <c r="I2377" s="49"/>
      <c r="J2377" s="49"/>
      <c r="K2377" s="48"/>
      <c r="L2377" s="50"/>
      <c r="M2377" s="30"/>
      <c r="N2377" s="30"/>
      <c r="O2377" s="30"/>
      <c r="P2377" s="30"/>
      <c r="Q2377" s="30"/>
      <c r="R2377" s="30"/>
      <c r="S2377" s="30"/>
      <c r="T2377" s="30"/>
      <c r="U2377" s="30"/>
      <c r="V2377" s="30"/>
      <c r="W2377" s="30"/>
      <c r="X2377" s="30"/>
      <c r="Y2377" s="30"/>
      <c r="Z2377" s="30"/>
      <c r="AA2377" s="30"/>
      <c r="AB2377" s="30"/>
      <c r="AC2377" s="30"/>
      <c r="AD2377" s="30"/>
      <c r="AE2377" s="30"/>
      <c r="AF2377" s="30"/>
      <c r="AG2377" s="30"/>
      <c r="AH2377" s="30"/>
    </row>
    <row r="2378" spans="1:34" ht="13">
      <c r="A2378" s="30"/>
      <c r="B2378" s="30"/>
      <c r="C2378" s="30"/>
      <c r="D2378" s="30"/>
      <c r="E2378" s="30"/>
      <c r="F2378" s="30"/>
      <c r="G2378" s="30"/>
      <c r="H2378" s="48"/>
      <c r="I2378" s="49"/>
      <c r="J2378" s="49"/>
      <c r="K2378" s="48"/>
      <c r="L2378" s="50"/>
      <c r="M2378" s="30"/>
      <c r="N2378" s="30"/>
      <c r="O2378" s="30"/>
      <c r="P2378" s="30"/>
      <c r="Q2378" s="30"/>
      <c r="R2378" s="30"/>
      <c r="S2378" s="30"/>
      <c r="T2378" s="30"/>
      <c r="U2378" s="30"/>
      <c r="V2378" s="30"/>
      <c r="W2378" s="30"/>
      <c r="X2378" s="30"/>
      <c r="Y2378" s="30"/>
      <c r="Z2378" s="30"/>
      <c r="AA2378" s="30"/>
      <c r="AB2378" s="30"/>
      <c r="AC2378" s="30"/>
      <c r="AD2378" s="30"/>
      <c r="AE2378" s="30"/>
      <c r="AF2378" s="30"/>
      <c r="AG2378" s="30"/>
      <c r="AH2378" s="30"/>
    </row>
    <row r="2379" spans="1:34" ht="13">
      <c r="A2379" s="30"/>
      <c r="B2379" s="30"/>
      <c r="C2379" s="30"/>
      <c r="D2379" s="30"/>
      <c r="E2379" s="30"/>
      <c r="F2379" s="30"/>
      <c r="G2379" s="30"/>
      <c r="H2379" s="48"/>
      <c r="I2379" s="49"/>
      <c r="J2379" s="49"/>
      <c r="K2379" s="48"/>
      <c r="L2379" s="50"/>
      <c r="M2379" s="30"/>
      <c r="N2379" s="30"/>
      <c r="O2379" s="30"/>
      <c r="P2379" s="30"/>
      <c r="Q2379" s="30"/>
      <c r="R2379" s="30"/>
      <c r="S2379" s="30"/>
      <c r="T2379" s="30"/>
      <c r="U2379" s="30"/>
      <c r="V2379" s="30"/>
      <c r="W2379" s="30"/>
      <c r="X2379" s="30"/>
      <c r="Y2379" s="30"/>
      <c r="Z2379" s="30"/>
      <c r="AA2379" s="30"/>
      <c r="AB2379" s="30"/>
      <c r="AC2379" s="30"/>
      <c r="AD2379" s="30"/>
      <c r="AE2379" s="30"/>
      <c r="AF2379" s="30"/>
      <c r="AG2379" s="30"/>
      <c r="AH2379" s="30"/>
    </row>
    <row r="2380" spans="1:34" ht="13">
      <c r="A2380" s="30"/>
      <c r="B2380" s="30"/>
      <c r="C2380" s="30"/>
      <c r="D2380" s="30"/>
      <c r="E2380" s="30"/>
      <c r="F2380" s="30"/>
      <c r="G2380" s="30"/>
      <c r="H2380" s="48"/>
      <c r="I2380" s="49"/>
      <c r="J2380" s="49"/>
      <c r="K2380" s="48"/>
      <c r="L2380" s="50"/>
      <c r="M2380" s="30"/>
      <c r="N2380" s="30"/>
      <c r="O2380" s="30"/>
      <c r="P2380" s="30"/>
      <c r="Q2380" s="30"/>
      <c r="R2380" s="30"/>
      <c r="S2380" s="30"/>
      <c r="T2380" s="30"/>
      <c r="U2380" s="30"/>
      <c r="V2380" s="30"/>
      <c r="W2380" s="30"/>
      <c r="X2380" s="30"/>
      <c r="Y2380" s="30"/>
      <c r="Z2380" s="30"/>
      <c r="AA2380" s="30"/>
      <c r="AB2380" s="30"/>
      <c r="AC2380" s="30"/>
      <c r="AD2380" s="30"/>
      <c r="AE2380" s="30"/>
      <c r="AF2380" s="30"/>
      <c r="AG2380" s="30"/>
      <c r="AH2380" s="30"/>
    </row>
    <row r="2381" spans="1:34" ht="13">
      <c r="A2381" s="30"/>
      <c r="B2381" s="30"/>
      <c r="C2381" s="30"/>
      <c r="D2381" s="30"/>
      <c r="E2381" s="30"/>
      <c r="F2381" s="30"/>
      <c r="G2381" s="30"/>
      <c r="H2381" s="48"/>
      <c r="I2381" s="49"/>
      <c r="J2381" s="49"/>
      <c r="K2381" s="48"/>
      <c r="L2381" s="50"/>
      <c r="M2381" s="30"/>
      <c r="N2381" s="30"/>
      <c r="O2381" s="30"/>
      <c r="P2381" s="30"/>
      <c r="Q2381" s="30"/>
      <c r="R2381" s="30"/>
      <c r="S2381" s="30"/>
      <c r="T2381" s="30"/>
      <c r="U2381" s="30"/>
      <c r="V2381" s="30"/>
      <c r="W2381" s="30"/>
      <c r="X2381" s="30"/>
      <c r="Y2381" s="30"/>
      <c r="Z2381" s="30"/>
      <c r="AA2381" s="30"/>
      <c r="AB2381" s="30"/>
      <c r="AC2381" s="30"/>
      <c r="AD2381" s="30"/>
      <c r="AE2381" s="30"/>
      <c r="AF2381" s="30"/>
      <c r="AG2381" s="30"/>
      <c r="AH2381" s="30"/>
    </row>
    <row r="2382" spans="1:34" ht="13">
      <c r="A2382" s="30"/>
      <c r="B2382" s="30"/>
      <c r="C2382" s="30"/>
      <c r="D2382" s="30"/>
      <c r="E2382" s="30"/>
      <c r="F2382" s="30"/>
      <c r="G2382" s="30"/>
      <c r="H2382" s="48"/>
      <c r="I2382" s="49"/>
      <c r="J2382" s="49"/>
      <c r="K2382" s="48"/>
      <c r="L2382" s="50"/>
      <c r="M2382" s="30"/>
      <c r="N2382" s="30"/>
      <c r="O2382" s="30"/>
      <c r="P2382" s="30"/>
      <c r="Q2382" s="30"/>
      <c r="R2382" s="30"/>
      <c r="S2382" s="30"/>
      <c r="T2382" s="30"/>
      <c r="U2382" s="30"/>
      <c r="V2382" s="30"/>
      <c r="W2382" s="30"/>
      <c r="X2382" s="30"/>
      <c r="Y2382" s="30"/>
      <c r="Z2382" s="30"/>
      <c r="AA2382" s="30"/>
      <c r="AB2382" s="30"/>
      <c r="AC2382" s="30"/>
      <c r="AD2382" s="30"/>
      <c r="AE2382" s="30"/>
      <c r="AF2382" s="30"/>
      <c r="AG2382" s="30"/>
      <c r="AH2382" s="30"/>
    </row>
    <row r="2383" spans="1:34" ht="13">
      <c r="A2383" s="30"/>
      <c r="B2383" s="30"/>
      <c r="C2383" s="30"/>
      <c r="D2383" s="30"/>
      <c r="E2383" s="30"/>
      <c r="F2383" s="30"/>
      <c r="G2383" s="30"/>
      <c r="H2383" s="48"/>
      <c r="I2383" s="49"/>
      <c r="J2383" s="49"/>
      <c r="K2383" s="48"/>
      <c r="L2383" s="50"/>
      <c r="M2383" s="30"/>
      <c r="N2383" s="30"/>
      <c r="O2383" s="30"/>
      <c r="P2383" s="30"/>
      <c r="Q2383" s="30"/>
      <c r="R2383" s="30"/>
      <c r="S2383" s="30"/>
      <c r="T2383" s="30"/>
      <c r="U2383" s="30"/>
      <c r="V2383" s="30"/>
      <c r="W2383" s="30"/>
      <c r="X2383" s="30"/>
      <c r="Y2383" s="30"/>
      <c r="Z2383" s="30"/>
      <c r="AA2383" s="30"/>
      <c r="AB2383" s="30"/>
      <c r="AC2383" s="30"/>
      <c r="AD2383" s="30"/>
      <c r="AE2383" s="30"/>
      <c r="AF2383" s="30"/>
      <c r="AG2383" s="30"/>
      <c r="AH2383" s="30"/>
    </row>
    <row r="2384" spans="1:34" ht="13">
      <c r="A2384" s="30"/>
      <c r="B2384" s="30"/>
      <c r="C2384" s="30"/>
      <c r="D2384" s="30"/>
      <c r="E2384" s="30"/>
      <c r="F2384" s="30"/>
      <c r="G2384" s="30"/>
      <c r="H2384" s="48"/>
      <c r="I2384" s="49"/>
      <c r="J2384" s="49"/>
      <c r="K2384" s="48"/>
      <c r="L2384" s="50"/>
      <c r="M2384" s="30"/>
      <c r="N2384" s="30"/>
      <c r="O2384" s="30"/>
      <c r="P2384" s="30"/>
      <c r="Q2384" s="30"/>
      <c r="R2384" s="30"/>
      <c r="S2384" s="30"/>
      <c r="T2384" s="30"/>
      <c r="U2384" s="30"/>
      <c r="V2384" s="30"/>
      <c r="W2384" s="30"/>
      <c r="X2384" s="30"/>
      <c r="Y2384" s="30"/>
      <c r="Z2384" s="30"/>
      <c r="AA2384" s="30"/>
      <c r="AB2384" s="30"/>
      <c r="AC2384" s="30"/>
      <c r="AD2384" s="30"/>
      <c r="AE2384" s="30"/>
      <c r="AF2384" s="30"/>
      <c r="AG2384" s="30"/>
      <c r="AH2384" s="30"/>
    </row>
    <row r="2385" spans="1:34" ht="13">
      <c r="A2385" s="30"/>
      <c r="B2385" s="30"/>
      <c r="C2385" s="30"/>
      <c r="D2385" s="30"/>
      <c r="E2385" s="30"/>
      <c r="F2385" s="30"/>
      <c r="G2385" s="30"/>
      <c r="H2385" s="48"/>
      <c r="I2385" s="49"/>
      <c r="J2385" s="49"/>
      <c r="K2385" s="48"/>
      <c r="L2385" s="50"/>
      <c r="M2385" s="30"/>
      <c r="N2385" s="30"/>
      <c r="O2385" s="30"/>
      <c r="P2385" s="30"/>
      <c r="Q2385" s="30"/>
      <c r="R2385" s="30"/>
      <c r="S2385" s="30"/>
      <c r="T2385" s="30"/>
      <c r="U2385" s="30"/>
      <c r="V2385" s="30"/>
      <c r="W2385" s="30"/>
      <c r="X2385" s="30"/>
      <c r="Y2385" s="30"/>
      <c r="Z2385" s="30"/>
      <c r="AA2385" s="30"/>
      <c r="AB2385" s="30"/>
      <c r="AC2385" s="30"/>
      <c r="AD2385" s="30"/>
      <c r="AE2385" s="30"/>
      <c r="AF2385" s="30"/>
      <c r="AG2385" s="30"/>
      <c r="AH2385" s="30"/>
    </row>
    <row r="2386" spans="1:34" ht="13">
      <c r="A2386" s="30"/>
      <c r="B2386" s="30"/>
      <c r="C2386" s="30"/>
      <c r="D2386" s="30"/>
      <c r="E2386" s="30"/>
      <c r="F2386" s="30"/>
      <c r="G2386" s="30"/>
      <c r="H2386" s="48"/>
      <c r="I2386" s="49"/>
      <c r="J2386" s="49"/>
      <c r="K2386" s="48"/>
      <c r="L2386" s="50"/>
      <c r="M2386" s="30"/>
      <c r="N2386" s="30"/>
      <c r="O2386" s="30"/>
      <c r="P2386" s="30"/>
      <c r="Q2386" s="30"/>
      <c r="R2386" s="30"/>
      <c r="S2386" s="30"/>
      <c r="T2386" s="30"/>
      <c r="U2386" s="30"/>
      <c r="V2386" s="30"/>
      <c r="W2386" s="30"/>
      <c r="X2386" s="30"/>
      <c r="Y2386" s="30"/>
      <c r="Z2386" s="30"/>
      <c r="AA2386" s="30"/>
      <c r="AB2386" s="30"/>
      <c r="AC2386" s="30"/>
      <c r="AD2386" s="30"/>
      <c r="AE2386" s="30"/>
      <c r="AF2386" s="30"/>
      <c r="AG2386" s="30"/>
      <c r="AH2386" s="30"/>
    </row>
    <row r="2387" spans="1:34" ht="13">
      <c r="A2387" s="30"/>
      <c r="B2387" s="30"/>
      <c r="C2387" s="30"/>
      <c r="D2387" s="30"/>
      <c r="E2387" s="30"/>
      <c r="F2387" s="30"/>
      <c r="G2387" s="30"/>
      <c r="H2387" s="48"/>
      <c r="I2387" s="49"/>
      <c r="J2387" s="49"/>
      <c r="K2387" s="48"/>
      <c r="L2387" s="50"/>
      <c r="M2387" s="30"/>
      <c r="N2387" s="30"/>
      <c r="O2387" s="30"/>
      <c r="P2387" s="30"/>
      <c r="Q2387" s="30"/>
      <c r="R2387" s="30"/>
      <c r="S2387" s="30"/>
      <c r="T2387" s="30"/>
      <c r="U2387" s="30"/>
      <c r="V2387" s="30"/>
      <c r="W2387" s="30"/>
      <c r="X2387" s="30"/>
      <c r="Y2387" s="30"/>
      <c r="Z2387" s="30"/>
      <c r="AA2387" s="30"/>
      <c r="AB2387" s="30"/>
      <c r="AC2387" s="30"/>
      <c r="AD2387" s="30"/>
      <c r="AE2387" s="30"/>
      <c r="AF2387" s="30"/>
      <c r="AG2387" s="30"/>
      <c r="AH2387" s="30"/>
    </row>
    <row r="2388" spans="1:34" ht="13">
      <c r="A2388" s="30"/>
      <c r="B2388" s="30"/>
      <c r="C2388" s="30"/>
      <c r="D2388" s="30"/>
      <c r="E2388" s="30"/>
      <c r="F2388" s="30"/>
      <c r="G2388" s="30"/>
      <c r="H2388" s="48"/>
      <c r="I2388" s="49"/>
      <c r="J2388" s="49"/>
      <c r="K2388" s="48"/>
      <c r="L2388" s="50"/>
      <c r="M2388" s="30"/>
      <c r="N2388" s="30"/>
      <c r="O2388" s="30"/>
      <c r="P2388" s="30"/>
      <c r="Q2388" s="30"/>
      <c r="R2388" s="30"/>
      <c r="S2388" s="30"/>
      <c r="T2388" s="30"/>
      <c r="U2388" s="30"/>
      <c r="V2388" s="30"/>
      <c r="W2388" s="30"/>
      <c r="X2388" s="30"/>
      <c r="Y2388" s="30"/>
      <c r="Z2388" s="30"/>
      <c r="AA2388" s="30"/>
      <c r="AB2388" s="30"/>
      <c r="AC2388" s="30"/>
      <c r="AD2388" s="30"/>
      <c r="AE2388" s="30"/>
      <c r="AF2388" s="30"/>
      <c r="AG2388" s="30"/>
      <c r="AH2388" s="30"/>
    </row>
    <row r="2389" spans="1:34" ht="13">
      <c r="A2389" s="30"/>
      <c r="B2389" s="30"/>
      <c r="C2389" s="30"/>
      <c r="D2389" s="30"/>
      <c r="E2389" s="30"/>
      <c r="F2389" s="30"/>
      <c r="G2389" s="30"/>
      <c r="H2389" s="48"/>
      <c r="I2389" s="49"/>
      <c r="J2389" s="49"/>
      <c r="K2389" s="48"/>
      <c r="L2389" s="50"/>
      <c r="M2389" s="30"/>
      <c r="N2389" s="30"/>
      <c r="O2389" s="30"/>
      <c r="P2389" s="30"/>
      <c r="Q2389" s="30"/>
      <c r="R2389" s="30"/>
      <c r="S2389" s="30"/>
      <c r="T2389" s="30"/>
      <c r="U2389" s="30"/>
      <c r="V2389" s="30"/>
      <c r="W2389" s="30"/>
      <c r="X2389" s="30"/>
      <c r="Y2389" s="30"/>
      <c r="Z2389" s="30"/>
      <c r="AA2389" s="30"/>
      <c r="AB2389" s="30"/>
      <c r="AC2389" s="30"/>
      <c r="AD2389" s="30"/>
      <c r="AE2389" s="30"/>
      <c r="AF2389" s="30"/>
      <c r="AG2389" s="30"/>
      <c r="AH2389" s="30"/>
    </row>
    <row r="2390" spans="1:34" ht="13">
      <c r="A2390" s="30"/>
      <c r="B2390" s="30"/>
      <c r="C2390" s="30"/>
      <c r="D2390" s="30"/>
      <c r="E2390" s="30"/>
      <c r="F2390" s="30"/>
      <c r="G2390" s="30"/>
      <c r="H2390" s="48"/>
      <c r="I2390" s="49"/>
      <c r="J2390" s="49"/>
      <c r="K2390" s="48"/>
      <c r="L2390" s="50"/>
      <c r="M2390" s="30"/>
      <c r="N2390" s="30"/>
      <c r="O2390" s="30"/>
      <c r="P2390" s="30"/>
      <c r="Q2390" s="30"/>
      <c r="R2390" s="30"/>
      <c r="S2390" s="30"/>
      <c r="T2390" s="30"/>
      <c r="U2390" s="30"/>
      <c r="V2390" s="30"/>
      <c r="W2390" s="30"/>
      <c r="X2390" s="30"/>
      <c r="Y2390" s="30"/>
      <c r="Z2390" s="30"/>
      <c r="AA2390" s="30"/>
      <c r="AB2390" s="30"/>
      <c r="AC2390" s="30"/>
      <c r="AD2390" s="30"/>
      <c r="AE2390" s="30"/>
      <c r="AF2390" s="30"/>
      <c r="AG2390" s="30"/>
      <c r="AH2390" s="30"/>
    </row>
    <row r="2391" spans="1:34" ht="13">
      <c r="A2391" s="30"/>
      <c r="B2391" s="30"/>
      <c r="C2391" s="30"/>
      <c r="D2391" s="30"/>
      <c r="E2391" s="30"/>
      <c r="F2391" s="30"/>
      <c r="G2391" s="30"/>
      <c r="H2391" s="48"/>
      <c r="I2391" s="49"/>
      <c r="J2391" s="49"/>
      <c r="K2391" s="48"/>
      <c r="L2391" s="50"/>
      <c r="M2391" s="30"/>
      <c r="N2391" s="30"/>
      <c r="O2391" s="30"/>
      <c r="P2391" s="30"/>
      <c r="Q2391" s="30"/>
      <c r="R2391" s="30"/>
      <c r="S2391" s="30"/>
      <c r="T2391" s="30"/>
      <c r="U2391" s="30"/>
      <c r="V2391" s="30"/>
      <c r="W2391" s="30"/>
      <c r="X2391" s="30"/>
      <c r="Y2391" s="30"/>
      <c r="Z2391" s="30"/>
      <c r="AA2391" s="30"/>
      <c r="AB2391" s="30"/>
      <c r="AC2391" s="30"/>
      <c r="AD2391" s="30"/>
      <c r="AE2391" s="30"/>
      <c r="AF2391" s="30"/>
      <c r="AG2391" s="30"/>
      <c r="AH2391" s="30"/>
    </row>
    <row r="2392" spans="1:34" ht="13">
      <c r="A2392" s="30"/>
      <c r="B2392" s="30"/>
      <c r="C2392" s="30"/>
      <c r="D2392" s="30"/>
      <c r="E2392" s="30"/>
      <c r="F2392" s="30"/>
      <c r="G2392" s="30"/>
      <c r="H2392" s="48"/>
      <c r="I2392" s="49"/>
      <c r="J2392" s="49"/>
      <c r="K2392" s="48"/>
      <c r="L2392" s="50"/>
      <c r="M2392" s="30"/>
      <c r="N2392" s="30"/>
      <c r="O2392" s="30"/>
      <c r="P2392" s="30"/>
      <c r="Q2392" s="30"/>
      <c r="R2392" s="30"/>
      <c r="S2392" s="30"/>
      <c r="T2392" s="30"/>
      <c r="U2392" s="30"/>
      <c r="V2392" s="30"/>
      <c r="W2392" s="30"/>
      <c r="X2392" s="30"/>
      <c r="Y2392" s="30"/>
      <c r="Z2392" s="30"/>
      <c r="AA2392" s="30"/>
      <c r="AB2392" s="30"/>
      <c r="AC2392" s="30"/>
      <c r="AD2392" s="30"/>
      <c r="AE2392" s="30"/>
      <c r="AF2392" s="30"/>
      <c r="AG2392" s="30"/>
      <c r="AH2392" s="30"/>
    </row>
    <row r="2393" spans="1:34" ht="13">
      <c r="A2393" s="30"/>
      <c r="B2393" s="30"/>
      <c r="C2393" s="30"/>
      <c r="D2393" s="30"/>
      <c r="E2393" s="30"/>
      <c r="F2393" s="30"/>
      <c r="G2393" s="30"/>
      <c r="H2393" s="48"/>
      <c r="I2393" s="49"/>
      <c r="J2393" s="49"/>
      <c r="K2393" s="48"/>
      <c r="L2393" s="50"/>
      <c r="M2393" s="30"/>
      <c r="N2393" s="30"/>
      <c r="O2393" s="30"/>
      <c r="P2393" s="30"/>
      <c r="Q2393" s="30"/>
      <c r="R2393" s="30"/>
      <c r="S2393" s="30"/>
      <c r="T2393" s="30"/>
      <c r="U2393" s="30"/>
      <c r="V2393" s="30"/>
      <c r="W2393" s="30"/>
      <c r="X2393" s="30"/>
      <c r="Y2393" s="30"/>
      <c r="Z2393" s="30"/>
      <c r="AA2393" s="30"/>
      <c r="AB2393" s="30"/>
      <c r="AC2393" s="30"/>
      <c r="AD2393" s="30"/>
      <c r="AE2393" s="30"/>
      <c r="AF2393" s="30"/>
      <c r="AG2393" s="30"/>
      <c r="AH2393" s="30"/>
    </row>
    <row r="2394" spans="1:34" ht="13">
      <c r="A2394" s="30"/>
      <c r="B2394" s="30"/>
      <c r="C2394" s="30"/>
      <c r="D2394" s="30"/>
      <c r="E2394" s="30"/>
      <c r="F2394" s="30"/>
      <c r="G2394" s="30"/>
      <c r="H2394" s="48"/>
      <c r="I2394" s="49"/>
      <c r="J2394" s="49"/>
      <c r="K2394" s="48"/>
      <c r="L2394" s="50"/>
      <c r="M2394" s="30"/>
      <c r="N2394" s="30"/>
      <c r="O2394" s="30"/>
      <c r="P2394" s="30"/>
      <c r="Q2394" s="30"/>
      <c r="R2394" s="30"/>
      <c r="S2394" s="30"/>
      <c r="T2394" s="30"/>
      <c r="U2394" s="30"/>
      <c r="V2394" s="30"/>
      <c r="W2394" s="30"/>
      <c r="X2394" s="30"/>
      <c r="Y2394" s="30"/>
      <c r="Z2394" s="30"/>
      <c r="AA2394" s="30"/>
      <c r="AB2394" s="30"/>
      <c r="AC2394" s="30"/>
      <c r="AD2394" s="30"/>
      <c r="AE2394" s="30"/>
      <c r="AF2394" s="30"/>
      <c r="AG2394" s="30"/>
      <c r="AH2394" s="30"/>
    </row>
    <row r="2395" spans="1:34" ht="13">
      <c r="A2395" s="30"/>
      <c r="B2395" s="30"/>
      <c r="C2395" s="30"/>
      <c r="D2395" s="30"/>
      <c r="E2395" s="30"/>
      <c r="F2395" s="30"/>
      <c r="G2395" s="30"/>
      <c r="H2395" s="48"/>
      <c r="I2395" s="49"/>
      <c r="J2395" s="49"/>
      <c r="K2395" s="48"/>
      <c r="L2395" s="50"/>
      <c r="M2395" s="30"/>
      <c r="N2395" s="30"/>
      <c r="O2395" s="30"/>
      <c r="P2395" s="30"/>
      <c r="Q2395" s="30"/>
      <c r="R2395" s="30"/>
      <c r="S2395" s="30"/>
      <c r="T2395" s="30"/>
      <c r="U2395" s="30"/>
      <c r="V2395" s="30"/>
      <c r="W2395" s="30"/>
      <c r="X2395" s="30"/>
      <c r="Y2395" s="30"/>
      <c r="Z2395" s="30"/>
      <c r="AA2395" s="30"/>
      <c r="AB2395" s="30"/>
      <c r="AC2395" s="30"/>
      <c r="AD2395" s="30"/>
      <c r="AE2395" s="30"/>
      <c r="AF2395" s="30"/>
      <c r="AG2395" s="30"/>
      <c r="AH2395" s="30"/>
    </row>
    <row r="2396" spans="1:34" ht="13">
      <c r="A2396" s="30"/>
      <c r="B2396" s="30"/>
      <c r="C2396" s="30"/>
      <c r="D2396" s="30"/>
      <c r="E2396" s="30"/>
      <c r="F2396" s="30"/>
      <c r="G2396" s="30"/>
      <c r="H2396" s="48"/>
      <c r="I2396" s="49"/>
      <c r="J2396" s="49"/>
      <c r="K2396" s="48"/>
      <c r="L2396" s="50"/>
      <c r="M2396" s="30"/>
      <c r="N2396" s="30"/>
      <c r="O2396" s="30"/>
      <c r="P2396" s="30"/>
      <c r="Q2396" s="30"/>
      <c r="R2396" s="30"/>
      <c r="S2396" s="30"/>
      <c r="T2396" s="30"/>
      <c r="U2396" s="30"/>
      <c r="V2396" s="30"/>
      <c r="W2396" s="30"/>
      <c r="X2396" s="30"/>
      <c r="Y2396" s="30"/>
      <c r="Z2396" s="30"/>
      <c r="AA2396" s="30"/>
      <c r="AB2396" s="30"/>
      <c r="AC2396" s="30"/>
      <c r="AD2396" s="30"/>
      <c r="AE2396" s="30"/>
      <c r="AF2396" s="30"/>
      <c r="AG2396" s="30"/>
      <c r="AH2396" s="30"/>
    </row>
    <row r="2397" spans="1:34" ht="13">
      <c r="A2397" s="30"/>
      <c r="B2397" s="30"/>
      <c r="C2397" s="30"/>
      <c r="D2397" s="30"/>
      <c r="E2397" s="30"/>
      <c r="F2397" s="30"/>
      <c r="G2397" s="30"/>
      <c r="H2397" s="48"/>
      <c r="I2397" s="49"/>
      <c r="J2397" s="49"/>
      <c r="K2397" s="48"/>
      <c r="L2397" s="50"/>
      <c r="M2397" s="30"/>
      <c r="N2397" s="30"/>
      <c r="O2397" s="30"/>
      <c r="P2397" s="30"/>
      <c r="Q2397" s="30"/>
      <c r="R2397" s="30"/>
      <c r="S2397" s="30"/>
      <c r="T2397" s="30"/>
      <c r="U2397" s="30"/>
      <c r="V2397" s="30"/>
      <c r="W2397" s="30"/>
      <c r="X2397" s="30"/>
      <c r="Y2397" s="30"/>
      <c r="Z2397" s="30"/>
      <c r="AA2397" s="30"/>
      <c r="AB2397" s="30"/>
      <c r="AC2397" s="30"/>
      <c r="AD2397" s="30"/>
      <c r="AE2397" s="30"/>
      <c r="AF2397" s="30"/>
      <c r="AG2397" s="30"/>
      <c r="AH2397" s="30"/>
    </row>
    <row r="2398" spans="1:34" ht="13">
      <c r="A2398" s="30"/>
      <c r="B2398" s="30"/>
      <c r="C2398" s="30"/>
      <c r="D2398" s="30"/>
      <c r="E2398" s="30"/>
      <c r="F2398" s="30"/>
      <c r="G2398" s="30"/>
      <c r="H2398" s="48"/>
      <c r="I2398" s="49"/>
      <c r="J2398" s="49"/>
      <c r="K2398" s="48"/>
      <c r="L2398" s="50"/>
      <c r="M2398" s="30"/>
      <c r="N2398" s="30"/>
      <c r="O2398" s="30"/>
      <c r="P2398" s="30"/>
      <c r="Q2398" s="30"/>
      <c r="R2398" s="30"/>
      <c r="S2398" s="30"/>
      <c r="T2398" s="30"/>
      <c r="U2398" s="30"/>
      <c r="V2398" s="30"/>
      <c r="W2398" s="30"/>
      <c r="X2398" s="30"/>
      <c r="Y2398" s="30"/>
      <c r="Z2398" s="30"/>
      <c r="AA2398" s="30"/>
      <c r="AB2398" s="30"/>
      <c r="AC2398" s="30"/>
      <c r="AD2398" s="30"/>
      <c r="AE2398" s="30"/>
      <c r="AF2398" s="30"/>
      <c r="AG2398" s="30"/>
      <c r="AH2398" s="30"/>
    </row>
    <row r="2399" spans="1:34" ht="13">
      <c r="A2399" s="30"/>
      <c r="B2399" s="30"/>
      <c r="C2399" s="30"/>
      <c r="D2399" s="30"/>
      <c r="E2399" s="30"/>
      <c r="F2399" s="30"/>
      <c r="G2399" s="30"/>
      <c r="H2399" s="48"/>
      <c r="I2399" s="49"/>
      <c r="J2399" s="49"/>
      <c r="K2399" s="48"/>
      <c r="L2399" s="50"/>
      <c r="M2399" s="30"/>
      <c r="N2399" s="30"/>
      <c r="O2399" s="30"/>
      <c r="P2399" s="30"/>
      <c r="Q2399" s="30"/>
      <c r="R2399" s="30"/>
      <c r="S2399" s="30"/>
      <c r="T2399" s="30"/>
      <c r="U2399" s="30"/>
      <c r="V2399" s="30"/>
      <c r="W2399" s="30"/>
      <c r="X2399" s="30"/>
      <c r="Y2399" s="30"/>
      <c r="Z2399" s="30"/>
      <c r="AA2399" s="30"/>
      <c r="AB2399" s="30"/>
      <c r="AC2399" s="30"/>
      <c r="AD2399" s="30"/>
      <c r="AE2399" s="30"/>
      <c r="AF2399" s="30"/>
      <c r="AG2399" s="30"/>
      <c r="AH2399" s="30"/>
    </row>
    <row r="2400" spans="1:34" ht="13">
      <c r="A2400" s="30"/>
      <c r="B2400" s="30"/>
      <c r="C2400" s="30"/>
      <c r="D2400" s="30"/>
      <c r="E2400" s="30"/>
      <c r="F2400" s="30"/>
      <c r="G2400" s="30"/>
      <c r="H2400" s="48"/>
      <c r="I2400" s="49"/>
      <c r="J2400" s="49"/>
      <c r="K2400" s="48"/>
      <c r="L2400" s="50"/>
      <c r="M2400" s="30"/>
      <c r="N2400" s="30"/>
      <c r="O2400" s="30"/>
      <c r="P2400" s="30"/>
      <c r="Q2400" s="30"/>
      <c r="R2400" s="30"/>
      <c r="S2400" s="30"/>
      <c r="T2400" s="30"/>
      <c r="U2400" s="30"/>
      <c r="V2400" s="30"/>
      <c r="W2400" s="30"/>
      <c r="X2400" s="30"/>
      <c r="Y2400" s="30"/>
      <c r="Z2400" s="30"/>
      <c r="AA2400" s="30"/>
      <c r="AB2400" s="30"/>
      <c r="AC2400" s="30"/>
      <c r="AD2400" s="30"/>
      <c r="AE2400" s="30"/>
      <c r="AF2400" s="30"/>
      <c r="AG2400" s="30"/>
      <c r="AH2400" s="30"/>
    </row>
    <row r="2401" spans="1:34" ht="13">
      <c r="A2401" s="30"/>
      <c r="B2401" s="30"/>
      <c r="C2401" s="30"/>
      <c r="D2401" s="30"/>
      <c r="E2401" s="30"/>
      <c r="F2401" s="30"/>
      <c r="G2401" s="30"/>
      <c r="H2401" s="48"/>
      <c r="I2401" s="49"/>
      <c r="J2401" s="49"/>
      <c r="K2401" s="48"/>
      <c r="L2401" s="50"/>
      <c r="M2401" s="30"/>
      <c r="N2401" s="30"/>
      <c r="O2401" s="30"/>
      <c r="P2401" s="30"/>
      <c r="Q2401" s="30"/>
      <c r="R2401" s="30"/>
      <c r="S2401" s="30"/>
      <c r="T2401" s="30"/>
      <c r="U2401" s="30"/>
      <c r="V2401" s="30"/>
      <c r="W2401" s="30"/>
      <c r="X2401" s="30"/>
      <c r="Y2401" s="30"/>
      <c r="Z2401" s="30"/>
      <c r="AA2401" s="30"/>
      <c r="AB2401" s="30"/>
      <c r="AC2401" s="30"/>
      <c r="AD2401" s="30"/>
      <c r="AE2401" s="30"/>
      <c r="AF2401" s="30"/>
      <c r="AG2401" s="30"/>
      <c r="AH2401" s="30"/>
    </row>
    <row r="2402" spans="1:34" ht="13">
      <c r="A2402" s="30"/>
      <c r="B2402" s="30"/>
      <c r="C2402" s="30"/>
      <c r="D2402" s="30"/>
      <c r="E2402" s="30"/>
      <c r="F2402" s="30"/>
      <c r="G2402" s="30"/>
      <c r="H2402" s="48"/>
      <c r="I2402" s="49"/>
      <c r="J2402" s="49"/>
      <c r="K2402" s="48"/>
      <c r="L2402" s="50"/>
      <c r="M2402" s="30"/>
      <c r="N2402" s="30"/>
      <c r="O2402" s="30"/>
      <c r="P2402" s="30"/>
      <c r="Q2402" s="30"/>
      <c r="R2402" s="30"/>
      <c r="S2402" s="30"/>
      <c r="T2402" s="30"/>
      <c r="U2402" s="30"/>
      <c r="V2402" s="30"/>
      <c r="W2402" s="30"/>
      <c r="X2402" s="30"/>
      <c r="Y2402" s="30"/>
      <c r="Z2402" s="30"/>
      <c r="AA2402" s="30"/>
      <c r="AB2402" s="30"/>
      <c r="AC2402" s="30"/>
      <c r="AD2402" s="30"/>
      <c r="AE2402" s="30"/>
      <c r="AF2402" s="30"/>
      <c r="AG2402" s="30"/>
      <c r="AH2402" s="30"/>
    </row>
    <row r="2403" spans="1:34" ht="13">
      <c r="A2403" s="30"/>
      <c r="B2403" s="30"/>
      <c r="C2403" s="30"/>
      <c r="D2403" s="30"/>
      <c r="E2403" s="30"/>
      <c r="F2403" s="30"/>
      <c r="G2403" s="30"/>
      <c r="H2403" s="48"/>
      <c r="I2403" s="49"/>
      <c r="J2403" s="49"/>
      <c r="K2403" s="48"/>
      <c r="L2403" s="50"/>
      <c r="M2403" s="30"/>
      <c r="N2403" s="30"/>
      <c r="O2403" s="30"/>
      <c r="P2403" s="30"/>
      <c r="Q2403" s="30"/>
      <c r="R2403" s="30"/>
      <c r="S2403" s="30"/>
      <c r="T2403" s="30"/>
      <c r="U2403" s="30"/>
      <c r="V2403" s="30"/>
      <c r="W2403" s="30"/>
      <c r="X2403" s="30"/>
      <c r="Y2403" s="30"/>
      <c r="Z2403" s="30"/>
      <c r="AA2403" s="30"/>
      <c r="AB2403" s="30"/>
      <c r="AC2403" s="30"/>
      <c r="AD2403" s="30"/>
      <c r="AE2403" s="30"/>
      <c r="AF2403" s="30"/>
      <c r="AG2403" s="30"/>
      <c r="AH2403" s="30"/>
    </row>
    <row r="2404" spans="1:34" ht="13">
      <c r="A2404" s="30"/>
      <c r="B2404" s="30"/>
      <c r="C2404" s="30"/>
      <c r="D2404" s="30"/>
      <c r="E2404" s="30"/>
      <c r="F2404" s="30"/>
      <c r="G2404" s="30"/>
      <c r="H2404" s="48"/>
      <c r="I2404" s="49"/>
      <c r="J2404" s="49"/>
      <c r="K2404" s="48"/>
      <c r="L2404" s="50"/>
      <c r="M2404" s="30"/>
      <c r="N2404" s="30"/>
      <c r="O2404" s="30"/>
      <c r="P2404" s="30"/>
      <c r="Q2404" s="30"/>
      <c r="R2404" s="30"/>
      <c r="S2404" s="30"/>
      <c r="T2404" s="30"/>
      <c r="U2404" s="30"/>
      <c r="V2404" s="30"/>
      <c r="W2404" s="30"/>
      <c r="X2404" s="30"/>
      <c r="Y2404" s="30"/>
      <c r="Z2404" s="30"/>
      <c r="AA2404" s="30"/>
      <c r="AB2404" s="30"/>
      <c r="AC2404" s="30"/>
      <c r="AD2404" s="30"/>
      <c r="AE2404" s="30"/>
      <c r="AF2404" s="30"/>
      <c r="AG2404" s="30"/>
      <c r="AH2404" s="30"/>
    </row>
    <row r="2405" spans="1:34" ht="13">
      <c r="A2405" s="30"/>
      <c r="B2405" s="30"/>
      <c r="C2405" s="30"/>
      <c r="D2405" s="30"/>
      <c r="E2405" s="30"/>
      <c r="F2405" s="30"/>
      <c r="G2405" s="30"/>
      <c r="H2405" s="48"/>
      <c r="I2405" s="49"/>
      <c r="J2405" s="49"/>
      <c r="K2405" s="48"/>
      <c r="L2405" s="50"/>
      <c r="M2405" s="30"/>
      <c r="N2405" s="30"/>
      <c r="O2405" s="30"/>
      <c r="P2405" s="30"/>
      <c r="Q2405" s="30"/>
      <c r="R2405" s="30"/>
      <c r="S2405" s="30"/>
      <c r="T2405" s="30"/>
      <c r="U2405" s="30"/>
      <c r="V2405" s="30"/>
      <c r="W2405" s="30"/>
      <c r="X2405" s="30"/>
      <c r="Y2405" s="30"/>
      <c r="Z2405" s="30"/>
      <c r="AA2405" s="30"/>
      <c r="AB2405" s="30"/>
      <c r="AC2405" s="30"/>
      <c r="AD2405" s="30"/>
      <c r="AE2405" s="30"/>
      <c r="AF2405" s="30"/>
      <c r="AG2405" s="30"/>
      <c r="AH2405" s="30"/>
    </row>
    <row r="2406" spans="1:34" ht="13">
      <c r="A2406" s="30"/>
      <c r="B2406" s="30"/>
      <c r="C2406" s="30"/>
      <c r="D2406" s="30"/>
      <c r="E2406" s="30"/>
      <c r="F2406" s="30"/>
      <c r="G2406" s="30"/>
      <c r="H2406" s="48"/>
      <c r="I2406" s="49"/>
      <c r="J2406" s="49"/>
      <c r="K2406" s="48"/>
      <c r="L2406" s="50"/>
      <c r="M2406" s="30"/>
      <c r="N2406" s="30"/>
      <c r="O2406" s="30"/>
      <c r="P2406" s="30"/>
      <c r="Q2406" s="30"/>
      <c r="R2406" s="30"/>
      <c r="S2406" s="30"/>
      <c r="T2406" s="30"/>
      <c r="U2406" s="30"/>
      <c r="V2406" s="30"/>
      <c r="W2406" s="30"/>
      <c r="X2406" s="30"/>
      <c r="Y2406" s="30"/>
      <c r="Z2406" s="30"/>
      <c r="AA2406" s="30"/>
      <c r="AB2406" s="30"/>
      <c r="AC2406" s="30"/>
      <c r="AD2406" s="30"/>
      <c r="AE2406" s="30"/>
      <c r="AF2406" s="30"/>
      <c r="AG2406" s="30"/>
      <c r="AH2406" s="30"/>
    </row>
    <row r="2407" spans="1:34" ht="13">
      <c r="A2407" s="30"/>
      <c r="B2407" s="30"/>
      <c r="C2407" s="30"/>
      <c r="D2407" s="30"/>
      <c r="E2407" s="30"/>
      <c r="F2407" s="30"/>
      <c r="G2407" s="30"/>
      <c r="H2407" s="48"/>
      <c r="I2407" s="49"/>
      <c r="J2407" s="49"/>
      <c r="K2407" s="48"/>
      <c r="L2407" s="50"/>
      <c r="M2407" s="30"/>
      <c r="N2407" s="30"/>
      <c r="O2407" s="30"/>
      <c r="P2407" s="30"/>
      <c r="Q2407" s="30"/>
      <c r="R2407" s="30"/>
      <c r="S2407" s="30"/>
      <c r="T2407" s="30"/>
      <c r="U2407" s="30"/>
      <c r="V2407" s="30"/>
      <c r="W2407" s="30"/>
      <c r="X2407" s="30"/>
      <c r="Y2407" s="30"/>
      <c r="Z2407" s="30"/>
      <c r="AA2407" s="30"/>
      <c r="AB2407" s="30"/>
      <c r="AC2407" s="30"/>
      <c r="AD2407" s="30"/>
      <c r="AE2407" s="30"/>
      <c r="AF2407" s="30"/>
      <c r="AG2407" s="30"/>
      <c r="AH2407" s="30"/>
    </row>
    <row r="2408" spans="1:34" ht="13">
      <c r="A2408" s="30"/>
      <c r="B2408" s="30"/>
      <c r="C2408" s="30"/>
      <c r="D2408" s="30"/>
      <c r="E2408" s="30"/>
      <c r="F2408" s="30"/>
      <c r="G2408" s="30"/>
      <c r="H2408" s="48"/>
      <c r="I2408" s="49"/>
      <c r="J2408" s="49"/>
      <c r="K2408" s="48"/>
      <c r="L2408" s="50"/>
      <c r="M2408" s="30"/>
      <c r="N2408" s="30"/>
      <c r="O2408" s="30"/>
      <c r="P2408" s="30"/>
      <c r="Q2408" s="30"/>
      <c r="R2408" s="30"/>
      <c r="S2408" s="30"/>
      <c r="T2408" s="30"/>
      <c r="U2408" s="30"/>
      <c r="V2408" s="30"/>
      <c r="W2408" s="30"/>
      <c r="X2408" s="30"/>
      <c r="Y2408" s="30"/>
      <c r="Z2408" s="30"/>
      <c r="AA2408" s="30"/>
      <c r="AB2408" s="30"/>
      <c r="AC2408" s="30"/>
      <c r="AD2408" s="30"/>
      <c r="AE2408" s="30"/>
      <c r="AF2408" s="30"/>
      <c r="AG2408" s="30"/>
      <c r="AH2408" s="30"/>
    </row>
    <row r="2409" spans="1:34" ht="13">
      <c r="A2409" s="30"/>
      <c r="B2409" s="30"/>
      <c r="C2409" s="30"/>
      <c r="D2409" s="30"/>
      <c r="E2409" s="30"/>
      <c r="F2409" s="30"/>
      <c r="G2409" s="30"/>
      <c r="H2409" s="48"/>
      <c r="I2409" s="49"/>
      <c r="J2409" s="49"/>
      <c r="K2409" s="48"/>
      <c r="L2409" s="50"/>
      <c r="M2409" s="30"/>
      <c r="N2409" s="30"/>
      <c r="O2409" s="30"/>
      <c r="P2409" s="30"/>
      <c r="Q2409" s="30"/>
      <c r="R2409" s="30"/>
      <c r="S2409" s="30"/>
      <c r="T2409" s="30"/>
      <c r="U2409" s="30"/>
      <c r="V2409" s="30"/>
      <c r="W2409" s="30"/>
      <c r="X2409" s="30"/>
      <c r="Y2409" s="30"/>
      <c r="Z2409" s="30"/>
      <c r="AA2409" s="30"/>
      <c r="AB2409" s="30"/>
      <c r="AC2409" s="30"/>
      <c r="AD2409" s="30"/>
      <c r="AE2409" s="30"/>
      <c r="AF2409" s="30"/>
      <c r="AG2409" s="30"/>
      <c r="AH2409" s="30"/>
    </row>
    <row r="2410" spans="1:34" ht="13">
      <c r="A2410" s="30"/>
      <c r="B2410" s="30"/>
      <c r="C2410" s="30"/>
      <c r="D2410" s="30"/>
      <c r="E2410" s="30"/>
      <c r="F2410" s="30"/>
      <c r="G2410" s="30"/>
      <c r="H2410" s="48"/>
      <c r="I2410" s="49"/>
      <c r="J2410" s="49"/>
      <c r="K2410" s="48"/>
      <c r="L2410" s="50"/>
      <c r="M2410" s="30"/>
      <c r="N2410" s="30"/>
      <c r="O2410" s="30"/>
      <c r="P2410" s="30"/>
      <c r="Q2410" s="30"/>
      <c r="R2410" s="30"/>
      <c r="S2410" s="30"/>
      <c r="T2410" s="30"/>
      <c r="U2410" s="30"/>
      <c r="V2410" s="30"/>
      <c r="W2410" s="30"/>
      <c r="X2410" s="30"/>
      <c r="Y2410" s="30"/>
      <c r="Z2410" s="30"/>
      <c r="AA2410" s="30"/>
      <c r="AB2410" s="30"/>
      <c r="AC2410" s="30"/>
      <c r="AD2410" s="30"/>
      <c r="AE2410" s="30"/>
      <c r="AF2410" s="30"/>
      <c r="AG2410" s="30"/>
      <c r="AH2410" s="30"/>
    </row>
    <row r="2411" spans="1:34" ht="13">
      <c r="A2411" s="30"/>
      <c r="B2411" s="30"/>
      <c r="C2411" s="30"/>
      <c r="D2411" s="30"/>
      <c r="E2411" s="30"/>
      <c r="F2411" s="30"/>
      <c r="G2411" s="30"/>
      <c r="H2411" s="48"/>
      <c r="I2411" s="49"/>
      <c r="J2411" s="49"/>
      <c r="K2411" s="48"/>
      <c r="L2411" s="50"/>
      <c r="M2411" s="30"/>
      <c r="N2411" s="30"/>
      <c r="O2411" s="30"/>
      <c r="P2411" s="30"/>
      <c r="Q2411" s="30"/>
      <c r="R2411" s="30"/>
      <c r="S2411" s="30"/>
      <c r="T2411" s="30"/>
      <c r="U2411" s="30"/>
      <c r="V2411" s="30"/>
      <c r="W2411" s="30"/>
      <c r="X2411" s="30"/>
      <c r="Y2411" s="30"/>
      <c r="Z2411" s="30"/>
      <c r="AA2411" s="30"/>
      <c r="AB2411" s="30"/>
      <c r="AC2411" s="30"/>
      <c r="AD2411" s="30"/>
      <c r="AE2411" s="30"/>
      <c r="AF2411" s="30"/>
      <c r="AG2411" s="30"/>
      <c r="AH2411" s="30"/>
    </row>
    <row r="2412" spans="1:34" ht="13">
      <c r="A2412" s="30"/>
      <c r="B2412" s="30"/>
      <c r="C2412" s="30"/>
      <c r="D2412" s="30"/>
      <c r="E2412" s="30"/>
      <c r="F2412" s="30"/>
      <c r="G2412" s="30"/>
      <c r="H2412" s="48"/>
      <c r="I2412" s="49"/>
      <c r="J2412" s="49"/>
      <c r="K2412" s="48"/>
      <c r="L2412" s="50"/>
      <c r="M2412" s="30"/>
      <c r="N2412" s="30"/>
      <c r="O2412" s="30"/>
      <c r="P2412" s="30"/>
      <c r="Q2412" s="30"/>
      <c r="R2412" s="30"/>
      <c r="S2412" s="30"/>
      <c r="T2412" s="30"/>
      <c r="U2412" s="30"/>
      <c r="V2412" s="30"/>
      <c r="W2412" s="30"/>
      <c r="X2412" s="30"/>
      <c r="Y2412" s="30"/>
      <c r="Z2412" s="30"/>
      <c r="AA2412" s="30"/>
      <c r="AB2412" s="30"/>
      <c r="AC2412" s="30"/>
      <c r="AD2412" s="30"/>
      <c r="AE2412" s="30"/>
      <c r="AF2412" s="30"/>
      <c r="AG2412" s="30"/>
      <c r="AH2412" s="30"/>
    </row>
    <row r="2413" spans="1:34" ht="13">
      <c r="A2413" s="30"/>
      <c r="B2413" s="30"/>
      <c r="C2413" s="30"/>
      <c r="D2413" s="30"/>
      <c r="E2413" s="30"/>
      <c r="F2413" s="30"/>
      <c r="G2413" s="30"/>
      <c r="H2413" s="48"/>
      <c r="I2413" s="49"/>
      <c r="J2413" s="49"/>
      <c r="K2413" s="48"/>
      <c r="L2413" s="50"/>
      <c r="M2413" s="30"/>
      <c r="N2413" s="30"/>
      <c r="O2413" s="30"/>
      <c r="P2413" s="30"/>
      <c r="Q2413" s="30"/>
      <c r="R2413" s="30"/>
      <c r="S2413" s="30"/>
      <c r="T2413" s="30"/>
      <c r="U2413" s="30"/>
      <c r="V2413" s="30"/>
      <c r="W2413" s="30"/>
      <c r="X2413" s="30"/>
      <c r="Y2413" s="30"/>
      <c r="Z2413" s="30"/>
      <c r="AA2413" s="30"/>
      <c r="AB2413" s="30"/>
      <c r="AC2413" s="30"/>
      <c r="AD2413" s="30"/>
      <c r="AE2413" s="30"/>
      <c r="AF2413" s="30"/>
      <c r="AG2413" s="30"/>
      <c r="AH2413" s="30"/>
    </row>
    <row r="2414" spans="1:34" ht="13">
      <c r="A2414" s="30"/>
      <c r="B2414" s="30"/>
      <c r="C2414" s="30"/>
      <c r="D2414" s="30"/>
      <c r="E2414" s="30"/>
      <c r="F2414" s="30"/>
      <c r="G2414" s="30"/>
      <c r="H2414" s="48"/>
      <c r="I2414" s="49"/>
      <c r="J2414" s="49"/>
      <c r="K2414" s="48"/>
      <c r="L2414" s="50"/>
      <c r="M2414" s="30"/>
      <c r="N2414" s="30"/>
      <c r="O2414" s="30"/>
      <c r="P2414" s="30"/>
      <c r="Q2414" s="30"/>
      <c r="R2414" s="30"/>
      <c r="S2414" s="30"/>
      <c r="T2414" s="30"/>
      <c r="U2414" s="30"/>
      <c r="V2414" s="30"/>
      <c r="W2414" s="30"/>
      <c r="X2414" s="30"/>
      <c r="Y2414" s="30"/>
      <c r="Z2414" s="30"/>
      <c r="AA2414" s="30"/>
      <c r="AB2414" s="30"/>
      <c r="AC2414" s="30"/>
      <c r="AD2414" s="30"/>
      <c r="AE2414" s="30"/>
      <c r="AF2414" s="30"/>
      <c r="AG2414" s="30"/>
      <c r="AH2414" s="30"/>
    </row>
    <row r="2415" spans="1:34" ht="13">
      <c r="A2415" s="30"/>
      <c r="B2415" s="30"/>
      <c r="C2415" s="30"/>
      <c r="D2415" s="30"/>
      <c r="E2415" s="30"/>
      <c r="F2415" s="30"/>
      <c r="G2415" s="30"/>
      <c r="H2415" s="48"/>
      <c r="I2415" s="49"/>
      <c r="J2415" s="49"/>
      <c r="K2415" s="48"/>
      <c r="L2415" s="50"/>
      <c r="M2415" s="30"/>
      <c r="N2415" s="30"/>
      <c r="O2415" s="30"/>
      <c r="P2415" s="30"/>
      <c r="Q2415" s="30"/>
      <c r="R2415" s="30"/>
      <c r="S2415" s="30"/>
      <c r="T2415" s="30"/>
      <c r="U2415" s="30"/>
      <c r="V2415" s="30"/>
      <c r="W2415" s="30"/>
      <c r="X2415" s="30"/>
      <c r="Y2415" s="30"/>
      <c r="Z2415" s="30"/>
      <c r="AA2415" s="30"/>
      <c r="AB2415" s="30"/>
      <c r="AC2415" s="30"/>
      <c r="AD2415" s="30"/>
      <c r="AE2415" s="30"/>
      <c r="AF2415" s="30"/>
      <c r="AG2415" s="30"/>
      <c r="AH2415" s="30"/>
    </row>
    <row r="2416" spans="1:34" ht="13">
      <c r="A2416" s="30"/>
      <c r="B2416" s="30"/>
      <c r="C2416" s="30"/>
      <c r="D2416" s="30"/>
      <c r="E2416" s="30"/>
      <c r="F2416" s="30"/>
      <c r="G2416" s="30"/>
      <c r="H2416" s="48"/>
      <c r="I2416" s="49"/>
      <c r="J2416" s="49"/>
      <c r="K2416" s="48"/>
      <c r="L2416" s="50"/>
      <c r="M2416" s="30"/>
      <c r="N2416" s="30"/>
      <c r="O2416" s="30"/>
      <c r="P2416" s="30"/>
      <c r="Q2416" s="30"/>
      <c r="R2416" s="30"/>
      <c r="S2416" s="30"/>
      <c r="T2416" s="30"/>
      <c r="U2416" s="30"/>
      <c r="V2416" s="30"/>
      <c r="W2416" s="30"/>
      <c r="X2416" s="30"/>
      <c r="Y2416" s="30"/>
      <c r="Z2416" s="30"/>
      <c r="AA2416" s="30"/>
      <c r="AB2416" s="30"/>
      <c r="AC2416" s="30"/>
      <c r="AD2416" s="30"/>
      <c r="AE2416" s="30"/>
      <c r="AF2416" s="30"/>
      <c r="AG2416" s="30"/>
      <c r="AH2416" s="30"/>
    </row>
    <row r="2417" spans="1:34" ht="13">
      <c r="A2417" s="30"/>
      <c r="B2417" s="30"/>
      <c r="C2417" s="30"/>
      <c r="D2417" s="30"/>
      <c r="E2417" s="30"/>
      <c r="F2417" s="30"/>
      <c r="G2417" s="30"/>
      <c r="H2417" s="48"/>
      <c r="I2417" s="49"/>
      <c r="J2417" s="49"/>
      <c r="K2417" s="48"/>
      <c r="L2417" s="50"/>
      <c r="M2417" s="30"/>
      <c r="N2417" s="30"/>
      <c r="O2417" s="30"/>
      <c r="P2417" s="30"/>
      <c r="Q2417" s="30"/>
      <c r="R2417" s="30"/>
      <c r="S2417" s="30"/>
      <c r="T2417" s="30"/>
      <c r="U2417" s="30"/>
      <c r="V2417" s="30"/>
      <c r="W2417" s="30"/>
      <c r="X2417" s="30"/>
      <c r="Y2417" s="30"/>
      <c r="Z2417" s="30"/>
      <c r="AA2417" s="30"/>
      <c r="AB2417" s="30"/>
      <c r="AC2417" s="30"/>
      <c r="AD2417" s="30"/>
      <c r="AE2417" s="30"/>
      <c r="AF2417" s="30"/>
      <c r="AG2417" s="30"/>
      <c r="AH2417" s="30"/>
    </row>
    <row r="2418" spans="1:34" ht="13">
      <c r="A2418" s="30"/>
      <c r="B2418" s="30"/>
      <c r="C2418" s="30"/>
      <c r="D2418" s="30"/>
      <c r="E2418" s="30"/>
      <c r="F2418" s="30"/>
      <c r="G2418" s="30"/>
      <c r="H2418" s="48"/>
      <c r="I2418" s="49"/>
      <c r="J2418" s="49"/>
      <c r="K2418" s="48"/>
      <c r="L2418" s="50"/>
      <c r="M2418" s="30"/>
      <c r="N2418" s="30"/>
      <c r="O2418" s="30"/>
      <c r="P2418" s="30"/>
      <c r="Q2418" s="30"/>
      <c r="R2418" s="30"/>
      <c r="S2418" s="30"/>
      <c r="T2418" s="30"/>
      <c r="U2418" s="30"/>
      <c r="V2418" s="30"/>
      <c r="W2418" s="30"/>
      <c r="X2418" s="30"/>
      <c r="Y2418" s="30"/>
      <c r="Z2418" s="30"/>
      <c r="AA2418" s="30"/>
      <c r="AB2418" s="30"/>
      <c r="AC2418" s="30"/>
      <c r="AD2418" s="30"/>
      <c r="AE2418" s="30"/>
      <c r="AF2418" s="30"/>
      <c r="AG2418" s="30"/>
      <c r="AH2418" s="30"/>
    </row>
    <row r="2419" spans="1:34" ht="13">
      <c r="A2419" s="30"/>
      <c r="B2419" s="30"/>
      <c r="C2419" s="30"/>
      <c r="D2419" s="30"/>
      <c r="E2419" s="30"/>
      <c r="F2419" s="30"/>
      <c r="G2419" s="30"/>
      <c r="H2419" s="48"/>
      <c r="I2419" s="49"/>
      <c r="J2419" s="49"/>
      <c r="K2419" s="48"/>
      <c r="L2419" s="50"/>
      <c r="M2419" s="30"/>
      <c r="N2419" s="30"/>
      <c r="O2419" s="30"/>
      <c r="P2419" s="30"/>
      <c r="Q2419" s="30"/>
      <c r="R2419" s="30"/>
      <c r="S2419" s="30"/>
      <c r="T2419" s="30"/>
      <c r="U2419" s="30"/>
      <c r="V2419" s="30"/>
      <c r="W2419" s="30"/>
      <c r="X2419" s="30"/>
      <c r="Y2419" s="30"/>
      <c r="Z2419" s="30"/>
      <c r="AA2419" s="30"/>
      <c r="AB2419" s="30"/>
      <c r="AC2419" s="30"/>
      <c r="AD2419" s="30"/>
      <c r="AE2419" s="30"/>
      <c r="AF2419" s="30"/>
      <c r="AG2419" s="30"/>
      <c r="AH2419" s="30"/>
    </row>
    <row r="2420" spans="1:34" ht="13">
      <c r="A2420" s="30"/>
      <c r="B2420" s="30"/>
      <c r="C2420" s="30"/>
      <c r="D2420" s="30"/>
      <c r="E2420" s="30"/>
      <c r="F2420" s="30"/>
      <c r="G2420" s="30"/>
      <c r="H2420" s="48"/>
      <c r="I2420" s="49"/>
      <c r="J2420" s="49"/>
      <c r="K2420" s="48"/>
      <c r="L2420" s="50"/>
      <c r="M2420" s="30"/>
      <c r="N2420" s="30"/>
      <c r="O2420" s="30"/>
      <c r="P2420" s="30"/>
      <c r="Q2420" s="30"/>
      <c r="R2420" s="30"/>
      <c r="S2420" s="30"/>
      <c r="T2420" s="30"/>
      <c r="U2420" s="30"/>
      <c r="V2420" s="30"/>
      <c r="W2420" s="30"/>
      <c r="X2420" s="30"/>
      <c r="Y2420" s="30"/>
      <c r="Z2420" s="30"/>
      <c r="AA2420" s="30"/>
      <c r="AB2420" s="30"/>
      <c r="AC2420" s="30"/>
      <c r="AD2420" s="30"/>
      <c r="AE2420" s="30"/>
      <c r="AF2420" s="30"/>
      <c r="AG2420" s="30"/>
      <c r="AH2420" s="30"/>
    </row>
    <row r="2421" spans="1:34" ht="13">
      <c r="A2421" s="30"/>
      <c r="B2421" s="30"/>
      <c r="C2421" s="30"/>
      <c r="D2421" s="30"/>
      <c r="E2421" s="30"/>
      <c r="F2421" s="30"/>
      <c r="G2421" s="30"/>
      <c r="H2421" s="48"/>
      <c r="I2421" s="49"/>
      <c r="J2421" s="49"/>
      <c r="K2421" s="48"/>
      <c r="L2421" s="50"/>
      <c r="M2421" s="30"/>
      <c r="N2421" s="30"/>
      <c r="O2421" s="30"/>
      <c r="P2421" s="30"/>
      <c r="Q2421" s="30"/>
      <c r="R2421" s="30"/>
      <c r="S2421" s="30"/>
      <c r="T2421" s="30"/>
      <c r="U2421" s="30"/>
      <c r="V2421" s="30"/>
      <c r="W2421" s="30"/>
      <c r="X2421" s="30"/>
      <c r="Y2421" s="30"/>
      <c r="Z2421" s="30"/>
      <c r="AA2421" s="30"/>
      <c r="AB2421" s="30"/>
      <c r="AC2421" s="30"/>
      <c r="AD2421" s="30"/>
      <c r="AE2421" s="30"/>
      <c r="AF2421" s="30"/>
      <c r="AG2421" s="30"/>
      <c r="AH2421" s="30"/>
    </row>
    <row r="2422" spans="1:34" ht="13">
      <c r="A2422" s="30"/>
      <c r="B2422" s="30"/>
      <c r="C2422" s="30"/>
      <c r="D2422" s="30"/>
      <c r="E2422" s="30"/>
      <c r="F2422" s="30"/>
      <c r="G2422" s="30"/>
      <c r="H2422" s="48"/>
      <c r="I2422" s="49"/>
      <c r="J2422" s="49"/>
      <c r="K2422" s="48"/>
      <c r="L2422" s="50"/>
      <c r="M2422" s="30"/>
      <c r="N2422" s="30"/>
      <c r="O2422" s="30"/>
      <c r="P2422" s="30"/>
      <c r="Q2422" s="30"/>
      <c r="R2422" s="30"/>
      <c r="S2422" s="30"/>
      <c r="T2422" s="30"/>
      <c r="U2422" s="30"/>
      <c r="V2422" s="30"/>
      <c r="W2422" s="30"/>
      <c r="X2422" s="30"/>
      <c r="Y2422" s="30"/>
      <c r="Z2422" s="30"/>
      <c r="AA2422" s="30"/>
      <c r="AB2422" s="30"/>
      <c r="AC2422" s="30"/>
      <c r="AD2422" s="30"/>
      <c r="AE2422" s="30"/>
      <c r="AF2422" s="30"/>
      <c r="AG2422" s="30"/>
      <c r="AH2422" s="30"/>
    </row>
    <row r="2423" spans="1:34" ht="13">
      <c r="A2423" s="30"/>
      <c r="B2423" s="30"/>
      <c r="C2423" s="30"/>
      <c r="D2423" s="30"/>
      <c r="E2423" s="30"/>
      <c r="F2423" s="30"/>
      <c r="G2423" s="30"/>
      <c r="H2423" s="48"/>
      <c r="I2423" s="49"/>
      <c r="J2423" s="49"/>
      <c r="K2423" s="48"/>
      <c r="L2423" s="50"/>
      <c r="M2423" s="30"/>
      <c r="N2423" s="30"/>
      <c r="O2423" s="30"/>
      <c r="P2423" s="30"/>
      <c r="Q2423" s="30"/>
      <c r="R2423" s="30"/>
      <c r="S2423" s="30"/>
      <c r="T2423" s="30"/>
      <c r="U2423" s="30"/>
      <c r="V2423" s="30"/>
      <c r="W2423" s="30"/>
      <c r="X2423" s="30"/>
      <c r="Y2423" s="30"/>
      <c r="Z2423" s="30"/>
      <c r="AA2423" s="30"/>
      <c r="AB2423" s="30"/>
      <c r="AC2423" s="30"/>
      <c r="AD2423" s="30"/>
      <c r="AE2423" s="30"/>
      <c r="AF2423" s="30"/>
      <c r="AG2423" s="30"/>
      <c r="AH2423" s="30"/>
    </row>
    <row r="2424" spans="1:34" ht="13">
      <c r="A2424" s="30"/>
      <c r="B2424" s="30"/>
      <c r="C2424" s="30"/>
      <c r="D2424" s="30"/>
      <c r="E2424" s="30"/>
      <c r="F2424" s="30"/>
      <c r="G2424" s="30"/>
      <c r="H2424" s="48"/>
      <c r="I2424" s="49"/>
      <c r="J2424" s="49"/>
      <c r="K2424" s="48"/>
      <c r="L2424" s="50"/>
      <c r="M2424" s="30"/>
      <c r="N2424" s="30"/>
      <c r="O2424" s="30"/>
      <c r="P2424" s="30"/>
      <c r="Q2424" s="30"/>
      <c r="R2424" s="30"/>
      <c r="S2424" s="30"/>
      <c r="T2424" s="30"/>
      <c r="U2424" s="30"/>
      <c r="V2424" s="30"/>
      <c r="W2424" s="30"/>
      <c r="X2424" s="30"/>
      <c r="Y2424" s="30"/>
      <c r="Z2424" s="30"/>
      <c r="AA2424" s="30"/>
      <c r="AB2424" s="30"/>
      <c r="AC2424" s="30"/>
      <c r="AD2424" s="30"/>
      <c r="AE2424" s="30"/>
      <c r="AF2424" s="30"/>
      <c r="AG2424" s="30"/>
      <c r="AH2424" s="30"/>
    </row>
    <row r="2425" spans="1:34" ht="13">
      <c r="A2425" s="30"/>
      <c r="B2425" s="30"/>
      <c r="C2425" s="30"/>
      <c r="D2425" s="30"/>
      <c r="E2425" s="30"/>
      <c r="F2425" s="30"/>
      <c r="G2425" s="30"/>
      <c r="H2425" s="48"/>
      <c r="I2425" s="49"/>
      <c r="J2425" s="49"/>
      <c r="K2425" s="48"/>
      <c r="L2425" s="50"/>
      <c r="M2425" s="30"/>
      <c r="N2425" s="30"/>
      <c r="O2425" s="30"/>
      <c r="P2425" s="30"/>
      <c r="Q2425" s="30"/>
      <c r="R2425" s="30"/>
      <c r="S2425" s="30"/>
      <c r="T2425" s="30"/>
      <c r="U2425" s="30"/>
      <c r="V2425" s="30"/>
      <c r="W2425" s="30"/>
      <c r="X2425" s="30"/>
      <c r="Y2425" s="30"/>
      <c r="Z2425" s="30"/>
      <c r="AA2425" s="30"/>
      <c r="AB2425" s="30"/>
      <c r="AC2425" s="30"/>
      <c r="AD2425" s="30"/>
      <c r="AE2425" s="30"/>
      <c r="AF2425" s="30"/>
      <c r="AG2425" s="30"/>
      <c r="AH2425" s="30"/>
    </row>
    <row r="2426" spans="1:34" ht="13">
      <c r="A2426" s="30"/>
      <c r="B2426" s="30"/>
      <c r="C2426" s="30"/>
      <c r="D2426" s="30"/>
      <c r="E2426" s="30"/>
      <c r="F2426" s="30"/>
      <c r="G2426" s="30"/>
      <c r="H2426" s="48"/>
      <c r="I2426" s="49"/>
      <c r="J2426" s="49"/>
      <c r="K2426" s="48"/>
      <c r="L2426" s="50"/>
      <c r="M2426" s="30"/>
      <c r="N2426" s="30"/>
      <c r="O2426" s="30"/>
      <c r="P2426" s="30"/>
      <c r="Q2426" s="30"/>
      <c r="R2426" s="30"/>
      <c r="S2426" s="30"/>
      <c r="T2426" s="30"/>
      <c r="U2426" s="30"/>
      <c r="V2426" s="30"/>
      <c r="W2426" s="30"/>
      <c r="X2426" s="30"/>
      <c r="Y2426" s="30"/>
      <c r="Z2426" s="30"/>
      <c r="AA2426" s="30"/>
      <c r="AB2426" s="30"/>
      <c r="AC2426" s="30"/>
      <c r="AD2426" s="30"/>
      <c r="AE2426" s="30"/>
      <c r="AF2426" s="30"/>
      <c r="AG2426" s="30"/>
      <c r="AH2426" s="30"/>
    </row>
    <row r="2427" spans="1:34" ht="13">
      <c r="A2427" s="30"/>
      <c r="B2427" s="30"/>
      <c r="C2427" s="30"/>
      <c r="D2427" s="30"/>
      <c r="E2427" s="30"/>
      <c r="F2427" s="30"/>
      <c r="G2427" s="30"/>
      <c r="H2427" s="48"/>
      <c r="I2427" s="49"/>
      <c r="J2427" s="49"/>
      <c r="K2427" s="48"/>
      <c r="L2427" s="50"/>
      <c r="M2427" s="30"/>
      <c r="N2427" s="30"/>
      <c r="O2427" s="30"/>
      <c r="P2427" s="30"/>
      <c r="Q2427" s="30"/>
      <c r="R2427" s="30"/>
      <c r="S2427" s="30"/>
      <c r="T2427" s="30"/>
      <c r="U2427" s="30"/>
      <c r="V2427" s="30"/>
      <c r="W2427" s="30"/>
      <c r="X2427" s="30"/>
      <c r="Y2427" s="30"/>
      <c r="Z2427" s="30"/>
      <c r="AA2427" s="30"/>
      <c r="AB2427" s="30"/>
      <c r="AC2427" s="30"/>
      <c r="AD2427" s="30"/>
      <c r="AE2427" s="30"/>
      <c r="AF2427" s="30"/>
      <c r="AG2427" s="30"/>
      <c r="AH2427" s="30"/>
    </row>
    <row r="2428" spans="1:34" ht="13">
      <c r="A2428" s="30"/>
      <c r="B2428" s="30"/>
      <c r="C2428" s="30"/>
      <c r="D2428" s="30"/>
      <c r="E2428" s="30"/>
      <c r="F2428" s="30"/>
      <c r="G2428" s="30"/>
      <c r="H2428" s="48"/>
      <c r="I2428" s="49"/>
      <c r="J2428" s="49"/>
      <c r="K2428" s="48"/>
      <c r="L2428" s="50"/>
      <c r="M2428" s="30"/>
      <c r="N2428" s="30"/>
      <c r="O2428" s="30"/>
      <c r="P2428" s="30"/>
      <c r="Q2428" s="30"/>
      <c r="R2428" s="30"/>
      <c r="S2428" s="30"/>
      <c r="T2428" s="30"/>
      <c r="U2428" s="30"/>
      <c r="V2428" s="30"/>
      <c r="W2428" s="30"/>
      <c r="X2428" s="30"/>
      <c r="Y2428" s="30"/>
      <c r="Z2428" s="30"/>
      <c r="AA2428" s="30"/>
      <c r="AB2428" s="30"/>
      <c r="AC2428" s="30"/>
      <c r="AD2428" s="30"/>
      <c r="AE2428" s="30"/>
      <c r="AF2428" s="30"/>
      <c r="AG2428" s="30"/>
      <c r="AH2428" s="30"/>
    </row>
    <row r="2429" spans="1:34" ht="13">
      <c r="A2429" s="30"/>
      <c r="B2429" s="30"/>
      <c r="C2429" s="30"/>
      <c r="D2429" s="30"/>
      <c r="E2429" s="30"/>
      <c r="F2429" s="30"/>
      <c r="G2429" s="30"/>
      <c r="H2429" s="48"/>
      <c r="I2429" s="49"/>
      <c r="J2429" s="49"/>
      <c r="K2429" s="48"/>
      <c r="L2429" s="50"/>
      <c r="M2429" s="30"/>
      <c r="N2429" s="30"/>
      <c r="O2429" s="30"/>
      <c r="P2429" s="30"/>
      <c r="Q2429" s="30"/>
      <c r="R2429" s="30"/>
      <c r="S2429" s="30"/>
      <c r="T2429" s="30"/>
      <c r="U2429" s="30"/>
      <c r="V2429" s="30"/>
      <c r="W2429" s="30"/>
      <c r="X2429" s="30"/>
      <c r="Y2429" s="30"/>
      <c r="Z2429" s="30"/>
      <c r="AA2429" s="30"/>
      <c r="AB2429" s="30"/>
      <c r="AC2429" s="30"/>
      <c r="AD2429" s="30"/>
      <c r="AE2429" s="30"/>
      <c r="AF2429" s="30"/>
      <c r="AG2429" s="30"/>
      <c r="AH2429" s="30"/>
    </row>
    <row r="2430" spans="1:34" ht="13">
      <c r="A2430" s="30"/>
      <c r="B2430" s="30"/>
      <c r="C2430" s="30"/>
      <c r="D2430" s="30"/>
      <c r="E2430" s="30"/>
      <c r="F2430" s="30"/>
      <c r="G2430" s="30"/>
      <c r="H2430" s="48"/>
      <c r="I2430" s="49"/>
      <c r="J2430" s="49"/>
      <c r="K2430" s="48"/>
      <c r="L2430" s="50"/>
      <c r="M2430" s="30"/>
      <c r="N2430" s="30"/>
      <c r="O2430" s="30"/>
      <c r="P2430" s="30"/>
      <c r="Q2430" s="30"/>
      <c r="R2430" s="30"/>
      <c r="S2430" s="30"/>
      <c r="T2430" s="30"/>
      <c r="U2430" s="30"/>
      <c r="V2430" s="30"/>
      <c r="W2430" s="30"/>
      <c r="X2430" s="30"/>
      <c r="Y2430" s="30"/>
      <c r="Z2430" s="30"/>
      <c r="AA2430" s="30"/>
      <c r="AB2430" s="30"/>
      <c r="AC2430" s="30"/>
      <c r="AD2430" s="30"/>
      <c r="AE2430" s="30"/>
      <c r="AF2430" s="30"/>
      <c r="AG2430" s="30"/>
      <c r="AH2430" s="30"/>
    </row>
    <row r="2431" spans="1:34" ht="13">
      <c r="A2431" s="30"/>
      <c r="B2431" s="30"/>
      <c r="C2431" s="30"/>
      <c r="D2431" s="30"/>
      <c r="E2431" s="30"/>
      <c r="F2431" s="30"/>
      <c r="G2431" s="30"/>
      <c r="H2431" s="48"/>
      <c r="I2431" s="49"/>
      <c r="J2431" s="49"/>
      <c r="K2431" s="48"/>
      <c r="L2431" s="50"/>
      <c r="M2431" s="30"/>
      <c r="N2431" s="30"/>
      <c r="O2431" s="30"/>
      <c r="P2431" s="30"/>
      <c r="Q2431" s="30"/>
      <c r="R2431" s="30"/>
      <c r="S2431" s="30"/>
      <c r="T2431" s="30"/>
      <c r="U2431" s="30"/>
      <c r="V2431" s="30"/>
      <c r="W2431" s="30"/>
      <c r="X2431" s="30"/>
      <c r="Y2431" s="30"/>
      <c r="Z2431" s="30"/>
      <c r="AA2431" s="30"/>
      <c r="AB2431" s="30"/>
      <c r="AC2431" s="30"/>
      <c r="AD2431" s="30"/>
      <c r="AE2431" s="30"/>
      <c r="AF2431" s="30"/>
      <c r="AG2431" s="30"/>
      <c r="AH2431" s="30"/>
    </row>
    <row r="2432" spans="1:34" ht="13">
      <c r="A2432" s="30"/>
      <c r="B2432" s="30"/>
      <c r="C2432" s="30"/>
      <c r="D2432" s="30"/>
      <c r="E2432" s="30"/>
      <c r="F2432" s="30"/>
      <c r="G2432" s="30"/>
      <c r="H2432" s="48"/>
      <c r="I2432" s="49"/>
      <c r="J2432" s="49"/>
      <c r="K2432" s="48"/>
      <c r="L2432" s="50"/>
      <c r="M2432" s="30"/>
      <c r="N2432" s="30"/>
      <c r="O2432" s="30"/>
      <c r="P2432" s="30"/>
      <c r="Q2432" s="30"/>
      <c r="R2432" s="30"/>
      <c r="S2432" s="30"/>
      <c r="T2432" s="30"/>
      <c r="U2432" s="30"/>
      <c r="V2432" s="30"/>
      <c r="W2432" s="30"/>
      <c r="X2432" s="30"/>
      <c r="Y2432" s="30"/>
      <c r="Z2432" s="30"/>
      <c r="AA2432" s="30"/>
      <c r="AB2432" s="30"/>
      <c r="AC2432" s="30"/>
      <c r="AD2432" s="30"/>
      <c r="AE2432" s="30"/>
      <c r="AF2432" s="30"/>
      <c r="AG2432" s="30"/>
      <c r="AH2432" s="30"/>
    </row>
    <row r="2433" spans="1:34" ht="13">
      <c r="A2433" s="30"/>
      <c r="B2433" s="30"/>
      <c r="C2433" s="30"/>
      <c r="D2433" s="30"/>
      <c r="E2433" s="30"/>
      <c r="F2433" s="30"/>
      <c r="G2433" s="30"/>
      <c r="H2433" s="48"/>
      <c r="I2433" s="49"/>
      <c r="J2433" s="49"/>
      <c r="K2433" s="48"/>
      <c r="L2433" s="50"/>
      <c r="M2433" s="30"/>
      <c r="N2433" s="30"/>
      <c r="O2433" s="30"/>
      <c r="P2433" s="30"/>
      <c r="Q2433" s="30"/>
      <c r="R2433" s="30"/>
      <c r="S2433" s="30"/>
      <c r="T2433" s="30"/>
      <c r="U2433" s="30"/>
      <c r="V2433" s="30"/>
      <c r="W2433" s="30"/>
      <c r="X2433" s="30"/>
      <c r="Y2433" s="30"/>
      <c r="Z2433" s="30"/>
      <c r="AA2433" s="30"/>
      <c r="AB2433" s="30"/>
      <c r="AC2433" s="30"/>
      <c r="AD2433" s="30"/>
      <c r="AE2433" s="30"/>
      <c r="AF2433" s="30"/>
      <c r="AG2433" s="30"/>
      <c r="AH2433" s="30"/>
    </row>
    <row r="2434" spans="1:34" ht="13">
      <c r="A2434" s="30"/>
      <c r="B2434" s="30"/>
      <c r="C2434" s="30"/>
      <c r="D2434" s="30"/>
      <c r="E2434" s="30"/>
      <c r="F2434" s="30"/>
      <c r="G2434" s="30"/>
      <c r="H2434" s="48"/>
      <c r="I2434" s="49"/>
      <c r="J2434" s="49"/>
      <c r="K2434" s="48"/>
      <c r="L2434" s="50"/>
      <c r="M2434" s="30"/>
      <c r="N2434" s="30"/>
      <c r="O2434" s="30"/>
      <c r="P2434" s="30"/>
      <c r="Q2434" s="30"/>
      <c r="R2434" s="30"/>
      <c r="S2434" s="30"/>
      <c r="T2434" s="30"/>
      <c r="U2434" s="30"/>
      <c r="V2434" s="30"/>
      <c r="W2434" s="30"/>
      <c r="X2434" s="30"/>
      <c r="Y2434" s="30"/>
      <c r="Z2434" s="30"/>
      <c r="AA2434" s="30"/>
      <c r="AB2434" s="30"/>
      <c r="AC2434" s="30"/>
      <c r="AD2434" s="30"/>
      <c r="AE2434" s="30"/>
      <c r="AF2434" s="30"/>
      <c r="AG2434" s="30"/>
      <c r="AH2434" s="30"/>
    </row>
    <row r="2435" spans="1:34" ht="13">
      <c r="A2435" s="30"/>
      <c r="B2435" s="30"/>
      <c r="C2435" s="30"/>
      <c r="D2435" s="30"/>
      <c r="E2435" s="30"/>
      <c r="F2435" s="30"/>
      <c r="G2435" s="30"/>
      <c r="H2435" s="48"/>
      <c r="I2435" s="49"/>
      <c r="J2435" s="49"/>
      <c r="K2435" s="48"/>
      <c r="L2435" s="50"/>
      <c r="M2435" s="30"/>
      <c r="N2435" s="30"/>
      <c r="O2435" s="30"/>
      <c r="P2435" s="30"/>
      <c r="Q2435" s="30"/>
      <c r="R2435" s="30"/>
      <c r="S2435" s="30"/>
      <c r="T2435" s="30"/>
      <c r="U2435" s="30"/>
      <c r="V2435" s="30"/>
      <c r="W2435" s="30"/>
      <c r="X2435" s="30"/>
      <c r="Y2435" s="30"/>
      <c r="Z2435" s="30"/>
      <c r="AA2435" s="30"/>
      <c r="AB2435" s="30"/>
      <c r="AC2435" s="30"/>
      <c r="AD2435" s="30"/>
      <c r="AE2435" s="30"/>
      <c r="AF2435" s="30"/>
      <c r="AG2435" s="30"/>
      <c r="AH2435" s="30"/>
    </row>
    <row r="2436" spans="1:34" ht="13">
      <c r="A2436" s="30"/>
      <c r="B2436" s="30"/>
      <c r="C2436" s="30"/>
      <c r="D2436" s="30"/>
      <c r="E2436" s="30"/>
      <c r="F2436" s="30"/>
      <c r="G2436" s="30"/>
      <c r="H2436" s="48"/>
      <c r="I2436" s="49"/>
      <c r="J2436" s="49"/>
      <c r="K2436" s="48"/>
      <c r="L2436" s="50"/>
      <c r="M2436" s="30"/>
      <c r="N2436" s="30"/>
      <c r="O2436" s="30"/>
      <c r="P2436" s="30"/>
      <c r="Q2436" s="30"/>
      <c r="R2436" s="30"/>
      <c r="S2436" s="30"/>
      <c r="T2436" s="30"/>
      <c r="U2436" s="30"/>
      <c r="V2436" s="30"/>
      <c r="W2436" s="30"/>
      <c r="X2436" s="30"/>
      <c r="Y2436" s="30"/>
      <c r="Z2436" s="30"/>
      <c r="AA2436" s="30"/>
      <c r="AB2436" s="30"/>
      <c r="AC2436" s="30"/>
      <c r="AD2436" s="30"/>
      <c r="AE2436" s="30"/>
      <c r="AF2436" s="30"/>
      <c r="AG2436" s="30"/>
      <c r="AH2436" s="30"/>
    </row>
    <row r="2437" spans="1:34" ht="13">
      <c r="A2437" s="30"/>
      <c r="B2437" s="30"/>
      <c r="C2437" s="30"/>
      <c r="D2437" s="30"/>
      <c r="E2437" s="30"/>
      <c r="F2437" s="30"/>
      <c r="G2437" s="30"/>
      <c r="H2437" s="48"/>
      <c r="I2437" s="49"/>
      <c r="J2437" s="49"/>
      <c r="K2437" s="48"/>
      <c r="L2437" s="50"/>
      <c r="M2437" s="30"/>
      <c r="N2437" s="30"/>
      <c r="O2437" s="30"/>
      <c r="P2437" s="30"/>
      <c r="Q2437" s="30"/>
      <c r="R2437" s="30"/>
      <c r="S2437" s="30"/>
      <c r="T2437" s="30"/>
      <c r="U2437" s="30"/>
      <c r="V2437" s="30"/>
      <c r="W2437" s="30"/>
      <c r="X2437" s="30"/>
      <c r="Y2437" s="30"/>
      <c r="Z2437" s="30"/>
      <c r="AA2437" s="30"/>
      <c r="AB2437" s="30"/>
      <c r="AC2437" s="30"/>
      <c r="AD2437" s="30"/>
      <c r="AE2437" s="30"/>
      <c r="AF2437" s="30"/>
      <c r="AG2437" s="30"/>
      <c r="AH2437" s="30"/>
    </row>
    <row r="2438" spans="1:34" ht="13">
      <c r="A2438" s="30"/>
      <c r="B2438" s="30"/>
      <c r="C2438" s="30"/>
      <c r="D2438" s="30"/>
      <c r="E2438" s="30"/>
      <c r="F2438" s="30"/>
      <c r="G2438" s="30"/>
      <c r="H2438" s="48"/>
      <c r="I2438" s="49"/>
      <c r="J2438" s="49"/>
      <c r="K2438" s="48"/>
      <c r="L2438" s="50"/>
      <c r="M2438" s="30"/>
      <c r="N2438" s="30"/>
      <c r="O2438" s="30"/>
      <c r="P2438" s="30"/>
      <c r="Q2438" s="30"/>
      <c r="R2438" s="30"/>
      <c r="S2438" s="30"/>
      <c r="T2438" s="30"/>
      <c r="U2438" s="30"/>
      <c r="V2438" s="30"/>
      <c r="W2438" s="30"/>
      <c r="X2438" s="30"/>
      <c r="Y2438" s="30"/>
      <c r="Z2438" s="30"/>
      <c r="AA2438" s="30"/>
      <c r="AB2438" s="30"/>
      <c r="AC2438" s="30"/>
      <c r="AD2438" s="30"/>
      <c r="AE2438" s="30"/>
      <c r="AF2438" s="30"/>
      <c r="AG2438" s="30"/>
      <c r="AH2438" s="30"/>
    </row>
    <row r="2439" spans="1:34" ht="13">
      <c r="A2439" s="30"/>
      <c r="B2439" s="30"/>
      <c r="C2439" s="30"/>
      <c r="D2439" s="30"/>
      <c r="E2439" s="30"/>
      <c r="F2439" s="30"/>
      <c r="G2439" s="30"/>
      <c r="H2439" s="48"/>
      <c r="I2439" s="49"/>
      <c r="J2439" s="49"/>
      <c r="K2439" s="48"/>
      <c r="L2439" s="50"/>
      <c r="M2439" s="30"/>
      <c r="N2439" s="30"/>
      <c r="O2439" s="30"/>
      <c r="P2439" s="30"/>
      <c r="Q2439" s="30"/>
      <c r="R2439" s="30"/>
      <c r="S2439" s="30"/>
      <c r="T2439" s="30"/>
      <c r="U2439" s="30"/>
      <c r="V2439" s="30"/>
      <c r="W2439" s="30"/>
      <c r="X2439" s="30"/>
      <c r="Y2439" s="30"/>
      <c r="Z2439" s="30"/>
      <c r="AA2439" s="30"/>
      <c r="AB2439" s="30"/>
      <c r="AC2439" s="30"/>
      <c r="AD2439" s="30"/>
      <c r="AE2439" s="30"/>
      <c r="AF2439" s="30"/>
      <c r="AG2439" s="30"/>
      <c r="AH2439" s="30"/>
    </row>
    <row r="2440" spans="1:34" ht="13">
      <c r="A2440" s="30"/>
      <c r="B2440" s="30"/>
      <c r="C2440" s="30"/>
      <c r="D2440" s="30"/>
      <c r="E2440" s="30"/>
      <c r="F2440" s="30"/>
      <c r="G2440" s="30"/>
      <c r="H2440" s="48"/>
      <c r="I2440" s="49"/>
      <c r="J2440" s="49"/>
      <c r="K2440" s="48"/>
      <c r="L2440" s="50"/>
      <c r="M2440" s="30"/>
      <c r="N2440" s="30"/>
      <c r="O2440" s="30"/>
      <c r="P2440" s="30"/>
      <c r="Q2440" s="30"/>
      <c r="R2440" s="30"/>
      <c r="S2440" s="30"/>
      <c r="T2440" s="30"/>
      <c r="U2440" s="30"/>
      <c r="V2440" s="30"/>
      <c r="W2440" s="30"/>
      <c r="X2440" s="30"/>
      <c r="Y2440" s="30"/>
      <c r="Z2440" s="30"/>
      <c r="AA2440" s="30"/>
      <c r="AB2440" s="30"/>
      <c r="AC2440" s="30"/>
      <c r="AD2440" s="30"/>
      <c r="AE2440" s="30"/>
      <c r="AF2440" s="30"/>
      <c r="AG2440" s="30"/>
      <c r="AH2440" s="30"/>
    </row>
    <row r="2441" spans="1:34" ht="13">
      <c r="A2441" s="30"/>
      <c r="B2441" s="30"/>
      <c r="C2441" s="30"/>
      <c r="D2441" s="30"/>
      <c r="E2441" s="30"/>
      <c r="F2441" s="30"/>
      <c r="G2441" s="30"/>
      <c r="H2441" s="48"/>
      <c r="I2441" s="49"/>
      <c r="J2441" s="49"/>
      <c r="K2441" s="48"/>
      <c r="L2441" s="50"/>
      <c r="M2441" s="30"/>
      <c r="N2441" s="30"/>
      <c r="O2441" s="30"/>
      <c r="P2441" s="30"/>
      <c r="Q2441" s="30"/>
      <c r="R2441" s="30"/>
      <c r="S2441" s="30"/>
      <c r="T2441" s="30"/>
      <c r="U2441" s="30"/>
      <c r="V2441" s="30"/>
      <c r="W2441" s="30"/>
      <c r="X2441" s="30"/>
      <c r="Y2441" s="30"/>
      <c r="Z2441" s="30"/>
      <c r="AA2441" s="30"/>
      <c r="AB2441" s="30"/>
      <c r="AC2441" s="30"/>
      <c r="AD2441" s="30"/>
      <c r="AE2441" s="30"/>
      <c r="AF2441" s="30"/>
      <c r="AG2441" s="30"/>
      <c r="AH2441" s="30"/>
    </row>
    <row r="2442" spans="1:34" ht="13">
      <c r="A2442" s="30"/>
      <c r="B2442" s="30"/>
      <c r="C2442" s="30"/>
      <c r="D2442" s="30"/>
      <c r="E2442" s="30"/>
      <c r="F2442" s="30"/>
      <c r="G2442" s="30"/>
      <c r="H2442" s="48"/>
      <c r="I2442" s="49"/>
      <c r="J2442" s="49"/>
      <c r="K2442" s="48"/>
      <c r="L2442" s="50"/>
      <c r="M2442" s="30"/>
      <c r="N2442" s="30"/>
      <c r="O2442" s="30"/>
      <c r="P2442" s="30"/>
      <c r="Q2442" s="30"/>
      <c r="R2442" s="30"/>
      <c r="S2442" s="30"/>
      <c r="T2442" s="30"/>
      <c r="U2442" s="30"/>
      <c r="V2442" s="30"/>
      <c r="W2442" s="30"/>
      <c r="X2442" s="30"/>
      <c r="Y2442" s="30"/>
      <c r="Z2442" s="30"/>
      <c r="AA2442" s="30"/>
      <c r="AB2442" s="30"/>
      <c r="AC2442" s="30"/>
      <c r="AD2442" s="30"/>
      <c r="AE2442" s="30"/>
      <c r="AF2442" s="30"/>
      <c r="AG2442" s="30"/>
      <c r="AH2442" s="30"/>
    </row>
    <row r="2443" spans="1:34" ht="13">
      <c r="A2443" s="30"/>
      <c r="B2443" s="30"/>
      <c r="C2443" s="30"/>
      <c r="D2443" s="30"/>
      <c r="E2443" s="30"/>
      <c r="F2443" s="30"/>
      <c r="G2443" s="30"/>
      <c r="H2443" s="48"/>
      <c r="I2443" s="49"/>
      <c r="J2443" s="49"/>
      <c r="K2443" s="48"/>
      <c r="L2443" s="50"/>
      <c r="M2443" s="30"/>
      <c r="N2443" s="30"/>
      <c r="O2443" s="30"/>
      <c r="P2443" s="30"/>
      <c r="Q2443" s="30"/>
      <c r="R2443" s="30"/>
      <c r="S2443" s="30"/>
      <c r="T2443" s="30"/>
      <c r="U2443" s="30"/>
      <c r="V2443" s="30"/>
      <c r="W2443" s="30"/>
      <c r="X2443" s="30"/>
      <c r="Y2443" s="30"/>
      <c r="Z2443" s="30"/>
      <c r="AA2443" s="30"/>
      <c r="AB2443" s="30"/>
      <c r="AC2443" s="30"/>
      <c r="AD2443" s="30"/>
      <c r="AE2443" s="30"/>
      <c r="AF2443" s="30"/>
      <c r="AG2443" s="30"/>
      <c r="AH2443" s="30"/>
    </row>
    <row r="2444" spans="1:34" ht="13">
      <c r="A2444" s="30"/>
      <c r="B2444" s="30"/>
      <c r="C2444" s="30"/>
      <c r="D2444" s="30"/>
      <c r="E2444" s="30"/>
      <c r="F2444" s="30"/>
      <c r="G2444" s="30"/>
      <c r="H2444" s="48"/>
      <c r="I2444" s="49"/>
      <c r="J2444" s="49"/>
      <c r="K2444" s="48"/>
      <c r="L2444" s="50"/>
      <c r="M2444" s="30"/>
      <c r="N2444" s="30"/>
      <c r="O2444" s="30"/>
      <c r="P2444" s="30"/>
      <c r="Q2444" s="30"/>
      <c r="R2444" s="30"/>
      <c r="S2444" s="30"/>
      <c r="T2444" s="30"/>
      <c r="U2444" s="30"/>
      <c r="V2444" s="30"/>
      <c r="W2444" s="30"/>
      <c r="X2444" s="30"/>
      <c r="Y2444" s="30"/>
      <c r="Z2444" s="30"/>
      <c r="AA2444" s="30"/>
      <c r="AB2444" s="30"/>
      <c r="AC2444" s="30"/>
      <c r="AD2444" s="30"/>
      <c r="AE2444" s="30"/>
      <c r="AF2444" s="30"/>
      <c r="AG2444" s="30"/>
      <c r="AH2444" s="30"/>
    </row>
    <row r="2445" spans="1:34" ht="13">
      <c r="A2445" s="30"/>
      <c r="B2445" s="30"/>
      <c r="C2445" s="30"/>
      <c r="D2445" s="30"/>
      <c r="E2445" s="30"/>
      <c r="F2445" s="30"/>
      <c r="G2445" s="30"/>
      <c r="H2445" s="48"/>
      <c r="I2445" s="49"/>
      <c r="J2445" s="49"/>
      <c r="K2445" s="48"/>
      <c r="L2445" s="50"/>
      <c r="M2445" s="30"/>
      <c r="N2445" s="30"/>
      <c r="O2445" s="30"/>
      <c r="P2445" s="30"/>
      <c r="Q2445" s="30"/>
      <c r="R2445" s="30"/>
      <c r="S2445" s="30"/>
      <c r="T2445" s="30"/>
      <c r="U2445" s="30"/>
      <c r="V2445" s="30"/>
      <c r="W2445" s="30"/>
      <c r="X2445" s="30"/>
      <c r="Y2445" s="30"/>
      <c r="Z2445" s="30"/>
      <c r="AA2445" s="30"/>
      <c r="AB2445" s="30"/>
      <c r="AC2445" s="30"/>
      <c r="AD2445" s="30"/>
      <c r="AE2445" s="30"/>
      <c r="AF2445" s="30"/>
      <c r="AG2445" s="30"/>
      <c r="AH2445" s="30"/>
    </row>
    <row r="2446" spans="1:34" ht="13">
      <c r="A2446" s="30"/>
      <c r="B2446" s="30"/>
      <c r="C2446" s="30"/>
      <c r="D2446" s="30"/>
      <c r="E2446" s="30"/>
      <c r="F2446" s="30"/>
      <c r="G2446" s="30"/>
      <c r="H2446" s="48"/>
      <c r="I2446" s="49"/>
      <c r="J2446" s="49"/>
      <c r="K2446" s="48"/>
      <c r="L2446" s="50"/>
      <c r="M2446" s="30"/>
      <c r="N2446" s="30"/>
      <c r="O2446" s="30"/>
      <c r="P2446" s="30"/>
      <c r="Q2446" s="30"/>
      <c r="R2446" s="30"/>
      <c r="S2446" s="30"/>
      <c r="T2446" s="30"/>
      <c r="U2446" s="30"/>
      <c r="V2446" s="30"/>
      <c r="W2446" s="30"/>
      <c r="X2446" s="30"/>
      <c r="Y2446" s="30"/>
      <c r="Z2446" s="30"/>
      <c r="AA2446" s="30"/>
      <c r="AB2446" s="30"/>
      <c r="AC2446" s="30"/>
      <c r="AD2446" s="30"/>
      <c r="AE2446" s="30"/>
      <c r="AF2446" s="30"/>
      <c r="AG2446" s="30"/>
      <c r="AH2446" s="30"/>
    </row>
    <row r="2447" spans="1:34" ht="13">
      <c r="A2447" s="30"/>
      <c r="B2447" s="30"/>
      <c r="C2447" s="30"/>
      <c r="D2447" s="30"/>
      <c r="E2447" s="30"/>
      <c r="F2447" s="30"/>
      <c r="G2447" s="30"/>
      <c r="H2447" s="48"/>
      <c r="I2447" s="49"/>
      <c r="J2447" s="49"/>
      <c r="K2447" s="48"/>
      <c r="L2447" s="50"/>
      <c r="M2447" s="30"/>
      <c r="N2447" s="30"/>
      <c r="O2447" s="30"/>
      <c r="P2447" s="30"/>
      <c r="Q2447" s="30"/>
      <c r="R2447" s="30"/>
      <c r="S2447" s="30"/>
      <c r="T2447" s="30"/>
      <c r="U2447" s="30"/>
      <c r="V2447" s="30"/>
      <c r="W2447" s="30"/>
      <c r="X2447" s="30"/>
      <c r="Y2447" s="30"/>
      <c r="Z2447" s="30"/>
      <c r="AA2447" s="30"/>
      <c r="AB2447" s="30"/>
      <c r="AC2447" s="30"/>
      <c r="AD2447" s="30"/>
      <c r="AE2447" s="30"/>
      <c r="AF2447" s="30"/>
      <c r="AG2447" s="30"/>
      <c r="AH2447" s="30"/>
    </row>
    <row r="2448" spans="1:34" ht="13">
      <c r="A2448" s="30"/>
      <c r="B2448" s="30"/>
      <c r="C2448" s="30"/>
      <c r="D2448" s="30"/>
      <c r="E2448" s="30"/>
      <c r="F2448" s="30"/>
      <c r="G2448" s="30"/>
      <c r="H2448" s="48"/>
      <c r="I2448" s="49"/>
      <c r="J2448" s="49"/>
      <c r="K2448" s="48"/>
      <c r="L2448" s="50"/>
      <c r="M2448" s="30"/>
      <c r="N2448" s="30"/>
      <c r="O2448" s="30"/>
      <c r="P2448" s="30"/>
      <c r="Q2448" s="30"/>
      <c r="R2448" s="30"/>
      <c r="S2448" s="30"/>
      <c r="T2448" s="30"/>
      <c r="U2448" s="30"/>
      <c r="V2448" s="30"/>
      <c r="W2448" s="30"/>
      <c r="X2448" s="30"/>
      <c r="Y2448" s="30"/>
      <c r="Z2448" s="30"/>
      <c r="AA2448" s="30"/>
      <c r="AB2448" s="30"/>
      <c r="AC2448" s="30"/>
      <c r="AD2448" s="30"/>
      <c r="AE2448" s="30"/>
      <c r="AF2448" s="30"/>
      <c r="AG2448" s="30"/>
      <c r="AH2448" s="30"/>
    </row>
    <row r="2449" spans="1:34" ht="13">
      <c r="A2449" s="30"/>
      <c r="B2449" s="30"/>
      <c r="C2449" s="30"/>
      <c r="D2449" s="30"/>
      <c r="E2449" s="30"/>
      <c r="F2449" s="30"/>
      <c r="G2449" s="30"/>
      <c r="H2449" s="48"/>
      <c r="I2449" s="49"/>
      <c r="J2449" s="49"/>
      <c r="K2449" s="48"/>
      <c r="L2449" s="50"/>
      <c r="M2449" s="30"/>
      <c r="N2449" s="30"/>
      <c r="O2449" s="30"/>
      <c r="P2449" s="30"/>
      <c r="Q2449" s="30"/>
      <c r="R2449" s="30"/>
      <c r="S2449" s="30"/>
      <c r="T2449" s="30"/>
      <c r="U2449" s="30"/>
      <c r="V2449" s="30"/>
      <c r="W2449" s="30"/>
      <c r="X2449" s="30"/>
      <c r="Y2449" s="30"/>
      <c r="Z2449" s="30"/>
      <c r="AA2449" s="30"/>
      <c r="AB2449" s="30"/>
      <c r="AC2449" s="30"/>
      <c r="AD2449" s="30"/>
      <c r="AE2449" s="30"/>
      <c r="AF2449" s="30"/>
      <c r="AG2449" s="30"/>
      <c r="AH2449" s="30"/>
    </row>
    <row r="2450" spans="1:34" ht="13">
      <c r="A2450" s="30"/>
      <c r="B2450" s="30"/>
      <c r="C2450" s="30"/>
      <c r="D2450" s="30"/>
      <c r="E2450" s="30"/>
      <c r="F2450" s="30"/>
      <c r="G2450" s="30"/>
      <c r="H2450" s="48"/>
      <c r="I2450" s="49"/>
      <c r="J2450" s="49"/>
      <c r="K2450" s="48"/>
      <c r="L2450" s="50"/>
      <c r="M2450" s="30"/>
      <c r="N2450" s="30"/>
      <c r="O2450" s="30"/>
      <c r="P2450" s="30"/>
      <c r="Q2450" s="30"/>
      <c r="R2450" s="30"/>
      <c r="S2450" s="30"/>
      <c r="T2450" s="30"/>
      <c r="U2450" s="30"/>
      <c r="V2450" s="30"/>
      <c r="W2450" s="30"/>
      <c r="X2450" s="30"/>
      <c r="Y2450" s="30"/>
      <c r="Z2450" s="30"/>
      <c r="AA2450" s="30"/>
      <c r="AB2450" s="30"/>
      <c r="AC2450" s="30"/>
      <c r="AD2450" s="30"/>
      <c r="AE2450" s="30"/>
      <c r="AF2450" s="30"/>
      <c r="AG2450" s="30"/>
      <c r="AH2450" s="30"/>
    </row>
    <row r="2451" spans="1:34" ht="13">
      <c r="A2451" s="30"/>
      <c r="B2451" s="30"/>
      <c r="C2451" s="30"/>
      <c r="D2451" s="30"/>
      <c r="E2451" s="30"/>
      <c r="F2451" s="30"/>
      <c r="G2451" s="30"/>
      <c r="H2451" s="48"/>
      <c r="I2451" s="49"/>
      <c r="J2451" s="49"/>
      <c r="K2451" s="48"/>
      <c r="L2451" s="50"/>
      <c r="M2451" s="30"/>
      <c r="N2451" s="30"/>
      <c r="O2451" s="30"/>
      <c r="P2451" s="30"/>
      <c r="Q2451" s="30"/>
      <c r="R2451" s="30"/>
      <c r="S2451" s="30"/>
      <c r="T2451" s="30"/>
      <c r="U2451" s="30"/>
      <c r="V2451" s="30"/>
      <c r="W2451" s="30"/>
      <c r="X2451" s="30"/>
      <c r="Y2451" s="30"/>
      <c r="Z2451" s="30"/>
      <c r="AA2451" s="30"/>
      <c r="AB2451" s="30"/>
      <c r="AC2451" s="30"/>
      <c r="AD2451" s="30"/>
      <c r="AE2451" s="30"/>
      <c r="AF2451" s="30"/>
      <c r="AG2451" s="30"/>
      <c r="AH2451" s="30"/>
    </row>
    <row r="2452" spans="1:34" ht="13">
      <c r="A2452" s="30"/>
      <c r="B2452" s="30"/>
      <c r="C2452" s="30"/>
      <c r="D2452" s="30"/>
      <c r="E2452" s="30"/>
      <c r="F2452" s="30"/>
      <c r="G2452" s="30"/>
      <c r="H2452" s="48"/>
      <c r="I2452" s="49"/>
      <c r="J2452" s="49"/>
      <c r="K2452" s="48"/>
      <c r="L2452" s="50"/>
      <c r="M2452" s="30"/>
      <c r="N2452" s="30"/>
      <c r="O2452" s="30"/>
      <c r="P2452" s="30"/>
      <c r="Q2452" s="30"/>
      <c r="R2452" s="30"/>
      <c r="S2452" s="30"/>
      <c r="T2452" s="30"/>
      <c r="U2452" s="30"/>
      <c r="V2452" s="30"/>
      <c r="W2452" s="30"/>
      <c r="X2452" s="30"/>
      <c r="Y2452" s="30"/>
      <c r="Z2452" s="30"/>
      <c r="AA2452" s="30"/>
      <c r="AB2452" s="30"/>
      <c r="AC2452" s="30"/>
      <c r="AD2452" s="30"/>
      <c r="AE2452" s="30"/>
      <c r="AF2452" s="30"/>
      <c r="AG2452" s="30"/>
      <c r="AH2452" s="30"/>
    </row>
    <row r="2453" spans="1:34" ht="13">
      <c r="A2453" s="30"/>
      <c r="B2453" s="30"/>
      <c r="C2453" s="30"/>
      <c r="D2453" s="30"/>
      <c r="E2453" s="30"/>
      <c r="F2453" s="30"/>
      <c r="G2453" s="30"/>
      <c r="H2453" s="48"/>
      <c r="I2453" s="49"/>
      <c r="J2453" s="49"/>
      <c r="K2453" s="48"/>
      <c r="L2453" s="50"/>
      <c r="M2453" s="30"/>
      <c r="N2453" s="30"/>
      <c r="O2453" s="30"/>
      <c r="P2453" s="30"/>
      <c r="Q2453" s="30"/>
      <c r="R2453" s="30"/>
      <c r="S2453" s="30"/>
      <c r="T2453" s="30"/>
      <c r="U2453" s="30"/>
      <c r="V2453" s="30"/>
      <c r="W2453" s="30"/>
      <c r="X2453" s="30"/>
      <c r="Y2453" s="30"/>
      <c r="Z2453" s="30"/>
      <c r="AA2453" s="30"/>
      <c r="AB2453" s="30"/>
      <c r="AC2453" s="30"/>
      <c r="AD2453" s="30"/>
      <c r="AE2453" s="30"/>
      <c r="AF2453" s="30"/>
      <c r="AG2453" s="30"/>
      <c r="AH2453" s="30"/>
    </row>
    <row r="2454" spans="1:34" ht="13">
      <c r="A2454" s="30"/>
      <c r="B2454" s="30"/>
      <c r="C2454" s="30"/>
      <c r="D2454" s="30"/>
      <c r="E2454" s="30"/>
      <c r="F2454" s="30"/>
      <c r="G2454" s="30"/>
      <c r="H2454" s="48"/>
      <c r="I2454" s="49"/>
      <c r="J2454" s="49"/>
      <c r="K2454" s="48"/>
      <c r="L2454" s="50"/>
      <c r="M2454" s="30"/>
      <c r="N2454" s="30"/>
      <c r="O2454" s="30"/>
      <c r="P2454" s="30"/>
      <c r="Q2454" s="30"/>
      <c r="R2454" s="30"/>
      <c r="S2454" s="30"/>
      <c r="T2454" s="30"/>
      <c r="U2454" s="30"/>
      <c r="V2454" s="30"/>
      <c r="W2454" s="30"/>
      <c r="X2454" s="30"/>
      <c r="Y2454" s="30"/>
      <c r="Z2454" s="30"/>
      <c r="AA2454" s="30"/>
      <c r="AB2454" s="30"/>
      <c r="AC2454" s="30"/>
      <c r="AD2454" s="30"/>
      <c r="AE2454" s="30"/>
      <c r="AF2454" s="30"/>
      <c r="AG2454" s="30"/>
      <c r="AH2454" s="30"/>
    </row>
    <row r="2455" spans="1:34" ht="13">
      <c r="A2455" s="30"/>
      <c r="B2455" s="30"/>
      <c r="C2455" s="30"/>
      <c r="D2455" s="30"/>
      <c r="E2455" s="30"/>
      <c r="F2455" s="30"/>
      <c r="G2455" s="30"/>
      <c r="H2455" s="48"/>
      <c r="I2455" s="49"/>
      <c r="J2455" s="49"/>
      <c r="K2455" s="48"/>
      <c r="L2455" s="50"/>
      <c r="M2455" s="30"/>
      <c r="N2455" s="30"/>
      <c r="O2455" s="30"/>
      <c r="P2455" s="30"/>
      <c r="Q2455" s="30"/>
      <c r="R2455" s="30"/>
      <c r="S2455" s="30"/>
      <c r="T2455" s="30"/>
      <c r="U2455" s="30"/>
      <c r="V2455" s="30"/>
      <c r="W2455" s="30"/>
      <c r="X2455" s="30"/>
      <c r="Y2455" s="30"/>
      <c r="Z2455" s="30"/>
      <c r="AA2455" s="30"/>
      <c r="AB2455" s="30"/>
      <c r="AC2455" s="30"/>
      <c r="AD2455" s="30"/>
      <c r="AE2455" s="30"/>
      <c r="AF2455" s="30"/>
      <c r="AG2455" s="30"/>
      <c r="AH2455" s="30"/>
    </row>
    <row r="2456" spans="1:34" ht="13">
      <c r="A2456" s="30"/>
      <c r="B2456" s="30"/>
      <c r="C2456" s="30"/>
      <c r="D2456" s="30"/>
      <c r="E2456" s="30"/>
      <c r="F2456" s="30"/>
      <c r="G2456" s="30"/>
      <c r="H2456" s="48"/>
      <c r="I2456" s="49"/>
      <c r="J2456" s="49"/>
      <c r="K2456" s="48"/>
      <c r="L2456" s="50"/>
      <c r="M2456" s="30"/>
      <c r="N2456" s="30"/>
      <c r="O2456" s="30"/>
      <c r="P2456" s="30"/>
      <c r="Q2456" s="30"/>
      <c r="R2456" s="30"/>
      <c r="S2456" s="30"/>
      <c r="T2456" s="30"/>
      <c r="U2456" s="30"/>
      <c r="V2456" s="30"/>
      <c r="W2456" s="30"/>
      <c r="X2456" s="30"/>
      <c r="Y2456" s="30"/>
      <c r="Z2456" s="30"/>
      <c r="AA2456" s="30"/>
      <c r="AB2456" s="30"/>
      <c r="AC2456" s="30"/>
      <c r="AD2456" s="30"/>
      <c r="AE2456" s="30"/>
      <c r="AF2456" s="30"/>
      <c r="AG2456" s="30"/>
      <c r="AH2456" s="30"/>
    </row>
    <row r="2457" spans="1:34" ht="13">
      <c r="A2457" s="30"/>
      <c r="B2457" s="30"/>
      <c r="C2457" s="30"/>
      <c r="D2457" s="30"/>
      <c r="E2457" s="30"/>
      <c r="F2457" s="30"/>
      <c r="G2457" s="30"/>
      <c r="H2457" s="48"/>
      <c r="I2457" s="49"/>
      <c r="J2457" s="49"/>
      <c r="K2457" s="48"/>
      <c r="L2457" s="50"/>
      <c r="M2457" s="30"/>
      <c r="N2457" s="30"/>
      <c r="O2457" s="30"/>
      <c r="P2457" s="30"/>
      <c r="Q2457" s="30"/>
      <c r="R2457" s="30"/>
      <c r="S2457" s="30"/>
      <c r="T2457" s="30"/>
      <c r="U2457" s="30"/>
      <c r="V2457" s="30"/>
      <c r="W2457" s="30"/>
      <c r="X2457" s="30"/>
      <c r="Y2457" s="30"/>
      <c r="Z2457" s="30"/>
      <c r="AA2457" s="30"/>
      <c r="AB2457" s="30"/>
      <c r="AC2457" s="30"/>
      <c r="AD2457" s="30"/>
      <c r="AE2457" s="30"/>
      <c r="AF2457" s="30"/>
      <c r="AG2457" s="30"/>
      <c r="AH2457" s="30"/>
    </row>
    <row r="2458" spans="1:34" ht="13">
      <c r="A2458" s="30"/>
      <c r="B2458" s="30"/>
      <c r="C2458" s="30"/>
      <c r="D2458" s="30"/>
      <c r="E2458" s="30"/>
      <c r="F2458" s="30"/>
      <c r="G2458" s="30"/>
      <c r="H2458" s="48"/>
      <c r="I2458" s="49"/>
      <c r="J2458" s="49"/>
      <c r="K2458" s="48"/>
      <c r="L2458" s="50"/>
      <c r="M2458" s="30"/>
      <c r="N2458" s="30"/>
      <c r="O2458" s="30"/>
      <c r="P2458" s="30"/>
      <c r="Q2458" s="30"/>
      <c r="R2458" s="30"/>
      <c r="S2458" s="30"/>
      <c r="T2458" s="30"/>
      <c r="U2458" s="30"/>
      <c r="V2458" s="30"/>
      <c r="W2458" s="30"/>
      <c r="X2458" s="30"/>
      <c r="Y2458" s="30"/>
      <c r="Z2458" s="30"/>
      <c r="AA2458" s="30"/>
      <c r="AB2458" s="30"/>
      <c r="AC2458" s="30"/>
      <c r="AD2458" s="30"/>
      <c r="AE2458" s="30"/>
      <c r="AF2458" s="30"/>
      <c r="AG2458" s="30"/>
      <c r="AH2458" s="30"/>
    </row>
    <row r="2459" spans="1:34" ht="13">
      <c r="A2459" s="30"/>
      <c r="B2459" s="30"/>
      <c r="C2459" s="30"/>
      <c r="D2459" s="30"/>
      <c r="E2459" s="30"/>
      <c r="F2459" s="30"/>
      <c r="G2459" s="30"/>
      <c r="H2459" s="48"/>
      <c r="I2459" s="49"/>
      <c r="J2459" s="49"/>
      <c r="K2459" s="48"/>
      <c r="L2459" s="50"/>
      <c r="M2459" s="30"/>
      <c r="N2459" s="30"/>
      <c r="O2459" s="30"/>
      <c r="P2459" s="30"/>
      <c r="Q2459" s="30"/>
      <c r="R2459" s="30"/>
      <c r="S2459" s="30"/>
      <c r="T2459" s="30"/>
      <c r="U2459" s="30"/>
      <c r="V2459" s="30"/>
      <c r="W2459" s="30"/>
      <c r="X2459" s="30"/>
      <c r="Y2459" s="30"/>
      <c r="Z2459" s="30"/>
      <c r="AA2459" s="30"/>
      <c r="AB2459" s="30"/>
      <c r="AC2459" s="30"/>
      <c r="AD2459" s="30"/>
      <c r="AE2459" s="30"/>
      <c r="AF2459" s="30"/>
      <c r="AG2459" s="30"/>
      <c r="AH2459" s="30"/>
    </row>
    <row r="2460" spans="1:34" ht="13">
      <c r="A2460" s="30"/>
      <c r="B2460" s="30"/>
      <c r="C2460" s="30"/>
      <c r="D2460" s="30"/>
      <c r="E2460" s="30"/>
      <c r="F2460" s="30"/>
      <c r="G2460" s="30"/>
      <c r="H2460" s="48"/>
      <c r="I2460" s="49"/>
      <c r="J2460" s="49"/>
      <c r="K2460" s="48"/>
      <c r="L2460" s="50"/>
      <c r="M2460" s="30"/>
      <c r="N2460" s="30"/>
      <c r="O2460" s="30"/>
      <c r="P2460" s="30"/>
      <c r="Q2460" s="30"/>
      <c r="R2460" s="30"/>
      <c r="S2460" s="30"/>
      <c r="T2460" s="30"/>
      <c r="U2460" s="30"/>
      <c r="V2460" s="30"/>
      <c r="W2460" s="30"/>
      <c r="X2460" s="30"/>
      <c r="Y2460" s="30"/>
      <c r="Z2460" s="30"/>
      <c r="AA2460" s="30"/>
      <c r="AB2460" s="30"/>
      <c r="AC2460" s="30"/>
      <c r="AD2460" s="30"/>
      <c r="AE2460" s="30"/>
      <c r="AF2460" s="30"/>
      <c r="AG2460" s="30"/>
      <c r="AH2460" s="30"/>
    </row>
    <row r="2461" spans="1:34" ht="13">
      <c r="A2461" s="30"/>
      <c r="B2461" s="30"/>
      <c r="C2461" s="30"/>
      <c r="D2461" s="30"/>
      <c r="E2461" s="30"/>
      <c r="F2461" s="30"/>
      <c r="G2461" s="30"/>
      <c r="H2461" s="48"/>
      <c r="I2461" s="49"/>
      <c r="J2461" s="49"/>
      <c r="K2461" s="48"/>
      <c r="L2461" s="50"/>
      <c r="M2461" s="30"/>
      <c r="N2461" s="30"/>
      <c r="O2461" s="30"/>
      <c r="P2461" s="30"/>
      <c r="Q2461" s="30"/>
      <c r="R2461" s="30"/>
      <c r="S2461" s="30"/>
      <c r="T2461" s="30"/>
      <c r="U2461" s="30"/>
      <c r="V2461" s="30"/>
      <c r="W2461" s="30"/>
      <c r="X2461" s="30"/>
      <c r="Y2461" s="30"/>
      <c r="Z2461" s="30"/>
      <c r="AA2461" s="30"/>
      <c r="AB2461" s="30"/>
      <c r="AC2461" s="30"/>
      <c r="AD2461" s="30"/>
      <c r="AE2461" s="30"/>
      <c r="AF2461" s="30"/>
      <c r="AG2461" s="30"/>
      <c r="AH2461" s="30"/>
    </row>
    <row r="2462" spans="1:34" ht="13">
      <c r="A2462" s="30"/>
      <c r="B2462" s="30"/>
      <c r="C2462" s="30"/>
      <c r="D2462" s="30"/>
      <c r="E2462" s="30"/>
      <c r="F2462" s="30"/>
      <c r="G2462" s="30"/>
      <c r="H2462" s="48"/>
      <c r="I2462" s="49"/>
      <c r="J2462" s="49"/>
      <c r="K2462" s="48"/>
      <c r="L2462" s="50"/>
      <c r="M2462" s="30"/>
      <c r="N2462" s="30"/>
      <c r="O2462" s="30"/>
      <c r="P2462" s="30"/>
      <c r="Q2462" s="30"/>
      <c r="R2462" s="30"/>
      <c r="S2462" s="30"/>
      <c r="T2462" s="30"/>
      <c r="U2462" s="30"/>
      <c r="V2462" s="30"/>
      <c r="W2462" s="30"/>
      <c r="X2462" s="30"/>
      <c r="Y2462" s="30"/>
      <c r="Z2462" s="30"/>
      <c r="AA2462" s="30"/>
      <c r="AB2462" s="30"/>
      <c r="AC2462" s="30"/>
      <c r="AD2462" s="30"/>
      <c r="AE2462" s="30"/>
      <c r="AF2462" s="30"/>
      <c r="AG2462" s="30"/>
      <c r="AH2462" s="30"/>
    </row>
    <row r="2463" spans="1:34" ht="13">
      <c r="A2463" s="30"/>
      <c r="B2463" s="30"/>
      <c r="C2463" s="30"/>
      <c r="D2463" s="30"/>
      <c r="E2463" s="30"/>
      <c r="F2463" s="30"/>
      <c r="G2463" s="30"/>
      <c r="H2463" s="48"/>
      <c r="I2463" s="49"/>
      <c r="J2463" s="49"/>
      <c r="K2463" s="48"/>
      <c r="L2463" s="50"/>
      <c r="M2463" s="30"/>
      <c r="N2463" s="30"/>
      <c r="O2463" s="30"/>
      <c r="P2463" s="30"/>
      <c r="Q2463" s="30"/>
      <c r="R2463" s="30"/>
      <c r="S2463" s="30"/>
      <c r="T2463" s="30"/>
      <c r="U2463" s="30"/>
      <c r="V2463" s="30"/>
      <c r="W2463" s="30"/>
      <c r="X2463" s="30"/>
      <c r="Y2463" s="30"/>
      <c r="Z2463" s="30"/>
      <c r="AA2463" s="30"/>
      <c r="AB2463" s="30"/>
      <c r="AC2463" s="30"/>
      <c r="AD2463" s="30"/>
      <c r="AE2463" s="30"/>
      <c r="AF2463" s="30"/>
      <c r="AG2463" s="30"/>
      <c r="AH2463" s="30"/>
    </row>
    <row r="2464" spans="1:34" ht="13">
      <c r="A2464" s="30"/>
      <c r="B2464" s="30"/>
      <c r="C2464" s="30"/>
      <c r="D2464" s="30"/>
      <c r="E2464" s="30"/>
      <c r="F2464" s="30"/>
      <c r="G2464" s="30"/>
      <c r="H2464" s="48"/>
      <c r="I2464" s="49"/>
      <c r="J2464" s="49"/>
      <c r="K2464" s="48"/>
      <c r="L2464" s="50"/>
      <c r="M2464" s="30"/>
      <c r="N2464" s="30"/>
      <c r="O2464" s="30"/>
      <c r="P2464" s="30"/>
      <c r="Q2464" s="30"/>
      <c r="R2464" s="30"/>
      <c r="S2464" s="30"/>
      <c r="T2464" s="30"/>
      <c r="U2464" s="30"/>
      <c r="V2464" s="30"/>
      <c r="W2464" s="30"/>
      <c r="X2464" s="30"/>
      <c r="Y2464" s="30"/>
      <c r="Z2464" s="30"/>
      <c r="AA2464" s="30"/>
      <c r="AB2464" s="30"/>
      <c r="AC2464" s="30"/>
      <c r="AD2464" s="30"/>
      <c r="AE2464" s="30"/>
      <c r="AF2464" s="30"/>
      <c r="AG2464" s="30"/>
      <c r="AH2464" s="30"/>
    </row>
    <row r="2465" spans="1:34" ht="13">
      <c r="A2465" s="30"/>
      <c r="B2465" s="30"/>
      <c r="C2465" s="30"/>
      <c r="D2465" s="30"/>
      <c r="E2465" s="30"/>
      <c r="F2465" s="30"/>
      <c r="G2465" s="30"/>
      <c r="H2465" s="48"/>
      <c r="I2465" s="49"/>
      <c r="J2465" s="49"/>
      <c r="K2465" s="48"/>
      <c r="L2465" s="50"/>
      <c r="M2465" s="30"/>
      <c r="N2465" s="30"/>
      <c r="O2465" s="30"/>
      <c r="P2465" s="30"/>
      <c r="Q2465" s="30"/>
      <c r="R2465" s="30"/>
      <c r="S2465" s="30"/>
      <c r="T2465" s="30"/>
      <c r="U2465" s="30"/>
      <c r="V2465" s="30"/>
      <c r="W2465" s="30"/>
      <c r="X2465" s="30"/>
      <c r="Y2465" s="30"/>
      <c r="Z2465" s="30"/>
      <c r="AA2465" s="30"/>
      <c r="AB2465" s="30"/>
      <c r="AC2465" s="30"/>
      <c r="AD2465" s="30"/>
      <c r="AE2465" s="30"/>
      <c r="AF2465" s="30"/>
      <c r="AG2465" s="30"/>
      <c r="AH2465" s="30"/>
    </row>
    <row r="2466" spans="1:34" ht="13">
      <c r="A2466" s="30"/>
      <c r="B2466" s="30"/>
      <c r="C2466" s="30"/>
      <c r="D2466" s="30"/>
      <c r="E2466" s="30"/>
      <c r="F2466" s="30"/>
      <c r="G2466" s="30"/>
      <c r="H2466" s="48"/>
      <c r="I2466" s="49"/>
      <c r="J2466" s="49"/>
      <c r="K2466" s="48"/>
      <c r="L2466" s="50"/>
      <c r="M2466" s="30"/>
      <c r="N2466" s="30"/>
      <c r="O2466" s="30"/>
      <c r="P2466" s="30"/>
      <c r="Q2466" s="30"/>
      <c r="R2466" s="30"/>
      <c r="S2466" s="30"/>
      <c r="T2466" s="30"/>
      <c r="U2466" s="30"/>
      <c r="V2466" s="30"/>
      <c r="W2466" s="30"/>
      <c r="X2466" s="30"/>
      <c r="Y2466" s="30"/>
      <c r="Z2466" s="30"/>
      <c r="AA2466" s="30"/>
      <c r="AB2466" s="30"/>
      <c r="AC2466" s="30"/>
      <c r="AD2466" s="30"/>
      <c r="AE2466" s="30"/>
      <c r="AF2466" s="30"/>
      <c r="AG2466" s="30"/>
      <c r="AH2466" s="30"/>
    </row>
    <row r="2467" spans="1:34" ht="13">
      <c r="A2467" s="30"/>
      <c r="B2467" s="30"/>
      <c r="C2467" s="30"/>
      <c r="D2467" s="30"/>
      <c r="E2467" s="30"/>
      <c r="F2467" s="30"/>
      <c r="G2467" s="30"/>
      <c r="H2467" s="48"/>
      <c r="I2467" s="49"/>
      <c r="J2467" s="49"/>
      <c r="K2467" s="48"/>
      <c r="L2467" s="50"/>
      <c r="M2467" s="30"/>
      <c r="N2467" s="30"/>
      <c r="O2467" s="30"/>
      <c r="P2467" s="30"/>
      <c r="Q2467" s="30"/>
      <c r="R2467" s="30"/>
      <c r="S2467" s="30"/>
      <c r="T2467" s="30"/>
      <c r="U2467" s="30"/>
      <c r="V2467" s="30"/>
      <c r="W2467" s="30"/>
      <c r="X2467" s="30"/>
      <c r="Y2467" s="30"/>
      <c r="Z2467" s="30"/>
      <c r="AA2467" s="30"/>
      <c r="AB2467" s="30"/>
      <c r="AC2467" s="30"/>
      <c r="AD2467" s="30"/>
      <c r="AE2467" s="30"/>
      <c r="AF2467" s="30"/>
      <c r="AG2467" s="30"/>
      <c r="AH2467" s="30"/>
    </row>
    <row r="2468" spans="1:34" ht="13">
      <c r="A2468" s="30"/>
      <c r="B2468" s="30"/>
      <c r="C2468" s="30"/>
      <c r="D2468" s="30"/>
      <c r="E2468" s="30"/>
      <c r="F2468" s="30"/>
      <c r="G2468" s="30"/>
      <c r="H2468" s="48"/>
      <c r="I2468" s="49"/>
      <c r="J2468" s="49"/>
      <c r="K2468" s="48"/>
      <c r="L2468" s="50"/>
      <c r="M2468" s="30"/>
      <c r="N2468" s="30"/>
      <c r="O2468" s="30"/>
      <c r="P2468" s="30"/>
      <c r="Q2468" s="30"/>
      <c r="R2468" s="30"/>
      <c r="S2468" s="30"/>
      <c r="T2468" s="30"/>
      <c r="U2468" s="30"/>
      <c r="V2468" s="30"/>
      <c r="W2468" s="30"/>
      <c r="X2468" s="30"/>
      <c r="Y2468" s="30"/>
      <c r="Z2468" s="30"/>
      <c r="AA2468" s="30"/>
      <c r="AB2468" s="30"/>
      <c r="AC2468" s="30"/>
      <c r="AD2468" s="30"/>
      <c r="AE2468" s="30"/>
      <c r="AF2468" s="30"/>
      <c r="AG2468" s="30"/>
      <c r="AH2468" s="30"/>
    </row>
    <row r="2469" spans="1:34" ht="13">
      <c r="A2469" s="30"/>
      <c r="B2469" s="30"/>
      <c r="C2469" s="30"/>
      <c r="D2469" s="30"/>
      <c r="E2469" s="30"/>
      <c r="F2469" s="30"/>
      <c r="G2469" s="30"/>
      <c r="H2469" s="48"/>
      <c r="I2469" s="49"/>
      <c r="J2469" s="49"/>
      <c r="K2469" s="48"/>
      <c r="L2469" s="50"/>
      <c r="M2469" s="30"/>
      <c r="N2469" s="30"/>
      <c r="O2469" s="30"/>
      <c r="P2469" s="30"/>
      <c r="Q2469" s="30"/>
      <c r="R2469" s="30"/>
      <c r="S2469" s="30"/>
      <c r="T2469" s="30"/>
      <c r="U2469" s="30"/>
      <c r="V2469" s="30"/>
      <c r="W2469" s="30"/>
      <c r="X2469" s="30"/>
      <c r="Y2469" s="30"/>
      <c r="Z2469" s="30"/>
      <c r="AA2469" s="30"/>
      <c r="AB2469" s="30"/>
      <c r="AC2469" s="30"/>
      <c r="AD2469" s="30"/>
      <c r="AE2469" s="30"/>
      <c r="AF2469" s="30"/>
      <c r="AG2469" s="30"/>
      <c r="AH2469" s="30"/>
    </row>
    <row r="2470" spans="1:34" ht="13">
      <c r="A2470" s="30"/>
      <c r="B2470" s="30"/>
      <c r="C2470" s="30"/>
      <c r="D2470" s="30"/>
      <c r="E2470" s="30"/>
      <c r="F2470" s="30"/>
      <c r="G2470" s="30"/>
      <c r="H2470" s="48"/>
      <c r="I2470" s="49"/>
      <c r="J2470" s="49"/>
      <c r="K2470" s="48"/>
      <c r="L2470" s="50"/>
      <c r="M2470" s="30"/>
      <c r="N2470" s="30"/>
      <c r="O2470" s="30"/>
      <c r="P2470" s="30"/>
      <c r="Q2470" s="30"/>
      <c r="R2470" s="30"/>
      <c r="S2470" s="30"/>
      <c r="T2470" s="30"/>
      <c r="U2470" s="30"/>
      <c r="V2470" s="30"/>
      <c r="W2470" s="30"/>
      <c r="X2470" s="30"/>
      <c r="Y2470" s="30"/>
      <c r="Z2470" s="30"/>
      <c r="AA2470" s="30"/>
      <c r="AB2470" s="30"/>
      <c r="AC2470" s="30"/>
      <c r="AD2470" s="30"/>
      <c r="AE2470" s="30"/>
      <c r="AF2470" s="30"/>
      <c r="AG2470" s="30"/>
      <c r="AH2470" s="30"/>
    </row>
    <row r="2471" spans="1:34" ht="13">
      <c r="A2471" s="30"/>
      <c r="B2471" s="30"/>
      <c r="C2471" s="30"/>
      <c r="D2471" s="30"/>
      <c r="E2471" s="30"/>
      <c r="F2471" s="30"/>
      <c r="G2471" s="30"/>
      <c r="H2471" s="48"/>
      <c r="I2471" s="49"/>
      <c r="J2471" s="49"/>
      <c r="K2471" s="48"/>
      <c r="L2471" s="50"/>
      <c r="M2471" s="30"/>
      <c r="N2471" s="30"/>
      <c r="O2471" s="30"/>
      <c r="P2471" s="30"/>
      <c r="Q2471" s="30"/>
      <c r="R2471" s="30"/>
      <c r="S2471" s="30"/>
      <c r="T2471" s="30"/>
      <c r="U2471" s="30"/>
      <c r="V2471" s="30"/>
      <c r="W2471" s="30"/>
      <c r="X2471" s="30"/>
      <c r="Y2471" s="30"/>
      <c r="Z2471" s="30"/>
      <c r="AA2471" s="30"/>
      <c r="AB2471" s="30"/>
      <c r="AC2471" s="30"/>
      <c r="AD2471" s="30"/>
      <c r="AE2471" s="30"/>
      <c r="AF2471" s="30"/>
      <c r="AG2471" s="30"/>
      <c r="AH2471" s="30"/>
    </row>
    <row r="2472" spans="1:34" ht="13">
      <c r="A2472" s="30"/>
      <c r="B2472" s="30"/>
      <c r="C2472" s="30"/>
      <c r="D2472" s="30"/>
      <c r="E2472" s="30"/>
      <c r="F2472" s="30"/>
      <c r="G2472" s="30"/>
      <c r="H2472" s="48"/>
      <c r="I2472" s="49"/>
      <c r="J2472" s="49"/>
      <c r="K2472" s="48"/>
      <c r="L2472" s="50"/>
      <c r="M2472" s="30"/>
      <c r="N2472" s="30"/>
      <c r="O2472" s="30"/>
      <c r="P2472" s="30"/>
      <c r="Q2472" s="30"/>
      <c r="R2472" s="30"/>
      <c r="S2472" s="30"/>
      <c r="T2472" s="30"/>
      <c r="U2472" s="30"/>
      <c r="V2472" s="30"/>
      <c r="W2472" s="30"/>
      <c r="X2472" s="30"/>
      <c r="Y2472" s="30"/>
      <c r="Z2472" s="30"/>
      <c r="AA2472" s="30"/>
      <c r="AB2472" s="30"/>
      <c r="AC2472" s="30"/>
      <c r="AD2472" s="30"/>
      <c r="AE2472" s="30"/>
      <c r="AF2472" s="30"/>
      <c r="AG2472" s="30"/>
      <c r="AH2472" s="30"/>
    </row>
    <row r="2473" spans="1:34" ht="13">
      <c r="A2473" s="30"/>
      <c r="B2473" s="30"/>
      <c r="C2473" s="30"/>
      <c r="D2473" s="30"/>
      <c r="E2473" s="30"/>
      <c r="F2473" s="30"/>
      <c r="G2473" s="30"/>
      <c r="H2473" s="48"/>
      <c r="I2473" s="49"/>
      <c r="J2473" s="49"/>
      <c r="K2473" s="48"/>
      <c r="L2473" s="50"/>
      <c r="M2473" s="30"/>
      <c r="N2473" s="30"/>
      <c r="O2473" s="30"/>
      <c r="P2473" s="30"/>
      <c r="Q2473" s="30"/>
      <c r="R2473" s="30"/>
      <c r="S2473" s="30"/>
      <c r="T2473" s="30"/>
      <c r="U2473" s="30"/>
      <c r="V2473" s="30"/>
      <c r="W2473" s="30"/>
      <c r="X2473" s="30"/>
      <c r="Y2473" s="30"/>
      <c r="Z2473" s="30"/>
      <c r="AA2473" s="30"/>
      <c r="AB2473" s="30"/>
      <c r="AC2473" s="30"/>
      <c r="AD2473" s="30"/>
      <c r="AE2473" s="30"/>
      <c r="AF2473" s="30"/>
      <c r="AG2473" s="30"/>
      <c r="AH2473" s="30"/>
    </row>
    <row r="2474" spans="1:34" ht="13">
      <c r="A2474" s="30"/>
      <c r="B2474" s="30"/>
      <c r="C2474" s="30"/>
      <c r="D2474" s="30"/>
      <c r="E2474" s="30"/>
      <c r="F2474" s="30"/>
      <c r="G2474" s="30"/>
      <c r="H2474" s="48"/>
      <c r="I2474" s="49"/>
      <c r="J2474" s="49"/>
      <c r="K2474" s="48"/>
      <c r="L2474" s="50"/>
      <c r="M2474" s="30"/>
      <c r="N2474" s="30"/>
      <c r="O2474" s="30"/>
      <c r="P2474" s="30"/>
      <c r="Q2474" s="30"/>
      <c r="R2474" s="30"/>
      <c r="S2474" s="30"/>
      <c r="T2474" s="30"/>
      <c r="U2474" s="30"/>
      <c r="V2474" s="30"/>
      <c r="W2474" s="30"/>
      <c r="X2474" s="30"/>
      <c r="Y2474" s="30"/>
      <c r="Z2474" s="30"/>
      <c r="AA2474" s="30"/>
      <c r="AB2474" s="30"/>
      <c r="AC2474" s="30"/>
      <c r="AD2474" s="30"/>
      <c r="AE2474" s="30"/>
      <c r="AF2474" s="30"/>
      <c r="AG2474" s="30"/>
      <c r="AH2474" s="30"/>
    </row>
    <row r="2475" spans="1:34" ht="13">
      <c r="A2475" s="30"/>
      <c r="B2475" s="30"/>
      <c r="C2475" s="30"/>
      <c r="D2475" s="30"/>
      <c r="E2475" s="30"/>
      <c r="F2475" s="30"/>
      <c r="G2475" s="30"/>
      <c r="H2475" s="48"/>
      <c r="I2475" s="49"/>
      <c r="J2475" s="49"/>
      <c r="K2475" s="48"/>
      <c r="L2475" s="50"/>
      <c r="M2475" s="30"/>
      <c r="N2475" s="30"/>
      <c r="O2475" s="30"/>
      <c r="P2475" s="30"/>
      <c r="Q2475" s="30"/>
      <c r="R2475" s="30"/>
      <c r="S2475" s="30"/>
      <c r="T2475" s="30"/>
      <c r="U2475" s="30"/>
      <c r="V2475" s="30"/>
      <c r="W2475" s="30"/>
      <c r="X2475" s="30"/>
      <c r="Y2475" s="30"/>
      <c r="Z2475" s="30"/>
      <c r="AA2475" s="30"/>
      <c r="AB2475" s="30"/>
      <c r="AC2475" s="30"/>
      <c r="AD2475" s="30"/>
      <c r="AE2475" s="30"/>
      <c r="AF2475" s="30"/>
      <c r="AG2475" s="30"/>
      <c r="AH2475" s="30"/>
    </row>
    <row r="2476" spans="1:34" ht="13">
      <c r="A2476" s="30"/>
      <c r="B2476" s="30"/>
      <c r="C2476" s="30"/>
      <c r="D2476" s="30"/>
      <c r="E2476" s="30"/>
      <c r="F2476" s="30"/>
      <c r="G2476" s="30"/>
      <c r="H2476" s="48"/>
      <c r="I2476" s="49"/>
      <c r="J2476" s="49"/>
      <c r="K2476" s="48"/>
      <c r="L2476" s="50"/>
      <c r="M2476" s="30"/>
      <c r="N2476" s="30"/>
      <c r="O2476" s="30"/>
      <c r="P2476" s="30"/>
      <c r="Q2476" s="30"/>
      <c r="R2476" s="30"/>
      <c r="S2476" s="30"/>
      <c r="T2476" s="30"/>
      <c r="U2476" s="30"/>
      <c r="V2476" s="30"/>
      <c r="W2476" s="30"/>
      <c r="X2476" s="30"/>
      <c r="Y2476" s="30"/>
      <c r="Z2476" s="30"/>
      <c r="AA2476" s="30"/>
      <c r="AB2476" s="30"/>
      <c r="AC2476" s="30"/>
      <c r="AD2476" s="30"/>
      <c r="AE2476" s="30"/>
      <c r="AF2476" s="30"/>
      <c r="AG2476" s="30"/>
      <c r="AH2476" s="30"/>
    </row>
    <row r="2477" spans="1:34" ht="13">
      <c r="A2477" s="30"/>
      <c r="B2477" s="30"/>
      <c r="C2477" s="30"/>
      <c r="D2477" s="30"/>
      <c r="E2477" s="30"/>
      <c r="F2477" s="30"/>
      <c r="G2477" s="30"/>
      <c r="H2477" s="48"/>
      <c r="I2477" s="49"/>
      <c r="J2477" s="49"/>
      <c r="K2477" s="48"/>
      <c r="L2477" s="50"/>
      <c r="M2477" s="30"/>
      <c r="N2477" s="30"/>
      <c r="O2477" s="30"/>
      <c r="P2477" s="30"/>
      <c r="Q2477" s="30"/>
      <c r="R2477" s="30"/>
      <c r="S2477" s="30"/>
      <c r="T2477" s="30"/>
      <c r="U2477" s="30"/>
      <c r="V2477" s="30"/>
      <c r="W2477" s="30"/>
      <c r="X2477" s="30"/>
      <c r="Y2477" s="30"/>
      <c r="Z2477" s="30"/>
      <c r="AA2477" s="30"/>
      <c r="AB2477" s="30"/>
      <c r="AC2477" s="30"/>
      <c r="AD2477" s="30"/>
      <c r="AE2477" s="30"/>
      <c r="AF2477" s="30"/>
      <c r="AG2477" s="30"/>
      <c r="AH2477" s="30"/>
    </row>
    <row r="2478" spans="1:34" ht="13">
      <c r="A2478" s="30"/>
      <c r="B2478" s="30"/>
      <c r="C2478" s="30"/>
      <c r="D2478" s="30"/>
      <c r="E2478" s="30"/>
      <c r="F2478" s="30"/>
      <c r="G2478" s="30"/>
      <c r="H2478" s="48"/>
      <c r="I2478" s="49"/>
      <c r="J2478" s="49"/>
      <c r="K2478" s="48"/>
      <c r="L2478" s="50"/>
      <c r="M2478" s="30"/>
      <c r="N2478" s="30"/>
      <c r="O2478" s="30"/>
      <c r="P2478" s="30"/>
      <c r="Q2478" s="30"/>
      <c r="R2478" s="30"/>
      <c r="S2478" s="30"/>
      <c r="T2478" s="30"/>
      <c r="U2478" s="30"/>
      <c r="V2478" s="30"/>
      <c r="W2478" s="30"/>
      <c r="X2478" s="30"/>
      <c r="Y2478" s="30"/>
      <c r="Z2478" s="30"/>
      <c r="AA2478" s="30"/>
      <c r="AB2478" s="30"/>
      <c r="AC2478" s="30"/>
      <c r="AD2478" s="30"/>
      <c r="AE2478" s="30"/>
      <c r="AF2478" s="30"/>
      <c r="AG2478" s="30"/>
      <c r="AH2478" s="30"/>
    </row>
    <row r="2479" spans="1:34" ht="13">
      <c r="A2479" s="30"/>
      <c r="B2479" s="30"/>
      <c r="C2479" s="30"/>
      <c r="D2479" s="30"/>
      <c r="E2479" s="30"/>
      <c r="F2479" s="30"/>
      <c r="G2479" s="30"/>
      <c r="H2479" s="48"/>
      <c r="I2479" s="49"/>
      <c r="J2479" s="49"/>
      <c r="K2479" s="48"/>
      <c r="L2479" s="50"/>
      <c r="M2479" s="30"/>
      <c r="N2479" s="30"/>
      <c r="O2479" s="30"/>
      <c r="P2479" s="30"/>
      <c r="Q2479" s="30"/>
      <c r="R2479" s="30"/>
      <c r="S2479" s="30"/>
      <c r="T2479" s="30"/>
      <c r="U2479" s="30"/>
      <c r="V2479" s="30"/>
      <c r="W2479" s="30"/>
      <c r="X2479" s="30"/>
      <c r="Y2479" s="30"/>
      <c r="Z2479" s="30"/>
      <c r="AA2479" s="30"/>
      <c r="AB2479" s="30"/>
      <c r="AC2479" s="30"/>
      <c r="AD2479" s="30"/>
      <c r="AE2479" s="30"/>
      <c r="AF2479" s="30"/>
      <c r="AG2479" s="30"/>
      <c r="AH2479" s="30"/>
    </row>
    <row r="2480" spans="1:34" ht="13">
      <c r="A2480" s="30"/>
      <c r="B2480" s="30"/>
      <c r="C2480" s="30"/>
      <c r="D2480" s="30"/>
      <c r="E2480" s="30"/>
      <c r="F2480" s="30"/>
      <c r="G2480" s="30"/>
      <c r="H2480" s="48"/>
      <c r="I2480" s="49"/>
      <c r="J2480" s="49"/>
      <c r="K2480" s="48"/>
      <c r="L2480" s="50"/>
      <c r="M2480" s="30"/>
      <c r="N2480" s="30"/>
      <c r="O2480" s="30"/>
      <c r="P2480" s="30"/>
      <c r="Q2480" s="30"/>
      <c r="R2480" s="30"/>
      <c r="S2480" s="30"/>
      <c r="T2480" s="30"/>
      <c r="U2480" s="30"/>
      <c r="V2480" s="30"/>
      <c r="W2480" s="30"/>
      <c r="X2480" s="30"/>
      <c r="Y2480" s="30"/>
      <c r="Z2480" s="30"/>
      <c r="AA2480" s="30"/>
      <c r="AB2480" s="30"/>
      <c r="AC2480" s="30"/>
      <c r="AD2480" s="30"/>
      <c r="AE2480" s="30"/>
      <c r="AF2480" s="30"/>
      <c r="AG2480" s="30"/>
      <c r="AH2480" s="30"/>
    </row>
    <row r="2481" spans="1:34" ht="13">
      <c r="A2481" s="30"/>
      <c r="B2481" s="30"/>
      <c r="C2481" s="30"/>
      <c r="D2481" s="30"/>
      <c r="E2481" s="30"/>
      <c r="F2481" s="30"/>
      <c r="G2481" s="30"/>
      <c r="H2481" s="48"/>
      <c r="I2481" s="49"/>
      <c r="J2481" s="49"/>
      <c r="K2481" s="48"/>
      <c r="L2481" s="50"/>
      <c r="M2481" s="30"/>
      <c r="N2481" s="30"/>
      <c r="O2481" s="30"/>
      <c r="P2481" s="30"/>
      <c r="Q2481" s="30"/>
      <c r="R2481" s="30"/>
      <c r="S2481" s="30"/>
      <c r="T2481" s="30"/>
      <c r="U2481" s="30"/>
      <c r="V2481" s="30"/>
      <c r="W2481" s="30"/>
      <c r="X2481" s="30"/>
      <c r="Y2481" s="30"/>
      <c r="Z2481" s="30"/>
      <c r="AA2481" s="30"/>
      <c r="AB2481" s="30"/>
      <c r="AC2481" s="30"/>
      <c r="AD2481" s="30"/>
      <c r="AE2481" s="30"/>
      <c r="AF2481" s="30"/>
      <c r="AG2481" s="30"/>
      <c r="AH2481" s="30"/>
    </row>
    <row r="2482" spans="1:34" ht="13">
      <c r="A2482" s="30"/>
      <c r="B2482" s="30"/>
      <c r="C2482" s="30"/>
      <c r="D2482" s="30"/>
      <c r="E2482" s="30"/>
      <c r="F2482" s="30"/>
      <c r="G2482" s="30"/>
      <c r="H2482" s="48"/>
      <c r="I2482" s="49"/>
      <c r="J2482" s="49"/>
      <c r="K2482" s="48"/>
      <c r="L2482" s="50"/>
      <c r="M2482" s="30"/>
      <c r="N2482" s="30"/>
      <c r="O2482" s="30"/>
      <c r="P2482" s="30"/>
      <c r="Q2482" s="30"/>
      <c r="R2482" s="30"/>
      <c r="S2482" s="30"/>
      <c r="T2482" s="30"/>
      <c r="U2482" s="30"/>
      <c r="V2482" s="30"/>
      <c r="W2482" s="30"/>
      <c r="X2482" s="30"/>
      <c r="Y2482" s="30"/>
      <c r="Z2482" s="30"/>
      <c r="AA2482" s="30"/>
      <c r="AB2482" s="30"/>
      <c r="AC2482" s="30"/>
      <c r="AD2482" s="30"/>
      <c r="AE2482" s="30"/>
      <c r="AF2482" s="30"/>
      <c r="AG2482" s="30"/>
      <c r="AH2482" s="30"/>
    </row>
    <row r="2483" spans="1:34" ht="13">
      <c r="A2483" s="30"/>
      <c r="B2483" s="30"/>
      <c r="C2483" s="30"/>
      <c r="D2483" s="30"/>
      <c r="E2483" s="30"/>
      <c r="F2483" s="30"/>
      <c r="G2483" s="30"/>
      <c r="H2483" s="48"/>
      <c r="I2483" s="49"/>
      <c r="J2483" s="49"/>
      <c r="K2483" s="48"/>
      <c r="L2483" s="50"/>
      <c r="M2483" s="30"/>
      <c r="N2483" s="30"/>
      <c r="O2483" s="30"/>
      <c r="P2483" s="30"/>
      <c r="Q2483" s="30"/>
      <c r="R2483" s="30"/>
      <c r="S2483" s="30"/>
      <c r="T2483" s="30"/>
      <c r="U2483" s="30"/>
      <c r="V2483" s="30"/>
      <c r="W2483" s="30"/>
      <c r="X2483" s="30"/>
      <c r="Y2483" s="30"/>
      <c r="Z2483" s="30"/>
      <c r="AA2483" s="30"/>
      <c r="AB2483" s="30"/>
      <c r="AC2483" s="30"/>
      <c r="AD2483" s="30"/>
      <c r="AE2483" s="30"/>
      <c r="AF2483" s="30"/>
      <c r="AG2483" s="30"/>
      <c r="AH2483" s="30"/>
    </row>
    <row r="2484" spans="1:34" ht="13">
      <c r="A2484" s="30"/>
      <c r="B2484" s="30"/>
      <c r="C2484" s="30"/>
      <c r="D2484" s="30"/>
      <c r="E2484" s="30"/>
      <c r="F2484" s="30"/>
      <c r="G2484" s="30"/>
      <c r="H2484" s="48"/>
      <c r="I2484" s="49"/>
      <c r="J2484" s="49"/>
      <c r="K2484" s="48"/>
      <c r="L2484" s="50"/>
      <c r="M2484" s="30"/>
      <c r="N2484" s="30"/>
      <c r="O2484" s="30"/>
      <c r="P2484" s="30"/>
      <c r="Q2484" s="30"/>
      <c r="R2484" s="30"/>
      <c r="S2484" s="30"/>
      <c r="T2484" s="30"/>
      <c r="U2484" s="30"/>
      <c r="V2484" s="30"/>
      <c r="W2484" s="30"/>
      <c r="X2484" s="30"/>
      <c r="Y2484" s="30"/>
      <c r="Z2484" s="30"/>
      <c r="AA2484" s="30"/>
      <c r="AB2484" s="30"/>
      <c r="AC2484" s="30"/>
      <c r="AD2484" s="30"/>
      <c r="AE2484" s="30"/>
      <c r="AF2484" s="30"/>
      <c r="AG2484" s="30"/>
      <c r="AH2484" s="30"/>
    </row>
    <row r="2485" spans="1:34" ht="13">
      <c r="A2485" s="30"/>
      <c r="B2485" s="30"/>
      <c r="C2485" s="30"/>
      <c r="D2485" s="30"/>
      <c r="E2485" s="30"/>
      <c r="F2485" s="30"/>
      <c r="G2485" s="30"/>
      <c r="H2485" s="48"/>
      <c r="I2485" s="49"/>
      <c r="J2485" s="49"/>
      <c r="K2485" s="48"/>
      <c r="L2485" s="50"/>
      <c r="M2485" s="30"/>
      <c r="N2485" s="30"/>
      <c r="O2485" s="30"/>
      <c r="P2485" s="30"/>
      <c r="Q2485" s="30"/>
      <c r="R2485" s="30"/>
      <c r="S2485" s="30"/>
      <c r="T2485" s="30"/>
      <c r="U2485" s="30"/>
      <c r="V2485" s="30"/>
      <c r="W2485" s="30"/>
      <c r="X2485" s="30"/>
      <c r="Y2485" s="30"/>
      <c r="Z2485" s="30"/>
      <c r="AA2485" s="30"/>
      <c r="AB2485" s="30"/>
      <c r="AC2485" s="30"/>
      <c r="AD2485" s="30"/>
      <c r="AE2485" s="30"/>
      <c r="AF2485" s="30"/>
      <c r="AG2485" s="30"/>
      <c r="AH2485" s="30"/>
    </row>
    <row r="2486" spans="1:34" ht="13">
      <c r="A2486" s="30"/>
      <c r="B2486" s="30"/>
      <c r="C2486" s="30"/>
      <c r="D2486" s="30"/>
      <c r="E2486" s="30"/>
      <c r="F2486" s="30"/>
      <c r="G2486" s="30"/>
      <c r="H2486" s="48"/>
      <c r="I2486" s="49"/>
      <c r="J2486" s="49"/>
      <c r="K2486" s="48"/>
      <c r="L2486" s="50"/>
      <c r="M2486" s="30"/>
      <c r="N2486" s="30"/>
      <c r="O2486" s="30"/>
      <c r="P2486" s="30"/>
      <c r="Q2486" s="30"/>
      <c r="R2486" s="30"/>
      <c r="S2486" s="30"/>
      <c r="T2486" s="30"/>
      <c r="U2486" s="30"/>
      <c r="V2486" s="30"/>
      <c r="W2486" s="30"/>
      <c r="X2486" s="30"/>
      <c r="Y2486" s="30"/>
      <c r="Z2486" s="30"/>
      <c r="AA2486" s="30"/>
      <c r="AB2486" s="30"/>
      <c r="AC2486" s="30"/>
      <c r="AD2486" s="30"/>
      <c r="AE2486" s="30"/>
      <c r="AF2486" s="30"/>
      <c r="AG2486" s="30"/>
      <c r="AH2486" s="30"/>
    </row>
    <row r="2487" spans="1:34" ht="13">
      <c r="A2487" s="30"/>
      <c r="B2487" s="30"/>
      <c r="C2487" s="30"/>
      <c r="D2487" s="30"/>
      <c r="E2487" s="30"/>
      <c r="F2487" s="30"/>
      <c r="G2487" s="30"/>
      <c r="H2487" s="48"/>
      <c r="I2487" s="49"/>
      <c r="J2487" s="49"/>
      <c r="K2487" s="48"/>
      <c r="L2487" s="50"/>
      <c r="M2487" s="30"/>
      <c r="N2487" s="30"/>
      <c r="O2487" s="30"/>
      <c r="P2487" s="30"/>
      <c r="Q2487" s="30"/>
      <c r="R2487" s="30"/>
      <c r="S2487" s="30"/>
      <c r="T2487" s="30"/>
      <c r="U2487" s="30"/>
      <c r="V2487" s="30"/>
      <c r="W2487" s="30"/>
      <c r="X2487" s="30"/>
      <c r="Y2487" s="30"/>
      <c r="Z2487" s="30"/>
      <c r="AA2487" s="30"/>
      <c r="AB2487" s="30"/>
      <c r="AC2487" s="30"/>
      <c r="AD2487" s="30"/>
      <c r="AE2487" s="30"/>
      <c r="AF2487" s="30"/>
      <c r="AG2487" s="30"/>
      <c r="AH2487" s="30"/>
    </row>
    <row r="2488" spans="1:34" ht="13">
      <c r="A2488" s="30"/>
      <c r="B2488" s="30"/>
      <c r="C2488" s="30"/>
      <c r="D2488" s="30"/>
      <c r="E2488" s="30"/>
      <c r="F2488" s="30"/>
      <c r="G2488" s="30"/>
      <c r="H2488" s="48"/>
      <c r="I2488" s="49"/>
      <c r="J2488" s="49"/>
      <c r="K2488" s="48"/>
      <c r="L2488" s="50"/>
      <c r="M2488" s="30"/>
      <c r="N2488" s="30"/>
      <c r="O2488" s="30"/>
      <c r="P2488" s="30"/>
      <c r="Q2488" s="30"/>
      <c r="R2488" s="30"/>
      <c r="S2488" s="30"/>
      <c r="T2488" s="30"/>
      <c r="U2488" s="30"/>
      <c r="V2488" s="30"/>
      <c r="W2488" s="30"/>
      <c r="X2488" s="30"/>
      <c r="Y2488" s="30"/>
      <c r="Z2488" s="30"/>
      <c r="AA2488" s="30"/>
      <c r="AB2488" s="30"/>
      <c r="AC2488" s="30"/>
      <c r="AD2488" s="30"/>
      <c r="AE2488" s="30"/>
      <c r="AF2488" s="30"/>
      <c r="AG2488" s="30"/>
      <c r="AH2488" s="30"/>
    </row>
    <row r="2489" spans="1:34" ht="13">
      <c r="A2489" s="30"/>
      <c r="B2489" s="30"/>
      <c r="C2489" s="30"/>
      <c r="D2489" s="30"/>
      <c r="E2489" s="30"/>
      <c r="F2489" s="30"/>
      <c r="G2489" s="30"/>
      <c r="H2489" s="48"/>
      <c r="I2489" s="49"/>
      <c r="J2489" s="49"/>
      <c r="K2489" s="48"/>
      <c r="L2489" s="50"/>
      <c r="M2489" s="30"/>
      <c r="N2489" s="30"/>
      <c r="O2489" s="30"/>
      <c r="P2489" s="30"/>
      <c r="Q2489" s="30"/>
      <c r="R2489" s="30"/>
      <c r="S2489" s="30"/>
      <c r="T2489" s="30"/>
      <c r="U2489" s="30"/>
      <c r="V2489" s="30"/>
      <c r="W2489" s="30"/>
      <c r="X2489" s="30"/>
      <c r="Y2489" s="30"/>
      <c r="Z2489" s="30"/>
      <c r="AA2489" s="30"/>
      <c r="AB2489" s="30"/>
      <c r="AC2489" s="30"/>
      <c r="AD2489" s="30"/>
      <c r="AE2489" s="30"/>
      <c r="AF2489" s="30"/>
      <c r="AG2489" s="30"/>
      <c r="AH2489" s="30"/>
    </row>
    <row r="2490" spans="1:34" ht="13">
      <c r="A2490" s="30"/>
      <c r="B2490" s="30"/>
      <c r="C2490" s="30"/>
      <c r="D2490" s="30"/>
      <c r="E2490" s="30"/>
      <c r="F2490" s="30"/>
      <c r="G2490" s="30"/>
      <c r="H2490" s="48"/>
      <c r="I2490" s="49"/>
      <c r="J2490" s="49"/>
      <c r="K2490" s="48"/>
      <c r="L2490" s="50"/>
      <c r="M2490" s="30"/>
      <c r="N2490" s="30"/>
      <c r="O2490" s="30"/>
      <c r="P2490" s="30"/>
      <c r="Q2490" s="30"/>
      <c r="R2490" s="30"/>
      <c r="S2490" s="30"/>
      <c r="T2490" s="30"/>
      <c r="U2490" s="30"/>
      <c r="V2490" s="30"/>
      <c r="W2490" s="30"/>
      <c r="X2490" s="30"/>
      <c r="Y2490" s="30"/>
      <c r="Z2490" s="30"/>
      <c r="AA2490" s="30"/>
      <c r="AB2490" s="30"/>
      <c r="AC2490" s="30"/>
      <c r="AD2490" s="30"/>
      <c r="AE2490" s="30"/>
      <c r="AF2490" s="30"/>
      <c r="AG2490" s="30"/>
      <c r="AH2490" s="30"/>
    </row>
    <row r="2491" spans="1:34" ht="13">
      <c r="A2491" s="30"/>
      <c r="B2491" s="30"/>
      <c r="C2491" s="30"/>
      <c r="D2491" s="30"/>
      <c r="E2491" s="30"/>
      <c r="F2491" s="30"/>
      <c r="G2491" s="30"/>
      <c r="H2491" s="48"/>
      <c r="I2491" s="49"/>
      <c r="J2491" s="49"/>
      <c r="K2491" s="48"/>
      <c r="L2491" s="50"/>
      <c r="M2491" s="30"/>
      <c r="N2491" s="30"/>
      <c r="O2491" s="30"/>
      <c r="P2491" s="30"/>
      <c r="Q2491" s="30"/>
      <c r="R2491" s="30"/>
      <c r="S2491" s="30"/>
      <c r="T2491" s="30"/>
      <c r="U2491" s="30"/>
      <c r="V2491" s="30"/>
      <c r="W2491" s="30"/>
      <c r="X2491" s="30"/>
      <c r="Y2491" s="30"/>
      <c r="Z2491" s="30"/>
      <c r="AA2491" s="30"/>
      <c r="AB2491" s="30"/>
      <c r="AC2491" s="30"/>
      <c r="AD2491" s="30"/>
      <c r="AE2491" s="30"/>
      <c r="AF2491" s="30"/>
      <c r="AG2491" s="30"/>
      <c r="AH2491" s="30"/>
    </row>
    <row r="2492" spans="1:34" ht="13">
      <c r="A2492" s="30"/>
      <c r="B2492" s="30"/>
      <c r="C2492" s="30"/>
      <c r="D2492" s="30"/>
      <c r="E2492" s="30"/>
      <c r="F2492" s="30"/>
      <c r="G2492" s="30"/>
      <c r="H2492" s="48"/>
      <c r="I2492" s="49"/>
      <c r="J2492" s="49"/>
      <c r="K2492" s="48"/>
      <c r="L2492" s="50"/>
      <c r="M2492" s="30"/>
      <c r="N2492" s="30"/>
      <c r="O2492" s="30"/>
      <c r="P2492" s="30"/>
      <c r="Q2492" s="30"/>
      <c r="R2492" s="30"/>
      <c r="S2492" s="30"/>
      <c r="T2492" s="30"/>
      <c r="U2492" s="30"/>
      <c r="V2492" s="30"/>
      <c r="W2492" s="30"/>
      <c r="X2492" s="30"/>
      <c r="Y2492" s="30"/>
      <c r="Z2492" s="30"/>
      <c r="AA2492" s="30"/>
      <c r="AB2492" s="30"/>
      <c r="AC2492" s="30"/>
      <c r="AD2492" s="30"/>
      <c r="AE2492" s="30"/>
      <c r="AF2492" s="30"/>
      <c r="AG2492" s="30"/>
      <c r="AH2492" s="30"/>
    </row>
    <row r="2493" spans="1:34" ht="13">
      <c r="A2493" s="30"/>
      <c r="B2493" s="30"/>
      <c r="C2493" s="30"/>
      <c r="D2493" s="30"/>
      <c r="E2493" s="30"/>
      <c r="F2493" s="30"/>
      <c r="G2493" s="30"/>
      <c r="H2493" s="48"/>
      <c r="I2493" s="49"/>
      <c r="J2493" s="49"/>
      <c r="K2493" s="48"/>
      <c r="L2493" s="50"/>
      <c r="M2493" s="30"/>
      <c r="N2493" s="30"/>
      <c r="O2493" s="30"/>
      <c r="P2493" s="30"/>
      <c r="Q2493" s="30"/>
      <c r="R2493" s="30"/>
      <c r="S2493" s="30"/>
      <c r="T2493" s="30"/>
      <c r="U2493" s="30"/>
      <c r="V2493" s="30"/>
      <c r="W2493" s="30"/>
      <c r="X2493" s="30"/>
      <c r="Y2493" s="30"/>
      <c r="Z2493" s="30"/>
      <c r="AA2493" s="30"/>
      <c r="AB2493" s="30"/>
      <c r="AC2493" s="30"/>
      <c r="AD2493" s="30"/>
      <c r="AE2493" s="30"/>
      <c r="AF2493" s="30"/>
      <c r="AG2493" s="30"/>
      <c r="AH2493" s="30"/>
    </row>
    <row r="2494" spans="1:34" ht="13">
      <c r="A2494" s="30"/>
      <c r="B2494" s="30"/>
      <c r="C2494" s="30"/>
      <c r="D2494" s="30"/>
      <c r="E2494" s="30"/>
      <c r="F2494" s="30"/>
      <c r="G2494" s="30"/>
      <c r="H2494" s="48"/>
      <c r="I2494" s="49"/>
      <c r="J2494" s="49"/>
      <c r="K2494" s="48"/>
      <c r="L2494" s="50"/>
      <c r="M2494" s="30"/>
      <c r="N2494" s="30"/>
      <c r="O2494" s="30"/>
      <c r="P2494" s="30"/>
      <c r="Q2494" s="30"/>
      <c r="R2494" s="30"/>
      <c r="S2494" s="30"/>
      <c r="T2494" s="30"/>
      <c r="U2494" s="30"/>
      <c r="V2494" s="30"/>
      <c r="W2494" s="30"/>
      <c r="X2494" s="30"/>
      <c r="Y2494" s="30"/>
      <c r="Z2494" s="30"/>
      <c r="AA2494" s="30"/>
      <c r="AB2494" s="30"/>
      <c r="AC2494" s="30"/>
      <c r="AD2494" s="30"/>
      <c r="AE2494" s="30"/>
      <c r="AF2494" s="30"/>
      <c r="AG2494" s="30"/>
      <c r="AH2494" s="30"/>
    </row>
    <row r="2495" spans="1:34" ht="13">
      <c r="A2495" s="30"/>
      <c r="B2495" s="30"/>
      <c r="C2495" s="30"/>
      <c r="D2495" s="30"/>
      <c r="E2495" s="30"/>
      <c r="F2495" s="30"/>
      <c r="G2495" s="30"/>
      <c r="H2495" s="48"/>
      <c r="I2495" s="49"/>
      <c r="J2495" s="49"/>
      <c r="K2495" s="48"/>
      <c r="L2495" s="50"/>
      <c r="M2495" s="30"/>
      <c r="N2495" s="30"/>
      <c r="O2495" s="30"/>
      <c r="P2495" s="30"/>
      <c r="Q2495" s="30"/>
      <c r="R2495" s="30"/>
      <c r="S2495" s="30"/>
      <c r="T2495" s="30"/>
      <c r="U2495" s="30"/>
      <c r="V2495" s="30"/>
      <c r="W2495" s="30"/>
      <c r="X2495" s="30"/>
      <c r="Y2495" s="30"/>
      <c r="Z2495" s="30"/>
      <c r="AA2495" s="30"/>
      <c r="AB2495" s="30"/>
      <c r="AC2495" s="30"/>
      <c r="AD2495" s="30"/>
      <c r="AE2495" s="30"/>
      <c r="AF2495" s="30"/>
      <c r="AG2495" s="30"/>
      <c r="AH2495" s="30"/>
    </row>
    <row r="2496" spans="1:34" ht="13">
      <c r="A2496" s="30"/>
      <c r="B2496" s="30"/>
      <c r="C2496" s="30"/>
      <c r="D2496" s="30"/>
      <c r="E2496" s="30"/>
      <c r="F2496" s="30"/>
      <c r="G2496" s="30"/>
      <c r="H2496" s="48"/>
      <c r="I2496" s="49"/>
      <c r="J2496" s="49"/>
      <c r="K2496" s="48"/>
      <c r="L2496" s="50"/>
      <c r="M2496" s="30"/>
      <c r="N2496" s="30"/>
      <c r="O2496" s="30"/>
      <c r="P2496" s="30"/>
      <c r="Q2496" s="30"/>
      <c r="R2496" s="30"/>
      <c r="S2496" s="30"/>
      <c r="T2496" s="30"/>
      <c r="U2496" s="30"/>
      <c r="V2496" s="30"/>
      <c r="W2496" s="30"/>
      <c r="X2496" s="30"/>
      <c r="Y2496" s="30"/>
      <c r="Z2496" s="30"/>
      <c r="AA2496" s="30"/>
      <c r="AB2496" s="30"/>
      <c r="AC2496" s="30"/>
      <c r="AD2496" s="30"/>
      <c r="AE2496" s="30"/>
      <c r="AF2496" s="30"/>
      <c r="AG2496" s="30"/>
      <c r="AH2496" s="30"/>
    </row>
    <row r="2497" spans="1:34" ht="13">
      <c r="A2497" s="30"/>
      <c r="B2497" s="30"/>
      <c r="C2497" s="30"/>
      <c r="D2497" s="30"/>
      <c r="E2497" s="30"/>
      <c r="F2497" s="30"/>
      <c r="G2497" s="30"/>
      <c r="H2497" s="48"/>
      <c r="I2497" s="49"/>
      <c r="J2497" s="49"/>
      <c r="K2497" s="48"/>
      <c r="L2497" s="50"/>
      <c r="M2497" s="30"/>
      <c r="N2497" s="30"/>
      <c r="O2497" s="30"/>
      <c r="P2497" s="30"/>
      <c r="Q2497" s="30"/>
      <c r="R2497" s="30"/>
      <c r="S2497" s="30"/>
      <c r="T2497" s="30"/>
      <c r="U2497" s="30"/>
      <c r="V2497" s="30"/>
      <c r="W2497" s="30"/>
      <c r="X2497" s="30"/>
      <c r="Y2497" s="30"/>
      <c r="Z2497" s="30"/>
      <c r="AA2497" s="30"/>
      <c r="AB2497" s="30"/>
      <c r="AC2497" s="30"/>
      <c r="AD2497" s="30"/>
      <c r="AE2497" s="30"/>
      <c r="AF2497" s="30"/>
      <c r="AG2497" s="30"/>
      <c r="AH2497" s="30"/>
    </row>
    <row r="2498" spans="1:34" ht="13">
      <c r="A2498" s="30"/>
      <c r="B2498" s="30"/>
      <c r="C2498" s="30"/>
      <c r="D2498" s="30"/>
      <c r="E2498" s="30"/>
      <c r="F2498" s="30"/>
      <c r="G2498" s="30"/>
      <c r="H2498" s="48"/>
      <c r="I2498" s="49"/>
      <c r="J2498" s="49"/>
      <c r="K2498" s="48"/>
      <c r="L2498" s="50"/>
      <c r="M2498" s="30"/>
      <c r="N2498" s="30"/>
      <c r="O2498" s="30"/>
      <c r="P2498" s="30"/>
      <c r="Q2498" s="30"/>
      <c r="R2498" s="30"/>
      <c r="S2498" s="30"/>
      <c r="T2498" s="30"/>
      <c r="U2498" s="30"/>
      <c r="V2498" s="30"/>
      <c r="W2498" s="30"/>
      <c r="X2498" s="30"/>
      <c r="Y2498" s="30"/>
      <c r="Z2498" s="30"/>
      <c r="AA2498" s="30"/>
      <c r="AB2498" s="30"/>
      <c r="AC2498" s="30"/>
      <c r="AD2498" s="30"/>
      <c r="AE2498" s="30"/>
      <c r="AF2498" s="30"/>
      <c r="AG2498" s="30"/>
      <c r="AH2498" s="30"/>
    </row>
    <row r="2499" spans="1:34" ht="13">
      <c r="A2499" s="30"/>
      <c r="B2499" s="30"/>
      <c r="C2499" s="30"/>
      <c r="D2499" s="30"/>
      <c r="E2499" s="30"/>
      <c r="F2499" s="30"/>
      <c r="G2499" s="30"/>
      <c r="H2499" s="48"/>
      <c r="I2499" s="49"/>
      <c r="J2499" s="49"/>
      <c r="K2499" s="48"/>
      <c r="L2499" s="50"/>
      <c r="M2499" s="30"/>
      <c r="N2499" s="30"/>
      <c r="O2499" s="30"/>
      <c r="P2499" s="30"/>
      <c r="Q2499" s="30"/>
      <c r="R2499" s="30"/>
      <c r="S2499" s="30"/>
      <c r="T2499" s="30"/>
      <c r="U2499" s="30"/>
      <c r="V2499" s="30"/>
      <c r="W2499" s="30"/>
      <c r="X2499" s="30"/>
      <c r="Y2499" s="30"/>
      <c r="Z2499" s="30"/>
      <c r="AA2499" s="30"/>
      <c r="AB2499" s="30"/>
      <c r="AC2499" s="30"/>
      <c r="AD2499" s="30"/>
      <c r="AE2499" s="30"/>
      <c r="AF2499" s="30"/>
      <c r="AG2499" s="30"/>
      <c r="AH2499" s="30"/>
    </row>
    <row r="2500" spans="1:34" ht="13">
      <c r="A2500" s="30"/>
      <c r="B2500" s="30"/>
      <c r="C2500" s="30"/>
      <c r="D2500" s="30"/>
      <c r="E2500" s="30"/>
      <c r="F2500" s="30"/>
      <c r="G2500" s="30"/>
      <c r="H2500" s="48"/>
      <c r="I2500" s="49"/>
      <c r="J2500" s="49"/>
      <c r="K2500" s="48"/>
      <c r="L2500" s="50"/>
      <c r="M2500" s="30"/>
      <c r="N2500" s="30"/>
      <c r="O2500" s="30"/>
      <c r="P2500" s="30"/>
      <c r="Q2500" s="30"/>
      <c r="R2500" s="30"/>
      <c r="S2500" s="30"/>
      <c r="T2500" s="30"/>
      <c r="U2500" s="30"/>
      <c r="V2500" s="30"/>
      <c r="W2500" s="30"/>
      <c r="X2500" s="30"/>
      <c r="Y2500" s="30"/>
      <c r="Z2500" s="30"/>
      <c r="AA2500" s="30"/>
      <c r="AB2500" s="30"/>
      <c r="AC2500" s="30"/>
      <c r="AD2500" s="30"/>
      <c r="AE2500" s="30"/>
      <c r="AF2500" s="30"/>
      <c r="AG2500" s="30"/>
      <c r="AH2500" s="30"/>
    </row>
    <row r="2501" spans="1:34" ht="13">
      <c r="A2501" s="30"/>
      <c r="B2501" s="30"/>
      <c r="C2501" s="30"/>
      <c r="D2501" s="30"/>
      <c r="E2501" s="30"/>
      <c r="F2501" s="30"/>
      <c r="G2501" s="30"/>
      <c r="H2501" s="48"/>
      <c r="I2501" s="49"/>
      <c r="J2501" s="49"/>
      <c r="K2501" s="48"/>
      <c r="L2501" s="50"/>
      <c r="M2501" s="30"/>
      <c r="N2501" s="30"/>
      <c r="O2501" s="30"/>
      <c r="P2501" s="30"/>
      <c r="Q2501" s="30"/>
      <c r="R2501" s="30"/>
      <c r="S2501" s="30"/>
      <c r="T2501" s="30"/>
      <c r="U2501" s="30"/>
      <c r="V2501" s="30"/>
      <c r="W2501" s="30"/>
      <c r="X2501" s="30"/>
      <c r="Y2501" s="30"/>
      <c r="Z2501" s="30"/>
      <c r="AA2501" s="30"/>
      <c r="AB2501" s="30"/>
      <c r="AC2501" s="30"/>
      <c r="AD2501" s="30"/>
      <c r="AE2501" s="30"/>
      <c r="AF2501" s="30"/>
      <c r="AG2501" s="30"/>
      <c r="AH2501" s="30"/>
    </row>
    <row r="2502" spans="1:34" ht="13">
      <c r="A2502" s="30"/>
      <c r="B2502" s="30"/>
      <c r="C2502" s="30"/>
      <c r="D2502" s="30"/>
      <c r="E2502" s="30"/>
      <c r="F2502" s="30"/>
      <c r="G2502" s="30"/>
      <c r="H2502" s="48"/>
      <c r="I2502" s="49"/>
      <c r="J2502" s="49"/>
      <c r="K2502" s="48"/>
      <c r="L2502" s="50"/>
      <c r="M2502" s="30"/>
      <c r="N2502" s="30"/>
      <c r="O2502" s="30"/>
      <c r="P2502" s="30"/>
      <c r="Q2502" s="30"/>
      <c r="R2502" s="30"/>
      <c r="S2502" s="30"/>
      <c r="T2502" s="30"/>
      <c r="U2502" s="30"/>
      <c r="V2502" s="30"/>
      <c r="W2502" s="30"/>
      <c r="X2502" s="30"/>
      <c r="Y2502" s="30"/>
      <c r="Z2502" s="30"/>
      <c r="AA2502" s="30"/>
      <c r="AB2502" s="30"/>
      <c r="AC2502" s="30"/>
      <c r="AD2502" s="30"/>
      <c r="AE2502" s="30"/>
      <c r="AF2502" s="30"/>
      <c r="AG2502" s="30"/>
      <c r="AH2502" s="30"/>
    </row>
    <row r="2503" spans="1:34" ht="13">
      <c r="A2503" s="30"/>
      <c r="B2503" s="30"/>
      <c r="C2503" s="30"/>
      <c r="D2503" s="30"/>
      <c r="E2503" s="30"/>
      <c r="F2503" s="30"/>
      <c r="G2503" s="30"/>
      <c r="H2503" s="48"/>
      <c r="I2503" s="49"/>
      <c r="J2503" s="49"/>
      <c r="K2503" s="48"/>
      <c r="L2503" s="50"/>
      <c r="M2503" s="30"/>
      <c r="N2503" s="30"/>
      <c r="O2503" s="30"/>
      <c r="P2503" s="30"/>
      <c r="Q2503" s="30"/>
      <c r="R2503" s="30"/>
      <c r="S2503" s="30"/>
      <c r="T2503" s="30"/>
      <c r="U2503" s="30"/>
      <c r="V2503" s="30"/>
      <c r="W2503" s="30"/>
      <c r="X2503" s="30"/>
      <c r="Y2503" s="30"/>
      <c r="Z2503" s="30"/>
      <c r="AA2503" s="30"/>
      <c r="AB2503" s="30"/>
      <c r="AC2503" s="30"/>
      <c r="AD2503" s="30"/>
      <c r="AE2503" s="30"/>
      <c r="AF2503" s="30"/>
      <c r="AG2503" s="30"/>
      <c r="AH2503" s="30"/>
    </row>
    <row r="2504" spans="1:34" ht="13">
      <c r="A2504" s="30"/>
      <c r="B2504" s="30"/>
      <c r="C2504" s="30"/>
      <c r="D2504" s="30"/>
      <c r="E2504" s="30"/>
      <c r="F2504" s="30"/>
      <c r="G2504" s="30"/>
      <c r="H2504" s="48"/>
      <c r="I2504" s="49"/>
      <c r="J2504" s="49"/>
      <c r="K2504" s="48"/>
      <c r="L2504" s="50"/>
      <c r="M2504" s="30"/>
      <c r="N2504" s="30"/>
      <c r="O2504" s="30"/>
      <c r="P2504" s="30"/>
      <c r="Q2504" s="30"/>
      <c r="R2504" s="30"/>
      <c r="S2504" s="30"/>
      <c r="T2504" s="30"/>
      <c r="U2504" s="30"/>
      <c r="V2504" s="30"/>
      <c r="W2504" s="30"/>
      <c r="X2504" s="30"/>
      <c r="Y2504" s="30"/>
      <c r="Z2504" s="30"/>
      <c r="AA2504" s="30"/>
      <c r="AB2504" s="30"/>
      <c r="AC2504" s="30"/>
      <c r="AD2504" s="30"/>
      <c r="AE2504" s="30"/>
      <c r="AF2504" s="30"/>
      <c r="AG2504" s="30"/>
      <c r="AH2504" s="30"/>
    </row>
    <row r="2505" spans="1:34" ht="13">
      <c r="A2505" s="30"/>
      <c r="B2505" s="30"/>
      <c r="C2505" s="30"/>
      <c r="D2505" s="30"/>
      <c r="E2505" s="30"/>
      <c r="F2505" s="30"/>
      <c r="G2505" s="30"/>
      <c r="H2505" s="48"/>
      <c r="I2505" s="49"/>
      <c r="J2505" s="49"/>
      <c r="K2505" s="48"/>
      <c r="L2505" s="50"/>
      <c r="M2505" s="30"/>
      <c r="N2505" s="30"/>
      <c r="O2505" s="30"/>
      <c r="P2505" s="30"/>
      <c r="Q2505" s="30"/>
      <c r="R2505" s="30"/>
      <c r="S2505" s="30"/>
      <c r="T2505" s="30"/>
      <c r="U2505" s="30"/>
      <c r="V2505" s="30"/>
      <c r="W2505" s="30"/>
      <c r="X2505" s="30"/>
      <c r="Y2505" s="30"/>
      <c r="Z2505" s="30"/>
      <c r="AA2505" s="30"/>
      <c r="AB2505" s="30"/>
      <c r="AC2505" s="30"/>
      <c r="AD2505" s="30"/>
      <c r="AE2505" s="30"/>
      <c r="AF2505" s="30"/>
      <c r="AG2505" s="30"/>
      <c r="AH2505" s="30"/>
    </row>
    <row r="2506" spans="1:34" ht="13">
      <c r="A2506" s="30"/>
      <c r="B2506" s="30"/>
      <c r="C2506" s="30"/>
      <c r="D2506" s="30"/>
      <c r="E2506" s="30"/>
      <c r="F2506" s="30"/>
      <c r="G2506" s="30"/>
      <c r="H2506" s="48"/>
      <c r="I2506" s="49"/>
      <c r="J2506" s="49"/>
      <c r="K2506" s="48"/>
      <c r="L2506" s="50"/>
      <c r="M2506" s="30"/>
      <c r="N2506" s="30"/>
      <c r="O2506" s="30"/>
      <c r="P2506" s="30"/>
      <c r="Q2506" s="30"/>
      <c r="R2506" s="30"/>
      <c r="S2506" s="30"/>
      <c r="T2506" s="30"/>
      <c r="U2506" s="30"/>
      <c r="V2506" s="30"/>
      <c r="W2506" s="30"/>
      <c r="X2506" s="30"/>
      <c r="Y2506" s="30"/>
      <c r="Z2506" s="30"/>
      <c r="AA2506" s="30"/>
      <c r="AB2506" s="30"/>
      <c r="AC2506" s="30"/>
      <c r="AD2506" s="30"/>
      <c r="AE2506" s="30"/>
      <c r="AF2506" s="30"/>
      <c r="AG2506" s="30"/>
      <c r="AH2506" s="30"/>
    </row>
    <row r="2507" spans="1:34" ht="13">
      <c r="A2507" s="30"/>
      <c r="B2507" s="30"/>
      <c r="C2507" s="30"/>
      <c r="D2507" s="30"/>
      <c r="E2507" s="30"/>
      <c r="F2507" s="30"/>
      <c r="G2507" s="30"/>
      <c r="H2507" s="48"/>
      <c r="I2507" s="49"/>
      <c r="J2507" s="49"/>
      <c r="K2507" s="48"/>
      <c r="L2507" s="50"/>
      <c r="M2507" s="30"/>
      <c r="N2507" s="30"/>
      <c r="O2507" s="30"/>
      <c r="P2507" s="30"/>
      <c r="Q2507" s="30"/>
      <c r="R2507" s="30"/>
      <c r="S2507" s="30"/>
      <c r="T2507" s="30"/>
      <c r="U2507" s="30"/>
      <c r="V2507" s="30"/>
      <c r="W2507" s="30"/>
      <c r="X2507" s="30"/>
      <c r="Y2507" s="30"/>
      <c r="Z2507" s="30"/>
      <c r="AA2507" s="30"/>
      <c r="AB2507" s="30"/>
      <c r="AC2507" s="30"/>
      <c r="AD2507" s="30"/>
      <c r="AE2507" s="30"/>
      <c r="AF2507" s="30"/>
      <c r="AG2507" s="30"/>
      <c r="AH2507" s="30"/>
    </row>
    <row r="2508" spans="1:34" ht="13">
      <c r="A2508" s="30"/>
      <c r="B2508" s="30"/>
      <c r="C2508" s="30"/>
      <c r="D2508" s="30"/>
      <c r="E2508" s="30"/>
      <c r="F2508" s="30"/>
      <c r="G2508" s="30"/>
      <c r="H2508" s="48"/>
      <c r="I2508" s="49"/>
      <c r="J2508" s="49"/>
      <c r="K2508" s="48"/>
      <c r="L2508" s="50"/>
      <c r="M2508" s="30"/>
      <c r="N2508" s="30"/>
      <c r="O2508" s="30"/>
      <c r="P2508" s="30"/>
      <c r="Q2508" s="30"/>
      <c r="R2508" s="30"/>
      <c r="S2508" s="30"/>
      <c r="T2508" s="30"/>
      <c r="U2508" s="30"/>
      <c r="V2508" s="30"/>
      <c r="W2508" s="30"/>
      <c r="X2508" s="30"/>
      <c r="Y2508" s="30"/>
      <c r="Z2508" s="30"/>
      <c r="AA2508" s="30"/>
      <c r="AB2508" s="30"/>
      <c r="AC2508" s="30"/>
      <c r="AD2508" s="30"/>
      <c r="AE2508" s="30"/>
      <c r="AF2508" s="30"/>
      <c r="AG2508" s="30"/>
      <c r="AH2508" s="30"/>
    </row>
    <row r="2509" spans="1:34" ht="13">
      <c r="A2509" s="30"/>
      <c r="B2509" s="30"/>
      <c r="C2509" s="30"/>
      <c r="D2509" s="30"/>
      <c r="E2509" s="30"/>
      <c r="F2509" s="30"/>
      <c r="G2509" s="30"/>
      <c r="H2509" s="48"/>
      <c r="I2509" s="49"/>
      <c r="J2509" s="49"/>
      <c r="K2509" s="48"/>
      <c r="L2509" s="50"/>
      <c r="M2509" s="30"/>
      <c r="N2509" s="30"/>
      <c r="O2509" s="30"/>
      <c r="P2509" s="30"/>
      <c r="Q2509" s="30"/>
      <c r="R2509" s="30"/>
      <c r="S2509" s="30"/>
      <c r="T2509" s="30"/>
      <c r="U2509" s="30"/>
      <c r="V2509" s="30"/>
      <c r="W2509" s="30"/>
      <c r="X2509" s="30"/>
      <c r="Y2509" s="30"/>
      <c r="Z2509" s="30"/>
      <c r="AA2509" s="30"/>
      <c r="AB2509" s="30"/>
      <c r="AC2509" s="30"/>
      <c r="AD2509" s="30"/>
      <c r="AE2509" s="30"/>
      <c r="AF2509" s="30"/>
      <c r="AG2509" s="30"/>
      <c r="AH2509" s="30"/>
    </row>
    <row r="2510" spans="1:34" ht="13">
      <c r="A2510" s="30"/>
      <c r="B2510" s="30"/>
      <c r="C2510" s="30"/>
      <c r="D2510" s="30"/>
      <c r="E2510" s="30"/>
      <c r="F2510" s="30"/>
      <c r="G2510" s="30"/>
      <c r="H2510" s="48"/>
      <c r="I2510" s="49"/>
      <c r="J2510" s="49"/>
      <c r="K2510" s="48"/>
      <c r="L2510" s="50"/>
      <c r="M2510" s="30"/>
      <c r="N2510" s="30"/>
      <c r="O2510" s="30"/>
      <c r="P2510" s="30"/>
      <c r="Q2510" s="30"/>
      <c r="R2510" s="30"/>
      <c r="S2510" s="30"/>
      <c r="T2510" s="30"/>
      <c r="U2510" s="30"/>
      <c r="V2510" s="30"/>
      <c r="W2510" s="30"/>
      <c r="X2510" s="30"/>
      <c r="Y2510" s="30"/>
      <c r="Z2510" s="30"/>
      <c r="AA2510" s="30"/>
      <c r="AB2510" s="30"/>
      <c r="AC2510" s="30"/>
      <c r="AD2510" s="30"/>
      <c r="AE2510" s="30"/>
      <c r="AF2510" s="30"/>
      <c r="AG2510" s="30"/>
      <c r="AH2510" s="30"/>
    </row>
    <row r="2511" spans="1:34" ht="13">
      <c r="A2511" s="30"/>
      <c r="B2511" s="30"/>
      <c r="C2511" s="30"/>
      <c r="D2511" s="30"/>
      <c r="E2511" s="30"/>
      <c r="F2511" s="30"/>
      <c r="G2511" s="30"/>
      <c r="H2511" s="48"/>
      <c r="I2511" s="49"/>
      <c r="J2511" s="49"/>
      <c r="K2511" s="48"/>
      <c r="L2511" s="50"/>
      <c r="M2511" s="30"/>
      <c r="N2511" s="30"/>
      <c r="O2511" s="30"/>
      <c r="P2511" s="30"/>
      <c r="Q2511" s="30"/>
      <c r="R2511" s="30"/>
      <c r="S2511" s="30"/>
      <c r="T2511" s="30"/>
      <c r="U2511" s="30"/>
      <c r="V2511" s="30"/>
      <c r="W2511" s="30"/>
      <c r="X2511" s="30"/>
      <c r="Y2511" s="30"/>
      <c r="Z2511" s="30"/>
      <c r="AA2511" s="30"/>
      <c r="AB2511" s="30"/>
      <c r="AC2511" s="30"/>
      <c r="AD2511" s="30"/>
      <c r="AE2511" s="30"/>
      <c r="AF2511" s="30"/>
      <c r="AG2511" s="30"/>
      <c r="AH2511" s="30"/>
    </row>
    <row r="2512" spans="1:34" ht="13">
      <c r="A2512" s="30"/>
      <c r="B2512" s="30"/>
      <c r="C2512" s="30"/>
      <c r="D2512" s="30"/>
      <c r="E2512" s="30"/>
      <c r="F2512" s="30"/>
      <c r="G2512" s="30"/>
      <c r="H2512" s="48"/>
      <c r="I2512" s="49"/>
      <c r="J2512" s="49"/>
      <c r="K2512" s="48"/>
      <c r="L2512" s="50"/>
      <c r="M2512" s="30"/>
      <c r="N2512" s="30"/>
      <c r="O2512" s="30"/>
      <c r="P2512" s="30"/>
      <c r="Q2512" s="30"/>
      <c r="R2512" s="30"/>
      <c r="S2512" s="30"/>
      <c r="T2512" s="30"/>
      <c r="U2512" s="30"/>
      <c r="V2512" s="30"/>
      <c r="W2512" s="30"/>
      <c r="X2512" s="30"/>
      <c r="Y2512" s="30"/>
      <c r="Z2512" s="30"/>
      <c r="AA2512" s="30"/>
      <c r="AB2512" s="30"/>
      <c r="AC2512" s="30"/>
      <c r="AD2512" s="30"/>
      <c r="AE2512" s="30"/>
      <c r="AF2512" s="30"/>
      <c r="AG2512" s="30"/>
      <c r="AH2512" s="30"/>
    </row>
    <row r="2513" spans="1:34" ht="13">
      <c r="A2513" s="30"/>
      <c r="B2513" s="30"/>
      <c r="C2513" s="30"/>
      <c r="D2513" s="30"/>
      <c r="E2513" s="30"/>
      <c r="F2513" s="30"/>
      <c r="G2513" s="30"/>
      <c r="H2513" s="48"/>
      <c r="I2513" s="49"/>
      <c r="J2513" s="49"/>
      <c r="K2513" s="48"/>
      <c r="L2513" s="50"/>
      <c r="M2513" s="30"/>
      <c r="N2513" s="30"/>
      <c r="O2513" s="30"/>
      <c r="P2513" s="30"/>
      <c r="Q2513" s="30"/>
      <c r="R2513" s="30"/>
      <c r="S2513" s="30"/>
      <c r="T2513" s="30"/>
      <c r="U2513" s="30"/>
      <c r="V2513" s="30"/>
      <c r="W2513" s="30"/>
      <c r="X2513" s="30"/>
      <c r="Y2513" s="30"/>
      <c r="Z2513" s="30"/>
      <c r="AA2513" s="30"/>
      <c r="AB2513" s="30"/>
      <c r="AC2513" s="30"/>
      <c r="AD2513" s="30"/>
      <c r="AE2513" s="30"/>
      <c r="AF2513" s="30"/>
      <c r="AG2513" s="30"/>
      <c r="AH2513" s="30"/>
    </row>
    <row r="2514" spans="1:34" ht="13">
      <c r="A2514" s="30"/>
      <c r="B2514" s="30"/>
      <c r="C2514" s="30"/>
      <c r="D2514" s="30"/>
      <c r="E2514" s="30"/>
      <c r="F2514" s="30"/>
      <c r="G2514" s="30"/>
      <c r="H2514" s="48"/>
      <c r="I2514" s="49"/>
      <c r="J2514" s="49"/>
      <c r="K2514" s="48"/>
      <c r="L2514" s="50"/>
      <c r="M2514" s="30"/>
      <c r="N2514" s="30"/>
      <c r="O2514" s="30"/>
      <c r="P2514" s="30"/>
      <c r="Q2514" s="30"/>
      <c r="R2514" s="30"/>
      <c r="S2514" s="30"/>
      <c r="T2514" s="30"/>
      <c r="U2514" s="30"/>
      <c r="V2514" s="30"/>
      <c r="W2514" s="30"/>
      <c r="X2514" s="30"/>
      <c r="Y2514" s="30"/>
      <c r="Z2514" s="30"/>
      <c r="AA2514" s="30"/>
      <c r="AB2514" s="30"/>
      <c r="AC2514" s="30"/>
      <c r="AD2514" s="30"/>
      <c r="AE2514" s="30"/>
      <c r="AF2514" s="30"/>
      <c r="AG2514" s="30"/>
      <c r="AH2514" s="30"/>
    </row>
    <row r="2515" spans="1:34" ht="13">
      <c r="A2515" s="30"/>
      <c r="B2515" s="30"/>
      <c r="C2515" s="30"/>
      <c r="D2515" s="30"/>
      <c r="E2515" s="30"/>
      <c r="F2515" s="30"/>
      <c r="G2515" s="30"/>
      <c r="H2515" s="48"/>
      <c r="I2515" s="49"/>
      <c r="J2515" s="49"/>
      <c r="K2515" s="48"/>
      <c r="L2515" s="50"/>
      <c r="M2515" s="30"/>
      <c r="N2515" s="30"/>
      <c r="O2515" s="30"/>
      <c r="P2515" s="30"/>
      <c r="Q2515" s="30"/>
      <c r="R2515" s="30"/>
      <c r="S2515" s="30"/>
      <c r="T2515" s="30"/>
      <c r="U2515" s="30"/>
      <c r="V2515" s="30"/>
      <c r="W2515" s="30"/>
      <c r="X2515" s="30"/>
      <c r="Y2515" s="30"/>
      <c r="Z2515" s="30"/>
      <c r="AA2515" s="30"/>
      <c r="AB2515" s="30"/>
      <c r="AC2515" s="30"/>
      <c r="AD2515" s="30"/>
      <c r="AE2515" s="30"/>
      <c r="AF2515" s="30"/>
      <c r="AG2515" s="30"/>
      <c r="AH2515" s="30"/>
    </row>
    <row r="2516" spans="1:34" ht="13">
      <c r="A2516" s="30"/>
      <c r="B2516" s="30"/>
      <c r="C2516" s="30"/>
      <c r="D2516" s="30"/>
      <c r="E2516" s="30"/>
      <c r="F2516" s="30"/>
      <c r="G2516" s="30"/>
      <c r="H2516" s="48"/>
      <c r="I2516" s="49"/>
      <c r="J2516" s="49"/>
      <c r="K2516" s="48"/>
      <c r="L2516" s="50"/>
      <c r="M2516" s="30"/>
      <c r="N2516" s="30"/>
      <c r="O2516" s="30"/>
      <c r="P2516" s="30"/>
      <c r="Q2516" s="30"/>
      <c r="R2516" s="30"/>
      <c r="S2516" s="30"/>
      <c r="T2516" s="30"/>
      <c r="U2516" s="30"/>
      <c r="V2516" s="30"/>
      <c r="W2516" s="30"/>
      <c r="X2516" s="30"/>
      <c r="Y2516" s="30"/>
      <c r="Z2516" s="30"/>
      <c r="AA2516" s="30"/>
      <c r="AB2516" s="30"/>
      <c r="AC2516" s="30"/>
      <c r="AD2516" s="30"/>
      <c r="AE2516" s="30"/>
      <c r="AF2516" s="30"/>
      <c r="AG2516" s="30"/>
      <c r="AH2516" s="30"/>
    </row>
    <row r="2517" spans="1:34" ht="13">
      <c r="A2517" s="30"/>
      <c r="B2517" s="30"/>
      <c r="C2517" s="30"/>
      <c r="D2517" s="30"/>
      <c r="E2517" s="30"/>
      <c r="F2517" s="30"/>
      <c r="G2517" s="30"/>
      <c r="H2517" s="48"/>
      <c r="I2517" s="49"/>
      <c r="J2517" s="49"/>
      <c r="K2517" s="48"/>
      <c r="L2517" s="50"/>
      <c r="M2517" s="30"/>
      <c r="N2517" s="30"/>
      <c r="O2517" s="30"/>
      <c r="P2517" s="30"/>
      <c r="Q2517" s="30"/>
      <c r="R2517" s="30"/>
      <c r="S2517" s="30"/>
      <c r="T2517" s="30"/>
      <c r="U2517" s="30"/>
      <c r="V2517" s="30"/>
      <c r="W2517" s="30"/>
      <c r="X2517" s="30"/>
      <c r="Y2517" s="30"/>
      <c r="Z2517" s="30"/>
      <c r="AA2517" s="30"/>
      <c r="AB2517" s="30"/>
      <c r="AC2517" s="30"/>
      <c r="AD2517" s="30"/>
      <c r="AE2517" s="30"/>
      <c r="AF2517" s="30"/>
      <c r="AG2517" s="30"/>
      <c r="AH2517" s="30"/>
    </row>
    <row r="2518" spans="1:34" ht="13">
      <c r="A2518" s="30"/>
      <c r="B2518" s="30"/>
      <c r="C2518" s="30"/>
      <c r="D2518" s="30"/>
      <c r="E2518" s="30"/>
      <c r="F2518" s="30"/>
      <c r="G2518" s="30"/>
      <c r="H2518" s="48"/>
      <c r="I2518" s="49"/>
      <c r="J2518" s="49"/>
      <c r="K2518" s="48"/>
      <c r="L2518" s="50"/>
      <c r="M2518" s="30"/>
      <c r="N2518" s="30"/>
      <c r="O2518" s="30"/>
      <c r="P2518" s="30"/>
      <c r="Q2518" s="30"/>
      <c r="R2518" s="30"/>
      <c r="S2518" s="30"/>
      <c r="T2518" s="30"/>
      <c r="U2518" s="30"/>
      <c r="V2518" s="30"/>
      <c r="W2518" s="30"/>
      <c r="X2518" s="30"/>
      <c r="Y2518" s="30"/>
      <c r="Z2518" s="30"/>
      <c r="AA2518" s="30"/>
      <c r="AB2518" s="30"/>
      <c r="AC2518" s="30"/>
      <c r="AD2518" s="30"/>
      <c r="AE2518" s="30"/>
      <c r="AF2518" s="30"/>
      <c r="AG2518" s="30"/>
      <c r="AH2518" s="30"/>
    </row>
    <row r="2519" spans="1:34" ht="13">
      <c r="A2519" s="30"/>
      <c r="B2519" s="30"/>
      <c r="C2519" s="30"/>
      <c r="D2519" s="30"/>
      <c r="E2519" s="30"/>
      <c r="F2519" s="30"/>
      <c r="G2519" s="30"/>
      <c r="H2519" s="48"/>
      <c r="I2519" s="49"/>
      <c r="J2519" s="49"/>
      <c r="K2519" s="48"/>
      <c r="L2519" s="50"/>
      <c r="M2519" s="30"/>
      <c r="N2519" s="30"/>
      <c r="O2519" s="30"/>
      <c r="P2519" s="30"/>
      <c r="Q2519" s="30"/>
      <c r="R2519" s="30"/>
      <c r="S2519" s="30"/>
      <c r="T2519" s="30"/>
      <c r="U2519" s="30"/>
      <c r="V2519" s="30"/>
      <c r="W2519" s="30"/>
      <c r="X2519" s="30"/>
      <c r="Y2519" s="30"/>
      <c r="Z2519" s="30"/>
      <c r="AA2519" s="30"/>
      <c r="AB2519" s="30"/>
      <c r="AC2519" s="30"/>
      <c r="AD2519" s="30"/>
      <c r="AE2519" s="30"/>
      <c r="AF2519" s="30"/>
      <c r="AG2519" s="30"/>
      <c r="AH2519" s="30"/>
    </row>
    <row r="2520" spans="1:34" ht="13">
      <c r="A2520" s="30"/>
      <c r="B2520" s="30"/>
      <c r="C2520" s="30"/>
      <c r="D2520" s="30"/>
      <c r="E2520" s="30"/>
      <c r="F2520" s="30"/>
      <c r="G2520" s="30"/>
      <c r="H2520" s="48"/>
      <c r="I2520" s="49"/>
      <c r="J2520" s="49"/>
      <c r="K2520" s="48"/>
      <c r="L2520" s="50"/>
      <c r="M2520" s="30"/>
      <c r="N2520" s="30"/>
      <c r="O2520" s="30"/>
      <c r="P2520" s="30"/>
      <c r="Q2520" s="30"/>
      <c r="R2520" s="30"/>
      <c r="S2520" s="30"/>
      <c r="T2520" s="30"/>
      <c r="U2520" s="30"/>
      <c r="V2520" s="30"/>
      <c r="W2520" s="30"/>
      <c r="X2520" s="30"/>
      <c r="Y2520" s="30"/>
      <c r="Z2520" s="30"/>
      <c r="AA2520" s="30"/>
      <c r="AB2520" s="30"/>
      <c r="AC2520" s="30"/>
      <c r="AD2520" s="30"/>
      <c r="AE2520" s="30"/>
      <c r="AF2520" s="30"/>
      <c r="AG2520" s="30"/>
      <c r="AH2520" s="30"/>
    </row>
    <row r="2521" spans="1:34" ht="13">
      <c r="A2521" s="30"/>
      <c r="B2521" s="30"/>
      <c r="C2521" s="30"/>
      <c r="D2521" s="30"/>
      <c r="E2521" s="30"/>
      <c r="F2521" s="30"/>
      <c r="G2521" s="30"/>
      <c r="H2521" s="48"/>
      <c r="I2521" s="49"/>
      <c r="J2521" s="49"/>
      <c r="K2521" s="48"/>
      <c r="L2521" s="50"/>
      <c r="M2521" s="30"/>
      <c r="N2521" s="30"/>
      <c r="O2521" s="30"/>
      <c r="P2521" s="30"/>
      <c r="Q2521" s="30"/>
      <c r="R2521" s="30"/>
      <c r="S2521" s="30"/>
      <c r="T2521" s="30"/>
      <c r="U2521" s="30"/>
      <c r="V2521" s="30"/>
      <c r="W2521" s="30"/>
      <c r="X2521" s="30"/>
      <c r="Y2521" s="30"/>
      <c r="Z2521" s="30"/>
      <c r="AA2521" s="30"/>
      <c r="AB2521" s="30"/>
      <c r="AC2521" s="30"/>
      <c r="AD2521" s="30"/>
      <c r="AE2521" s="30"/>
      <c r="AF2521" s="30"/>
      <c r="AG2521" s="30"/>
      <c r="AH2521" s="30"/>
    </row>
    <row r="2522" spans="1:34" ht="13">
      <c r="A2522" s="30"/>
      <c r="B2522" s="30"/>
      <c r="C2522" s="30"/>
      <c r="D2522" s="30"/>
      <c r="E2522" s="30"/>
      <c r="F2522" s="30"/>
      <c r="G2522" s="30"/>
      <c r="H2522" s="48"/>
      <c r="I2522" s="49"/>
      <c r="J2522" s="49"/>
      <c r="K2522" s="48"/>
      <c r="L2522" s="50"/>
      <c r="M2522" s="30"/>
      <c r="N2522" s="30"/>
      <c r="O2522" s="30"/>
      <c r="P2522" s="30"/>
      <c r="Q2522" s="30"/>
      <c r="R2522" s="30"/>
      <c r="S2522" s="30"/>
      <c r="T2522" s="30"/>
      <c r="U2522" s="30"/>
      <c r="V2522" s="30"/>
      <c r="W2522" s="30"/>
      <c r="X2522" s="30"/>
      <c r="Y2522" s="30"/>
      <c r="Z2522" s="30"/>
      <c r="AA2522" s="30"/>
      <c r="AB2522" s="30"/>
      <c r="AC2522" s="30"/>
      <c r="AD2522" s="30"/>
      <c r="AE2522" s="30"/>
      <c r="AF2522" s="30"/>
      <c r="AG2522" s="30"/>
      <c r="AH2522" s="30"/>
    </row>
    <row r="2523" spans="1:34" ht="13">
      <c r="A2523" s="30"/>
      <c r="B2523" s="30"/>
      <c r="C2523" s="30"/>
      <c r="D2523" s="30"/>
      <c r="E2523" s="30"/>
      <c r="F2523" s="30"/>
      <c r="G2523" s="30"/>
      <c r="H2523" s="48"/>
      <c r="I2523" s="49"/>
      <c r="J2523" s="49"/>
      <c r="K2523" s="48"/>
      <c r="L2523" s="50"/>
      <c r="M2523" s="30"/>
      <c r="N2523" s="30"/>
      <c r="O2523" s="30"/>
      <c r="P2523" s="30"/>
      <c r="Q2523" s="30"/>
      <c r="R2523" s="30"/>
      <c r="S2523" s="30"/>
      <c r="T2523" s="30"/>
      <c r="U2523" s="30"/>
      <c r="V2523" s="30"/>
      <c r="W2523" s="30"/>
      <c r="X2523" s="30"/>
      <c r="Y2523" s="30"/>
      <c r="Z2523" s="30"/>
      <c r="AA2523" s="30"/>
      <c r="AB2523" s="30"/>
      <c r="AC2523" s="30"/>
      <c r="AD2523" s="30"/>
      <c r="AE2523" s="30"/>
      <c r="AF2523" s="30"/>
      <c r="AG2523" s="30"/>
      <c r="AH2523" s="30"/>
    </row>
    <row r="2524" spans="1:34" ht="13">
      <c r="A2524" s="30"/>
      <c r="B2524" s="30"/>
      <c r="C2524" s="30"/>
      <c r="D2524" s="30"/>
      <c r="E2524" s="30"/>
      <c r="F2524" s="30"/>
      <c r="G2524" s="30"/>
      <c r="H2524" s="48"/>
      <c r="I2524" s="49"/>
      <c r="J2524" s="49"/>
      <c r="K2524" s="48"/>
      <c r="L2524" s="50"/>
      <c r="M2524" s="30"/>
      <c r="N2524" s="30"/>
      <c r="O2524" s="30"/>
      <c r="P2524" s="30"/>
      <c r="Q2524" s="30"/>
      <c r="R2524" s="30"/>
      <c r="S2524" s="30"/>
      <c r="T2524" s="30"/>
      <c r="U2524" s="30"/>
      <c r="V2524" s="30"/>
      <c r="W2524" s="30"/>
      <c r="X2524" s="30"/>
      <c r="Y2524" s="30"/>
      <c r="Z2524" s="30"/>
      <c r="AA2524" s="30"/>
      <c r="AB2524" s="30"/>
      <c r="AC2524" s="30"/>
      <c r="AD2524" s="30"/>
      <c r="AE2524" s="30"/>
      <c r="AF2524" s="30"/>
      <c r="AG2524" s="30"/>
      <c r="AH2524" s="30"/>
    </row>
    <row r="2525" spans="1:34" ht="13">
      <c r="A2525" s="30"/>
      <c r="B2525" s="30"/>
      <c r="C2525" s="30"/>
      <c r="D2525" s="30"/>
      <c r="E2525" s="30"/>
      <c r="F2525" s="30"/>
      <c r="G2525" s="30"/>
      <c r="H2525" s="48"/>
      <c r="I2525" s="49"/>
      <c r="J2525" s="49"/>
      <c r="K2525" s="48"/>
      <c r="L2525" s="50"/>
      <c r="M2525" s="30"/>
      <c r="N2525" s="30"/>
      <c r="O2525" s="30"/>
      <c r="P2525" s="30"/>
      <c r="Q2525" s="30"/>
      <c r="R2525" s="30"/>
      <c r="S2525" s="30"/>
      <c r="T2525" s="30"/>
      <c r="U2525" s="30"/>
      <c r="V2525" s="30"/>
      <c r="W2525" s="30"/>
      <c r="X2525" s="30"/>
      <c r="Y2525" s="30"/>
      <c r="Z2525" s="30"/>
      <c r="AA2525" s="30"/>
      <c r="AB2525" s="30"/>
      <c r="AC2525" s="30"/>
      <c r="AD2525" s="30"/>
      <c r="AE2525" s="30"/>
      <c r="AF2525" s="30"/>
      <c r="AG2525" s="30"/>
      <c r="AH2525" s="30"/>
    </row>
    <row r="2526" spans="1:34" ht="13">
      <c r="A2526" s="30"/>
      <c r="B2526" s="30"/>
      <c r="C2526" s="30"/>
      <c r="D2526" s="30"/>
      <c r="E2526" s="30"/>
      <c r="F2526" s="30"/>
      <c r="G2526" s="30"/>
      <c r="H2526" s="48"/>
      <c r="I2526" s="49"/>
      <c r="J2526" s="49"/>
      <c r="K2526" s="48"/>
      <c r="L2526" s="50"/>
      <c r="M2526" s="30"/>
      <c r="N2526" s="30"/>
      <c r="O2526" s="30"/>
      <c r="P2526" s="30"/>
      <c r="Q2526" s="30"/>
      <c r="R2526" s="30"/>
      <c r="S2526" s="30"/>
      <c r="T2526" s="30"/>
      <c r="U2526" s="30"/>
      <c r="V2526" s="30"/>
      <c r="W2526" s="30"/>
      <c r="X2526" s="30"/>
      <c r="Y2526" s="30"/>
      <c r="Z2526" s="30"/>
      <c r="AA2526" s="30"/>
      <c r="AB2526" s="30"/>
      <c r="AC2526" s="30"/>
      <c r="AD2526" s="30"/>
      <c r="AE2526" s="30"/>
      <c r="AF2526" s="30"/>
      <c r="AG2526" s="30"/>
      <c r="AH2526" s="30"/>
    </row>
    <row r="2527" spans="1:34" ht="13">
      <c r="A2527" s="30"/>
      <c r="B2527" s="30"/>
      <c r="C2527" s="30"/>
      <c r="D2527" s="30"/>
      <c r="E2527" s="30"/>
      <c r="F2527" s="30"/>
      <c r="G2527" s="30"/>
      <c r="H2527" s="48"/>
      <c r="I2527" s="49"/>
      <c r="J2527" s="49"/>
      <c r="K2527" s="48"/>
      <c r="L2527" s="50"/>
      <c r="M2527" s="30"/>
      <c r="N2527" s="30"/>
      <c r="O2527" s="30"/>
      <c r="P2527" s="30"/>
      <c r="Q2527" s="30"/>
      <c r="R2527" s="30"/>
      <c r="S2527" s="30"/>
      <c r="T2527" s="30"/>
      <c r="U2527" s="30"/>
      <c r="V2527" s="30"/>
      <c r="W2527" s="30"/>
      <c r="X2527" s="30"/>
      <c r="Y2527" s="30"/>
      <c r="Z2527" s="30"/>
      <c r="AA2527" s="30"/>
      <c r="AB2527" s="30"/>
      <c r="AC2527" s="30"/>
      <c r="AD2527" s="30"/>
      <c r="AE2527" s="30"/>
      <c r="AF2527" s="30"/>
      <c r="AG2527" s="30"/>
      <c r="AH2527" s="30"/>
    </row>
    <row r="2528" spans="1:34" ht="13">
      <c r="A2528" s="30"/>
      <c r="B2528" s="30"/>
      <c r="C2528" s="30"/>
      <c r="D2528" s="30"/>
      <c r="E2528" s="30"/>
      <c r="F2528" s="30"/>
      <c r="G2528" s="30"/>
      <c r="H2528" s="48"/>
      <c r="I2528" s="49"/>
      <c r="J2528" s="49"/>
      <c r="K2528" s="48"/>
      <c r="L2528" s="50"/>
      <c r="M2528" s="30"/>
      <c r="N2528" s="30"/>
      <c r="O2528" s="30"/>
      <c r="P2528" s="30"/>
      <c r="Q2528" s="30"/>
      <c r="R2528" s="30"/>
      <c r="S2528" s="30"/>
      <c r="T2528" s="30"/>
      <c r="U2528" s="30"/>
      <c r="V2528" s="30"/>
      <c r="W2528" s="30"/>
      <c r="X2528" s="30"/>
      <c r="Y2528" s="30"/>
      <c r="Z2528" s="30"/>
      <c r="AA2528" s="30"/>
      <c r="AB2528" s="30"/>
      <c r="AC2528" s="30"/>
      <c r="AD2528" s="30"/>
      <c r="AE2528" s="30"/>
      <c r="AF2528" s="30"/>
      <c r="AG2528" s="30"/>
      <c r="AH2528" s="30"/>
    </row>
    <row r="2529" spans="1:34" ht="13">
      <c r="A2529" s="30"/>
      <c r="B2529" s="30"/>
      <c r="C2529" s="30"/>
      <c r="D2529" s="30"/>
      <c r="E2529" s="30"/>
      <c r="F2529" s="30"/>
      <c r="G2529" s="30"/>
      <c r="H2529" s="48"/>
      <c r="I2529" s="49"/>
      <c r="J2529" s="49"/>
      <c r="K2529" s="48"/>
      <c r="L2529" s="50"/>
      <c r="M2529" s="30"/>
      <c r="N2529" s="30"/>
      <c r="O2529" s="30"/>
      <c r="P2529" s="30"/>
      <c r="Q2529" s="30"/>
      <c r="R2529" s="30"/>
      <c r="S2529" s="30"/>
      <c r="T2529" s="30"/>
      <c r="U2529" s="30"/>
      <c r="V2529" s="30"/>
      <c r="W2529" s="30"/>
      <c r="X2529" s="30"/>
      <c r="Y2529" s="30"/>
      <c r="Z2529" s="30"/>
      <c r="AA2529" s="30"/>
      <c r="AB2529" s="30"/>
      <c r="AC2529" s="30"/>
      <c r="AD2529" s="30"/>
      <c r="AE2529" s="30"/>
      <c r="AF2529" s="30"/>
      <c r="AG2529" s="30"/>
      <c r="AH2529" s="30"/>
    </row>
    <row r="2530" spans="1:34" ht="13">
      <c r="A2530" s="30"/>
      <c r="B2530" s="30"/>
      <c r="C2530" s="30"/>
      <c r="D2530" s="30"/>
      <c r="E2530" s="30"/>
      <c r="F2530" s="30"/>
      <c r="G2530" s="30"/>
      <c r="H2530" s="48"/>
      <c r="I2530" s="49"/>
      <c r="J2530" s="49"/>
      <c r="K2530" s="48"/>
      <c r="L2530" s="50"/>
      <c r="M2530" s="30"/>
      <c r="N2530" s="30"/>
      <c r="O2530" s="30"/>
      <c r="P2530" s="30"/>
      <c r="Q2530" s="30"/>
      <c r="R2530" s="30"/>
      <c r="S2530" s="30"/>
      <c r="T2530" s="30"/>
      <c r="U2530" s="30"/>
      <c r="V2530" s="30"/>
      <c r="W2530" s="30"/>
      <c r="X2530" s="30"/>
      <c r="Y2530" s="30"/>
      <c r="Z2530" s="30"/>
      <c r="AA2530" s="30"/>
      <c r="AB2530" s="30"/>
      <c r="AC2530" s="30"/>
      <c r="AD2530" s="30"/>
      <c r="AE2530" s="30"/>
      <c r="AF2530" s="30"/>
      <c r="AG2530" s="30"/>
      <c r="AH2530" s="30"/>
    </row>
    <row r="2531" spans="1:34" ht="13">
      <c r="A2531" s="30"/>
      <c r="B2531" s="30"/>
      <c r="C2531" s="30"/>
      <c r="D2531" s="30"/>
      <c r="E2531" s="30"/>
      <c r="F2531" s="30"/>
      <c r="G2531" s="30"/>
      <c r="H2531" s="48"/>
      <c r="I2531" s="49"/>
      <c r="J2531" s="49"/>
      <c r="K2531" s="48"/>
      <c r="L2531" s="50"/>
      <c r="M2531" s="30"/>
      <c r="N2531" s="30"/>
      <c r="O2531" s="30"/>
      <c r="P2531" s="30"/>
      <c r="Q2531" s="30"/>
      <c r="R2531" s="30"/>
      <c r="S2531" s="30"/>
      <c r="T2531" s="30"/>
      <c r="U2531" s="30"/>
      <c r="V2531" s="30"/>
      <c r="W2531" s="30"/>
      <c r="X2531" s="30"/>
      <c r="Y2531" s="30"/>
      <c r="Z2531" s="30"/>
      <c r="AA2531" s="30"/>
      <c r="AB2531" s="30"/>
      <c r="AC2531" s="30"/>
      <c r="AD2531" s="30"/>
      <c r="AE2531" s="30"/>
      <c r="AF2531" s="30"/>
      <c r="AG2531" s="30"/>
      <c r="AH2531" s="30"/>
    </row>
    <row r="2532" spans="1:34" ht="13">
      <c r="A2532" s="30"/>
      <c r="B2532" s="30"/>
      <c r="C2532" s="30"/>
      <c r="D2532" s="30"/>
      <c r="E2532" s="30"/>
      <c r="F2532" s="30"/>
      <c r="G2532" s="30"/>
      <c r="H2532" s="48"/>
      <c r="I2532" s="49"/>
      <c r="J2532" s="49"/>
      <c r="K2532" s="48"/>
      <c r="L2532" s="50"/>
      <c r="M2532" s="30"/>
      <c r="N2532" s="30"/>
      <c r="O2532" s="30"/>
      <c r="P2532" s="30"/>
      <c r="Q2532" s="30"/>
      <c r="R2532" s="30"/>
      <c r="S2532" s="30"/>
      <c r="T2532" s="30"/>
      <c r="U2532" s="30"/>
      <c r="V2532" s="30"/>
      <c r="W2532" s="30"/>
      <c r="X2532" s="30"/>
      <c r="Y2532" s="30"/>
      <c r="Z2532" s="30"/>
      <c r="AA2532" s="30"/>
      <c r="AB2532" s="30"/>
      <c r="AC2532" s="30"/>
      <c r="AD2532" s="30"/>
      <c r="AE2532" s="30"/>
      <c r="AF2532" s="30"/>
      <c r="AG2532" s="30"/>
      <c r="AH2532" s="30"/>
    </row>
    <row r="2533" spans="1:34" ht="13">
      <c r="A2533" s="30"/>
      <c r="B2533" s="30"/>
      <c r="C2533" s="30"/>
      <c r="D2533" s="30"/>
      <c r="E2533" s="30"/>
      <c r="F2533" s="30"/>
      <c r="G2533" s="30"/>
      <c r="H2533" s="48"/>
      <c r="I2533" s="49"/>
      <c r="J2533" s="49"/>
      <c r="K2533" s="48"/>
      <c r="L2533" s="50"/>
      <c r="M2533" s="30"/>
      <c r="N2533" s="30"/>
      <c r="O2533" s="30"/>
      <c r="P2533" s="30"/>
      <c r="Q2533" s="30"/>
      <c r="R2533" s="30"/>
      <c r="S2533" s="30"/>
      <c r="T2533" s="30"/>
      <c r="U2533" s="30"/>
      <c r="V2533" s="30"/>
      <c r="W2533" s="30"/>
      <c r="X2533" s="30"/>
      <c r="Y2533" s="30"/>
      <c r="Z2533" s="30"/>
      <c r="AA2533" s="30"/>
      <c r="AB2533" s="30"/>
      <c r="AC2533" s="30"/>
      <c r="AD2533" s="30"/>
      <c r="AE2533" s="30"/>
      <c r="AF2533" s="30"/>
      <c r="AG2533" s="30"/>
      <c r="AH2533" s="30"/>
    </row>
    <row r="2534" spans="1:34" ht="13">
      <c r="A2534" s="30"/>
      <c r="B2534" s="30"/>
      <c r="C2534" s="30"/>
      <c r="D2534" s="30"/>
      <c r="E2534" s="30"/>
      <c r="F2534" s="30"/>
      <c r="G2534" s="30"/>
      <c r="H2534" s="48"/>
      <c r="I2534" s="49"/>
      <c r="J2534" s="49"/>
      <c r="K2534" s="48"/>
      <c r="L2534" s="50"/>
      <c r="M2534" s="30"/>
      <c r="N2534" s="30"/>
      <c r="O2534" s="30"/>
      <c r="P2534" s="30"/>
      <c r="Q2534" s="30"/>
      <c r="R2534" s="30"/>
      <c r="S2534" s="30"/>
      <c r="T2534" s="30"/>
      <c r="U2534" s="30"/>
      <c r="V2534" s="30"/>
      <c r="W2534" s="30"/>
      <c r="X2534" s="30"/>
      <c r="Y2534" s="30"/>
      <c r="Z2534" s="30"/>
      <c r="AA2534" s="30"/>
      <c r="AB2534" s="30"/>
      <c r="AC2534" s="30"/>
      <c r="AD2534" s="30"/>
      <c r="AE2534" s="30"/>
      <c r="AF2534" s="30"/>
      <c r="AG2534" s="30"/>
      <c r="AH2534" s="30"/>
    </row>
    <row r="2535" spans="1:34" ht="13">
      <c r="A2535" s="30"/>
      <c r="B2535" s="30"/>
      <c r="C2535" s="30"/>
      <c r="D2535" s="30"/>
      <c r="E2535" s="30"/>
      <c r="F2535" s="30"/>
      <c r="G2535" s="30"/>
      <c r="H2535" s="48"/>
      <c r="I2535" s="49"/>
      <c r="J2535" s="49"/>
      <c r="K2535" s="48"/>
      <c r="L2535" s="50"/>
      <c r="M2535" s="30"/>
      <c r="N2535" s="30"/>
      <c r="O2535" s="30"/>
      <c r="P2535" s="30"/>
      <c r="Q2535" s="30"/>
      <c r="R2535" s="30"/>
      <c r="S2535" s="30"/>
      <c r="T2535" s="30"/>
      <c r="U2535" s="30"/>
      <c r="V2535" s="30"/>
      <c r="W2535" s="30"/>
      <c r="X2535" s="30"/>
      <c r="Y2535" s="30"/>
      <c r="Z2535" s="30"/>
      <c r="AA2535" s="30"/>
      <c r="AB2535" s="30"/>
      <c r="AC2535" s="30"/>
      <c r="AD2535" s="30"/>
      <c r="AE2535" s="30"/>
      <c r="AF2535" s="30"/>
      <c r="AG2535" s="30"/>
      <c r="AH2535" s="30"/>
    </row>
    <row r="2536" spans="1:34" ht="13">
      <c r="A2536" s="30"/>
      <c r="B2536" s="30"/>
      <c r="C2536" s="30"/>
      <c r="D2536" s="30"/>
      <c r="E2536" s="30"/>
      <c r="F2536" s="30"/>
      <c r="G2536" s="30"/>
      <c r="H2536" s="48"/>
      <c r="I2536" s="49"/>
      <c r="J2536" s="49"/>
      <c r="K2536" s="48"/>
      <c r="L2536" s="50"/>
      <c r="M2536" s="30"/>
      <c r="N2536" s="30"/>
      <c r="O2536" s="30"/>
      <c r="P2536" s="30"/>
      <c r="Q2536" s="30"/>
      <c r="R2536" s="30"/>
      <c r="S2536" s="30"/>
      <c r="T2536" s="30"/>
      <c r="U2536" s="30"/>
      <c r="V2536" s="30"/>
      <c r="W2536" s="30"/>
      <c r="X2536" s="30"/>
      <c r="Y2536" s="30"/>
      <c r="Z2536" s="30"/>
      <c r="AA2536" s="30"/>
      <c r="AB2536" s="30"/>
      <c r="AC2536" s="30"/>
      <c r="AD2536" s="30"/>
      <c r="AE2536" s="30"/>
      <c r="AF2536" s="30"/>
      <c r="AG2536" s="30"/>
      <c r="AH2536" s="30"/>
    </row>
    <row r="2537" spans="1:34" ht="13">
      <c r="A2537" s="30"/>
      <c r="B2537" s="30"/>
      <c r="C2537" s="30"/>
      <c r="D2537" s="30"/>
      <c r="E2537" s="30"/>
      <c r="F2537" s="30"/>
      <c r="G2537" s="30"/>
      <c r="H2537" s="48"/>
      <c r="I2537" s="49"/>
      <c r="J2537" s="49"/>
      <c r="K2537" s="48"/>
      <c r="L2537" s="50"/>
      <c r="M2537" s="30"/>
      <c r="N2537" s="30"/>
      <c r="O2537" s="30"/>
      <c r="P2537" s="30"/>
      <c r="Q2537" s="30"/>
      <c r="R2537" s="30"/>
      <c r="S2537" s="30"/>
      <c r="T2537" s="30"/>
      <c r="U2537" s="30"/>
      <c r="V2537" s="30"/>
      <c r="W2537" s="30"/>
      <c r="X2537" s="30"/>
      <c r="Y2537" s="30"/>
      <c r="Z2537" s="30"/>
      <c r="AA2537" s="30"/>
      <c r="AB2537" s="30"/>
      <c r="AC2537" s="30"/>
      <c r="AD2537" s="30"/>
      <c r="AE2537" s="30"/>
      <c r="AF2537" s="30"/>
      <c r="AG2537" s="30"/>
      <c r="AH2537" s="30"/>
    </row>
    <row r="2538" spans="1:34" ht="13">
      <c r="A2538" s="30"/>
      <c r="B2538" s="30"/>
      <c r="C2538" s="30"/>
      <c r="D2538" s="30"/>
      <c r="E2538" s="30"/>
      <c r="F2538" s="30"/>
      <c r="G2538" s="30"/>
      <c r="H2538" s="48"/>
      <c r="I2538" s="49"/>
      <c r="J2538" s="49"/>
      <c r="K2538" s="48"/>
      <c r="L2538" s="50"/>
      <c r="M2538" s="30"/>
      <c r="N2538" s="30"/>
      <c r="O2538" s="30"/>
      <c r="P2538" s="30"/>
      <c r="Q2538" s="30"/>
      <c r="R2538" s="30"/>
      <c r="S2538" s="30"/>
      <c r="T2538" s="30"/>
      <c r="U2538" s="30"/>
      <c r="V2538" s="30"/>
      <c r="W2538" s="30"/>
      <c r="X2538" s="30"/>
      <c r="Y2538" s="30"/>
      <c r="Z2538" s="30"/>
      <c r="AA2538" s="30"/>
      <c r="AB2538" s="30"/>
      <c r="AC2538" s="30"/>
      <c r="AD2538" s="30"/>
      <c r="AE2538" s="30"/>
      <c r="AF2538" s="30"/>
      <c r="AG2538" s="30"/>
      <c r="AH2538" s="30"/>
    </row>
    <row r="2539" spans="1:34" ht="13">
      <c r="A2539" s="30"/>
      <c r="B2539" s="30"/>
      <c r="C2539" s="30"/>
      <c r="D2539" s="30"/>
      <c r="E2539" s="30"/>
      <c r="F2539" s="30"/>
      <c r="G2539" s="30"/>
      <c r="H2539" s="48"/>
      <c r="I2539" s="49"/>
      <c r="J2539" s="49"/>
      <c r="K2539" s="48"/>
      <c r="L2539" s="50"/>
      <c r="M2539" s="30"/>
      <c r="N2539" s="30"/>
      <c r="O2539" s="30"/>
      <c r="P2539" s="30"/>
      <c r="Q2539" s="30"/>
      <c r="R2539" s="30"/>
      <c r="S2539" s="30"/>
      <c r="T2539" s="30"/>
      <c r="U2539" s="30"/>
      <c r="V2539" s="30"/>
      <c r="W2539" s="30"/>
      <c r="X2539" s="30"/>
      <c r="Y2539" s="30"/>
      <c r="Z2539" s="30"/>
      <c r="AA2539" s="30"/>
      <c r="AB2539" s="30"/>
      <c r="AC2539" s="30"/>
      <c r="AD2539" s="30"/>
      <c r="AE2539" s="30"/>
      <c r="AF2539" s="30"/>
      <c r="AG2539" s="30"/>
      <c r="AH2539" s="30"/>
    </row>
    <row r="2540" spans="1:34" ht="13">
      <c r="A2540" s="30"/>
      <c r="B2540" s="30"/>
      <c r="C2540" s="30"/>
      <c r="D2540" s="30"/>
      <c r="E2540" s="30"/>
      <c r="F2540" s="30"/>
      <c r="G2540" s="30"/>
      <c r="H2540" s="48"/>
      <c r="I2540" s="49"/>
      <c r="J2540" s="49"/>
      <c r="K2540" s="48"/>
      <c r="L2540" s="50"/>
      <c r="M2540" s="30"/>
      <c r="N2540" s="30"/>
      <c r="O2540" s="30"/>
      <c r="P2540" s="30"/>
      <c r="Q2540" s="30"/>
      <c r="R2540" s="30"/>
      <c r="S2540" s="30"/>
      <c r="T2540" s="30"/>
      <c r="U2540" s="30"/>
      <c r="V2540" s="30"/>
      <c r="W2540" s="30"/>
      <c r="X2540" s="30"/>
      <c r="Y2540" s="30"/>
      <c r="Z2540" s="30"/>
      <c r="AA2540" s="30"/>
      <c r="AB2540" s="30"/>
      <c r="AC2540" s="30"/>
      <c r="AD2540" s="30"/>
      <c r="AE2540" s="30"/>
      <c r="AF2540" s="30"/>
      <c r="AG2540" s="30"/>
      <c r="AH2540" s="30"/>
    </row>
    <row r="2541" spans="1:34" ht="13">
      <c r="A2541" s="30"/>
      <c r="B2541" s="30"/>
      <c r="C2541" s="30"/>
      <c r="D2541" s="30"/>
      <c r="E2541" s="30"/>
      <c r="F2541" s="30"/>
      <c r="G2541" s="30"/>
      <c r="H2541" s="48"/>
      <c r="I2541" s="49"/>
      <c r="J2541" s="49"/>
      <c r="K2541" s="48"/>
      <c r="L2541" s="50"/>
      <c r="M2541" s="30"/>
      <c r="N2541" s="30"/>
      <c r="O2541" s="30"/>
      <c r="P2541" s="30"/>
      <c r="Q2541" s="30"/>
      <c r="R2541" s="30"/>
      <c r="S2541" s="30"/>
      <c r="T2541" s="30"/>
      <c r="U2541" s="30"/>
      <c r="V2541" s="30"/>
      <c r="W2541" s="30"/>
      <c r="X2541" s="30"/>
      <c r="Y2541" s="30"/>
      <c r="Z2541" s="30"/>
      <c r="AA2541" s="30"/>
      <c r="AB2541" s="30"/>
      <c r="AC2541" s="30"/>
      <c r="AD2541" s="30"/>
      <c r="AE2541" s="30"/>
      <c r="AF2541" s="30"/>
      <c r="AG2541" s="30"/>
      <c r="AH2541" s="30"/>
    </row>
    <row r="2542" spans="1:34" ht="13">
      <c r="A2542" s="30"/>
      <c r="B2542" s="30"/>
      <c r="C2542" s="30"/>
      <c r="D2542" s="30"/>
      <c r="E2542" s="30"/>
      <c r="F2542" s="30"/>
      <c r="G2542" s="30"/>
      <c r="H2542" s="48"/>
      <c r="I2542" s="49"/>
      <c r="J2542" s="49"/>
      <c r="K2542" s="48"/>
      <c r="L2542" s="50"/>
      <c r="M2542" s="30"/>
      <c r="N2542" s="30"/>
      <c r="O2542" s="30"/>
      <c r="P2542" s="30"/>
      <c r="Q2542" s="30"/>
      <c r="R2542" s="30"/>
      <c r="S2542" s="30"/>
      <c r="T2542" s="30"/>
      <c r="U2542" s="30"/>
      <c r="V2542" s="30"/>
      <c r="W2542" s="30"/>
      <c r="X2542" s="30"/>
      <c r="Y2542" s="30"/>
      <c r="Z2542" s="30"/>
      <c r="AA2542" s="30"/>
      <c r="AB2542" s="30"/>
      <c r="AC2542" s="30"/>
      <c r="AD2542" s="30"/>
      <c r="AE2542" s="30"/>
      <c r="AF2542" s="30"/>
      <c r="AG2542" s="30"/>
      <c r="AH2542" s="30"/>
    </row>
    <row r="2543" spans="1:34" ht="13">
      <c r="A2543" s="30"/>
      <c r="B2543" s="30"/>
      <c r="C2543" s="30"/>
      <c r="D2543" s="30"/>
      <c r="E2543" s="30"/>
      <c r="F2543" s="30"/>
      <c r="G2543" s="30"/>
      <c r="H2543" s="48"/>
      <c r="I2543" s="49"/>
      <c r="J2543" s="49"/>
      <c r="K2543" s="48"/>
      <c r="L2543" s="50"/>
      <c r="M2543" s="30"/>
      <c r="N2543" s="30"/>
      <c r="O2543" s="30"/>
      <c r="P2543" s="30"/>
      <c r="Q2543" s="30"/>
      <c r="R2543" s="30"/>
      <c r="S2543" s="30"/>
      <c r="T2543" s="30"/>
      <c r="U2543" s="30"/>
      <c r="V2543" s="30"/>
      <c r="W2543" s="30"/>
      <c r="X2543" s="30"/>
      <c r="Y2543" s="30"/>
      <c r="Z2543" s="30"/>
      <c r="AA2543" s="30"/>
      <c r="AB2543" s="30"/>
      <c r="AC2543" s="30"/>
      <c r="AD2543" s="30"/>
      <c r="AE2543" s="30"/>
      <c r="AF2543" s="30"/>
      <c r="AG2543" s="30"/>
      <c r="AH2543" s="30"/>
    </row>
    <row r="2544" spans="1:34" ht="13">
      <c r="A2544" s="30"/>
      <c r="B2544" s="30"/>
      <c r="C2544" s="30"/>
      <c r="D2544" s="30"/>
      <c r="E2544" s="30"/>
      <c r="F2544" s="30"/>
      <c r="G2544" s="30"/>
      <c r="H2544" s="48"/>
      <c r="I2544" s="49"/>
      <c r="J2544" s="49"/>
      <c r="K2544" s="48"/>
      <c r="L2544" s="50"/>
      <c r="M2544" s="30"/>
      <c r="N2544" s="30"/>
      <c r="O2544" s="30"/>
      <c r="P2544" s="30"/>
      <c r="Q2544" s="30"/>
      <c r="R2544" s="30"/>
      <c r="S2544" s="30"/>
      <c r="T2544" s="30"/>
      <c r="U2544" s="30"/>
      <c r="V2544" s="30"/>
      <c r="W2544" s="30"/>
      <c r="X2544" s="30"/>
      <c r="Y2544" s="30"/>
      <c r="Z2544" s="30"/>
      <c r="AA2544" s="30"/>
      <c r="AB2544" s="30"/>
      <c r="AC2544" s="30"/>
      <c r="AD2544" s="30"/>
      <c r="AE2544" s="30"/>
      <c r="AF2544" s="30"/>
      <c r="AG2544" s="30"/>
      <c r="AH2544" s="30"/>
    </row>
    <row r="2545" spans="1:34" ht="13">
      <c r="A2545" s="30"/>
      <c r="B2545" s="30"/>
      <c r="C2545" s="30"/>
      <c r="D2545" s="30"/>
      <c r="E2545" s="30"/>
      <c r="F2545" s="30"/>
      <c r="G2545" s="30"/>
      <c r="H2545" s="48"/>
      <c r="I2545" s="49"/>
      <c r="J2545" s="49"/>
      <c r="K2545" s="48"/>
      <c r="L2545" s="50"/>
      <c r="M2545" s="30"/>
      <c r="N2545" s="30"/>
      <c r="O2545" s="30"/>
      <c r="P2545" s="30"/>
      <c r="Q2545" s="30"/>
      <c r="R2545" s="30"/>
      <c r="S2545" s="30"/>
      <c r="T2545" s="30"/>
      <c r="U2545" s="30"/>
      <c r="V2545" s="30"/>
      <c r="W2545" s="30"/>
      <c r="X2545" s="30"/>
      <c r="Y2545" s="30"/>
      <c r="Z2545" s="30"/>
      <c r="AA2545" s="30"/>
      <c r="AB2545" s="30"/>
      <c r="AC2545" s="30"/>
      <c r="AD2545" s="30"/>
      <c r="AE2545" s="30"/>
      <c r="AF2545" s="30"/>
      <c r="AG2545" s="30"/>
      <c r="AH2545" s="30"/>
    </row>
    <row r="2546" spans="1:34" ht="13">
      <c r="A2546" s="30"/>
      <c r="B2546" s="30"/>
      <c r="C2546" s="30"/>
      <c r="D2546" s="30"/>
      <c r="E2546" s="30"/>
      <c r="F2546" s="30"/>
      <c r="G2546" s="30"/>
      <c r="H2546" s="48"/>
      <c r="I2546" s="49"/>
      <c r="J2546" s="49"/>
      <c r="K2546" s="48"/>
      <c r="L2546" s="50"/>
      <c r="M2546" s="30"/>
      <c r="N2546" s="30"/>
      <c r="O2546" s="30"/>
      <c r="P2546" s="30"/>
      <c r="Q2546" s="30"/>
      <c r="R2546" s="30"/>
      <c r="S2546" s="30"/>
      <c r="T2546" s="30"/>
      <c r="U2546" s="30"/>
      <c r="V2546" s="30"/>
      <c r="W2546" s="30"/>
      <c r="X2546" s="30"/>
      <c r="Y2546" s="30"/>
      <c r="Z2546" s="30"/>
      <c r="AA2546" s="30"/>
      <c r="AB2546" s="30"/>
      <c r="AC2546" s="30"/>
      <c r="AD2546" s="30"/>
      <c r="AE2546" s="30"/>
      <c r="AF2546" s="30"/>
      <c r="AG2546" s="30"/>
      <c r="AH2546" s="30"/>
    </row>
    <row r="2547" spans="1:34" ht="13">
      <c r="A2547" s="30"/>
      <c r="B2547" s="30"/>
      <c r="C2547" s="30"/>
      <c r="D2547" s="30"/>
      <c r="E2547" s="30"/>
      <c r="F2547" s="30"/>
      <c r="G2547" s="30"/>
      <c r="H2547" s="48"/>
      <c r="I2547" s="49"/>
      <c r="J2547" s="49"/>
      <c r="K2547" s="48"/>
      <c r="L2547" s="50"/>
      <c r="M2547" s="30"/>
      <c r="N2547" s="30"/>
      <c r="O2547" s="30"/>
      <c r="P2547" s="30"/>
      <c r="Q2547" s="30"/>
      <c r="R2547" s="30"/>
      <c r="S2547" s="30"/>
      <c r="T2547" s="30"/>
      <c r="U2547" s="30"/>
      <c r="V2547" s="30"/>
      <c r="W2547" s="30"/>
      <c r="X2547" s="30"/>
      <c r="Y2547" s="30"/>
      <c r="Z2547" s="30"/>
      <c r="AA2547" s="30"/>
      <c r="AB2547" s="30"/>
      <c r="AC2547" s="30"/>
      <c r="AD2547" s="30"/>
      <c r="AE2547" s="30"/>
      <c r="AF2547" s="30"/>
      <c r="AG2547" s="30"/>
      <c r="AH2547" s="30"/>
    </row>
    <row r="2548" spans="1:34" ht="13">
      <c r="A2548" s="30"/>
      <c r="B2548" s="30"/>
      <c r="C2548" s="30"/>
      <c r="D2548" s="30"/>
      <c r="E2548" s="30"/>
      <c r="F2548" s="30"/>
      <c r="G2548" s="30"/>
      <c r="H2548" s="48"/>
      <c r="I2548" s="49"/>
      <c r="J2548" s="49"/>
      <c r="K2548" s="48"/>
      <c r="L2548" s="50"/>
      <c r="M2548" s="30"/>
      <c r="N2548" s="30"/>
      <c r="O2548" s="30"/>
      <c r="P2548" s="30"/>
      <c r="Q2548" s="30"/>
      <c r="R2548" s="30"/>
      <c r="S2548" s="30"/>
      <c r="T2548" s="30"/>
      <c r="U2548" s="30"/>
      <c r="V2548" s="30"/>
      <c r="W2548" s="30"/>
      <c r="X2548" s="30"/>
      <c r="Y2548" s="30"/>
      <c r="Z2548" s="30"/>
      <c r="AA2548" s="30"/>
      <c r="AB2548" s="30"/>
      <c r="AC2548" s="30"/>
      <c r="AD2548" s="30"/>
      <c r="AE2548" s="30"/>
      <c r="AF2548" s="30"/>
      <c r="AG2548" s="30"/>
      <c r="AH2548" s="30"/>
    </row>
    <row r="2549" spans="1:34" ht="13">
      <c r="A2549" s="30"/>
      <c r="B2549" s="30"/>
      <c r="C2549" s="30"/>
      <c r="D2549" s="30"/>
      <c r="E2549" s="30"/>
      <c r="F2549" s="30"/>
      <c r="G2549" s="30"/>
      <c r="H2549" s="48"/>
      <c r="I2549" s="49"/>
      <c r="J2549" s="49"/>
      <c r="K2549" s="48"/>
      <c r="L2549" s="50"/>
      <c r="M2549" s="30"/>
      <c r="N2549" s="30"/>
      <c r="O2549" s="30"/>
      <c r="P2549" s="30"/>
      <c r="Q2549" s="30"/>
      <c r="R2549" s="30"/>
      <c r="S2549" s="30"/>
      <c r="T2549" s="30"/>
      <c r="U2549" s="30"/>
      <c r="V2549" s="30"/>
      <c r="W2549" s="30"/>
      <c r="X2549" s="30"/>
      <c r="Y2549" s="30"/>
      <c r="Z2549" s="30"/>
      <c r="AA2549" s="30"/>
      <c r="AB2549" s="30"/>
      <c r="AC2549" s="30"/>
      <c r="AD2549" s="30"/>
      <c r="AE2549" s="30"/>
      <c r="AF2549" s="30"/>
      <c r="AG2549" s="30"/>
      <c r="AH2549" s="30"/>
    </row>
    <row r="2550" spans="1:34" ht="13">
      <c r="A2550" s="30"/>
      <c r="B2550" s="30"/>
      <c r="C2550" s="30"/>
      <c r="D2550" s="30"/>
      <c r="E2550" s="30"/>
      <c r="F2550" s="30"/>
      <c r="G2550" s="30"/>
      <c r="H2550" s="48"/>
      <c r="I2550" s="49"/>
      <c r="J2550" s="49"/>
      <c r="K2550" s="48"/>
      <c r="L2550" s="50"/>
      <c r="M2550" s="30"/>
      <c r="N2550" s="30"/>
      <c r="O2550" s="30"/>
      <c r="P2550" s="30"/>
      <c r="Q2550" s="30"/>
      <c r="R2550" s="30"/>
      <c r="S2550" s="30"/>
      <c r="T2550" s="30"/>
      <c r="U2550" s="30"/>
      <c r="V2550" s="30"/>
      <c r="W2550" s="30"/>
      <c r="X2550" s="30"/>
      <c r="Y2550" s="30"/>
      <c r="Z2550" s="30"/>
      <c r="AA2550" s="30"/>
      <c r="AB2550" s="30"/>
      <c r="AC2550" s="30"/>
      <c r="AD2550" s="30"/>
      <c r="AE2550" s="30"/>
      <c r="AF2550" s="30"/>
      <c r="AG2550" s="30"/>
      <c r="AH2550" s="30"/>
    </row>
    <row r="2551" spans="1:34" ht="13">
      <c r="A2551" s="30"/>
      <c r="B2551" s="30"/>
      <c r="C2551" s="30"/>
      <c r="D2551" s="30"/>
      <c r="E2551" s="30"/>
      <c r="F2551" s="30"/>
      <c r="G2551" s="30"/>
      <c r="H2551" s="48"/>
      <c r="I2551" s="49"/>
      <c r="J2551" s="49"/>
      <c r="K2551" s="48"/>
      <c r="L2551" s="50"/>
      <c r="M2551" s="30"/>
      <c r="N2551" s="30"/>
      <c r="O2551" s="30"/>
      <c r="P2551" s="30"/>
      <c r="Q2551" s="30"/>
      <c r="R2551" s="30"/>
      <c r="S2551" s="30"/>
      <c r="T2551" s="30"/>
      <c r="U2551" s="30"/>
      <c r="V2551" s="30"/>
      <c r="W2551" s="30"/>
      <c r="X2551" s="30"/>
      <c r="Y2551" s="30"/>
      <c r="Z2551" s="30"/>
      <c r="AA2551" s="30"/>
      <c r="AB2551" s="30"/>
      <c r="AC2551" s="30"/>
      <c r="AD2551" s="30"/>
      <c r="AE2551" s="30"/>
      <c r="AF2551" s="30"/>
      <c r="AG2551" s="30"/>
      <c r="AH2551" s="30"/>
    </row>
    <row r="2552" spans="1:34" ht="13">
      <c r="A2552" s="30"/>
      <c r="B2552" s="30"/>
      <c r="C2552" s="30"/>
      <c r="D2552" s="30"/>
      <c r="E2552" s="30"/>
      <c r="F2552" s="30"/>
      <c r="G2552" s="30"/>
      <c r="H2552" s="48"/>
      <c r="I2552" s="49"/>
      <c r="J2552" s="49"/>
      <c r="K2552" s="48"/>
      <c r="L2552" s="50"/>
      <c r="M2552" s="30"/>
      <c r="N2552" s="30"/>
      <c r="O2552" s="30"/>
      <c r="P2552" s="30"/>
      <c r="Q2552" s="30"/>
      <c r="R2552" s="30"/>
      <c r="S2552" s="30"/>
      <c r="T2552" s="30"/>
      <c r="U2552" s="30"/>
      <c r="V2552" s="30"/>
      <c r="W2552" s="30"/>
      <c r="X2552" s="30"/>
      <c r="Y2552" s="30"/>
      <c r="Z2552" s="30"/>
      <c r="AA2552" s="30"/>
      <c r="AB2552" s="30"/>
      <c r="AC2552" s="30"/>
      <c r="AD2552" s="30"/>
      <c r="AE2552" s="30"/>
      <c r="AF2552" s="30"/>
      <c r="AG2552" s="30"/>
      <c r="AH2552" s="30"/>
    </row>
    <row r="2553" spans="1:34" ht="13">
      <c r="A2553" s="30"/>
      <c r="B2553" s="30"/>
      <c r="C2553" s="30"/>
      <c r="D2553" s="30"/>
      <c r="E2553" s="30"/>
      <c r="F2553" s="30"/>
      <c r="G2553" s="30"/>
      <c r="H2553" s="48"/>
      <c r="I2553" s="49"/>
      <c r="J2553" s="49"/>
      <c r="K2553" s="48"/>
      <c r="L2553" s="50"/>
      <c r="M2553" s="30"/>
      <c r="N2553" s="30"/>
      <c r="O2553" s="30"/>
      <c r="P2553" s="30"/>
      <c r="Q2553" s="30"/>
      <c r="R2553" s="30"/>
      <c r="S2553" s="30"/>
      <c r="T2553" s="30"/>
      <c r="U2553" s="30"/>
      <c r="V2553" s="30"/>
      <c r="W2553" s="30"/>
      <c r="X2553" s="30"/>
      <c r="Y2553" s="30"/>
      <c r="Z2553" s="30"/>
      <c r="AA2553" s="30"/>
      <c r="AB2553" s="30"/>
      <c r="AC2553" s="30"/>
      <c r="AD2553" s="30"/>
      <c r="AE2553" s="30"/>
      <c r="AF2553" s="30"/>
      <c r="AG2553" s="30"/>
      <c r="AH2553" s="30"/>
    </row>
    <row r="2554" spans="1:34" ht="13">
      <c r="A2554" s="30"/>
      <c r="B2554" s="30"/>
      <c r="C2554" s="30"/>
      <c r="D2554" s="30"/>
      <c r="E2554" s="30"/>
      <c r="F2554" s="30"/>
      <c r="G2554" s="30"/>
      <c r="H2554" s="48"/>
      <c r="I2554" s="49"/>
      <c r="J2554" s="49"/>
      <c r="K2554" s="48"/>
      <c r="L2554" s="50"/>
      <c r="M2554" s="30"/>
      <c r="N2554" s="30"/>
      <c r="O2554" s="30"/>
      <c r="P2554" s="30"/>
      <c r="Q2554" s="30"/>
      <c r="R2554" s="30"/>
      <c r="S2554" s="30"/>
      <c r="T2554" s="30"/>
      <c r="U2554" s="30"/>
      <c r="V2554" s="30"/>
      <c r="W2554" s="30"/>
      <c r="X2554" s="30"/>
      <c r="Y2554" s="30"/>
      <c r="Z2554" s="30"/>
      <c r="AA2554" s="30"/>
      <c r="AB2554" s="30"/>
      <c r="AC2554" s="30"/>
      <c r="AD2554" s="30"/>
      <c r="AE2554" s="30"/>
      <c r="AF2554" s="30"/>
      <c r="AG2554" s="30"/>
      <c r="AH2554" s="30"/>
    </row>
    <row r="2555" spans="1:34" ht="13">
      <c r="A2555" s="30"/>
      <c r="B2555" s="30"/>
      <c r="C2555" s="30"/>
      <c r="D2555" s="30"/>
      <c r="E2555" s="30"/>
      <c r="F2555" s="30"/>
      <c r="G2555" s="30"/>
      <c r="H2555" s="48"/>
      <c r="I2555" s="49"/>
      <c r="J2555" s="49"/>
      <c r="K2555" s="48"/>
      <c r="L2555" s="50"/>
      <c r="M2555" s="30"/>
      <c r="N2555" s="30"/>
      <c r="O2555" s="30"/>
      <c r="P2555" s="30"/>
      <c r="Q2555" s="30"/>
      <c r="R2555" s="30"/>
      <c r="S2555" s="30"/>
      <c r="T2555" s="30"/>
      <c r="U2555" s="30"/>
      <c r="V2555" s="30"/>
      <c r="W2555" s="30"/>
      <c r="X2555" s="30"/>
      <c r="Y2555" s="30"/>
      <c r="Z2555" s="30"/>
      <c r="AA2555" s="30"/>
      <c r="AB2555" s="30"/>
      <c r="AC2555" s="30"/>
      <c r="AD2555" s="30"/>
      <c r="AE2555" s="30"/>
      <c r="AF2555" s="30"/>
      <c r="AG2555" s="30"/>
      <c r="AH2555" s="30"/>
    </row>
    <row r="2556" spans="1:34" ht="13">
      <c r="A2556" s="30"/>
      <c r="B2556" s="30"/>
      <c r="C2556" s="30"/>
      <c r="D2556" s="30"/>
      <c r="E2556" s="30"/>
      <c r="F2556" s="30"/>
      <c r="G2556" s="30"/>
      <c r="H2556" s="48"/>
      <c r="I2556" s="49"/>
      <c r="J2556" s="49"/>
      <c r="K2556" s="48"/>
      <c r="L2556" s="50"/>
      <c r="M2556" s="30"/>
      <c r="N2556" s="30"/>
      <c r="O2556" s="30"/>
      <c r="P2556" s="30"/>
      <c r="Q2556" s="30"/>
      <c r="R2556" s="30"/>
      <c r="S2556" s="30"/>
      <c r="T2556" s="30"/>
      <c r="U2556" s="30"/>
      <c r="V2556" s="30"/>
      <c r="W2556" s="30"/>
      <c r="X2556" s="30"/>
      <c r="Y2556" s="30"/>
      <c r="Z2556" s="30"/>
      <c r="AA2556" s="30"/>
      <c r="AB2556" s="30"/>
      <c r="AC2556" s="30"/>
      <c r="AD2556" s="30"/>
      <c r="AE2556" s="30"/>
      <c r="AF2556" s="30"/>
      <c r="AG2556" s="30"/>
      <c r="AH2556" s="30"/>
    </row>
    <row r="2557" spans="1:34" ht="13">
      <c r="A2557" s="30"/>
      <c r="B2557" s="30"/>
      <c r="C2557" s="30"/>
      <c r="D2557" s="30"/>
      <c r="E2557" s="30"/>
      <c r="F2557" s="30"/>
      <c r="G2557" s="30"/>
      <c r="H2557" s="48"/>
      <c r="I2557" s="49"/>
      <c r="J2557" s="49"/>
      <c r="K2557" s="48"/>
      <c r="L2557" s="50"/>
      <c r="M2557" s="30"/>
      <c r="N2557" s="30"/>
      <c r="O2557" s="30"/>
      <c r="P2557" s="30"/>
      <c r="Q2557" s="30"/>
      <c r="R2557" s="30"/>
      <c r="S2557" s="30"/>
      <c r="T2557" s="30"/>
      <c r="U2557" s="30"/>
      <c r="V2557" s="30"/>
      <c r="W2557" s="30"/>
      <c r="X2557" s="30"/>
      <c r="Y2557" s="30"/>
      <c r="Z2557" s="30"/>
      <c r="AA2557" s="30"/>
      <c r="AB2557" s="30"/>
      <c r="AC2557" s="30"/>
      <c r="AD2557" s="30"/>
      <c r="AE2557" s="30"/>
      <c r="AF2557" s="30"/>
      <c r="AG2557" s="30"/>
      <c r="AH2557" s="30"/>
    </row>
    <row r="2558" spans="1:34" ht="13">
      <c r="A2558" s="30"/>
      <c r="B2558" s="30"/>
      <c r="C2558" s="30"/>
      <c r="D2558" s="30"/>
      <c r="E2558" s="30"/>
      <c r="F2558" s="30"/>
      <c r="G2558" s="30"/>
      <c r="H2558" s="48"/>
      <c r="I2558" s="49"/>
      <c r="J2558" s="49"/>
      <c r="K2558" s="48"/>
      <c r="L2558" s="50"/>
      <c r="M2558" s="30"/>
      <c r="N2558" s="30"/>
      <c r="O2558" s="30"/>
      <c r="P2558" s="30"/>
      <c r="Q2558" s="30"/>
      <c r="R2558" s="30"/>
      <c r="S2558" s="30"/>
      <c r="T2558" s="30"/>
      <c r="U2558" s="30"/>
      <c r="V2558" s="30"/>
      <c r="W2558" s="30"/>
      <c r="X2558" s="30"/>
      <c r="Y2558" s="30"/>
      <c r="Z2558" s="30"/>
      <c r="AA2558" s="30"/>
      <c r="AB2558" s="30"/>
      <c r="AC2558" s="30"/>
      <c r="AD2558" s="30"/>
      <c r="AE2558" s="30"/>
      <c r="AF2558" s="30"/>
      <c r="AG2558" s="30"/>
      <c r="AH2558" s="30"/>
    </row>
    <row r="2559" spans="1:34" ht="13">
      <c r="A2559" s="30"/>
      <c r="B2559" s="30"/>
      <c r="C2559" s="30"/>
      <c r="D2559" s="30"/>
      <c r="E2559" s="30"/>
      <c r="F2559" s="30"/>
      <c r="G2559" s="30"/>
      <c r="H2559" s="48"/>
      <c r="I2559" s="49"/>
      <c r="J2559" s="49"/>
      <c r="K2559" s="48"/>
      <c r="L2559" s="50"/>
      <c r="M2559" s="30"/>
      <c r="N2559" s="30"/>
      <c r="O2559" s="30"/>
      <c r="P2559" s="30"/>
      <c r="Q2559" s="30"/>
      <c r="R2559" s="30"/>
      <c r="S2559" s="30"/>
      <c r="T2559" s="30"/>
      <c r="U2559" s="30"/>
      <c r="V2559" s="30"/>
      <c r="W2559" s="30"/>
      <c r="X2559" s="30"/>
      <c r="Y2559" s="30"/>
      <c r="Z2559" s="30"/>
      <c r="AA2559" s="30"/>
      <c r="AB2559" s="30"/>
      <c r="AC2559" s="30"/>
      <c r="AD2559" s="30"/>
      <c r="AE2559" s="30"/>
      <c r="AF2559" s="30"/>
      <c r="AG2559" s="30"/>
      <c r="AH2559" s="30"/>
    </row>
    <row r="2560" spans="1:34" ht="13">
      <c r="A2560" s="30"/>
      <c r="B2560" s="30"/>
      <c r="C2560" s="30"/>
      <c r="D2560" s="30"/>
      <c r="E2560" s="30"/>
      <c r="F2560" s="30"/>
      <c r="G2560" s="30"/>
      <c r="H2560" s="48"/>
      <c r="I2560" s="49"/>
      <c r="J2560" s="49"/>
      <c r="K2560" s="48"/>
      <c r="L2560" s="50"/>
      <c r="M2560" s="30"/>
      <c r="N2560" s="30"/>
      <c r="O2560" s="30"/>
      <c r="P2560" s="30"/>
      <c r="Q2560" s="30"/>
      <c r="R2560" s="30"/>
      <c r="S2560" s="30"/>
      <c r="T2560" s="30"/>
      <c r="U2560" s="30"/>
      <c r="V2560" s="30"/>
      <c r="W2560" s="30"/>
      <c r="X2560" s="30"/>
      <c r="Y2560" s="30"/>
      <c r="Z2560" s="30"/>
      <c r="AA2560" s="30"/>
      <c r="AB2560" s="30"/>
      <c r="AC2560" s="30"/>
      <c r="AD2560" s="30"/>
      <c r="AE2560" s="30"/>
      <c r="AF2560" s="30"/>
      <c r="AG2560" s="30"/>
      <c r="AH2560" s="30"/>
    </row>
    <row r="2561" spans="1:34" ht="13">
      <c r="A2561" s="30"/>
      <c r="B2561" s="30"/>
      <c r="C2561" s="30"/>
      <c r="D2561" s="30"/>
      <c r="E2561" s="30"/>
      <c r="F2561" s="30"/>
      <c r="G2561" s="30"/>
      <c r="H2561" s="48"/>
      <c r="I2561" s="49"/>
      <c r="J2561" s="49"/>
      <c r="K2561" s="48"/>
      <c r="L2561" s="50"/>
      <c r="M2561" s="30"/>
      <c r="N2561" s="30"/>
      <c r="O2561" s="30"/>
      <c r="P2561" s="30"/>
      <c r="Q2561" s="30"/>
      <c r="R2561" s="30"/>
      <c r="S2561" s="30"/>
      <c r="T2561" s="30"/>
      <c r="U2561" s="30"/>
      <c r="V2561" s="30"/>
      <c r="W2561" s="30"/>
      <c r="X2561" s="30"/>
      <c r="Y2561" s="30"/>
      <c r="Z2561" s="30"/>
      <c r="AA2561" s="30"/>
      <c r="AB2561" s="30"/>
      <c r="AC2561" s="30"/>
      <c r="AD2561" s="30"/>
      <c r="AE2561" s="30"/>
      <c r="AF2561" s="30"/>
      <c r="AG2561" s="30"/>
      <c r="AH2561" s="30"/>
    </row>
    <row r="2562" spans="1:34" ht="13">
      <c r="A2562" s="30"/>
      <c r="B2562" s="30"/>
      <c r="C2562" s="30"/>
      <c r="D2562" s="30"/>
      <c r="E2562" s="30"/>
      <c r="F2562" s="30"/>
      <c r="G2562" s="30"/>
      <c r="H2562" s="48"/>
      <c r="I2562" s="49"/>
      <c r="J2562" s="49"/>
      <c r="K2562" s="48"/>
      <c r="L2562" s="50"/>
      <c r="M2562" s="30"/>
      <c r="N2562" s="30"/>
      <c r="O2562" s="30"/>
      <c r="P2562" s="30"/>
      <c r="Q2562" s="30"/>
      <c r="R2562" s="30"/>
      <c r="S2562" s="30"/>
      <c r="T2562" s="30"/>
      <c r="U2562" s="30"/>
      <c r="V2562" s="30"/>
      <c r="W2562" s="30"/>
      <c r="X2562" s="30"/>
      <c r="Y2562" s="30"/>
      <c r="Z2562" s="30"/>
      <c r="AA2562" s="30"/>
      <c r="AB2562" s="30"/>
      <c r="AC2562" s="30"/>
      <c r="AD2562" s="30"/>
      <c r="AE2562" s="30"/>
      <c r="AF2562" s="30"/>
      <c r="AG2562" s="30"/>
      <c r="AH2562" s="30"/>
    </row>
    <row r="2563" spans="1:34" ht="13">
      <c r="A2563" s="30"/>
      <c r="B2563" s="30"/>
      <c r="C2563" s="30"/>
      <c r="D2563" s="30"/>
      <c r="E2563" s="30"/>
      <c r="F2563" s="30"/>
      <c r="G2563" s="30"/>
      <c r="H2563" s="48"/>
      <c r="I2563" s="49"/>
      <c r="J2563" s="49"/>
      <c r="K2563" s="48"/>
      <c r="L2563" s="50"/>
      <c r="M2563" s="30"/>
      <c r="N2563" s="30"/>
      <c r="O2563" s="30"/>
      <c r="P2563" s="30"/>
      <c r="Q2563" s="30"/>
      <c r="R2563" s="30"/>
      <c r="S2563" s="30"/>
      <c r="T2563" s="30"/>
      <c r="U2563" s="30"/>
      <c r="V2563" s="30"/>
      <c r="W2563" s="30"/>
      <c r="X2563" s="30"/>
      <c r="Y2563" s="30"/>
      <c r="Z2563" s="30"/>
      <c r="AA2563" s="30"/>
      <c r="AB2563" s="30"/>
      <c r="AC2563" s="30"/>
      <c r="AD2563" s="30"/>
      <c r="AE2563" s="30"/>
      <c r="AF2563" s="30"/>
      <c r="AG2563" s="30"/>
      <c r="AH2563" s="30"/>
    </row>
    <row r="2564" spans="1:34" ht="13">
      <c r="A2564" s="30"/>
      <c r="B2564" s="30"/>
      <c r="C2564" s="30"/>
      <c r="D2564" s="30"/>
      <c r="E2564" s="30"/>
      <c r="F2564" s="30"/>
      <c r="G2564" s="30"/>
      <c r="H2564" s="48"/>
      <c r="I2564" s="49"/>
      <c r="J2564" s="49"/>
      <c r="K2564" s="48"/>
      <c r="L2564" s="50"/>
      <c r="M2564" s="30"/>
      <c r="N2564" s="30"/>
      <c r="O2564" s="30"/>
      <c r="P2564" s="30"/>
      <c r="Q2564" s="30"/>
      <c r="R2564" s="30"/>
      <c r="S2564" s="30"/>
      <c r="T2564" s="30"/>
      <c r="U2564" s="30"/>
      <c r="V2564" s="30"/>
      <c r="W2564" s="30"/>
      <c r="X2564" s="30"/>
      <c r="Y2564" s="30"/>
      <c r="Z2564" s="30"/>
      <c r="AA2564" s="30"/>
      <c r="AB2564" s="30"/>
      <c r="AC2564" s="30"/>
      <c r="AD2564" s="30"/>
      <c r="AE2564" s="30"/>
      <c r="AF2564" s="30"/>
      <c r="AG2564" s="30"/>
      <c r="AH2564" s="30"/>
    </row>
    <row r="2565" spans="1:34" ht="13">
      <c r="A2565" s="30"/>
      <c r="B2565" s="30"/>
      <c r="C2565" s="30"/>
      <c r="D2565" s="30"/>
      <c r="E2565" s="30"/>
      <c r="F2565" s="30"/>
      <c r="G2565" s="30"/>
      <c r="H2565" s="48"/>
      <c r="I2565" s="49"/>
      <c r="J2565" s="49"/>
      <c r="K2565" s="48"/>
      <c r="L2565" s="50"/>
      <c r="M2565" s="30"/>
      <c r="N2565" s="30"/>
      <c r="O2565" s="30"/>
      <c r="P2565" s="30"/>
      <c r="Q2565" s="30"/>
      <c r="R2565" s="30"/>
      <c r="S2565" s="30"/>
      <c r="T2565" s="30"/>
      <c r="U2565" s="30"/>
      <c r="V2565" s="30"/>
      <c r="W2565" s="30"/>
      <c r="X2565" s="30"/>
      <c r="Y2565" s="30"/>
      <c r="Z2565" s="30"/>
      <c r="AA2565" s="30"/>
      <c r="AB2565" s="30"/>
      <c r="AC2565" s="30"/>
      <c r="AD2565" s="30"/>
      <c r="AE2565" s="30"/>
      <c r="AF2565" s="30"/>
      <c r="AG2565" s="30"/>
      <c r="AH2565" s="30"/>
    </row>
    <row r="2566" spans="1:34" ht="13">
      <c r="A2566" s="30"/>
      <c r="B2566" s="30"/>
      <c r="C2566" s="30"/>
      <c r="D2566" s="30"/>
      <c r="E2566" s="30"/>
      <c r="F2566" s="30"/>
      <c r="G2566" s="30"/>
      <c r="H2566" s="48"/>
      <c r="I2566" s="49"/>
      <c r="J2566" s="49"/>
      <c r="K2566" s="48"/>
      <c r="L2566" s="50"/>
      <c r="M2566" s="30"/>
      <c r="N2566" s="30"/>
      <c r="O2566" s="30"/>
      <c r="P2566" s="30"/>
      <c r="Q2566" s="30"/>
      <c r="R2566" s="30"/>
      <c r="S2566" s="30"/>
      <c r="T2566" s="30"/>
      <c r="U2566" s="30"/>
      <c r="V2566" s="30"/>
      <c r="W2566" s="30"/>
      <c r="X2566" s="30"/>
      <c r="Y2566" s="30"/>
      <c r="Z2566" s="30"/>
      <c r="AA2566" s="30"/>
      <c r="AB2566" s="30"/>
      <c r="AC2566" s="30"/>
      <c r="AD2566" s="30"/>
      <c r="AE2566" s="30"/>
      <c r="AF2566" s="30"/>
      <c r="AG2566" s="30"/>
      <c r="AH2566" s="30"/>
    </row>
    <row r="2567" spans="1:34" ht="13">
      <c r="A2567" s="30"/>
      <c r="B2567" s="30"/>
      <c r="C2567" s="30"/>
      <c r="D2567" s="30"/>
      <c r="E2567" s="30"/>
      <c r="F2567" s="30"/>
      <c r="G2567" s="30"/>
      <c r="H2567" s="48"/>
      <c r="I2567" s="49"/>
      <c r="J2567" s="49"/>
      <c r="K2567" s="48"/>
      <c r="L2567" s="50"/>
      <c r="M2567" s="30"/>
      <c r="N2567" s="30"/>
      <c r="O2567" s="30"/>
      <c r="P2567" s="30"/>
      <c r="Q2567" s="30"/>
      <c r="R2567" s="30"/>
      <c r="S2567" s="30"/>
      <c r="T2567" s="30"/>
      <c r="U2567" s="30"/>
      <c r="V2567" s="30"/>
      <c r="W2567" s="30"/>
      <c r="X2567" s="30"/>
      <c r="Y2567" s="30"/>
      <c r="Z2567" s="30"/>
      <c r="AA2567" s="30"/>
      <c r="AB2567" s="30"/>
      <c r="AC2567" s="30"/>
      <c r="AD2567" s="30"/>
      <c r="AE2567" s="30"/>
      <c r="AF2567" s="30"/>
      <c r="AG2567" s="30"/>
      <c r="AH2567" s="30"/>
    </row>
    <row r="2568" spans="1:34" ht="13">
      <c r="A2568" s="30"/>
      <c r="B2568" s="30"/>
      <c r="C2568" s="30"/>
      <c r="D2568" s="30"/>
      <c r="E2568" s="30"/>
      <c r="F2568" s="30"/>
      <c r="G2568" s="30"/>
      <c r="H2568" s="48"/>
      <c r="I2568" s="49"/>
      <c r="J2568" s="49"/>
      <c r="K2568" s="48"/>
      <c r="L2568" s="50"/>
      <c r="M2568" s="30"/>
      <c r="N2568" s="30"/>
      <c r="O2568" s="30"/>
      <c r="P2568" s="30"/>
      <c r="Q2568" s="30"/>
      <c r="R2568" s="30"/>
      <c r="S2568" s="30"/>
      <c r="T2568" s="30"/>
      <c r="U2568" s="30"/>
      <c r="V2568" s="30"/>
      <c r="W2568" s="30"/>
      <c r="X2568" s="30"/>
      <c r="Y2568" s="30"/>
      <c r="Z2568" s="30"/>
      <c r="AA2568" s="30"/>
      <c r="AB2568" s="30"/>
      <c r="AC2568" s="30"/>
      <c r="AD2568" s="30"/>
      <c r="AE2568" s="30"/>
      <c r="AF2568" s="30"/>
      <c r="AG2568" s="30"/>
      <c r="AH2568" s="30"/>
    </row>
    <row r="2569" spans="1:34" ht="13">
      <c r="A2569" s="30"/>
      <c r="B2569" s="30"/>
      <c r="C2569" s="30"/>
      <c r="D2569" s="30"/>
      <c r="E2569" s="30"/>
      <c r="F2569" s="30"/>
      <c r="G2569" s="30"/>
      <c r="H2569" s="48"/>
      <c r="I2569" s="49"/>
      <c r="J2569" s="49"/>
      <c r="K2569" s="48"/>
      <c r="L2569" s="50"/>
      <c r="M2569" s="30"/>
      <c r="N2569" s="30"/>
      <c r="O2569" s="30"/>
      <c r="P2569" s="30"/>
      <c r="Q2569" s="30"/>
      <c r="R2569" s="30"/>
      <c r="S2569" s="30"/>
      <c r="T2569" s="30"/>
      <c r="U2569" s="30"/>
      <c r="V2569" s="30"/>
      <c r="W2569" s="30"/>
      <c r="X2569" s="30"/>
      <c r="Y2569" s="30"/>
      <c r="Z2569" s="30"/>
      <c r="AA2569" s="30"/>
      <c r="AB2569" s="30"/>
      <c r="AC2569" s="30"/>
      <c r="AD2569" s="30"/>
      <c r="AE2569" s="30"/>
      <c r="AF2569" s="30"/>
      <c r="AG2569" s="30"/>
      <c r="AH2569" s="30"/>
    </row>
    <row r="2570" spans="1:34" ht="13">
      <c r="A2570" s="30"/>
      <c r="B2570" s="30"/>
      <c r="C2570" s="30"/>
      <c r="D2570" s="30"/>
      <c r="E2570" s="30"/>
      <c r="F2570" s="30"/>
      <c r="G2570" s="30"/>
      <c r="H2570" s="48"/>
      <c r="I2570" s="49"/>
      <c r="J2570" s="49"/>
      <c r="K2570" s="48"/>
      <c r="L2570" s="50"/>
      <c r="M2570" s="30"/>
      <c r="N2570" s="30"/>
      <c r="O2570" s="30"/>
      <c r="P2570" s="30"/>
      <c r="Q2570" s="30"/>
      <c r="R2570" s="30"/>
      <c r="S2570" s="30"/>
      <c r="T2570" s="30"/>
      <c r="U2570" s="30"/>
      <c r="V2570" s="30"/>
      <c r="W2570" s="30"/>
      <c r="X2570" s="30"/>
      <c r="Y2570" s="30"/>
      <c r="Z2570" s="30"/>
      <c r="AA2570" s="30"/>
      <c r="AB2570" s="30"/>
      <c r="AC2570" s="30"/>
      <c r="AD2570" s="30"/>
      <c r="AE2570" s="30"/>
      <c r="AF2570" s="30"/>
      <c r="AG2570" s="30"/>
      <c r="AH2570" s="30"/>
    </row>
    <row r="2571" spans="1:34" ht="13">
      <c r="A2571" s="30"/>
      <c r="B2571" s="30"/>
      <c r="C2571" s="30"/>
      <c r="D2571" s="30"/>
      <c r="E2571" s="30"/>
      <c r="F2571" s="30"/>
      <c r="G2571" s="30"/>
      <c r="H2571" s="48"/>
      <c r="I2571" s="49"/>
      <c r="J2571" s="49"/>
      <c r="K2571" s="48"/>
      <c r="L2571" s="50"/>
      <c r="M2571" s="30"/>
      <c r="N2571" s="30"/>
      <c r="O2571" s="30"/>
      <c r="P2571" s="30"/>
      <c r="Q2571" s="30"/>
      <c r="R2571" s="30"/>
      <c r="S2571" s="30"/>
      <c r="T2571" s="30"/>
      <c r="U2571" s="30"/>
      <c r="V2571" s="30"/>
      <c r="W2571" s="30"/>
      <c r="X2571" s="30"/>
      <c r="Y2571" s="30"/>
      <c r="Z2571" s="30"/>
      <c r="AA2571" s="30"/>
      <c r="AB2571" s="30"/>
      <c r="AC2571" s="30"/>
      <c r="AD2571" s="30"/>
      <c r="AE2571" s="30"/>
      <c r="AF2571" s="30"/>
      <c r="AG2571" s="30"/>
      <c r="AH2571" s="30"/>
    </row>
    <row r="2572" spans="1:34" ht="13">
      <c r="A2572" s="30"/>
      <c r="B2572" s="30"/>
      <c r="C2572" s="30"/>
      <c r="D2572" s="30"/>
      <c r="E2572" s="30"/>
      <c r="F2572" s="30"/>
      <c r="G2572" s="30"/>
      <c r="H2572" s="48"/>
      <c r="I2572" s="49"/>
      <c r="J2572" s="49"/>
      <c r="K2572" s="48"/>
      <c r="L2572" s="50"/>
      <c r="M2572" s="30"/>
      <c r="N2572" s="30"/>
      <c r="O2572" s="30"/>
      <c r="P2572" s="30"/>
      <c r="Q2572" s="30"/>
      <c r="R2572" s="30"/>
      <c r="S2572" s="30"/>
      <c r="T2572" s="30"/>
      <c r="U2572" s="30"/>
      <c r="V2572" s="30"/>
      <c r="W2572" s="30"/>
      <c r="X2572" s="30"/>
      <c r="Y2572" s="30"/>
      <c r="Z2572" s="30"/>
      <c r="AA2572" s="30"/>
      <c r="AB2572" s="30"/>
      <c r="AC2572" s="30"/>
      <c r="AD2572" s="30"/>
      <c r="AE2572" s="30"/>
      <c r="AF2572" s="30"/>
      <c r="AG2572" s="30"/>
      <c r="AH2572" s="30"/>
    </row>
    <row r="2573" spans="1:34" ht="13">
      <c r="A2573" s="30"/>
      <c r="B2573" s="30"/>
      <c r="C2573" s="30"/>
      <c r="D2573" s="30"/>
      <c r="E2573" s="30"/>
      <c r="F2573" s="30"/>
      <c r="G2573" s="30"/>
      <c r="H2573" s="48"/>
      <c r="I2573" s="49"/>
      <c r="J2573" s="49"/>
      <c r="K2573" s="48"/>
      <c r="L2573" s="50"/>
      <c r="M2573" s="30"/>
      <c r="N2573" s="30"/>
      <c r="O2573" s="30"/>
      <c r="P2573" s="30"/>
      <c r="Q2573" s="30"/>
      <c r="R2573" s="30"/>
      <c r="S2573" s="30"/>
      <c r="T2573" s="30"/>
      <c r="U2573" s="30"/>
      <c r="V2573" s="30"/>
      <c r="W2573" s="30"/>
      <c r="X2573" s="30"/>
      <c r="Y2573" s="30"/>
      <c r="Z2573" s="30"/>
      <c r="AA2573" s="30"/>
      <c r="AB2573" s="30"/>
      <c r="AC2573" s="30"/>
      <c r="AD2573" s="30"/>
      <c r="AE2573" s="30"/>
      <c r="AF2573" s="30"/>
      <c r="AG2573" s="30"/>
      <c r="AH2573" s="30"/>
    </row>
    <row r="2574" spans="1:34" ht="13">
      <c r="A2574" s="30"/>
      <c r="B2574" s="30"/>
      <c r="C2574" s="30"/>
      <c r="D2574" s="30"/>
      <c r="E2574" s="30"/>
      <c r="F2574" s="30"/>
      <c r="G2574" s="30"/>
      <c r="H2574" s="48"/>
      <c r="I2574" s="49"/>
      <c r="J2574" s="49"/>
      <c r="K2574" s="48"/>
      <c r="L2574" s="50"/>
      <c r="M2574" s="30"/>
      <c r="N2574" s="30"/>
      <c r="O2574" s="30"/>
      <c r="P2574" s="30"/>
      <c r="Q2574" s="30"/>
      <c r="R2574" s="30"/>
      <c r="S2574" s="30"/>
      <c r="T2574" s="30"/>
      <c r="U2574" s="30"/>
      <c r="V2574" s="30"/>
      <c r="W2574" s="30"/>
      <c r="X2574" s="30"/>
      <c r="Y2574" s="30"/>
      <c r="Z2574" s="30"/>
      <c r="AA2574" s="30"/>
      <c r="AB2574" s="30"/>
      <c r="AC2574" s="30"/>
      <c r="AD2574" s="30"/>
      <c r="AE2574" s="30"/>
      <c r="AF2574" s="30"/>
      <c r="AG2574" s="30"/>
      <c r="AH2574" s="30"/>
    </row>
    <row r="2575" spans="1:34" ht="13">
      <c r="A2575" s="30"/>
      <c r="B2575" s="30"/>
      <c r="C2575" s="30"/>
      <c r="D2575" s="30"/>
      <c r="E2575" s="30"/>
      <c r="F2575" s="30"/>
      <c r="G2575" s="30"/>
      <c r="H2575" s="48"/>
      <c r="I2575" s="49"/>
      <c r="J2575" s="49"/>
      <c r="K2575" s="48"/>
      <c r="L2575" s="50"/>
      <c r="M2575" s="30"/>
      <c r="N2575" s="30"/>
      <c r="O2575" s="30"/>
      <c r="P2575" s="30"/>
      <c r="Q2575" s="30"/>
      <c r="R2575" s="30"/>
      <c r="S2575" s="30"/>
      <c r="T2575" s="30"/>
      <c r="U2575" s="30"/>
      <c r="V2575" s="30"/>
      <c r="W2575" s="30"/>
      <c r="X2575" s="30"/>
      <c r="Y2575" s="30"/>
      <c r="Z2575" s="30"/>
      <c r="AA2575" s="30"/>
      <c r="AB2575" s="30"/>
      <c r="AC2575" s="30"/>
      <c r="AD2575" s="30"/>
      <c r="AE2575" s="30"/>
      <c r="AF2575" s="30"/>
      <c r="AG2575" s="30"/>
      <c r="AH2575" s="30"/>
    </row>
    <row r="2576" spans="1:34" ht="13">
      <c r="A2576" s="30"/>
      <c r="B2576" s="30"/>
      <c r="C2576" s="30"/>
      <c r="D2576" s="30"/>
      <c r="E2576" s="30"/>
      <c r="F2576" s="30"/>
      <c r="G2576" s="30"/>
      <c r="H2576" s="48"/>
      <c r="I2576" s="49"/>
      <c r="J2576" s="49"/>
      <c r="K2576" s="48"/>
      <c r="L2576" s="50"/>
      <c r="M2576" s="30"/>
      <c r="N2576" s="30"/>
      <c r="O2576" s="30"/>
      <c r="P2576" s="30"/>
      <c r="Q2576" s="30"/>
      <c r="R2576" s="30"/>
      <c r="S2576" s="30"/>
      <c r="T2576" s="30"/>
      <c r="U2576" s="30"/>
      <c r="V2576" s="30"/>
      <c r="W2576" s="30"/>
      <c r="X2576" s="30"/>
      <c r="Y2576" s="30"/>
      <c r="Z2576" s="30"/>
      <c r="AA2576" s="30"/>
      <c r="AB2576" s="30"/>
      <c r="AC2576" s="30"/>
      <c r="AD2576" s="30"/>
      <c r="AE2576" s="30"/>
      <c r="AF2576" s="30"/>
      <c r="AG2576" s="30"/>
      <c r="AH2576" s="30"/>
    </row>
    <row r="2577" spans="1:34" ht="13">
      <c r="A2577" s="30"/>
      <c r="B2577" s="30"/>
      <c r="C2577" s="30"/>
      <c r="D2577" s="30"/>
      <c r="E2577" s="30"/>
      <c r="F2577" s="30"/>
      <c r="G2577" s="30"/>
      <c r="H2577" s="48"/>
      <c r="I2577" s="49"/>
      <c r="J2577" s="49"/>
      <c r="K2577" s="48"/>
      <c r="L2577" s="50"/>
      <c r="M2577" s="30"/>
      <c r="N2577" s="30"/>
      <c r="O2577" s="30"/>
      <c r="P2577" s="30"/>
      <c r="Q2577" s="30"/>
      <c r="R2577" s="30"/>
      <c r="S2577" s="30"/>
      <c r="T2577" s="30"/>
      <c r="U2577" s="30"/>
      <c r="V2577" s="30"/>
      <c r="W2577" s="30"/>
      <c r="X2577" s="30"/>
      <c r="Y2577" s="30"/>
      <c r="Z2577" s="30"/>
      <c r="AA2577" s="30"/>
      <c r="AB2577" s="30"/>
      <c r="AC2577" s="30"/>
      <c r="AD2577" s="30"/>
      <c r="AE2577" s="30"/>
      <c r="AF2577" s="30"/>
      <c r="AG2577" s="30"/>
      <c r="AH2577" s="30"/>
    </row>
    <row r="2578" spans="1:34" ht="13">
      <c r="A2578" s="30"/>
      <c r="B2578" s="30"/>
      <c r="C2578" s="30"/>
      <c r="D2578" s="30"/>
      <c r="E2578" s="30"/>
      <c r="F2578" s="30"/>
      <c r="G2578" s="30"/>
      <c r="H2578" s="48"/>
      <c r="I2578" s="49"/>
      <c r="J2578" s="49"/>
      <c r="K2578" s="48"/>
      <c r="L2578" s="50"/>
      <c r="M2578" s="30"/>
      <c r="N2578" s="30"/>
      <c r="O2578" s="30"/>
      <c r="P2578" s="30"/>
      <c r="Q2578" s="30"/>
      <c r="R2578" s="30"/>
      <c r="S2578" s="30"/>
      <c r="T2578" s="30"/>
      <c r="U2578" s="30"/>
      <c r="V2578" s="30"/>
      <c r="W2578" s="30"/>
      <c r="X2578" s="30"/>
      <c r="Y2578" s="30"/>
      <c r="Z2578" s="30"/>
      <c r="AA2578" s="30"/>
      <c r="AB2578" s="30"/>
      <c r="AC2578" s="30"/>
      <c r="AD2578" s="30"/>
      <c r="AE2578" s="30"/>
      <c r="AF2578" s="30"/>
      <c r="AG2578" s="30"/>
      <c r="AH2578" s="30"/>
    </row>
    <row r="2579" spans="1:34" ht="13">
      <c r="A2579" s="30"/>
      <c r="B2579" s="30"/>
      <c r="C2579" s="30"/>
      <c r="D2579" s="30"/>
      <c r="E2579" s="30"/>
      <c r="F2579" s="30"/>
      <c r="G2579" s="30"/>
      <c r="H2579" s="48"/>
      <c r="I2579" s="49"/>
      <c r="J2579" s="49"/>
      <c r="K2579" s="48"/>
      <c r="L2579" s="50"/>
      <c r="M2579" s="30"/>
      <c r="N2579" s="30"/>
      <c r="O2579" s="30"/>
      <c r="P2579" s="30"/>
      <c r="Q2579" s="30"/>
      <c r="R2579" s="30"/>
      <c r="S2579" s="30"/>
      <c r="T2579" s="30"/>
      <c r="U2579" s="30"/>
      <c r="V2579" s="30"/>
      <c r="W2579" s="30"/>
      <c r="X2579" s="30"/>
      <c r="Y2579" s="30"/>
      <c r="Z2579" s="30"/>
      <c r="AA2579" s="30"/>
      <c r="AB2579" s="30"/>
      <c r="AC2579" s="30"/>
      <c r="AD2579" s="30"/>
      <c r="AE2579" s="30"/>
      <c r="AF2579" s="30"/>
      <c r="AG2579" s="30"/>
      <c r="AH2579" s="30"/>
    </row>
    <row r="2580" spans="1:34" ht="13">
      <c r="A2580" s="30"/>
      <c r="B2580" s="30"/>
      <c r="C2580" s="30"/>
      <c r="D2580" s="30"/>
      <c r="E2580" s="30"/>
      <c r="F2580" s="30"/>
      <c r="G2580" s="30"/>
      <c r="H2580" s="48"/>
      <c r="I2580" s="49"/>
      <c r="J2580" s="49"/>
      <c r="K2580" s="48"/>
      <c r="L2580" s="50"/>
      <c r="M2580" s="30"/>
      <c r="N2580" s="30"/>
      <c r="O2580" s="30"/>
      <c r="P2580" s="30"/>
      <c r="Q2580" s="30"/>
      <c r="R2580" s="30"/>
      <c r="S2580" s="30"/>
      <c r="T2580" s="30"/>
      <c r="U2580" s="30"/>
      <c r="V2580" s="30"/>
      <c r="W2580" s="30"/>
      <c r="X2580" s="30"/>
      <c r="Y2580" s="30"/>
      <c r="Z2580" s="30"/>
      <c r="AA2580" s="30"/>
      <c r="AB2580" s="30"/>
      <c r="AC2580" s="30"/>
      <c r="AD2580" s="30"/>
      <c r="AE2580" s="30"/>
      <c r="AF2580" s="30"/>
      <c r="AG2580" s="30"/>
      <c r="AH2580" s="30"/>
    </row>
    <row r="2581" spans="1:34" ht="13">
      <c r="A2581" s="30"/>
      <c r="B2581" s="30"/>
      <c r="C2581" s="30"/>
      <c r="D2581" s="30"/>
      <c r="E2581" s="30"/>
      <c r="F2581" s="30"/>
      <c r="G2581" s="30"/>
      <c r="H2581" s="48"/>
      <c r="I2581" s="49"/>
      <c r="J2581" s="49"/>
      <c r="K2581" s="48"/>
      <c r="L2581" s="50"/>
      <c r="M2581" s="30"/>
      <c r="N2581" s="30"/>
      <c r="O2581" s="30"/>
      <c r="P2581" s="30"/>
      <c r="Q2581" s="30"/>
      <c r="R2581" s="30"/>
      <c r="S2581" s="30"/>
      <c r="T2581" s="30"/>
      <c r="U2581" s="30"/>
      <c r="V2581" s="30"/>
      <c r="W2581" s="30"/>
      <c r="X2581" s="30"/>
      <c r="Y2581" s="30"/>
      <c r="Z2581" s="30"/>
      <c r="AA2581" s="30"/>
      <c r="AB2581" s="30"/>
      <c r="AC2581" s="30"/>
      <c r="AD2581" s="30"/>
      <c r="AE2581" s="30"/>
      <c r="AF2581" s="30"/>
      <c r="AG2581" s="30"/>
      <c r="AH2581" s="30"/>
    </row>
    <row r="2582" spans="1:34" ht="13">
      <c r="A2582" s="30"/>
      <c r="B2582" s="30"/>
      <c r="C2582" s="30"/>
      <c r="D2582" s="30"/>
      <c r="E2582" s="30"/>
      <c r="F2582" s="30"/>
      <c r="G2582" s="30"/>
      <c r="H2582" s="48"/>
      <c r="I2582" s="49"/>
      <c r="J2582" s="49"/>
      <c r="K2582" s="48"/>
      <c r="L2582" s="50"/>
      <c r="M2582" s="30"/>
      <c r="N2582" s="30"/>
      <c r="O2582" s="30"/>
      <c r="P2582" s="30"/>
      <c r="Q2582" s="30"/>
      <c r="R2582" s="30"/>
      <c r="S2582" s="30"/>
      <c r="T2582" s="30"/>
      <c r="U2582" s="30"/>
      <c r="V2582" s="30"/>
      <c r="W2582" s="30"/>
      <c r="X2582" s="30"/>
      <c r="Y2582" s="30"/>
      <c r="Z2582" s="30"/>
      <c r="AA2582" s="30"/>
      <c r="AB2582" s="30"/>
      <c r="AC2582" s="30"/>
      <c r="AD2582" s="30"/>
      <c r="AE2582" s="30"/>
      <c r="AF2582" s="30"/>
      <c r="AG2582" s="30"/>
      <c r="AH2582" s="30"/>
    </row>
    <row r="2583" spans="1:34" ht="13">
      <c r="A2583" s="30"/>
      <c r="B2583" s="30"/>
      <c r="C2583" s="30"/>
      <c r="D2583" s="30"/>
      <c r="E2583" s="30"/>
      <c r="F2583" s="30"/>
      <c r="G2583" s="30"/>
      <c r="H2583" s="48"/>
      <c r="I2583" s="49"/>
      <c r="J2583" s="49"/>
      <c r="K2583" s="48"/>
      <c r="L2583" s="50"/>
      <c r="M2583" s="30"/>
      <c r="N2583" s="30"/>
      <c r="O2583" s="30"/>
      <c r="P2583" s="30"/>
      <c r="Q2583" s="30"/>
      <c r="R2583" s="30"/>
      <c r="S2583" s="30"/>
      <c r="T2583" s="30"/>
      <c r="U2583" s="30"/>
      <c r="V2583" s="30"/>
      <c r="W2583" s="30"/>
      <c r="X2583" s="30"/>
      <c r="Y2583" s="30"/>
      <c r="Z2583" s="30"/>
      <c r="AA2583" s="30"/>
      <c r="AB2583" s="30"/>
      <c r="AC2583" s="30"/>
      <c r="AD2583" s="30"/>
      <c r="AE2583" s="30"/>
      <c r="AF2583" s="30"/>
      <c r="AG2583" s="30"/>
      <c r="AH2583" s="30"/>
    </row>
    <row r="2584" spans="1:34" ht="13">
      <c r="A2584" s="30"/>
      <c r="B2584" s="30"/>
      <c r="C2584" s="30"/>
      <c r="D2584" s="30"/>
      <c r="E2584" s="30"/>
      <c r="F2584" s="30"/>
      <c r="G2584" s="30"/>
      <c r="H2584" s="48"/>
      <c r="I2584" s="49"/>
      <c r="J2584" s="49"/>
      <c r="K2584" s="48"/>
      <c r="L2584" s="50"/>
      <c r="M2584" s="30"/>
      <c r="N2584" s="30"/>
      <c r="O2584" s="30"/>
      <c r="P2584" s="30"/>
      <c r="Q2584" s="30"/>
      <c r="R2584" s="30"/>
      <c r="S2584" s="30"/>
      <c r="T2584" s="30"/>
      <c r="U2584" s="30"/>
      <c r="V2584" s="30"/>
      <c r="W2584" s="30"/>
      <c r="X2584" s="30"/>
      <c r="Y2584" s="30"/>
      <c r="Z2584" s="30"/>
      <c r="AA2584" s="30"/>
      <c r="AB2584" s="30"/>
      <c r="AC2584" s="30"/>
      <c r="AD2584" s="30"/>
      <c r="AE2584" s="30"/>
      <c r="AF2584" s="30"/>
      <c r="AG2584" s="30"/>
      <c r="AH2584" s="30"/>
    </row>
    <row r="2585" spans="1:34" ht="13">
      <c r="A2585" s="30"/>
      <c r="B2585" s="30"/>
      <c r="C2585" s="30"/>
      <c r="D2585" s="30"/>
      <c r="E2585" s="30"/>
      <c r="F2585" s="30"/>
      <c r="G2585" s="30"/>
      <c r="H2585" s="48"/>
      <c r="I2585" s="49"/>
      <c r="J2585" s="49"/>
      <c r="K2585" s="48"/>
      <c r="L2585" s="50"/>
      <c r="M2585" s="30"/>
      <c r="N2585" s="30"/>
      <c r="O2585" s="30"/>
      <c r="P2585" s="30"/>
      <c r="Q2585" s="30"/>
      <c r="R2585" s="30"/>
      <c r="S2585" s="30"/>
      <c r="T2585" s="30"/>
      <c r="U2585" s="30"/>
      <c r="V2585" s="30"/>
      <c r="W2585" s="30"/>
      <c r="X2585" s="30"/>
      <c r="Y2585" s="30"/>
      <c r="Z2585" s="30"/>
      <c r="AA2585" s="30"/>
      <c r="AB2585" s="30"/>
      <c r="AC2585" s="30"/>
      <c r="AD2585" s="30"/>
      <c r="AE2585" s="30"/>
      <c r="AF2585" s="30"/>
      <c r="AG2585" s="30"/>
      <c r="AH2585" s="30"/>
    </row>
    <row r="2586" spans="1:34" ht="13">
      <c r="A2586" s="30"/>
      <c r="B2586" s="30"/>
      <c r="C2586" s="30"/>
      <c r="D2586" s="30"/>
      <c r="E2586" s="30"/>
      <c r="F2586" s="30"/>
      <c r="G2586" s="30"/>
      <c r="H2586" s="48"/>
      <c r="I2586" s="49"/>
      <c r="J2586" s="49"/>
      <c r="K2586" s="48"/>
      <c r="L2586" s="50"/>
      <c r="M2586" s="30"/>
      <c r="N2586" s="30"/>
      <c r="O2586" s="30"/>
      <c r="P2586" s="30"/>
      <c r="Q2586" s="30"/>
      <c r="R2586" s="30"/>
      <c r="S2586" s="30"/>
      <c r="T2586" s="30"/>
      <c r="U2586" s="30"/>
      <c r="V2586" s="30"/>
      <c r="W2586" s="30"/>
      <c r="X2586" s="30"/>
      <c r="Y2586" s="30"/>
      <c r="Z2586" s="30"/>
      <c r="AA2586" s="30"/>
      <c r="AB2586" s="30"/>
      <c r="AC2586" s="30"/>
      <c r="AD2586" s="30"/>
      <c r="AE2586" s="30"/>
      <c r="AF2586" s="30"/>
      <c r="AG2586" s="30"/>
      <c r="AH2586" s="30"/>
    </row>
    <row r="2587" spans="1:34" ht="13">
      <c r="A2587" s="30"/>
      <c r="B2587" s="30"/>
      <c r="C2587" s="30"/>
      <c r="D2587" s="30"/>
      <c r="E2587" s="30"/>
      <c r="F2587" s="30"/>
      <c r="G2587" s="30"/>
      <c r="H2587" s="48"/>
      <c r="I2587" s="49"/>
      <c r="J2587" s="49"/>
      <c r="K2587" s="48"/>
      <c r="L2587" s="50"/>
      <c r="M2587" s="30"/>
      <c r="N2587" s="30"/>
      <c r="O2587" s="30"/>
      <c r="P2587" s="30"/>
      <c r="Q2587" s="30"/>
      <c r="R2587" s="30"/>
      <c r="S2587" s="30"/>
      <c r="T2587" s="30"/>
      <c r="U2587" s="30"/>
      <c r="V2587" s="30"/>
      <c r="W2587" s="30"/>
      <c r="X2587" s="30"/>
      <c r="Y2587" s="30"/>
      <c r="Z2587" s="30"/>
      <c r="AA2587" s="30"/>
      <c r="AB2587" s="30"/>
      <c r="AC2587" s="30"/>
      <c r="AD2587" s="30"/>
      <c r="AE2587" s="30"/>
      <c r="AF2587" s="30"/>
      <c r="AG2587" s="30"/>
      <c r="AH2587" s="30"/>
    </row>
    <row r="2588" spans="1:34" ht="13">
      <c r="A2588" s="30"/>
      <c r="B2588" s="30"/>
      <c r="C2588" s="30"/>
      <c r="D2588" s="30"/>
      <c r="E2588" s="30"/>
      <c r="F2588" s="30"/>
      <c r="G2588" s="30"/>
      <c r="H2588" s="48"/>
      <c r="I2588" s="49"/>
      <c r="J2588" s="49"/>
      <c r="K2588" s="48"/>
      <c r="L2588" s="50"/>
      <c r="M2588" s="30"/>
      <c r="N2588" s="30"/>
      <c r="O2588" s="30"/>
      <c r="P2588" s="30"/>
      <c r="Q2588" s="30"/>
      <c r="R2588" s="30"/>
      <c r="S2588" s="30"/>
      <c r="T2588" s="30"/>
      <c r="U2588" s="30"/>
      <c r="V2588" s="30"/>
      <c r="W2588" s="30"/>
      <c r="X2588" s="30"/>
      <c r="Y2588" s="30"/>
      <c r="Z2588" s="30"/>
      <c r="AA2588" s="30"/>
      <c r="AB2588" s="30"/>
      <c r="AC2588" s="30"/>
      <c r="AD2588" s="30"/>
      <c r="AE2588" s="30"/>
      <c r="AF2588" s="30"/>
      <c r="AG2588" s="30"/>
      <c r="AH2588" s="30"/>
    </row>
    <row r="2589" spans="1:34" ht="13">
      <c r="A2589" s="30"/>
      <c r="B2589" s="30"/>
      <c r="C2589" s="30"/>
      <c r="D2589" s="30"/>
      <c r="E2589" s="30"/>
      <c r="F2589" s="30"/>
      <c r="G2589" s="30"/>
      <c r="H2589" s="48"/>
      <c r="I2589" s="49"/>
      <c r="J2589" s="49"/>
      <c r="K2589" s="48"/>
      <c r="L2589" s="50"/>
      <c r="M2589" s="30"/>
      <c r="N2589" s="30"/>
      <c r="O2589" s="30"/>
      <c r="P2589" s="30"/>
      <c r="Q2589" s="30"/>
      <c r="R2589" s="30"/>
      <c r="S2589" s="30"/>
      <c r="T2589" s="30"/>
      <c r="U2589" s="30"/>
      <c r="V2589" s="30"/>
      <c r="W2589" s="30"/>
      <c r="X2589" s="30"/>
      <c r="Y2589" s="30"/>
      <c r="Z2589" s="30"/>
      <c r="AA2589" s="30"/>
      <c r="AB2589" s="30"/>
      <c r="AC2589" s="30"/>
      <c r="AD2589" s="30"/>
      <c r="AE2589" s="30"/>
      <c r="AF2589" s="30"/>
      <c r="AG2589" s="30"/>
      <c r="AH2589" s="30"/>
    </row>
    <row r="2590" spans="1:34" ht="13">
      <c r="A2590" s="30"/>
      <c r="B2590" s="30"/>
      <c r="C2590" s="30"/>
      <c r="D2590" s="30"/>
      <c r="E2590" s="30"/>
      <c r="F2590" s="30"/>
      <c r="G2590" s="30"/>
      <c r="H2590" s="48"/>
      <c r="I2590" s="49"/>
      <c r="J2590" s="49"/>
      <c r="K2590" s="48"/>
      <c r="L2590" s="50"/>
      <c r="M2590" s="30"/>
      <c r="N2590" s="30"/>
      <c r="O2590" s="30"/>
      <c r="P2590" s="30"/>
      <c r="Q2590" s="30"/>
      <c r="R2590" s="30"/>
      <c r="S2590" s="30"/>
      <c r="T2590" s="30"/>
      <c r="U2590" s="30"/>
      <c r="V2590" s="30"/>
      <c r="W2590" s="30"/>
      <c r="X2590" s="30"/>
      <c r="Y2590" s="30"/>
      <c r="Z2590" s="30"/>
      <c r="AA2590" s="30"/>
      <c r="AB2590" s="30"/>
      <c r="AC2590" s="30"/>
      <c r="AD2590" s="30"/>
      <c r="AE2590" s="30"/>
      <c r="AF2590" s="30"/>
      <c r="AG2590" s="30"/>
      <c r="AH2590" s="30"/>
    </row>
    <row r="2591" spans="1:34" ht="13">
      <c r="A2591" s="30"/>
      <c r="B2591" s="30"/>
      <c r="C2591" s="30"/>
      <c r="D2591" s="30"/>
      <c r="E2591" s="30"/>
      <c r="F2591" s="30"/>
      <c r="G2591" s="30"/>
      <c r="H2591" s="48"/>
      <c r="I2591" s="49"/>
      <c r="J2591" s="49"/>
      <c r="K2591" s="48"/>
      <c r="L2591" s="50"/>
      <c r="M2591" s="30"/>
      <c r="N2591" s="30"/>
      <c r="O2591" s="30"/>
      <c r="P2591" s="30"/>
      <c r="Q2591" s="30"/>
      <c r="R2591" s="30"/>
      <c r="S2591" s="30"/>
      <c r="T2591" s="30"/>
      <c r="U2591" s="30"/>
      <c r="V2591" s="30"/>
      <c r="W2591" s="30"/>
      <c r="X2591" s="30"/>
      <c r="Y2591" s="30"/>
      <c r="Z2591" s="30"/>
      <c r="AA2591" s="30"/>
      <c r="AB2591" s="30"/>
      <c r="AC2591" s="30"/>
      <c r="AD2591" s="30"/>
      <c r="AE2591" s="30"/>
      <c r="AF2591" s="30"/>
      <c r="AG2591" s="30"/>
      <c r="AH2591" s="30"/>
    </row>
    <row r="2592" spans="1:34" ht="13">
      <c r="A2592" s="30"/>
      <c r="B2592" s="30"/>
      <c r="C2592" s="30"/>
      <c r="D2592" s="30"/>
      <c r="E2592" s="30"/>
      <c r="F2592" s="30"/>
      <c r="G2592" s="30"/>
      <c r="H2592" s="48"/>
      <c r="I2592" s="49"/>
      <c r="J2592" s="49"/>
      <c r="K2592" s="48"/>
      <c r="L2592" s="50"/>
      <c r="M2592" s="30"/>
      <c r="N2592" s="30"/>
      <c r="O2592" s="30"/>
      <c r="P2592" s="30"/>
      <c r="Q2592" s="30"/>
      <c r="R2592" s="30"/>
      <c r="S2592" s="30"/>
      <c r="T2592" s="30"/>
      <c r="U2592" s="30"/>
      <c r="V2592" s="30"/>
      <c r="W2592" s="30"/>
      <c r="X2592" s="30"/>
      <c r="Y2592" s="30"/>
      <c r="Z2592" s="30"/>
      <c r="AA2592" s="30"/>
      <c r="AB2592" s="30"/>
      <c r="AC2592" s="30"/>
      <c r="AD2592" s="30"/>
      <c r="AE2592" s="30"/>
      <c r="AF2592" s="30"/>
      <c r="AG2592" s="30"/>
      <c r="AH2592" s="30"/>
    </row>
    <row r="2593" spans="1:34" ht="13">
      <c r="A2593" s="30"/>
      <c r="B2593" s="30"/>
      <c r="C2593" s="30"/>
      <c r="D2593" s="30"/>
      <c r="E2593" s="30"/>
      <c r="F2593" s="30"/>
      <c r="G2593" s="30"/>
      <c r="H2593" s="48"/>
      <c r="I2593" s="49"/>
      <c r="J2593" s="49"/>
      <c r="K2593" s="48"/>
      <c r="L2593" s="50"/>
      <c r="M2593" s="30"/>
      <c r="N2593" s="30"/>
      <c r="O2593" s="30"/>
      <c r="P2593" s="30"/>
      <c r="Q2593" s="30"/>
      <c r="R2593" s="30"/>
      <c r="S2593" s="30"/>
      <c r="T2593" s="30"/>
      <c r="U2593" s="30"/>
      <c r="V2593" s="30"/>
      <c r="W2593" s="30"/>
      <c r="X2593" s="30"/>
      <c r="Y2593" s="30"/>
      <c r="Z2593" s="30"/>
      <c r="AA2593" s="30"/>
      <c r="AB2593" s="30"/>
      <c r="AC2593" s="30"/>
      <c r="AD2593" s="30"/>
      <c r="AE2593" s="30"/>
      <c r="AF2593" s="30"/>
      <c r="AG2593" s="30"/>
      <c r="AH2593" s="30"/>
    </row>
    <row r="2594" spans="1:34" ht="13">
      <c r="A2594" s="30"/>
      <c r="B2594" s="30"/>
      <c r="C2594" s="30"/>
      <c r="D2594" s="30"/>
      <c r="E2594" s="30"/>
      <c r="F2594" s="30"/>
      <c r="G2594" s="30"/>
      <c r="H2594" s="48"/>
      <c r="I2594" s="49"/>
      <c r="J2594" s="49"/>
      <c r="K2594" s="48"/>
      <c r="L2594" s="50"/>
      <c r="M2594" s="30"/>
      <c r="N2594" s="30"/>
      <c r="O2594" s="30"/>
      <c r="P2594" s="30"/>
      <c r="Q2594" s="30"/>
      <c r="R2594" s="30"/>
      <c r="S2594" s="30"/>
      <c r="T2594" s="30"/>
      <c r="U2594" s="30"/>
      <c r="V2594" s="30"/>
      <c r="W2594" s="30"/>
      <c r="X2594" s="30"/>
      <c r="Y2594" s="30"/>
      <c r="Z2594" s="30"/>
      <c r="AA2594" s="30"/>
      <c r="AB2594" s="30"/>
      <c r="AC2594" s="30"/>
      <c r="AD2594" s="30"/>
      <c r="AE2594" s="30"/>
      <c r="AF2594" s="30"/>
      <c r="AG2594" s="30"/>
      <c r="AH2594" s="30"/>
    </row>
    <row r="2595" spans="1:34" ht="13">
      <c r="A2595" s="30"/>
      <c r="B2595" s="30"/>
      <c r="C2595" s="30"/>
      <c r="D2595" s="30"/>
      <c r="E2595" s="30"/>
      <c r="F2595" s="30"/>
      <c r="G2595" s="30"/>
      <c r="H2595" s="48"/>
      <c r="I2595" s="49"/>
      <c r="J2595" s="49"/>
      <c r="K2595" s="48"/>
      <c r="L2595" s="50"/>
      <c r="M2595" s="30"/>
      <c r="N2595" s="30"/>
      <c r="O2595" s="30"/>
      <c r="P2595" s="30"/>
      <c r="Q2595" s="30"/>
      <c r="R2595" s="30"/>
      <c r="S2595" s="30"/>
      <c r="T2595" s="30"/>
      <c r="U2595" s="30"/>
      <c r="V2595" s="30"/>
      <c r="W2595" s="30"/>
      <c r="X2595" s="30"/>
      <c r="Y2595" s="30"/>
      <c r="Z2595" s="30"/>
      <c r="AA2595" s="30"/>
      <c r="AB2595" s="30"/>
      <c r="AC2595" s="30"/>
      <c r="AD2595" s="30"/>
      <c r="AE2595" s="30"/>
      <c r="AF2595" s="30"/>
      <c r="AG2595" s="30"/>
      <c r="AH2595" s="30"/>
    </row>
    <row r="2596" spans="1:34" ht="13">
      <c r="A2596" s="30"/>
      <c r="B2596" s="30"/>
      <c r="C2596" s="30"/>
      <c r="D2596" s="30"/>
      <c r="E2596" s="30"/>
      <c r="F2596" s="30"/>
      <c r="G2596" s="30"/>
      <c r="H2596" s="48"/>
      <c r="I2596" s="49"/>
      <c r="J2596" s="49"/>
      <c r="K2596" s="48"/>
      <c r="L2596" s="50"/>
      <c r="M2596" s="30"/>
      <c r="N2596" s="30"/>
      <c r="O2596" s="30"/>
      <c r="P2596" s="30"/>
      <c r="Q2596" s="30"/>
      <c r="R2596" s="30"/>
      <c r="S2596" s="30"/>
      <c r="T2596" s="30"/>
      <c r="U2596" s="30"/>
      <c r="V2596" s="30"/>
      <c r="W2596" s="30"/>
      <c r="X2596" s="30"/>
      <c r="Y2596" s="30"/>
      <c r="Z2596" s="30"/>
      <c r="AA2596" s="30"/>
      <c r="AB2596" s="30"/>
      <c r="AC2596" s="30"/>
      <c r="AD2596" s="30"/>
      <c r="AE2596" s="30"/>
      <c r="AF2596" s="30"/>
      <c r="AG2596" s="30"/>
      <c r="AH2596" s="30"/>
    </row>
    <row r="2597" spans="1:34" ht="13">
      <c r="A2597" s="30"/>
      <c r="B2597" s="30"/>
      <c r="C2597" s="30"/>
      <c r="D2597" s="30"/>
      <c r="E2597" s="30"/>
      <c r="F2597" s="30"/>
      <c r="G2597" s="30"/>
      <c r="H2597" s="48"/>
      <c r="I2597" s="49"/>
      <c r="J2597" s="49"/>
      <c r="K2597" s="48"/>
      <c r="L2597" s="50"/>
      <c r="M2597" s="30"/>
      <c r="N2597" s="30"/>
      <c r="O2597" s="30"/>
      <c r="P2597" s="30"/>
      <c r="Q2597" s="30"/>
      <c r="R2597" s="30"/>
      <c r="S2597" s="30"/>
      <c r="T2597" s="30"/>
      <c r="U2597" s="30"/>
      <c r="V2597" s="30"/>
      <c r="W2597" s="30"/>
      <c r="X2597" s="30"/>
      <c r="Y2597" s="30"/>
      <c r="Z2597" s="30"/>
      <c r="AA2597" s="30"/>
      <c r="AB2597" s="30"/>
      <c r="AC2597" s="30"/>
      <c r="AD2597" s="30"/>
      <c r="AE2597" s="30"/>
      <c r="AF2597" s="30"/>
      <c r="AG2597" s="30"/>
      <c r="AH2597" s="30"/>
    </row>
    <row r="2598" spans="1:34" ht="13">
      <c r="A2598" s="30"/>
      <c r="B2598" s="30"/>
      <c r="C2598" s="30"/>
      <c r="D2598" s="30"/>
      <c r="E2598" s="30"/>
      <c r="F2598" s="30"/>
      <c r="G2598" s="30"/>
      <c r="H2598" s="48"/>
      <c r="I2598" s="49"/>
      <c r="J2598" s="49"/>
      <c r="K2598" s="48"/>
      <c r="L2598" s="50"/>
      <c r="M2598" s="30"/>
      <c r="N2598" s="30"/>
      <c r="O2598" s="30"/>
      <c r="P2598" s="30"/>
      <c r="Q2598" s="30"/>
      <c r="R2598" s="30"/>
      <c r="S2598" s="30"/>
      <c r="T2598" s="30"/>
      <c r="U2598" s="30"/>
      <c r="V2598" s="30"/>
      <c r="W2598" s="30"/>
      <c r="X2598" s="30"/>
      <c r="Y2598" s="30"/>
      <c r="Z2598" s="30"/>
      <c r="AA2598" s="30"/>
      <c r="AB2598" s="30"/>
      <c r="AC2598" s="30"/>
      <c r="AD2598" s="30"/>
      <c r="AE2598" s="30"/>
      <c r="AF2598" s="30"/>
      <c r="AG2598" s="30"/>
      <c r="AH2598" s="30"/>
    </row>
    <row r="2599" spans="1:34" ht="13">
      <c r="A2599" s="30"/>
      <c r="B2599" s="30"/>
      <c r="C2599" s="30"/>
      <c r="D2599" s="30"/>
      <c r="E2599" s="30"/>
      <c r="F2599" s="30"/>
      <c r="G2599" s="30"/>
      <c r="H2599" s="48"/>
      <c r="I2599" s="49"/>
      <c r="J2599" s="49"/>
      <c r="K2599" s="48"/>
      <c r="L2599" s="50"/>
      <c r="M2599" s="30"/>
      <c r="N2599" s="30"/>
      <c r="O2599" s="30"/>
      <c r="P2599" s="30"/>
      <c r="Q2599" s="30"/>
      <c r="R2599" s="30"/>
      <c r="S2599" s="30"/>
      <c r="T2599" s="30"/>
      <c r="U2599" s="30"/>
      <c r="V2599" s="30"/>
      <c r="W2599" s="30"/>
      <c r="X2599" s="30"/>
      <c r="Y2599" s="30"/>
      <c r="Z2599" s="30"/>
      <c r="AA2599" s="30"/>
      <c r="AB2599" s="30"/>
      <c r="AC2599" s="30"/>
      <c r="AD2599" s="30"/>
      <c r="AE2599" s="30"/>
      <c r="AF2599" s="30"/>
      <c r="AG2599" s="30"/>
      <c r="AH2599" s="30"/>
    </row>
    <row r="2600" spans="1:34" ht="13">
      <c r="A2600" s="30"/>
      <c r="B2600" s="30"/>
      <c r="C2600" s="30"/>
      <c r="D2600" s="30"/>
      <c r="E2600" s="30"/>
      <c r="F2600" s="30"/>
      <c r="G2600" s="30"/>
      <c r="H2600" s="48"/>
      <c r="I2600" s="49"/>
      <c r="J2600" s="49"/>
      <c r="K2600" s="48"/>
      <c r="L2600" s="50"/>
      <c r="M2600" s="30"/>
      <c r="N2600" s="30"/>
      <c r="O2600" s="30"/>
      <c r="P2600" s="30"/>
      <c r="Q2600" s="30"/>
      <c r="R2600" s="30"/>
      <c r="S2600" s="30"/>
      <c r="T2600" s="30"/>
      <c r="U2600" s="30"/>
      <c r="V2600" s="30"/>
      <c r="W2600" s="30"/>
      <c r="X2600" s="30"/>
      <c r="Y2600" s="30"/>
      <c r="Z2600" s="30"/>
      <c r="AA2600" s="30"/>
      <c r="AB2600" s="30"/>
      <c r="AC2600" s="30"/>
      <c r="AD2600" s="30"/>
      <c r="AE2600" s="30"/>
      <c r="AF2600" s="30"/>
      <c r="AG2600" s="30"/>
      <c r="AH2600" s="30"/>
    </row>
    <row r="2601" spans="1:34" ht="13">
      <c r="A2601" s="30"/>
      <c r="B2601" s="30"/>
      <c r="C2601" s="30"/>
      <c r="D2601" s="30"/>
      <c r="E2601" s="30"/>
      <c r="F2601" s="30"/>
      <c r="G2601" s="30"/>
      <c r="H2601" s="48"/>
      <c r="I2601" s="49"/>
      <c r="J2601" s="49"/>
      <c r="K2601" s="48"/>
      <c r="L2601" s="50"/>
      <c r="M2601" s="30"/>
      <c r="N2601" s="30"/>
      <c r="O2601" s="30"/>
      <c r="P2601" s="30"/>
      <c r="Q2601" s="30"/>
      <c r="R2601" s="30"/>
      <c r="S2601" s="30"/>
      <c r="T2601" s="30"/>
      <c r="U2601" s="30"/>
      <c r="V2601" s="30"/>
      <c r="W2601" s="30"/>
      <c r="X2601" s="30"/>
      <c r="Y2601" s="30"/>
      <c r="Z2601" s="30"/>
      <c r="AA2601" s="30"/>
      <c r="AB2601" s="30"/>
      <c r="AC2601" s="30"/>
      <c r="AD2601" s="30"/>
      <c r="AE2601" s="30"/>
      <c r="AF2601" s="30"/>
      <c r="AG2601" s="30"/>
      <c r="AH2601" s="30"/>
    </row>
    <row r="2602" spans="1:34" ht="13">
      <c r="A2602" s="30"/>
      <c r="B2602" s="30"/>
      <c r="C2602" s="30"/>
      <c r="D2602" s="30"/>
      <c r="E2602" s="30"/>
      <c r="F2602" s="30"/>
      <c r="G2602" s="30"/>
      <c r="H2602" s="48"/>
      <c r="I2602" s="49"/>
      <c r="J2602" s="49"/>
      <c r="K2602" s="48"/>
      <c r="L2602" s="50"/>
      <c r="M2602" s="30"/>
      <c r="N2602" s="30"/>
      <c r="O2602" s="30"/>
      <c r="P2602" s="30"/>
      <c r="Q2602" s="30"/>
      <c r="R2602" s="30"/>
      <c r="S2602" s="30"/>
      <c r="T2602" s="30"/>
      <c r="U2602" s="30"/>
      <c r="V2602" s="30"/>
      <c r="W2602" s="30"/>
      <c r="X2602" s="30"/>
      <c r="Y2602" s="30"/>
      <c r="Z2602" s="30"/>
      <c r="AA2602" s="30"/>
      <c r="AB2602" s="30"/>
      <c r="AC2602" s="30"/>
      <c r="AD2602" s="30"/>
      <c r="AE2602" s="30"/>
      <c r="AF2602" s="30"/>
      <c r="AG2602" s="30"/>
      <c r="AH2602" s="30"/>
    </row>
    <row r="2603" spans="1:34" ht="13">
      <c r="A2603" s="30"/>
      <c r="B2603" s="30"/>
      <c r="C2603" s="30"/>
      <c r="D2603" s="30"/>
      <c r="E2603" s="30"/>
      <c r="F2603" s="30"/>
      <c r="G2603" s="30"/>
      <c r="H2603" s="48"/>
      <c r="I2603" s="49"/>
      <c r="J2603" s="49"/>
      <c r="K2603" s="48"/>
      <c r="L2603" s="50"/>
      <c r="M2603" s="30"/>
      <c r="N2603" s="30"/>
      <c r="O2603" s="30"/>
      <c r="P2603" s="30"/>
      <c r="Q2603" s="30"/>
      <c r="R2603" s="30"/>
      <c r="S2603" s="30"/>
      <c r="T2603" s="30"/>
      <c r="U2603" s="30"/>
      <c r="V2603" s="30"/>
      <c r="W2603" s="30"/>
      <c r="X2603" s="30"/>
      <c r="Y2603" s="30"/>
      <c r="Z2603" s="30"/>
      <c r="AA2603" s="30"/>
      <c r="AB2603" s="30"/>
      <c r="AC2603" s="30"/>
      <c r="AD2603" s="30"/>
      <c r="AE2603" s="30"/>
      <c r="AF2603" s="30"/>
      <c r="AG2603" s="30"/>
      <c r="AH2603" s="30"/>
    </row>
    <row r="2604" spans="1:34" ht="13">
      <c r="A2604" s="30"/>
      <c r="B2604" s="30"/>
      <c r="C2604" s="30"/>
      <c r="D2604" s="30"/>
      <c r="E2604" s="30"/>
      <c r="F2604" s="30"/>
      <c r="G2604" s="30"/>
      <c r="H2604" s="48"/>
      <c r="I2604" s="49"/>
      <c r="J2604" s="49"/>
      <c r="K2604" s="48"/>
      <c r="L2604" s="50"/>
      <c r="M2604" s="30"/>
      <c r="N2604" s="30"/>
      <c r="O2604" s="30"/>
      <c r="P2604" s="30"/>
      <c r="Q2604" s="30"/>
      <c r="R2604" s="30"/>
      <c r="S2604" s="30"/>
      <c r="T2604" s="30"/>
      <c r="U2604" s="30"/>
      <c r="V2604" s="30"/>
      <c r="W2604" s="30"/>
      <c r="X2604" s="30"/>
      <c r="Y2604" s="30"/>
      <c r="Z2604" s="30"/>
      <c r="AA2604" s="30"/>
      <c r="AB2604" s="30"/>
      <c r="AC2604" s="30"/>
      <c r="AD2604" s="30"/>
      <c r="AE2604" s="30"/>
      <c r="AF2604" s="30"/>
      <c r="AG2604" s="30"/>
      <c r="AH2604" s="30"/>
    </row>
    <row r="2605" spans="1:34" ht="13">
      <c r="A2605" s="30"/>
      <c r="B2605" s="30"/>
      <c r="C2605" s="30"/>
      <c r="D2605" s="30"/>
      <c r="E2605" s="30"/>
      <c r="F2605" s="30"/>
      <c r="G2605" s="30"/>
      <c r="H2605" s="48"/>
      <c r="I2605" s="49"/>
      <c r="J2605" s="49"/>
      <c r="K2605" s="48"/>
      <c r="L2605" s="50"/>
      <c r="M2605" s="30"/>
      <c r="N2605" s="30"/>
      <c r="O2605" s="30"/>
      <c r="P2605" s="30"/>
      <c r="Q2605" s="30"/>
      <c r="R2605" s="30"/>
      <c r="S2605" s="30"/>
      <c r="T2605" s="30"/>
      <c r="U2605" s="30"/>
      <c r="V2605" s="30"/>
      <c r="W2605" s="30"/>
      <c r="X2605" s="30"/>
      <c r="Y2605" s="30"/>
      <c r="Z2605" s="30"/>
      <c r="AA2605" s="30"/>
      <c r="AB2605" s="30"/>
      <c r="AC2605" s="30"/>
      <c r="AD2605" s="30"/>
      <c r="AE2605" s="30"/>
      <c r="AF2605" s="30"/>
      <c r="AG2605" s="30"/>
      <c r="AH2605" s="30"/>
    </row>
    <row r="2606" spans="1:34" ht="13">
      <c r="A2606" s="30"/>
      <c r="B2606" s="30"/>
      <c r="C2606" s="30"/>
      <c r="D2606" s="30"/>
      <c r="E2606" s="30"/>
      <c r="F2606" s="30"/>
      <c r="G2606" s="30"/>
      <c r="H2606" s="48"/>
      <c r="I2606" s="49"/>
      <c r="J2606" s="49"/>
      <c r="K2606" s="48"/>
      <c r="L2606" s="50"/>
      <c r="M2606" s="30"/>
      <c r="N2606" s="30"/>
      <c r="O2606" s="30"/>
      <c r="P2606" s="30"/>
      <c r="Q2606" s="30"/>
      <c r="R2606" s="30"/>
      <c r="S2606" s="30"/>
      <c r="T2606" s="30"/>
      <c r="U2606" s="30"/>
      <c r="V2606" s="30"/>
      <c r="W2606" s="30"/>
      <c r="X2606" s="30"/>
      <c r="Y2606" s="30"/>
      <c r="Z2606" s="30"/>
      <c r="AA2606" s="30"/>
      <c r="AB2606" s="30"/>
      <c r="AC2606" s="30"/>
      <c r="AD2606" s="30"/>
      <c r="AE2606" s="30"/>
      <c r="AF2606" s="30"/>
      <c r="AG2606" s="30"/>
      <c r="AH2606" s="30"/>
    </row>
    <row r="2607" spans="1:34" ht="13">
      <c r="A2607" s="30"/>
      <c r="B2607" s="30"/>
      <c r="C2607" s="30"/>
      <c r="D2607" s="30"/>
      <c r="E2607" s="30"/>
      <c r="F2607" s="30"/>
      <c r="G2607" s="30"/>
      <c r="H2607" s="48"/>
      <c r="I2607" s="49"/>
      <c r="J2607" s="49"/>
      <c r="K2607" s="48"/>
      <c r="L2607" s="50"/>
      <c r="M2607" s="30"/>
      <c r="N2607" s="30"/>
      <c r="O2607" s="30"/>
      <c r="P2607" s="30"/>
      <c r="Q2607" s="30"/>
      <c r="R2607" s="30"/>
      <c r="S2607" s="30"/>
      <c r="T2607" s="30"/>
      <c r="U2607" s="30"/>
      <c r="V2607" s="30"/>
      <c r="W2607" s="30"/>
      <c r="X2607" s="30"/>
      <c r="Y2607" s="30"/>
      <c r="Z2607" s="30"/>
      <c r="AA2607" s="30"/>
      <c r="AB2607" s="30"/>
      <c r="AC2607" s="30"/>
      <c r="AD2607" s="30"/>
      <c r="AE2607" s="30"/>
      <c r="AF2607" s="30"/>
      <c r="AG2607" s="30"/>
      <c r="AH2607" s="30"/>
    </row>
    <row r="2608" spans="1:34" ht="13">
      <c r="A2608" s="30"/>
      <c r="B2608" s="30"/>
      <c r="C2608" s="30"/>
      <c r="D2608" s="30"/>
      <c r="E2608" s="30"/>
      <c r="F2608" s="30"/>
      <c r="G2608" s="30"/>
      <c r="H2608" s="48"/>
      <c r="I2608" s="49"/>
      <c r="J2608" s="49"/>
      <c r="K2608" s="48"/>
      <c r="L2608" s="50"/>
      <c r="M2608" s="30"/>
      <c r="N2608" s="30"/>
      <c r="O2608" s="30"/>
      <c r="P2608" s="30"/>
      <c r="Q2608" s="30"/>
      <c r="R2608" s="30"/>
      <c r="S2608" s="30"/>
      <c r="T2608" s="30"/>
      <c r="U2608" s="30"/>
      <c r="V2608" s="30"/>
      <c r="W2608" s="30"/>
      <c r="X2608" s="30"/>
      <c r="Y2608" s="30"/>
      <c r="Z2608" s="30"/>
      <c r="AA2608" s="30"/>
      <c r="AB2608" s="30"/>
      <c r="AC2608" s="30"/>
      <c r="AD2608" s="30"/>
      <c r="AE2608" s="30"/>
      <c r="AF2608" s="30"/>
      <c r="AG2608" s="30"/>
      <c r="AH2608" s="30"/>
    </row>
    <row r="2609" spans="1:34" ht="13">
      <c r="A2609" s="30"/>
      <c r="B2609" s="30"/>
      <c r="C2609" s="30"/>
      <c r="D2609" s="30"/>
      <c r="E2609" s="30"/>
      <c r="F2609" s="30"/>
      <c r="G2609" s="30"/>
      <c r="H2609" s="48"/>
      <c r="I2609" s="49"/>
      <c r="J2609" s="49"/>
      <c r="K2609" s="48"/>
      <c r="L2609" s="50"/>
      <c r="M2609" s="30"/>
      <c r="N2609" s="30"/>
      <c r="O2609" s="30"/>
      <c r="P2609" s="30"/>
      <c r="Q2609" s="30"/>
      <c r="R2609" s="30"/>
      <c r="S2609" s="30"/>
      <c r="T2609" s="30"/>
      <c r="U2609" s="30"/>
      <c r="V2609" s="30"/>
      <c r="W2609" s="30"/>
      <c r="X2609" s="30"/>
      <c r="Y2609" s="30"/>
      <c r="Z2609" s="30"/>
      <c r="AA2609" s="30"/>
      <c r="AB2609" s="30"/>
      <c r="AC2609" s="30"/>
      <c r="AD2609" s="30"/>
      <c r="AE2609" s="30"/>
      <c r="AF2609" s="30"/>
      <c r="AG2609" s="30"/>
      <c r="AH2609" s="30"/>
    </row>
    <row r="2610" spans="1:34" ht="13">
      <c r="A2610" s="30"/>
      <c r="B2610" s="30"/>
      <c r="C2610" s="30"/>
      <c r="D2610" s="30"/>
      <c r="E2610" s="30"/>
      <c r="F2610" s="30"/>
      <c r="G2610" s="30"/>
      <c r="H2610" s="48"/>
      <c r="I2610" s="49"/>
      <c r="J2610" s="49"/>
      <c r="K2610" s="48"/>
      <c r="L2610" s="50"/>
      <c r="M2610" s="30"/>
      <c r="N2610" s="30"/>
      <c r="O2610" s="30"/>
      <c r="P2610" s="30"/>
      <c r="Q2610" s="30"/>
      <c r="R2610" s="30"/>
      <c r="S2610" s="30"/>
      <c r="T2610" s="30"/>
      <c r="U2610" s="30"/>
      <c r="V2610" s="30"/>
      <c r="W2610" s="30"/>
      <c r="X2610" s="30"/>
      <c r="Y2610" s="30"/>
      <c r="Z2610" s="30"/>
      <c r="AA2610" s="30"/>
      <c r="AB2610" s="30"/>
      <c r="AC2610" s="30"/>
      <c r="AD2610" s="30"/>
      <c r="AE2610" s="30"/>
      <c r="AF2610" s="30"/>
      <c r="AG2610" s="30"/>
      <c r="AH2610" s="30"/>
    </row>
    <row r="2611" spans="1:34" ht="13">
      <c r="A2611" s="30"/>
      <c r="B2611" s="30"/>
      <c r="C2611" s="30"/>
      <c r="D2611" s="30"/>
      <c r="E2611" s="30"/>
      <c r="F2611" s="30"/>
      <c r="G2611" s="30"/>
      <c r="H2611" s="48"/>
      <c r="I2611" s="49"/>
      <c r="J2611" s="49"/>
      <c r="K2611" s="48"/>
      <c r="L2611" s="50"/>
      <c r="M2611" s="30"/>
      <c r="N2611" s="30"/>
      <c r="O2611" s="30"/>
      <c r="P2611" s="30"/>
      <c r="Q2611" s="30"/>
      <c r="R2611" s="30"/>
      <c r="S2611" s="30"/>
      <c r="T2611" s="30"/>
      <c r="U2611" s="30"/>
      <c r="V2611" s="30"/>
      <c r="W2611" s="30"/>
      <c r="X2611" s="30"/>
      <c r="Y2611" s="30"/>
      <c r="Z2611" s="30"/>
      <c r="AA2611" s="30"/>
      <c r="AB2611" s="30"/>
      <c r="AC2611" s="30"/>
      <c r="AD2611" s="30"/>
      <c r="AE2611" s="30"/>
      <c r="AF2611" s="30"/>
      <c r="AG2611" s="30"/>
      <c r="AH2611" s="30"/>
    </row>
    <row r="2612" spans="1:34" ht="13">
      <c r="A2612" s="30"/>
      <c r="B2612" s="30"/>
      <c r="C2612" s="30"/>
      <c r="D2612" s="30"/>
      <c r="E2612" s="30"/>
      <c r="F2612" s="30"/>
      <c r="G2612" s="30"/>
      <c r="H2612" s="48"/>
      <c r="I2612" s="49"/>
      <c r="J2612" s="49"/>
      <c r="K2612" s="48"/>
      <c r="L2612" s="50"/>
      <c r="M2612" s="30"/>
      <c r="N2612" s="30"/>
      <c r="O2612" s="30"/>
      <c r="P2612" s="30"/>
      <c r="Q2612" s="30"/>
      <c r="R2612" s="30"/>
      <c r="S2612" s="30"/>
      <c r="T2612" s="30"/>
      <c r="U2612" s="30"/>
      <c r="V2612" s="30"/>
      <c r="W2612" s="30"/>
      <c r="X2612" s="30"/>
      <c r="Y2612" s="30"/>
      <c r="Z2612" s="30"/>
      <c r="AA2612" s="30"/>
      <c r="AB2612" s="30"/>
      <c r="AC2612" s="30"/>
      <c r="AD2612" s="30"/>
      <c r="AE2612" s="30"/>
      <c r="AF2612" s="30"/>
      <c r="AG2612" s="30"/>
      <c r="AH2612" s="30"/>
    </row>
    <row r="2613" spans="1:34" ht="13">
      <c r="A2613" s="30"/>
      <c r="B2613" s="30"/>
      <c r="C2613" s="30"/>
      <c r="D2613" s="30"/>
      <c r="E2613" s="30"/>
      <c r="F2613" s="30"/>
      <c r="G2613" s="30"/>
      <c r="H2613" s="48"/>
      <c r="I2613" s="49"/>
      <c r="J2613" s="49"/>
      <c r="K2613" s="48"/>
      <c r="L2613" s="50"/>
      <c r="M2613" s="30"/>
      <c r="N2613" s="30"/>
      <c r="O2613" s="30"/>
      <c r="P2613" s="30"/>
      <c r="Q2613" s="30"/>
      <c r="R2613" s="30"/>
      <c r="S2613" s="30"/>
      <c r="T2613" s="30"/>
      <c r="U2613" s="30"/>
      <c r="V2613" s="30"/>
      <c r="W2613" s="30"/>
      <c r="X2613" s="30"/>
      <c r="Y2613" s="30"/>
      <c r="Z2613" s="30"/>
      <c r="AA2613" s="30"/>
      <c r="AB2613" s="30"/>
      <c r="AC2613" s="30"/>
      <c r="AD2613" s="30"/>
      <c r="AE2613" s="30"/>
      <c r="AF2613" s="30"/>
      <c r="AG2613" s="30"/>
      <c r="AH2613" s="30"/>
    </row>
    <row r="2614" spans="1:34" ht="13">
      <c r="A2614" s="30"/>
      <c r="B2614" s="30"/>
      <c r="C2614" s="30"/>
      <c r="D2614" s="30"/>
      <c r="E2614" s="30"/>
      <c r="F2614" s="30"/>
      <c r="G2614" s="30"/>
      <c r="H2614" s="48"/>
      <c r="I2614" s="49"/>
      <c r="J2614" s="49"/>
      <c r="K2614" s="48"/>
      <c r="L2614" s="50"/>
      <c r="M2614" s="30"/>
      <c r="N2614" s="30"/>
      <c r="O2614" s="30"/>
      <c r="P2614" s="30"/>
      <c r="Q2614" s="30"/>
      <c r="R2614" s="30"/>
      <c r="S2614" s="30"/>
      <c r="T2614" s="30"/>
      <c r="U2614" s="30"/>
      <c r="V2614" s="30"/>
      <c r="W2614" s="30"/>
      <c r="X2614" s="30"/>
      <c r="Y2614" s="30"/>
      <c r="Z2614" s="30"/>
      <c r="AA2614" s="30"/>
      <c r="AB2614" s="30"/>
      <c r="AC2614" s="30"/>
      <c r="AD2614" s="30"/>
      <c r="AE2614" s="30"/>
      <c r="AF2614" s="30"/>
      <c r="AG2614" s="30"/>
      <c r="AH2614" s="30"/>
    </row>
    <row r="2615" spans="1:34" ht="13">
      <c r="A2615" s="30"/>
      <c r="B2615" s="30"/>
      <c r="C2615" s="30"/>
      <c r="D2615" s="30"/>
      <c r="E2615" s="30"/>
      <c r="F2615" s="30"/>
      <c r="G2615" s="30"/>
      <c r="H2615" s="48"/>
      <c r="I2615" s="49"/>
      <c r="J2615" s="49"/>
      <c r="K2615" s="48"/>
      <c r="L2615" s="50"/>
      <c r="M2615" s="30"/>
      <c r="N2615" s="30"/>
      <c r="O2615" s="30"/>
      <c r="P2615" s="30"/>
      <c r="Q2615" s="30"/>
      <c r="R2615" s="30"/>
      <c r="S2615" s="30"/>
      <c r="T2615" s="30"/>
      <c r="U2615" s="30"/>
      <c r="V2615" s="30"/>
      <c r="W2615" s="30"/>
      <c r="X2615" s="30"/>
      <c r="Y2615" s="30"/>
      <c r="Z2615" s="30"/>
      <c r="AA2615" s="30"/>
      <c r="AB2615" s="30"/>
      <c r="AC2615" s="30"/>
      <c r="AD2615" s="30"/>
      <c r="AE2615" s="30"/>
      <c r="AF2615" s="30"/>
      <c r="AG2615" s="30"/>
      <c r="AH2615" s="30"/>
    </row>
    <row r="2616" spans="1:34" ht="13">
      <c r="A2616" s="30"/>
      <c r="B2616" s="30"/>
      <c r="C2616" s="30"/>
      <c r="D2616" s="30"/>
      <c r="E2616" s="30"/>
      <c r="F2616" s="30"/>
      <c r="G2616" s="30"/>
      <c r="H2616" s="48"/>
      <c r="I2616" s="49"/>
      <c r="J2616" s="49"/>
      <c r="K2616" s="48"/>
      <c r="L2616" s="50"/>
      <c r="M2616" s="30"/>
      <c r="N2616" s="30"/>
      <c r="O2616" s="30"/>
      <c r="P2616" s="30"/>
      <c r="Q2616" s="30"/>
      <c r="R2616" s="30"/>
      <c r="S2616" s="30"/>
      <c r="T2616" s="30"/>
      <c r="U2616" s="30"/>
      <c r="V2616" s="30"/>
      <c r="W2616" s="30"/>
      <c r="X2616" s="30"/>
      <c r="Y2616" s="30"/>
      <c r="Z2616" s="30"/>
      <c r="AA2616" s="30"/>
      <c r="AB2616" s="30"/>
      <c r="AC2616" s="30"/>
      <c r="AD2616" s="30"/>
      <c r="AE2616" s="30"/>
      <c r="AF2616" s="30"/>
      <c r="AG2616" s="30"/>
      <c r="AH2616" s="30"/>
    </row>
    <row r="2617" spans="1:34" ht="13">
      <c r="A2617" s="30"/>
      <c r="B2617" s="30"/>
      <c r="C2617" s="30"/>
      <c r="D2617" s="30"/>
      <c r="E2617" s="30"/>
      <c r="F2617" s="30"/>
      <c r="G2617" s="30"/>
      <c r="H2617" s="48"/>
      <c r="I2617" s="49"/>
      <c r="J2617" s="49"/>
      <c r="K2617" s="48"/>
      <c r="L2617" s="50"/>
      <c r="M2617" s="30"/>
      <c r="N2617" s="30"/>
      <c r="O2617" s="30"/>
      <c r="P2617" s="30"/>
      <c r="Q2617" s="30"/>
      <c r="R2617" s="30"/>
      <c r="S2617" s="30"/>
      <c r="T2617" s="30"/>
      <c r="U2617" s="30"/>
      <c r="V2617" s="30"/>
      <c r="W2617" s="30"/>
      <c r="X2617" s="30"/>
      <c r="Y2617" s="30"/>
      <c r="Z2617" s="30"/>
      <c r="AA2617" s="30"/>
      <c r="AB2617" s="30"/>
      <c r="AC2617" s="30"/>
      <c r="AD2617" s="30"/>
      <c r="AE2617" s="30"/>
      <c r="AF2617" s="30"/>
      <c r="AG2617" s="30"/>
      <c r="AH2617" s="30"/>
    </row>
    <row r="2618" spans="1:34" ht="13">
      <c r="A2618" s="30"/>
      <c r="B2618" s="30"/>
      <c r="C2618" s="30"/>
      <c r="D2618" s="30"/>
      <c r="E2618" s="30"/>
      <c r="F2618" s="30"/>
      <c r="G2618" s="30"/>
      <c r="H2618" s="48"/>
      <c r="I2618" s="49"/>
      <c r="J2618" s="49"/>
      <c r="K2618" s="48"/>
      <c r="L2618" s="50"/>
      <c r="M2618" s="30"/>
      <c r="N2618" s="30"/>
      <c r="O2618" s="30"/>
      <c r="P2618" s="30"/>
      <c r="Q2618" s="30"/>
      <c r="R2618" s="30"/>
      <c r="S2618" s="30"/>
      <c r="T2618" s="30"/>
      <c r="U2618" s="30"/>
      <c r="V2618" s="30"/>
      <c r="W2618" s="30"/>
      <c r="X2618" s="30"/>
      <c r="Y2618" s="30"/>
      <c r="Z2618" s="30"/>
      <c r="AA2618" s="30"/>
      <c r="AB2618" s="30"/>
      <c r="AC2618" s="30"/>
      <c r="AD2618" s="30"/>
      <c r="AE2618" s="30"/>
      <c r="AF2618" s="30"/>
      <c r="AG2618" s="30"/>
      <c r="AH2618" s="30"/>
    </row>
    <row r="2619" spans="1:34" ht="13">
      <c r="A2619" s="30"/>
      <c r="B2619" s="30"/>
      <c r="C2619" s="30"/>
      <c r="D2619" s="30"/>
      <c r="E2619" s="30"/>
      <c r="F2619" s="30"/>
      <c r="G2619" s="30"/>
      <c r="H2619" s="48"/>
      <c r="I2619" s="49"/>
      <c r="J2619" s="49"/>
      <c r="K2619" s="48"/>
      <c r="L2619" s="50"/>
      <c r="M2619" s="30"/>
      <c r="N2619" s="30"/>
      <c r="O2619" s="30"/>
      <c r="P2619" s="30"/>
      <c r="Q2619" s="30"/>
      <c r="R2619" s="30"/>
      <c r="S2619" s="30"/>
      <c r="T2619" s="30"/>
      <c r="U2619" s="30"/>
      <c r="V2619" s="30"/>
      <c r="W2619" s="30"/>
      <c r="X2619" s="30"/>
      <c r="Y2619" s="30"/>
      <c r="Z2619" s="30"/>
      <c r="AA2619" s="30"/>
      <c r="AB2619" s="30"/>
      <c r="AC2619" s="30"/>
      <c r="AD2619" s="30"/>
      <c r="AE2619" s="30"/>
      <c r="AF2619" s="30"/>
      <c r="AG2619" s="30"/>
      <c r="AH2619" s="30"/>
    </row>
    <row r="2620" spans="1:34" ht="13">
      <c r="A2620" s="30"/>
      <c r="B2620" s="30"/>
      <c r="C2620" s="30"/>
      <c r="D2620" s="30"/>
      <c r="E2620" s="30"/>
      <c r="F2620" s="30"/>
      <c r="G2620" s="30"/>
      <c r="H2620" s="48"/>
      <c r="I2620" s="49"/>
      <c r="J2620" s="49"/>
      <c r="K2620" s="48"/>
      <c r="L2620" s="50"/>
      <c r="M2620" s="30"/>
      <c r="N2620" s="30"/>
      <c r="O2620" s="30"/>
      <c r="P2620" s="30"/>
      <c r="Q2620" s="30"/>
      <c r="R2620" s="30"/>
      <c r="S2620" s="30"/>
      <c r="T2620" s="30"/>
      <c r="U2620" s="30"/>
      <c r="V2620" s="30"/>
      <c r="W2620" s="30"/>
      <c r="X2620" s="30"/>
      <c r="Y2620" s="30"/>
      <c r="Z2620" s="30"/>
      <c r="AA2620" s="30"/>
      <c r="AB2620" s="30"/>
      <c r="AC2620" s="30"/>
      <c r="AD2620" s="30"/>
      <c r="AE2620" s="30"/>
      <c r="AF2620" s="30"/>
      <c r="AG2620" s="30"/>
      <c r="AH2620" s="30"/>
    </row>
    <row r="2621" spans="1:34" ht="13">
      <c r="A2621" s="30"/>
      <c r="B2621" s="30"/>
      <c r="C2621" s="30"/>
      <c r="D2621" s="30"/>
      <c r="E2621" s="30"/>
      <c r="F2621" s="30"/>
      <c r="G2621" s="30"/>
      <c r="H2621" s="48"/>
      <c r="I2621" s="49"/>
      <c r="J2621" s="49"/>
      <c r="K2621" s="48"/>
      <c r="L2621" s="50"/>
      <c r="M2621" s="30"/>
      <c r="N2621" s="30"/>
      <c r="O2621" s="30"/>
      <c r="P2621" s="30"/>
      <c r="Q2621" s="30"/>
      <c r="R2621" s="30"/>
      <c r="S2621" s="30"/>
      <c r="T2621" s="30"/>
      <c r="U2621" s="30"/>
      <c r="V2621" s="30"/>
      <c r="W2621" s="30"/>
      <c r="X2621" s="30"/>
      <c r="Y2621" s="30"/>
      <c r="Z2621" s="30"/>
      <c r="AA2621" s="30"/>
      <c r="AB2621" s="30"/>
      <c r="AC2621" s="30"/>
      <c r="AD2621" s="30"/>
      <c r="AE2621" s="30"/>
      <c r="AF2621" s="30"/>
      <c r="AG2621" s="30"/>
      <c r="AH2621" s="30"/>
    </row>
    <row r="2622" spans="1:34" ht="13">
      <c r="A2622" s="30"/>
      <c r="B2622" s="30"/>
      <c r="C2622" s="30"/>
      <c r="D2622" s="30"/>
      <c r="E2622" s="30"/>
      <c r="F2622" s="30"/>
      <c r="G2622" s="30"/>
      <c r="H2622" s="48"/>
      <c r="I2622" s="49"/>
      <c r="J2622" s="49"/>
      <c r="K2622" s="48"/>
      <c r="L2622" s="50"/>
      <c r="M2622" s="30"/>
      <c r="N2622" s="30"/>
      <c r="O2622" s="30"/>
      <c r="P2622" s="30"/>
      <c r="Q2622" s="30"/>
      <c r="R2622" s="30"/>
      <c r="S2622" s="30"/>
      <c r="T2622" s="30"/>
      <c r="U2622" s="30"/>
      <c r="V2622" s="30"/>
      <c r="W2622" s="30"/>
      <c r="X2622" s="30"/>
      <c r="Y2622" s="30"/>
      <c r="Z2622" s="30"/>
      <c r="AA2622" s="30"/>
      <c r="AB2622" s="30"/>
      <c r="AC2622" s="30"/>
      <c r="AD2622" s="30"/>
      <c r="AE2622" s="30"/>
      <c r="AF2622" s="30"/>
      <c r="AG2622" s="30"/>
      <c r="AH2622" s="30"/>
    </row>
    <row r="2623" spans="1:34" ht="13">
      <c r="A2623" s="30"/>
      <c r="B2623" s="30"/>
      <c r="C2623" s="30"/>
      <c r="D2623" s="30"/>
      <c r="E2623" s="30"/>
      <c r="F2623" s="30"/>
      <c r="G2623" s="30"/>
      <c r="H2623" s="48"/>
      <c r="I2623" s="49"/>
      <c r="J2623" s="49"/>
      <c r="K2623" s="48"/>
      <c r="L2623" s="50"/>
      <c r="M2623" s="30"/>
      <c r="N2623" s="30"/>
      <c r="O2623" s="30"/>
      <c r="P2623" s="30"/>
      <c r="Q2623" s="30"/>
      <c r="R2623" s="30"/>
      <c r="S2623" s="30"/>
      <c r="T2623" s="30"/>
      <c r="U2623" s="30"/>
      <c r="V2623" s="30"/>
      <c r="W2623" s="30"/>
      <c r="X2623" s="30"/>
      <c r="Y2623" s="30"/>
      <c r="Z2623" s="30"/>
      <c r="AA2623" s="30"/>
      <c r="AB2623" s="30"/>
      <c r="AC2623" s="30"/>
      <c r="AD2623" s="30"/>
      <c r="AE2623" s="30"/>
      <c r="AF2623" s="30"/>
      <c r="AG2623" s="30"/>
      <c r="AH2623" s="30"/>
    </row>
    <row r="2624" spans="1:34" ht="13">
      <c r="A2624" s="30"/>
      <c r="B2624" s="30"/>
      <c r="C2624" s="30"/>
      <c r="D2624" s="30"/>
      <c r="E2624" s="30"/>
      <c r="F2624" s="30"/>
      <c r="G2624" s="30"/>
      <c r="H2624" s="48"/>
      <c r="I2624" s="49"/>
      <c r="J2624" s="49"/>
      <c r="K2624" s="48"/>
      <c r="L2624" s="50"/>
      <c r="M2624" s="30"/>
      <c r="N2624" s="30"/>
      <c r="O2624" s="30"/>
      <c r="P2624" s="30"/>
      <c r="Q2624" s="30"/>
      <c r="R2624" s="30"/>
      <c r="S2624" s="30"/>
      <c r="T2624" s="30"/>
      <c r="U2624" s="30"/>
      <c r="V2624" s="30"/>
      <c r="W2624" s="30"/>
      <c r="X2624" s="30"/>
      <c r="Y2624" s="30"/>
      <c r="Z2624" s="30"/>
      <c r="AA2624" s="30"/>
      <c r="AB2624" s="30"/>
      <c r="AC2624" s="30"/>
      <c r="AD2624" s="30"/>
      <c r="AE2624" s="30"/>
      <c r="AF2624" s="30"/>
      <c r="AG2624" s="30"/>
      <c r="AH2624" s="30"/>
    </row>
    <row r="2625" spans="1:34" ht="13">
      <c r="A2625" s="30"/>
      <c r="B2625" s="30"/>
      <c r="C2625" s="30"/>
      <c r="D2625" s="30"/>
      <c r="E2625" s="30"/>
      <c r="F2625" s="30"/>
      <c r="G2625" s="30"/>
      <c r="H2625" s="48"/>
      <c r="I2625" s="49"/>
      <c r="J2625" s="49"/>
      <c r="K2625" s="48"/>
      <c r="L2625" s="50"/>
      <c r="M2625" s="30"/>
      <c r="N2625" s="30"/>
      <c r="O2625" s="30"/>
      <c r="P2625" s="30"/>
      <c r="Q2625" s="30"/>
      <c r="R2625" s="30"/>
      <c r="S2625" s="30"/>
      <c r="T2625" s="30"/>
      <c r="U2625" s="30"/>
      <c r="V2625" s="30"/>
      <c r="W2625" s="30"/>
      <c r="X2625" s="30"/>
      <c r="Y2625" s="30"/>
      <c r="Z2625" s="30"/>
      <c r="AA2625" s="30"/>
      <c r="AB2625" s="30"/>
      <c r="AC2625" s="30"/>
      <c r="AD2625" s="30"/>
      <c r="AE2625" s="30"/>
      <c r="AF2625" s="30"/>
      <c r="AG2625" s="30"/>
      <c r="AH2625" s="30"/>
    </row>
    <row r="2626" spans="1:34" ht="13">
      <c r="A2626" s="30"/>
      <c r="B2626" s="30"/>
      <c r="C2626" s="30"/>
      <c r="D2626" s="30"/>
      <c r="E2626" s="30"/>
      <c r="F2626" s="30"/>
      <c r="G2626" s="30"/>
      <c r="H2626" s="48"/>
      <c r="I2626" s="49"/>
      <c r="J2626" s="49"/>
      <c r="K2626" s="48"/>
      <c r="L2626" s="50"/>
      <c r="M2626" s="30"/>
      <c r="N2626" s="30"/>
      <c r="O2626" s="30"/>
      <c r="P2626" s="30"/>
      <c r="Q2626" s="30"/>
      <c r="R2626" s="30"/>
      <c r="S2626" s="30"/>
      <c r="T2626" s="30"/>
      <c r="U2626" s="30"/>
      <c r="V2626" s="30"/>
      <c r="W2626" s="30"/>
      <c r="X2626" s="30"/>
      <c r="Y2626" s="30"/>
      <c r="Z2626" s="30"/>
      <c r="AA2626" s="30"/>
      <c r="AB2626" s="30"/>
      <c r="AC2626" s="30"/>
      <c r="AD2626" s="30"/>
      <c r="AE2626" s="30"/>
      <c r="AF2626" s="30"/>
      <c r="AG2626" s="30"/>
      <c r="AH2626" s="30"/>
    </row>
    <row r="2627" spans="1:34" ht="13">
      <c r="A2627" s="30"/>
      <c r="B2627" s="30"/>
      <c r="C2627" s="30"/>
      <c r="D2627" s="30"/>
      <c r="E2627" s="30"/>
      <c r="F2627" s="30"/>
      <c r="G2627" s="30"/>
      <c r="H2627" s="48"/>
      <c r="I2627" s="49"/>
      <c r="J2627" s="49"/>
      <c r="K2627" s="48"/>
      <c r="L2627" s="50"/>
      <c r="M2627" s="30"/>
      <c r="N2627" s="30"/>
      <c r="O2627" s="30"/>
      <c r="P2627" s="30"/>
      <c r="Q2627" s="30"/>
      <c r="R2627" s="30"/>
      <c r="S2627" s="30"/>
      <c r="T2627" s="30"/>
      <c r="U2627" s="30"/>
      <c r="V2627" s="30"/>
      <c r="W2627" s="30"/>
      <c r="X2627" s="30"/>
      <c r="Y2627" s="30"/>
      <c r="Z2627" s="30"/>
      <c r="AA2627" s="30"/>
      <c r="AB2627" s="30"/>
      <c r="AC2627" s="30"/>
      <c r="AD2627" s="30"/>
      <c r="AE2627" s="30"/>
      <c r="AF2627" s="30"/>
      <c r="AG2627" s="30"/>
      <c r="AH2627" s="30"/>
    </row>
    <row r="2628" spans="1:34" ht="13">
      <c r="A2628" s="30"/>
      <c r="B2628" s="30"/>
      <c r="C2628" s="30"/>
      <c r="D2628" s="30"/>
      <c r="E2628" s="30"/>
      <c r="F2628" s="30"/>
      <c r="G2628" s="30"/>
      <c r="H2628" s="48"/>
      <c r="I2628" s="49"/>
      <c r="J2628" s="49"/>
      <c r="K2628" s="48"/>
      <c r="L2628" s="50"/>
      <c r="M2628" s="30"/>
      <c r="N2628" s="30"/>
      <c r="O2628" s="30"/>
      <c r="P2628" s="30"/>
      <c r="Q2628" s="30"/>
      <c r="R2628" s="30"/>
      <c r="S2628" s="30"/>
      <c r="T2628" s="30"/>
      <c r="U2628" s="30"/>
      <c r="V2628" s="30"/>
      <c r="W2628" s="30"/>
      <c r="X2628" s="30"/>
      <c r="Y2628" s="30"/>
      <c r="Z2628" s="30"/>
      <c r="AA2628" s="30"/>
      <c r="AB2628" s="30"/>
      <c r="AC2628" s="30"/>
      <c r="AD2628" s="30"/>
      <c r="AE2628" s="30"/>
      <c r="AF2628" s="30"/>
      <c r="AG2628" s="30"/>
      <c r="AH2628" s="30"/>
    </row>
    <row r="2629" spans="1:34" ht="13">
      <c r="A2629" s="30"/>
      <c r="B2629" s="30"/>
      <c r="C2629" s="30"/>
      <c r="D2629" s="30"/>
      <c r="E2629" s="30"/>
      <c r="F2629" s="30"/>
      <c r="G2629" s="30"/>
      <c r="H2629" s="48"/>
      <c r="I2629" s="49"/>
      <c r="J2629" s="49"/>
      <c r="K2629" s="48"/>
      <c r="L2629" s="50"/>
      <c r="M2629" s="30"/>
      <c r="N2629" s="30"/>
      <c r="O2629" s="30"/>
      <c r="P2629" s="30"/>
      <c r="Q2629" s="30"/>
      <c r="R2629" s="30"/>
      <c r="S2629" s="30"/>
      <c r="T2629" s="30"/>
      <c r="U2629" s="30"/>
      <c r="V2629" s="30"/>
      <c r="W2629" s="30"/>
      <c r="X2629" s="30"/>
      <c r="Y2629" s="30"/>
      <c r="Z2629" s="30"/>
      <c r="AA2629" s="30"/>
      <c r="AB2629" s="30"/>
      <c r="AC2629" s="30"/>
      <c r="AD2629" s="30"/>
      <c r="AE2629" s="30"/>
      <c r="AF2629" s="30"/>
      <c r="AG2629" s="30"/>
      <c r="AH2629" s="30"/>
    </row>
    <row r="2630" spans="1:34" ht="13">
      <c r="A2630" s="30"/>
      <c r="B2630" s="30"/>
      <c r="C2630" s="30"/>
      <c r="D2630" s="30"/>
      <c r="E2630" s="30"/>
      <c r="F2630" s="30"/>
      <c r="G2630" s="30"/>
      <c r="H2630" s="48"/>
      <c r="I2630" s="49"/>
      <c r="J2630" s="49"/>
      <c r="K2630" s="48"/>
      <c r="L2630" s="50"/>
      <c r="M2630" s="30"/>
      <c r="N2630" s="30"/>
      <c r="O2630" s="30"/>
      <c r="P2630" s="30"/>
      <c r="Q2630" s="30"/>
      <c r="R2630" s="30"/>
      <c r="S2630" s="30"/>
      <c r="T2630" s="30"/>
      <c r="U2630" s="30"/>
      <c r="V2630" s="30"/>
      <c r="W2630" s="30"/>
      <c r="X2630" s="30"/>
      <c r="Y2630" s="30"/>
      <c r="Z2630" s="30"/>
      <c r="AA2630" s="30"/>
      <c r="AB2630" s="30"/>
      <c r="AC2630" s="30"/>
      <c r="AD2630" s="30"/>
      <c r="AE2630" s="30"/>
      <c r="AF2630" s="30"/>
      <c r="AG2630" s="30"/>
      <c r="AH2630" s="30"/>
    </row>
    <row r="2631" spans="1:34" ht="13">
      <c r="A2631" s="30"/>
      <c r="B2631" s="30"/>
      <c r="C2631" s="30"/>
      <c r="D2631" s="30"/>
      <c r="E2631" s="30"/>
      <c r="F2631" s="30"/>
      <c r="G2631" s="30"/>
      <c r="H2631" s="48"/>
      <c r="I2631" s="49"/>
      <c r="J2631" s="49"/>
      <c r="K2631" s="48"/>
      <c r="L2631" s="50"/>
      <c r="M2631" s="30"/>
      <c r="N2631" s="30"/>
      <c r="O2631" s="30"/>
      <c r="P2631" s="30"/>
      <c r="Q2631" s="30"/>
      <c r="R2631" s="30"/>
      <c r="S2631" s="30"/>
      <c r="T2631" s="30"/>
      <c r="U2631" s="30"/>
      <c r="V2631" s="30"/>
      <c r="W2631" s="30"/>
      <c r="X2631" s="30"/>
      <c r="Y2631" s="30"/>
      <c r="Z2631" s="30"/>
      <c r="AA2631" s="30"/>
      <c r="AB2631" s="30"/>
      <c r="AC2631" s="30"/>
      <c r="AD2631" s="30"/>
      <c r="AE2631" s="30"/>
      <c r="AF2631" s="30"/>
      <c r="AG2631" s="30"/>
      <c r="AH2631" s="30"/>
    </row>
    <row r="2632" spans="1:34" ht="13">
      <c r="A2632" s="30"/>
      <c r="B2632" s="30"/>
      <c r="C2632" s="30"/>
      <c r="D2632" s="30"/>
      <c r="E2632" s="30"/>
      <c r="F2632" s="30"/>
      <c r="G2632" s="30"/>
      <c r="H2632" s="48"/>
      <c r="I2632" s="49"/>
      <c r="J2632" s="49"/>
      <c r="K2632" s="48"/>
      <c r="L2632" s="50"/>
      <c r="M2632" s="30"/>
      <c r="N2632" s="30"/>
      <c r="O2632" s="30"/>
      <c r="P2632" s="30"/>
      <c r="Q2632" s="30"/>
      <c r="R2632" s="30"/>
      <c r="S2632" s="30"/>
      <c r="T2632" s="30"/>
      <c r="U2632" s="30"/>
      <c r="V2632" s="30"/>
      <c r="W2632" s="30"/>
      <c r="X2632" s="30"/>
      <c r="Y2632" s="30"/>
      <c r="Z2632" s="30"/>
      <c r="AA2632" s="30"/>
      <c r="AB2632" s="30"/>
      <c r="AC2632" s="30"/>
      <c r="AD2632" s="30"/>
      <c r="AE2632" s="30"/>
      <c r="AF2632" s="30"/>
      <c r="AG2632" s="30"/>
      <c r="AH2632" s="30"/>
    </row>
    <row r="2633" spans="1:34" ht="13">
      <c r="A2633" s="30"/>
      <c r="B2633" s="30"/>
      <c r="C2633" s="30"/>
      <c r="D2633" s="30"/>
      <c r="E2633" s="30"/>
      <c r="F2633" s="30"/>
      <c r="G2633" s="30"/>
      <c r="H2633" s="48"/>
      <c r="I2633" s="49"/>
      <c r="J2633" s="49"/>
      <c r="K2633" s="48"/>
      <c r="L2633" s="50"/>
      <c r="M2633" s="30"/>
      <c r="N2633" s="30"/>
      <c r="O2633" s="30"/>
      <c r="P2633" s="30"/>
      <c r="Q2633" s="30"/>
      <c r="R2633" s="30"/>
      <c r="S2633" s="30"/>
      <c r="T2633" s="30"/>
      <c r="U2633" s="30"/>
      <c r="V2633" s="30"/>
      <c r="W2633" s="30"/>
      <c r="X2633" s="30"/>
      <c r="Y2633" s="30"/>
      <c r="Z2633" s="30"/>
      <c r="AA2633" s="30"/>
      <c r="AB2633" s="30"/>
      <c r="AC2633" s="30"/>
      <c r="AD2633" s="30"/>
      <c r="AE2633" s="30"/>
      <c r="AF2633" s="30"/>
      <c r="AG2633" s="30"/>
      <c r="AH2633" s="30"/>
    </row>
    <row r="2634" spans="1:34" ht="13">
      <c r="A2634" s="30"/>
      <c r="B2634" s="30"/>
      <c r="C2634" s="30"/>
      <c r="D2634" s="30"/>
      <c r="E2634" s="30"/>
      <c r="F2634" s="30"/>
      <c r="G2634" s="30"/>
      <c r="H2634" s="48"/>
      <c r="I2634" s="49"/>
      <c r="J2634" s="49"/>
      <c r="K2634" s="48"/>
      <c r="L2634" s="50"/>
      <c r="M2634" s="30"/>
      <c r="N2634" s="30"/>
      <c r="O2634" s="30"/>
      <c r="P2634" s="30"/>
      <c r="Q2634" s="30"/>
      <c r="R2634" s="30"/>
      <c r="S2634" s="30"/>
      <c r="T2634" s="30"/>
      <c r="U2634" s="30"/>
      <c r="V2634" s="30"/>
      <c r="W2634" s="30"/>
      <c r="X2634" s="30"/>
      <c r="Y2634" s="30"/>
      <c r="Z2634" s="30"/>
      <c r="AA2634" s="30"/>
      <c r="AB2634" s="30"/>
      <c r="AC2634" s="30"/>
      <c r="AD2634" s="30"/>
      <c r="AE2634" s="30"/>
      <c r="AF2634" s="30"/>
      <c r="AG2634" s="30"/>
      <c r="AH2634" s="30"/>
    </row>
    <row r="2635" spans="1:34" ht="13">
      <c r="A2635" s="30"/>
      <c r="B2635" s="30"/>
      <c r="C2635" s="30"/>
      <c r="D2635" s="30"/>
      <c r="E2635" s="30"/>
      <c r="F2635" s="30"/>
      <c r="G2635" s="30"/>
      <c r="H2635" s="48"/>
      <c r="I2635" s="49"/>
      <c r="J2635" s="49"/>
      <c r="K2635" s="48"/>
      <c r="L2635" s="50"/>
      <c r="M2635" s="30"/>
      <c r="N2635" s="30"/>
      <c r="O2635" s="30"/>
      <c r="P2635" s="30"/>
      <c r="Q2635" s="30"/>
      <c r="R2635" s="30"/>
      <c r="S2635" s="30"/>
      <c r="T2635" s="30"/>
      <c r="U2635" s="30"/>
      <c r="V2635" s="30"/>
      <c r="W2635" s="30"/>
      <c r="X2635" s="30"/>
      <c r="Y2635" s="30"/>
      <c r="Z2635" s="30"/>
      <c r="AA2635" s="30"/>
      <c r="AB2635" s="30"/>
      <c r="AC2635" s="30"/>
      <c r="AD2635" s="30"/>
      <c r="AE2635" s="30"/>
      <c r="AF2635" s="30"/>
      <c r="AG2635" s="30"/>
      <c r="AH2635" s="30"/>
    </row>
    <row r="2636" spans="1:34" ht="13">
      <c r="A2636" s="30"/>
      <c r="B2636" s="30"/>
      <c r="C2636" s="30"/>
      <c r="D2636" s="30"/>
      <c r="E2636" s="30"/>
      <c r="F2636" s="30"/>
      <c r="G2636" s="30"/>
      <c r="H2636" s="48"/>
      <c r="I2636" s="49"/>
      <c r="J2636" s="49"/>
      <c r="K2636" s="48"/>
      <c r="L2636" s="50"/>
      <c r="M2636" s="30"/>
      <c r="N2636" s="30"/>
      <c r="O2636" s="30"/>
      <c r="P2636" s="30"/>
      <c r="Q2636" s="30"/>
      <c r="R2636" s="30"/>
      <c r="S2636" s="30"/>
      <c r="T2636" s="30"/>
      <c r="U2636" s="30"/>
      <c r="V2636" s="30"/>
      <c r="W2636" s="30"/>
      <c r="X2636" s="30"/>
      <c r="Y2636" s="30"/>
      <c r="Z2636" s="30"/>
      <c r="AA2636" s="30"/>
      <c r="AB2636" s="30"/>
      <c r="AC2636" s="30"/>
      <c r="AD2636" s="30"/>
      <c r="AE2636" s="30"/>
      <c r="AF2636" s="30"/>
      <c r="AG2636" s="30"/>
      <c r="AH2636" s="30"/>
    </row>
    <row r="2637" spans="1:34" ht="13">
      <c r="A2637" s="30"/>
      <c r="B2637" s="30"/>
      <c r="C2637" s="30"/>
      <c r="D2637" s="30"/>
      <c r="E2637" s="30"/>
      <c r="F2637" s="30"/>
      <c r="G2637" s="30"/>
      <c r="H2637" s="48"/>
      <c r="I2637" s="49"/>
      <c r="J2637" s="49"/>
      <c r="K2637" s="48"/>
      <c r="L2637" s="50"/>
      <c r="M2637" s="30"/>
      <c r="N2637" s="30"/>
      <c r="O2637" s="30"/>
      <c r="P2637" s="30"/>
      <c r="Q2637" s="30"/>
      <c r="R2637" s="30"/>
      <c r="S2637" s="30"/>
      <c r="T2637" s="30"/>
      <c r="U2637" s="30"/>
      <c r="V2637" s="30"/>
      <c r="W2637" s="30"/>
      <c r="X2637" s="30"/>
      <c r="Y2637" s="30"/>
      <c r="Z2637" s="30"/>
      <c r="AA2637" s="30"/>
      <c r="AB2637" s="30"/>
      <c r="AC2637" s="30"/>
      <c r="AD2637" s="30"/>
      <c r="AE2637" s="30"/>
      <c r="AF2637" s="30"/>
      <c r="AG2637" s="30"/>
      <c r="AH2637" s="30"/>
    </row>
    <row r="2638" spans="1:34" ht="13">
      <c r="A2638" s="30"/>
      <c r="B2638" s="30"/>
      <c r="C2638" s="30"/>
      <c r="D2638" s="30"/>
      <c r="E2638" s="30"/>
      <c r="F2638" s="30"/>
      <c r="G2638" s="30"/>
      <c r="H2638" s="48"/>
      <c r="I2638" s="49"/>
      <c r="J2638" s="49"/>
      <c r="K2638" s="48"/>
      <c r="L2638" s="50"/>
      <c r="M2638" s="30"/>
      <c r="N2638" s="30"/>
      <c r="O2638" s="30"/>
      <c r="P2638" s="30"/>
      <c r="Q2638" s="30"/>
      <c r="R2638" s="30"/>
      <c r="S2638" s="30"/>
      <c r="T2638" s="30"/>
      <c r="U2638" s="30"/>
      <c r="V2638" s="30"/>
      <c r="W2638" s="30"/>
      <c r="X2638" s="30"/>
      <c r="Y2638" s="30"/>
      <c r="Z2638" s="30"/>
      <c r="AA2638" s="30"/>
      <c r="AB2638" s="30"/>
      <c r="AC2638" s="30"/>
      <c r="AD2638" s="30"/>
      <c r="AE2638" s="30"/>
      <c r="AF2638" s="30"/>
      <c r="AG2638" s="30"/>
      <c r="AH2638" s="30"/>
    </row>
    <row r="2639" spans="1:34" ht="13">
      <c r="A2639" s="30"/>
      <c r="B2639" s="30"/>
      <c r="C2639" s="30"/>
      <c r="D2639" s="30"/>
      <c r="E2639" s="30"/>
      <c r="F2639" s="30"/>
      <c r="G2639" s="30"/>
      <c r="H2639" s="48"/>
      <c r="I2639" s="49"/>
      <c r="J2639" s="49"/>
      <c r="K2639" s="48"/>
      <c r="L2639" s="50"/>
      <c r="M2639" s="30"/>
      <c r="N2639" s="30"/>
      <c r="O2639" s="30"/>
      <c r="P2639" s="30"/>
      <c r="Q2639" s="30"/>
      <c r="R2639" s="30"/>
      <c r="S2639" s="30"/>
      <c r="T2639" s="30"/>
      <c r="U2639" s="30"/>
      <c r="V2639" s="30"/>
      <c r="W2639" s="30"/>
      <c r="X2639" s="30"/>
      <c r="Y2639" s="30"/>
      <c r="Z2639" s="30"/>
      <c r="AA2639" s="30"/>
      <c r="AB2639" s="30"/>
      <c r="AC2639" s="30"/>
      <c r="AD2639" s="30"/>
      <c r="AE2639" s="30"/>
      <c r="AF2639" s="30"/>
      <c r="AG2639" s="30"/>
      <c r="AH2639" s="30"/>
    </row>
    <row r="2640" spans="1:34" ht="13">
      <c r="A2640" s="30"/>
      <c r="B2640" s="30"/>
      <c r="C2640" s="30"/>
      <c r="D2640" s="30"/>
      <c r="E2640" s="30"/>
      <c r="F2640" s="30"/>
      <c r="G2640" s="30"/>
      <c r="H2640" s="48"/>
      <c r="I2640" s="49"/>
      <c r="J2640" s="49"/>
      <c r="K2640" s="48"/>
      <c r="L2640" s="50"/>
      <c r="M2640" s="30"/>
      <c r="N2640" s="30"/>
      <c r="O2640" s="30"/>
      <c r="P2640" s="30"/>
      <c r="Q2640" s="30"/>
      <c r="R2640" s="30"/>
      <c r="S2640" s="30"/>
      <c r="T2640" s="30"/>
      <c r="U2640" s="30"/>
      <c r="V2640" s="30"/>
      <c r="W2640" s="30"/>
      <c r="X2640" s="30"/>
      <c r="Y2640" s="30"/>
      <c r="Z2640" s="30"/>
      <c r="AA2640" s="30"/>
      <c r="AB2640" s="30"/>
      <c r="AC2640" s="30"/>
      <c r="AD2640" s="30"/>
      <c r="AE2640" s="30"/>
      <c r="AF2640" s="30"/>
      <c r="AG2640" s="30"/>
      <c r="AH2640" s="30"/>
    </row>
    <row r="2641" spans="1:34" ht="13">
      <c r="A2641" s="30"/>
      <c r="B2641" s="30"/>
      <c r="C2641" s="30"/>
      <c r="D2641" s="30"/>
      <c r="E2641" s="30"/>
      <c r="F2641" s="30"/>
      <c r="G2641" s="30"/>
      <c r="H2641" s="48"/>
      <c r="I2641" s="49"/>
      <c r="J2641" s="49"/>
      <c r="K2641" s="48"/>
      <c r="L2641" s="50"/>
      <c r="M2641" s="30"/>
      <c r="N2641" s="30"/>
      <c r="O2641" s="30"/>
      <c r="P2641" s="30"/>
      <c r="Q2641" s="30"/>
      <c r="R2641" s="30"/>
      <c r="S2641" s="30"/>
      <c r="T2641" s="30"/>
      <c r="U2641" s="30"/>
      <c r="V2641" s="30"/>
      <c r="W2641" s="30"/>
      <c r="X2641" s="30"/>
      <c r="Y2641" s="30"/>
      <c r="Z2641" s="30"/>
      <c r="AA2641" s="30"/>
      <c r="AB2641" s="30"/>
      <c r="AC2641" s="30"/>
      <c r="AD2641" s="30"/>
      <c r="AE2641" s="30"/>
      <c r="AF2641" s="30"/>
      <c r="AG2641" s="30"/>
      <c r="AH2641" s="30"/>
    </row>
    <row r="2642" spans="1:34" ht="13">
      <c r="A2642" s="30"/>
      <c r="B2642" s="30"/>
      <c r="C2642" s="30"/>
      <c r="D2642" s="30"/>
      <c r="E2642" s="30"/>
      <c r="F2642" s="30"/>
      <c r="G2642" s="30"/>
      <c r="H2642" s="48"/>
      <c r="I2642" s="49"/>
      <c r="J2642" s="49"/>
      <c r="K2642" s="48"/>
      <c r="L2642" s="50"/>
      <c r="M2642" s="30"/>
      <c r="N2642" s="30"/>
      <c r="O2642" s="30"/>
      <c r="P2642" s="30"/>
      <c r="Q2642" s="30"/>
      <c r="R2642" s="30"/>
      <c r="S2642" s="30"/>
      <c r="T2642" s="30"/>
      <c r="U2642" s="30"/>
      <c r="V2642" s="30"/>
      <c r="W2642" s="30"/>
      <c r="X2642" s="30"/>
      <c r="Y2642" s="30"/>
      <c r="Z2642" s="30"/>
      <c r="AA2642" s="30"/>
      <c r="AB2642" s="30"/>
      <c r="AC2642" s="30"/>
      <c r="AD2642" s="30"/>
      <c r="AE2642" s="30"/>
      <c r="AF2642" s="30"/>
      <c r="AG2642" s="30"/>
      <c r="AH2642" s="30"/>
    </row>
    <row r="2643" spans="1:34" ht="13">
      <c r="A2643" s="30"/>
      <c r="B2643" s="30"/>
      <c r="C2643" s="30"/>
      <c r="D2643" s="30"/>
      <c r="E2643" s="30"/>
      <c r="F2643" s="30"/>
      <c r="G2643" s="30"/>
      <c r="H2643" s="48"/>
      <c r="I2643" s="49"/>
      <c r="J2643" s="49"/>
      <c r="K2643" s="48"/>
      <c r="L2643" s="50"/>
      <c r="M2643" s="30"/>
      <c r="N2643" s="30"/>
      <c r="O2643" s="30"/>
      <c r="P2643" s="30"/>
      <c r="Q2643" s="30"/>
      <c r="R2643" s="30"/>
      <c r="S2643" s="30"/>
      <c r="T2643" s="30"/>
      <c r="U2643" s="30"/>
      <c r="V2643" s="30"/>
      <c r="W2643" s="30"/>
      <c r="X2643" s="30"/>
      <c r="Y2643" s="30"/>
      <c r="Z2643" s="30"/>
      <c r="AA2643" s="30"/>
      <c r="AB2643" s="30"/>
      <c r="AC2643" s="30"/>
      <c r="AD2643" s="30"/>
      <c r="AE2643" s="30"/>
      <c r="AF2643" s="30"/>
      <c r="AG2643" s="30"/>
      <c r="AH2643" s="30"/>
    </row>
    <row r="2644" spans="1:34" ht="13">
      <c r="A2644" s="30"/>
      <c r="B2644" s="30"/>
      <c r="C2644" s="30"/>
      <c r="D2644" s="30"/>
      <c r="E2644" s="30"/>
      <c r="F2644" s="30"/>
      <c r="G2644" s="30"/>
      <c r="H2644" s="48"/>
      <c r="I2644" s="49"/>
      <c r="J2644" s="49"/>
      <c r="K2644" s="48"/>
      <c r="L2644" s="50"/>
      <c r="M2644" s="30"/>
      <c r="N2644" s="30"/>
      <c r="O2644" s="30"/>
      <c r="P2644" s="30"/>
      <c r="Q2644" s="30"/>
      <c r="R2644" s="30"/>
      <c r="S2644" s="30"/>
      <c r="T2644" s="30"/>
      <c r="U2644" s="30"/>
      <c r="V2644" s="30"/>
      <c r="W2644" s="30"/>
      <c r="X2644" s="30"/>
      <c r="Y2644" s="30"/>
      <c r="Z2644" s="30"/>
      <c r="AA2644" s="30"/>
      <c r="AB2644" s="30"/>
      <c r="AC2644" s="30"/>
      <c r="AD2644" s="30"/>
      <c r="AE2644" s="30"/>
      <c r="AF2644" s="30"/>
      <c r="AG2644" s="30"/>
      <c r="AH2644" s="30"/>
    </row>
    <row r="2645" spans="1:34" ht="13">
      <c r="A2645" s="30"/>
      <c r="B2645" s="30"/>
      <c r="C2645" s="30"/>
      <c r="D2645" s="30"/>
      <c r="E2645" s="30"/>
      <c r="F2645" s="30"/>
      <c r="G2645" s="30"/>
      <c r="H2645" s="48"/>
      <c r="I2645" s="49"/>
      <c r="J2645" s="49"/>
      <c r="K2645" s="48"/>
      <c r="L2645" s="50"/>
      <c r="M2645" s="30"/>
      <c r="N2645" s="30"/>
      <c r="O2645" s="30"/>
      <c r="P2645" s="30"/>
      <c r="Q2645" s="30"/>
      <c r="R2645" s="30"/>
      <c r="S2645" s="30"/>
      <c r="T2645" s="30"/>
      <c r="U2645" s="30"/>
      <c r="V2645" s="30"/>
      <c r="W2645" s="30"/>
      <c r="X2645" s="30"/>
      <c r="Y2645" s="30"/>
      <c r="Z2645" s="30"/>
      <c r="AA2645" s="30"/>
      <c r="AB2645" s="30"/>
      <c r="AC2645" s="30"/>
      <c r="AD2645" s="30"/>
      <c r="AE2645" s="30"/>
      <c r="AF2645" s="30"/>
      <c r="AG2645" s="30"/>
      <c r="AH2645" s="30"/>
    </row>
    <row r="2646" spans="1:34" ht="13">
      <c r="A2646" s="30"/>
      <c r="B2646" s="30"/>
      <c r="C2646" s="30"/>
      <c r="D2646" s="30"/>
      <c r="E2646" s="30"/>
      <c r="F2646" s="30"/>
      <c r="G2646" s="30"/>
      <c r="H2646" s="48"/>
      <c r="I2646" s="49"/>
      <c r="J2646" s="49"/>
      <c r="K2646" s="48"/>
      <c r="L2646" s="50"/>
      <c r="M2646" s="30"/>
      <c r="N2646" s="30"/>
      <c r="O2646" s="30"/>
      <c r="P2646" s="30"/>
      <c r="Q2646" s="30"/>
      <c r="R2646" s="30"/>
      <c r="S2646" s="30"/>
      <c r="T2646" s="30"/>
      <c r="U2646" s="30"/>
      <c r="V2646" s="30"/>
      <c r="W2646" s="30"/>
      <c r="X2646" s="30"/>
      <c r="Y2646" s="30"/>
      <c r="Z2646" s="30"/>
      <c r="AA2646" s="30"/>
      <c r="AB2646" s="30"/>
      <c r="AC2646" s="30"/>
      <c r="AD2646" s="30"/>
      <c r="AE2646" s="30"/>
      <c r="AF2646" s="30"/>
      <c r="AG2646" s="30"/>
      <c r="AH2646" s="30"/>
    </row>
    <row r="2647" spans="1:34" ht="13">
      <c r="A2647" s="30"/>
      <c r="B2647" s="30"/>
      <c r="C2647" s="30"/>
      <c r="D2647" s="30"/>
      <c r="E2647" s="30"/>
      <c r="F2647" s="30"/>
      <c r="G2647" s="30"/>
      <c r="H2647" s="48"/>
      <c r="I2647" s="49"/>
      <c r="J2647" s="49"/>
      <c r="K2647" s="48"/>
      <c r="L2647" s="50"/>
      <c r="M2647" s="30"/>
      <c r="N2647" s="30"/>
      <c r="O2647" s="30"/>
      <c r="P2647" s="30"/>
      <c r="Q2647" s="30"/>
      <c r="R2647" s="30"/>
      <c r="S2647" s="30"/>
      <c r="T2647" s="30"/>
      <c r="U2647" s="30"/>
      <c r="V2647" s="30"/>
      <c r="W2647" s="30"/>
      <c r="X2647" s="30"/>
      <c r="Y2647" s="30"/>
      <c r="Z2647" s="30"/>
      <c r="AA2647" s="30"/>
      <c r="AB2647" s="30"/>
      <c r="AC2647" s="30"/>
      <c r="AD2647" s="30"/>
      <c r="AE2647" s="30"/>
      <c r="AF2647" s="30"/>
      <c r="AG2647" s="30"/>
      <c r="AH2647" s="30"/>
    </row>
    <row r="2648" spans="1:34" ht="13">
      <c r="A2648" s="30"/>
      <c r="B2648" s="30"/>
      <c r="C2648" s="30"/>
      <c r="D2648" s="30"/>
      <c r="E2648" s="30"/>
      <c r="F2648" s="30"/>
      <c r="G2648" s="30"/>
      <c r="H2648" s="48"/>
      <c r="I2648" s="49"/>
      <c r="J2648" s="49"/>
      <c r="K2648" s="48"/>
      <c r="L2648" s="50"/>
      <c r="M2648" s="30"/>
      <c r="N2648" s="30"/>
      <c r="O2648" s="30"/>
      <c r="P2648" s="30"/>
      <c r="Q2648" s="30"/>
      <c r="R2648" s="30"/>
      <c r="S2648" s="30"/>
      <c r="T2648" s="30"/>
      <c r="U2648" s="30"/>
      <c r="V2648" s="30"/>
      <c r="W2648" s="30"/>
      <c r="X2648" s="30"/>
      <c r="Y2648" s="30"/>
      <c r="Z2648" s="30"/>
      <c r="AA2648" s="30"/>
      <c r="AB2648" s="30"/>
      <c r="AC2648" s="30"/>
      <c r="AD2648" s="30"/>
      <c r="AE2648" s="30"/>
      <c r="AF2648" s="30"/>
      <c r="AG2648" s="30"/>
      <c r="AH2648" s="30"/>
    </row>
    <row r="2649" spans="1:34" ht="13">
      <c r="A2649" s="30"/>
      <c r="B2649" s="30"/>
      <c r="C2649" s="30"/>
      <c r="D2649" s="30"/>
      <c r="E2649" s="30"/>
      <c r="F2649" s="30"/>
      <c r="G2649" s="30"/>
      <c r="H2649" s="48"/>
      <c r="I2649" s="49"/>
      <c r="J2649" s="49"/>
      <c r="K2649" s="48"/>
      <c r="L2649" s="50"/>
      <c r="M2649" s="30"/>
      <c r="N2649" s="30"/>
      <c r="O2649" s="30"/>
      <c r="P2649" s="30"/>
      <c r="Q2649" s="30"/>
      <c r="R2649" s="30"/>
      <c r="S2649" s="30"/>
      <c r="T2649" s="30"/>
      <c r="U2649" s="30"/>
      <c r="V2649" s="30"/>
      <c r="W2649" s="30"/>
      <c r="X2649" s="30"/>
      <c r="Y2649" s="30"/>
      <c r="Z2649" s="30"/>
      <c r="AA2649" s="30"/>
      <c r="AB2649" s="30"/>
      <c r="AC2649" s="30"/>
      <c r="AD2649" s="30"/>
      <c r="AE2649" s="30"/>
      <c r="AF2649" s="30"/>
      <c r="AG2649" s="30"/>
      <c r="AH2649" s="30"/>
    </row>
    <row r="2650" spans="1:34" ht="13">
      <c r="A2650" s="30"/>
      <c r="B2650" s="30"/>
      <c r="C2650" s="30"/>
      <c r="D2650" s="30"/>
      <c r="E2650" s="30"/>
      <c r="F2650" s="30"/>
      <c r="G2650" s="30"/>
      <c r="H2650" s="48"/>
      <c r="I2650" s="49"/>
      <c r="J2650" s="49"/>
      <c r="K2650" s="48"/>
      <c r="L2650" s="50"/>
      <c r="M2650" s="30"/>
      <c r="N2650" s="30"/>
      <c r="O2650" s="30"/>
      <c r="P2650" s="30"/>
      <c r="Q2650" s="30"/>
      <c r="R2650" s="30"/>
      <c r="S2650" s="30"/>
      <c r="T2650" s="30"/>
      <c r="U2650" s="30"/>
      <c r="V2650" s="30"/>
      <c r="W2650" s="30"/>
      <c r="X2650" s="30"/>
      <c r="Y2650" s="30"/>
      <c r="Z2650" s="30"/>
      <c r="AA2650" s="30"/>
      <c r="AB2650" s="30"/>
      <c r="AC2650" s="30"/>
      <c r="AD2650" s="30"/>
      <c r="AE2650" s="30"/>
      <c r="AF2650" s="30"/>
      <c r="AG2650" s="30"/>
      <c r="AH2650" s="30"/>
    </row>
    <row r="2651" spans="1:34" ht="13">
      <c r="A2651" s="30"/>
      <c r="B2651" s="30"/>
      <c r="C2651" s="30"/>
      <c r="D2651" s="30"/>
      <c r="E2651" s="30"/>
      <c r="F2651" s="30"/>
      <c r="G2651" s="30"/>
      <c r="H2651" s="48"/>
      <c r="I2651" s="49"/>
      <c r="J2651" s="49"/>
      <c r="K2651" s="48"/>
      <c r="L2651" s="50"/>
      <c r="M2651" s="30"/>
      <c r="N2651" s="30"/>
      <c r="O2651" s="30"/>
      <c r="P2651" s="30"/>
      <c r="Q2651" s="30"/>
      <c r="R2651" s="30"/>
      <c r="S2651" s="30"/>
      <c r="T2651" s="30"/>
      <c r="U2651" s="30"/>
      <c r="V2651" s="30"/>
      <c r="W2651" s="30"/>
      <c r="X2651" s="30"/>
      <c r="Y2651" s="30"/>
      <c r="Z2651" s="30"/>
      <c r="AA2651" s="30"/>
      <c r="AB2651" s="30"/>
      <c r="AC2651" s="30"/>
      <c r="AD2651" s="30"/>
      <c r="AE2651" s="30"/>
      <c r="AF2651" s="30"/>
      <c r="AG2651" s="30"/>
      <c r="AH2651" s="30"/>
    </row>
    <row r="2652" spans="1:34" ht="13">
      <c r="A2652" s="30"/>
      <c r="B2652" s="30"/>
      <c r="C2652" s="30"/>
      <c r="D2652" s="30"/>
      <c r="E2652" s="30"/>
      <c r="F2652" s="30"/>
      <c r="G2652" s="30"/>
      <c r="H2652" s="48"/>
      <c r="I2652" s="49"/>
      <c r="J2652" s="49"/>
      <c r="K2652" s="48"/>
      <c r="L2652" s="50"/>
      <c r="M2652" s="30"/>
      <c r="N2652" s="30"/>
      <c r="O2652" s="30"/>
      <c r="P2652" s="30"/>
      <c r="Q2652" s="30"/>
      <c r="R2652" s="30"/>
      <c r="S2652" s="30"/>
      <c r="T2652" s="30"/>
      <c r="U2652" s="30"/>
      <c r="V2652" s="30"/>
      <c r="W2652" s="30"/>
      <c r="X2652" s="30"/>
      <c r="Y2652" s="30"/>
      <c r="Z2652" s="30"/>
      <c r="AA2652" s="30"/>
      <c r="AB2652" s="30"/>
      <c r="AC2652" s="30"/>
      <c r="AD2652" s="30"/>
      <c r="AE2652" s="30"/>
      <c r="AF2652" s="30"/>
      <c r="AG2652" s="30"/>
      <c r="AH2652" s="30"/>
    </row>
    <row r="2653" spans="1:34" ht="13">
      <c r="A2653" s="30"/>
      <c r="B2653" s="30"/>
      <c r="C2653" s="30"/>
      <c r="D2653" s="30"/>
      <c r="E2653" s="30"/>
      <c r="F2653" s="30"/>
      <c r="G2653" s="30"/>
      <c r="H2653" s="48"/>
      <c r="I2653" s="49"/>
      <c r="J2653" s="49"/>
      <c r="K2653" s="48"/>
      <c r="L2653" s="50"/>
      <c r="M2653" s="30"/>
      <c r="N2653" s="30"/>
      <c r="O2653" s="30"/>
      <c r="P2653" s="30"/>
      <c r="Q2653" s="30"/>
      <c r="R2653" s="30"/>
      <c r="S2653" s="30"/>
      <c r="T2653" s="30"/>
      <c r="U2653" s="30"/>
      <c r="V2653" s="30"/>
      <c r="W2653" s="30"/>
      <c r="X2653" s="30"/>
      <c r="Y2653" s="30"/>
      <c r="Z2653" s="30"/>
      <c r="AA2653" s="30"/>
      <c r="AB2653" s="30"/>
      <c r="AC2653" s="30"/>
      <c r="AD2653" s="30"/>
      <c r="AE2653" s="30"/>
      <c r="AF2653" s="30"/>
      <c r="AG2653" s="30"/>
      <c r="AH2653" s="30"/>
    </row>
    <row r="2654" spans="1:34" ht="13">
      <c r="A2654" s="30"/>
      <c r="B2654" s="30"/>
      <c r="C2654" s="30"/>
      <c r="D2654" s="30"/>
      <c r="E2654" s="30"/>
      <c r="F2654" s="30"/>
      <c r="G2654" s="30"/>
      <c r="H2654" s="48"/>
      <c r="I2654" s="49"/>
      <c r="J2654" s="49"/>
      <c r="K2654" s="48"/>
      <c r="L2654" s="50"/>
      <c r="M2654" s="30"/>
      <c r="N2654" s="30"/>
      <c r="O2654" s="30"/>
      <c r="P2654" s="30"/>
      <c r="Q2654" s="30"/>
      <c r="R2654" s="30"/>
      <c r="S2654" s="30"/>
      <c r="T2654" s="30"/>
      <c r="U2654" s="30"/>
      <c r="V2654" s="30"/>
      <c r="W2654" s="30"/>
      <c r="X2654" s="30"/>
      <c r="Y2654" s="30"/>
      <c r="Z2654" s="30"/>
      <c r="AA2654" s="30"/>
      <c r="AB2654" s="30"/>
      <c r="AC2654" s="30"/>
      <c r="AD2654" s="30"/>
      <c r="AE2654" s="30"/>
      <c r="AF2654" s="30"/>
      <c r="AG2654" s="30"/>
      <c r="AH2654" s="30"/>
    </row>
    <row r="2655" spans="1:34" ht="13">
      <c r="A2655" s="30"/>
      <c r="B2655" s="30"/>
      <c r="C2655" s="30"/>
      <c r="D2655" s="30"/>
      <c r="E2655" s="30"/>
      <c r="F2655" s="30"/>
      <c r="G2655" s="30"/>
      <c r="H2655" s="48"/>
      <c r="I2655" s="49"/>
      <c r="J2655" s="49"/>
      <c r="K2655" s="48"/>
      <c r="L2655" s="50"/>
      <c r="M2655" s="30"/>
      <c r="N2655" s="30"/>
      <c r="O2655" s="30"/>
      <c r="P2655" s="30"/>
      <c r="Q2655" s="30"/>
      <c r="R2655" s="30"/>
      <c r="S2655" s="30"/>
      <c r="T2655" s="30"/>
      <c r="U2655" s="30"/>
      <c r="V2655" s="30"/>
      <c r="W2655" s="30"/>
      <c r="X2655" s="30"/>
      <c r="Y2655" s="30"/>
      <c r="Z2655" s="30"/>
      <c r="AA2655" s="30"/>
      <c r="AB2655" s="30"/>
      <c r="AC2655" s="30"/>
      <c r="AD2655" s="30"/>
      <c r="AE2655" s="30"/>
      <c r="AF2655" s="30"/>
      <c r="AG2655" s="30"/>
      <c r="AH2655" s="30"/>
    </row>
    <row r="2656" spans="1:34" ht="13">
      <c r="A2656" s="30"/>
      <c r="B2656" s="30"/>
      <c r="C2656" s="30"/>
      <c r="D2656" s="30"/>
      <c r="E2656" s="30"/>
      <c r="F2656" s="30"/>
      <c r="G2656" s="30"/>
      <c r="H2656" s="48"/>
      <c r="I2656" s="49"/>
      <c r="J2656" s="49"/>
      <c r="K2656" s="48"/>
      <c r="L2656" s="50"/>
      <c r="M2656" s="30"/>
      <c r="N2656" s="30"/>
      <c r="O2656" s="30"/>
      <c r="P2656" s="30"/>
      <c r="Q2656" s="30"/>
      <c r="R2656" s="30"/>
      <c r="S2656" s="30"/>
      <c r="T2656" s="30"/>
      <c r="U2656" s="30"/>
      <c r="V2656" s="30"/>
      <c r="W2656" s="30"/>
      <c r="X2656" s="30"/>
      <c r="Y2656" s="30"/>
      <c r="Z2656" s="30"/>
      <c r="AA2656" s="30"/>
      <c r="AB2656" s="30"/>
      <c r="AC2656" s="30"/>
      <c r="AD2656" s="30"/>
      <c r="AE2656" s="30"/>
      <c r="AF2656" s="30"/>
      <c r="AG2656" s="30"/>
      <c r="AH2656" s="30"/>
    </row>
    <row r="2657" spans="1:34" ht="13">
      <c r="A2657" s="30"/>
      <c r="B2657" s="30"/>
      <c r="C2657" s="30"/>
      <c r="D2657" s="30"/>
      <c r="E2657" s="30"/>
      <c r="F2657" s="30"/>
      <c r="G2657" s="30"/>
      <c r="H2657" s="48"/>
      <c r="I2657" s="49"/>
      <c r="J2657" s="49"/>
      <c r="K2657" s="48"/>
      <c r="L2657" s="50"/>
      <c r="M2657" s="30"/>
      <c r="N2657" s="30"/>
      <c r="O2657" s="30"/>
      <c r="P2657" s="30"/>
      <c r="Q2657" s="30"/>
      <c r="R2657" s="30"/>
      <c r="S2657" s="30"/>
      <c r="T2657" s="30"/>
      <c r="U2657" s="30"/>
      <c r="V2657" s="30"/>
      <c r="W2657" s="30"/>
      <c r="X2657" s="30"/>
      <c r="Y2657" s="30"/>
      <c r="Z2657" s="30"/>
      <c r="AA2657" s="30"/>
      <c r="AB2657" s="30"/>
      <c r="AC2657" s="30"/>
      <c r="AD2657" s="30"/>
      <c r="AE2657" s="30"/>
      <c r="AF2657" s="30"/>
      <c r="AG2657" s="30"/>
      <c r="AH2657" s="30"/>
    </row>
    <row r="2658" spans="1:34" ht="13">
      <c r="A2658" s="30"/>
      <c r="B2658" s="30"/>
      <c r="C2658" s="30"/>
      <c r="D2658" s="30"/>
      <c r="E2658" s="30"/>
      <c r="F2658" s="30"/>
      <c r="G2658" s="30"/>
      <c r="H2658" s="48"/>
      <c r="I2658" s="49"/>
      <c r="J2658" s="49"/>
      <c r="K2658" s="48"/>
      <c r="L2658" s="50"/>
      <c r="M2658" s="30"/>
      <c r="N2658" s="30"/>
      <c r="O2658" s="30"/>
      <c r="P2658" s="30"/>
      <c r="Q2658" s="30"/>
      <c r="R2658" s="30"/>
      <c r="S2658" s="30"/>
      <c r="T2658" s="30"/>
      <c r="U2658" s="30"/>
      <c r="V2658" s="30"/>
      <c r="W2658" s="30"/>
      <c r="X2658" s="30"/>
      <c r="Y2658" s="30"/>
      <c r="Z2658" s="30"/>
      <c r="AA2658" s="30"/>
      <c r="AB2658" s="30"/>
      <c r="AC2658" s="30"/>
      <c r="AD2658" s="30"/>
      <c r="AE2658" s="30"/>
      <c r="AF2658" s="30"/>
      <c r="AG2658" s="30"/>
      <c r="AH2658" s="30"/>
    </row>
    <row r="2659" spans="1:34" ht="13">
      <c r="A2659" s="30"/>
      <c r="B2659" s="30"/>
      <c r="C2659" s="30"/>
      <c r="D2659" s="30"/>
      <c r="E2659" s="30"/>
      <c r="F2659" s="30"/>
      <c r="G2659" s="30"/>
      <c r="H2659" s="48"/>
      <c r="I2659" s="49"/>
      <c r="J2659" s="49"/>
      <c r="K2659" s="48"/>
      <c r="L2659" s="50"/>
      <c r="M2659" s="30"/>
      <c r="N2659" s="30"/>
      <c r="O2659" s="30"/>
      <c r="P2659" s="30"/>
      <c r="Q2659" s="30"/>
      <c r="R2659" s="30"/>
      <c r="S2659" s="30"/>
      <c r="T2659" s="30"/>
      <c r="U2659" s="30"/>
      <c r="V2659" s="30"/>
      <c r="W2659" s="30"/>
      <c r="X2659" s="30"/>
      <c r="Y2659" s="30"/>
      <c r="Z2659" s="30"/>
      <c r="AA2659" s="30"/>
      <c r="AB2659" s="30"/>
      <c r="AC2659" s="30"/>
      <c r="AD2659" s="30"/>
      <c r="AE2659" s="30"/>
      <c r="AF2659" s="30"/>
      <c r="AG2659" s="30"/>
      <c r="AH2659" s="30"/>
    </row>
    <row r="2660" spans="1:34" ht="13">
      <c r="A2660" s="30"/>
      <c r="B2660" s="30"/>
      <c r="C2660" s="30"/>
      <c r="D2660" s="30"/>
      <c r="E2660" s="30"/>
      <c r="F2660" s="30"/>
      <c r="G2660" s="30"/>
      <c r="H2660" s="48"/>
      <c r="I2660" s="49"/>
      <c r="J2660" s="49"/>
      <c r="K2660" s="48"/>
      <c r="L2660" s="50"/>
      <c r="M2660" s="30"/>
      <c r="N2660" s="30"/>
      <c r="O2660" s="30"/>
      <c r="P2660" s="30"/>
      <c r="Q2660" s="30"/>
      <c r="R2660" s="30"/>
      <c r="S2660" s="30"/>
      <c r="T2660" s="30"/>
      <c r="U2660" s="30"/>
      <c r="V2660" s="30"/>
      <c r="W2660" s="30"/>
      <c r="X2660" s="30"/>
      <c r="Y2660" s="30"/>
      <c r="Z2660" s="30"/>
      <c r="AA2660" s="30"/>
      <c r="AB2660" s="30"/>
      <c r="AC2660" s="30"/>
      <c r="AD2660" s="30"/>
      <c r="AE2660" s="30"/>
      <c r="AF2660" s="30"/>
      <c r="AG2660" s="30"/>
      <c r="AH2660" s="30"/>
    </row>
    <row r="2661" spans="1:34" ht="13">
      <c r="A2661" s="30"/>
      <c r="B2661" s="30"/>
      <c r="C2661" s="30"/>
      <c r="D2661" s="30"/>
      <c r="E2661" s="30"/>
      <c r="F2661" s="30"/>
      <c r="G2661" s="30"/>
      <c r="H2661" s="48"/>
      <c r="I2661" s="49"/>
      <c r="J2661" s="49"/>
      <c r="K2661" s="48"/>
      <c r="L2661" s="50"/>
      <c r="M2661" s="30"/>
      <c r="N2661" s="30"/>
      <c r="O2661" s="30"/>
      <c r="P2661" s="30"/>
      <c r="Q2661" s="30"/>
      <c r="R2661" s="30"/>
      <c r="S2661" s="30"/>
      <c r="T2661" s="30"/>
      <c r="U2661" s="30"/>
      <c r="V2661" s="30"/>
      <c r="W2661" s="30"/>
      <c r="X2661" s="30"/>
      <c r="Y2661" s="30"/>
      <c r="Z2661" s="30"/>
      <c r="AA2661" s="30"/>
      <c r="AB2661" s="30"/>
      <c r="AC2661" s="30"/>
      <c r="AD2661" s="30"/>
      <c r="AE2661" s="30"/>
      <c r="AF2661" s="30"/>
      <c r="AG2661" s="30"/>
      <c r="AH2661" s="30"/>
    </row>
    <row r="2662" spans="1:34" ht="13">
      <c r="A2662" s="30"/>
      <c r="B2662" s="30"/>
      <c r="C2662" s="30"/>
      <c r="D2662" s="30"/>
      <c r="E2662" s="30"/>
      <c r="F2662" s="30"/>
      <c r="G2662" s="30"/>
      <c r="H2662" s="48"/>
      <c r="I2662" s="49"/>
      <c r="J2662" s="49"/>
      <c r="K2662" s="48"/>
      <c r="L2662" s="50"/>
      <c r="M2662" s="30"/>
      <c r="N2662" s="30"/>
      <c r="O2662" s="30"/>
      <c r="P2662" s="30"/>
      <c r="Q2662" s="30"/>
      <c r="R2662" s="30"/>
      <c r="S2662" s="30"/>
      <c r="T2662" s="30"/>
      <c r="U2662" s="30"/>
      <c r="V2662" s="30"/>
      <c r="W2662" s="30"/>
      <c r="X2662" s="30"/>
      <c r="Y2662" s="30"/>
      <c r="Z2662" s="30"/>
      <c r="AA2662" s="30"/>
      <c r="AB2662" s="30"/>
      <c r="AC2662" s="30"/>
      <c r="AD2662" s="30"/>
      <c r="AE2662" s="30"/>
      <c r="AF2662" s="30"/>
      <c r="AG2662" s="30"/>
      <c r="AH2662" s="30"/>
    </row>
    <row r="2663" spans="1:34" ht="13">
      <c r="A2663" s="30"/>
      <c r="B2663" s="30"/>
      <c r="C2663" s="30"/>
      <c r="D2663" s="30"/>
      <c r="E2663" s="30"/>
      <c r="F2663" s="30"/>
      <c r="G2663" s="30"/>
      <c r="H2663" s="48"/>
      <c r="I2663" s="49"/>
      <c r="J2663" s="49"/>
      <c r="K2663" s="48"/>
      <c r="L2663" s="50"/>
      <c r="M2663" s="30"/>
      <c r="N2663" s="30"/>
      <c r="O2663" s="30"/>
      <c r="P2663" s="30"/>
      <c r="Q2663" s="30"/>
      <c r="R2663" s="30"/>
      <c r="S2663" s="30"/>
      <c r="T2663" s="30"/>
      <c r="U2663" s="30"/>
      <c r="V2663" s="30"/>
      <c r="W2663" s="30"/>
      <c r="X2663" s="30"/>
      <c r="Y2663" s="30"/>
      <c r="Z2663" s="30"/>
      <c r="AA2663" s="30"/>
      <c r="AB2663" s="30"/>
      <c r="AC2663" s="30"/>
      <c r="AD2663" s="30"/>
      <c r="AE2663" s="30"/>
      <c r="AF2663" s="30"/>
      <c r="AG2663" s="30"/>
      <c r="AH2663" s="30"/>
    </row>
    <row r="2664" spans="1:34" ht="13">
      <c r="A2664" s="30"/>
      <c r="B2664" s="30"/>
      <c r="C2664" s="30"/>
      <c r="D2664" s="30"/>
      <c r="E2664" s="30"/>
      <c r="F2664" s="30"/>
      <c r="G2664" s="30"/>
      <c r="H2664" s="48"/>
      <c r="I2664" s="49"/>
      <c r="J2664" s="49"/>
      <c r="K2664" s="48"/>
      <c r="L2664" s="50"/>
      <c r="M2664" s="30"/>
      <c r="N2664" s="30"/>
      <c r="O2664" s="30"/>
      <c r="P2664" s="30"/>
      <c r="Q2664" s="30"/>
      <c r="R2664" s="30"/>
      <c r="S2664" s="30"/>
      <c r="T2664" s="30"/>
      <c r="U2664" s="30"/>
      <c r="V2664" s="30"/>
      <c r="W2664" s="30"/>
      <c r="X2664" s="30"/>
      <c r="Y2664" s="30"/>
      <c r="Z2664" s="30"/>
      <c r="AA2664" s="30"/>
      <c r="AB2664" s="30"/>
      <c r="AC2664" s="30"/>
      <c r="AD2664" s="30"/>
      <c r="AE2664" s="30"/>
      <c r="AF2664" s="30"/>
      <c r="AG2664" s="30"/>
      <c r="AH2664" s="30"/>
    </row>
    <row r="2665" spans="1:34" ht="13">
      <c r="A2665" s="30"/>
      <c r="B2665" s="30"/>
      <c r="C2665" s="30"/>
      <c r="D2665" s="30"/>
      <c r="E2665" s="30"/>
      <c r="F2665" s="30"/>
      <c r="G2665" s="30"/>
      <c r="H2665" s="48"/>
      <c r="I2665" s="49"/>
      <c r="J2665" s="49"/>
      <c r="K2665" s="48"/>
      <c r="L2665" s="50"/>
      <c r="M2665" s="30"/>
      <c r="N2665" s="30"/>
      <c r="O2665" s="30"/>
      <c r="P2665" s="30"/>
      <c r="Q2665" s="30"/>
      <c r="R2665" s="30"/>
      <c r="S2665" s="30"/>
      <c r="T2665" s="30"/>
      <c r="U2665" s="30"/>
      <c r="V2665" s="30"/>
      <c r="W2665" s="30"/>
      <c r="X2665" s="30"/>
      <c r="Y2665" s="30"/>
      <c r="Z2665" s="30"/>
      <c r="AA2665" s="30"/>
      <c r="AB2665" s="30"/>
      <c r="AC2665" s="30"/>
      <c r="AD2665" s="30"/>
      <c r="AE2665" s="30"/>
      <c r="AF2665" s="30"/>
      <c r="AG2665" s="30"/>
      <c r="AH2665" s="30"/>
    </row>
    <row r="2666" spans="1:34" ht="13">
      <c r="A2666" s="30"/>
      <c r="B2666" s="30"/>
      <c r="C2666" s="30"/>
      <c r="D2666" s="30"/>
      <c r="E2666" s="30"/>
      <c r="F2666" s="30"/>
      <c r="G2666" s="30"/>
      <c r="H2666" s="48"/>
      <c r="I2666" s="49"/>
      <c r="J2666" s="49"/>
      <c r="K2666" s="48"/>
      <c r="L2666" s="50"/>
      <c r="M2666" s="30"/>
      <c r="N2666" s="30"/>
      <c r="O2666" s="30"/>
      <c r="P2666" s="30"/>
      <c r="Q2666" s="30"/>
      <c r="R2666" s="30"/>
      <c r="S2666" s="30"/>
      <c r="T2666" s="30"/>
      <c r="U2666" s="30"/>
      <c r="V2666" s="30"/>
      <c r="W2666" s="30"/>
      <c r="X2666" s="30"/>
      <c r="Y2666" s="30"/>
      <c r="Z2666" s="30"/>
      <c r="AA2666" s="30"/>
      <c r="AB2666" s="30"/>
      <c r="AC2666" s="30"/>
      <c r="AD2666" s="30"/>
      <c r="AE2666" s="30"/>
      <c r="AF2666" s="30"/>
      <c r="AG2666" s="30"/>
      <c r="AH2666" s="30"/>
    </row>
    <row r="2667" spans="1:34" ht="13">
      <c r="A2667" s="30"/>
      <c r="B2667" s="30"/>
      <c r="C2667" s="30"/>
      <c r="D2667" s="30"/>
      <c r="E2667" s="30"/>
      <c r="F2667" s="30"/>
      <c r="G2667" s="30"/>
      <c r="H2667" s="48"/>
      <c r="I2667" s="49"/>
      <c r="J2667" s="49"/>
      <c r="K2667" s="48"/>
      <c r="L2667" s="50"/>
      <c r="M2667" s="30"/>
      <c r="N2667" s="30"/>
      <c r="O2667" s="30"/>
      <c r="P2667" s="30"/>
      <c r="Q2667" s="30"/>
      <c r="R2667" s="30"/>
      <c r="S2667" s="30"/>
      <c r="T2667" s="30"/>
      <c r="U2667" s="30"/>
      <c r="V2667" s="30"/>
      <c r="W2667" s="30"/>
      <c r="X2667" s="30"/>
      <c r="Y2667" s="30"/>
      <c r="Z2667" s="30"/>
      <c r="AA2667" s="30"/>
      <c r="AB2667" s="30"/>
      <c r="AC2667" s="30"/>
      <c r="AD2667" s="30"/>
      <c r="AE2667" s="30"/>
      <c r="AF2667" s="30"/>
      <c r="AG2667" s="30"/>
      <c r="AH2667" s="30"/>
    </row>
    <row r="2668" spans="1:34" ht="13">
      <c r="A2668" s="30"/>
      <c r="B2668" s="30"/>
      <c r="C2668" s="30"/>
      <c r="D2668" s="30"/>
      <c r="E2668" s="30"/>
      <c r="F2668" s="30"/>
      <c r="G2668" s="30"/>
      <c r="H2668" s="48"/>
      <c r="I2668" s="49"/>
      <c r="J2668" s="49"/>
      <c r="K2668" s="48"/>
      <c r="L2668" s="50"/>
      <c r="M2668" s="30"/>
      <c r="N2668" s="30"/>
      <c r="O2668" s="30"/>
      <c r="P2668" s="30"/>
      <c r="Q2668" s="30"/>
      <c r="R2668" s="30"/>
      <c r="S2668" s="30"/>
      <c r="T2668" s="30"/>
      <c r="U2668" s="30"/>
      <c r="V2668" s="30"/>
      <c r="W2668" s="30"/>
      <c r="X2668" s="30"/>
      <c r="Y2668" s="30"/>
      <c r="Z2668" s="30"/>
      <c r="AA2668" s="30"/>
      <c r="AB2668" s="30"/>
      <c r="AC2668" s="30"/>
      <c r="AD2668" s="30"/>
      <c r="AE2668" s="30"/>
      <c r="AF2668" s="30"/>
      <c r="AG2668" s="30"/>
      <c r="AH2668" s="30"/>
    </row>
    <row r="2669" spans="1:34" ht="13">
      <c r="A2669" s="30"/>
      <c r="B2669" s="30"/>
      <c r="C2669" s="30"/>
      <c r="D2669" s="30"/>
      <c r="E2669" s="30"/>
      <c r="F2669" s="30"/>
      <c r="G2669" s="30"/>
      <c r="H2669" s="48"/>
      <c r="I2669" s="49"/>
      <c r="J2669" s="49"/>
      <c r="K2669" s="48"/>
      <c r="L2669" s="50"/>
      <c r="M2669" s="30"/>
      <c r="N2669" s="30"/>
      <c r="O2669" s="30"/>
      <c r="P2669" s="30"/>
      <c r="Q2669" s="30"/>
      <c r="R2669" s="30"/>
      <c r="S2669" s="30"/>
      <c r="T2669" s="30"/>
      <c r="U2669" s="30"/>
      <c r="V2669" s="30"/>
      <c r="W2669" s="30"/>
      <c r="X2669" s="30"/>
      <c r="Y2669" s="30"/>
      <c r="Z2669" s="30"/>
      <c r="AA2669" s="30"/>
      <c r="AB2669" s="30"/>
      <c r="AC2669" s="30"/>
      <c r="AD2669" s="30"/>
      <c r="AE2669" s="30"/>
      <c r="AF2669" s="30"/>
      <c r="AG2669" s="30"/>
      <c r="AH2669" s="30"/>
    </row>
    <row r="2670" spans="1:34" ht="13">
      <c r="A2670" s="30"/>
      <c r="B2670" s="30"/>
      <c r="C2670" s="30"/>
      <c r="D2670" s="30"/>
      <c r="E2670" s="30"/>
      <c r="F2670" s="30"/>
      <c r="G2670" s="30"/>
      <c r="H2670" s="48"/>
      <c r="I2670" s="49"/>
      <c r="J2670" s="49"/>
      <c r="K2670" s="48"/>
      <c r="L2670" s="50"/>
      <c r="M2670" s="30"/>
      <c r="N2670" s="30"/>
      <c r="O2670" s="30"/>
      <c r="P2670" s="30"/>
      <c r="Q2670" s="30"/>
      <c r="R2670" s="30"/>
      <c r="S2670" s="30"/>
      <c r="T2670" s="30"/>
      <c r="U2670" s="30"/>
      <c r="V2670" s="30"/>
      <c r="W2670" s="30"/>
      <c r="X2670" s="30"/>
      <c r="Y2670" s="30"/>
      <c r="Z2670" s="30"/>
      <c r="AA2670" s="30"/>
      <c r="AB2670" s="30"/>
      <c r="AC2670" s="30"/>
      <c r="AD2670" s="30"/>
      <c r="AE2670" s="30"/>
      <c r="AF2670" s="30"/>
      <c r="AG2670" s="30"/>
      <c r="AH2670" s="30"/>
    </row>
    <row r="2671" spans="1:34" ht="13">
      <c r="A2671" s="30"/>
      <c r="B2671" s="30"/>
      <c r="C2671" s="30"/>
      <c r="D2671" s="30"/>
      <c r="E2671" s="30"/>
      <c r="F2671" s="30"/>
      <c r="G2671" s="30"/>
      <c r="H2671" s="48"/>
      <c r="I2671" s="49"/>
      <c r="J2671" s="49"/>
      <c r="K2671" s="48"/>
      <c r="L2671" s="50"/>
      <c r="M2671" s="30"/>
      <c r="N2671" s="30"/>
      <c r="O2671" s="30"/>
      <c r="P2671" s="30"/>
      <c r="Q2671" s="30"/>
      <c r="R2671" s="30"/>
      <c r="S2671" s="30"/>
      <c r="T2671" s="30"/>
      <c r="U2671" s="30"/>
      <c r="V2671" s="30"/>
      <c r="W2671" s="30"/>
      <c r="X2671" s="30"/>
      <c r="Y2671" s="30"/>
      <c r="Z2671" s="30"/>
      <c r="AA2671" s="30"/>
      <c r="AB2671" s="30"/>
      <c r="AC2671" s="30"/>
      <c r="AD2671" s="30"/>
      <c r="AE2671" s="30"/>
      <c r="AF2671" s="30"/>
      <c r="AG2671" s="30"/>
      <c r="AH2671" s="30"/>
    </row>
    <row r="2672" spans="1:34" ht="13">
      <c r="A2672" s="30"/>
      <c r="B2672" s="30"/>
      <c r="C2672" s="30"/>
      <c r="D2672" s="30"/>
      <c r="E2672" s="30"/>
      <c r="F2672" s="30"/>
      <c r="G2672" s="30"/>
      <c r="H2672" s="48"/>
      <c r="I2672" s="49"/>
      <c r="J2672" s="49"/>
      <c r="K2672" s="48"/>
      <c r="L2672" s="50"/>
      <c r="M2672" s="30"/>
      <c r="N2672" s="30"/>
      <c r="O2672" s="30"/>
      <c r="P2672" s="30"/>
      <c r="Q2672" s="30"/>
      <c r="R2672" s="30"/>
      <c r="S2672" s="30"/>
      <c r="T2672" s="30"/>
      <c r="U2672" s="30"/>
      <c r="V2672" s="30"/>
      <c r="W2672" s="30"/>
      <c r="X2672" s="30"/>
      <c r="Y2672" s="30"/>
      <c r="Z2672" s="30"/>
      <c r="AA2672" s="30"/>
      <c r="AB2672" s="30"/>
      <c r="AC2672" s="30"/>
      <c r="AD2672" s="30"/>
      <c r="AE2672" s="30"/>
      <c r="AF2672" s="30"/>
      <c r="AG2672" s="30"/>
      <c r="AH2672" s="30"/>
    </row>
    <row r="2673" spans="1:34" ht="13">
      <c r="A2673" s="30"/>
      <c r="B2673" s="30"/>
      <c r="C2673" s="30"/>
      <c r="D2673" s="30"/>
      <c r="E2673" s="30"/>
      <c r="F2673" s="30"/>
      <c r="G2673" s="30"/>
      <c r="H2673" s="48"/>
      <c r="I2673" s="49"/>
      <c r="J2673" s="49"/>
      <c r="K2673" s="48"/>
      <c r="L2673" s="50"/>
      <c r="M2673" s="30"/>
      <c r="N2673" s="30"/>
      <c r="O2673" s="30"/>
      <c r="P2673" s="30"/>
      <c r="Q2673" s="30"/>
      <c r="R2673" s="30"/>
      <c r="S2673" s="30"/>
      <c r="T2673" s="30"/>
      <c r="U2673" s="30"/>
      <c r="V2673" s="30"/>
      <c r="W2673" s="30"/>
      <c r="X2673" s="30"/>
      <c r="Y2673" s="30"/>
      <c r="Z2673" s="30"/>
      <c r="AA2673" s="30"/>
      <c r="AB2673" s="30"/>
      <c r="AC2673" s="30"/>
      <c r="AD2673" s="30"/>
      <c r="AE2673" s="30"/>
      <c r="AF2673" s="30"/>
      <c r="AG2673" s="30"/>
      <c r="AH2673" s="30"/>
    </row>
    <row r="2674" spans="1:34" ht="13">
      <c r="A2674" s="30"/>
      <c r="B2674" s="30"/>
      <c r="C2674" s="30"/>
      <c r="D2674" s="30"/>
      <c r="E2674" s="30"/>
      <c r="F2674" s="30"/>
      <c r="G2674" s="30"/>
      <c r="H2674" s="48"/>
      <c r="I2674" s="49"/>
      <c r="J2674" s="49"/>
      <c r="K2674" s="48"/>
      <c r="L2674" s="50"/>
      <c r="M2674" s="30"/>
      <c r="N2674" s="30"/>
      <c r="O2674" s="30"/>
      <c r="P2674" s="30"/>
      <c r="Q2674" s="30"/>
      <c r="R2674" s="30"/>
      <c r="S2674" s="30"/>
      <c r="T2674" s="30"/>
      <c r="U2674" s="30"/>
      <c r="V2674" s="30"/>
      <c r="W2674" s="30"/>
      <c r="X2674" s="30"/>
      <c r="Y2674" s="30"/>
      <c r="Z2674" s="30"/>
      <c r="AA2674" s="30"/>
      <c r="AB2674" s="30"/>
      <c r="AC2674" s="30"/>
      <c r="AD2674" s="30"/>
      <c r="AE2674" s="30"/>
      <c r="AF2674" s="30"/>
      <c r="AG2674" s="30"/>
      <c r="AH2674" s="30"/>
    </row>
    <row r="2675" spans="1:34" ht="13">
      <c r="A2675" s="30"/>
      <c r="B2675" s="30"/>
      <c r="C2675" s="30"/>
      <c r="D2675" s="30"/>
      <c r="E2675" s="30"/>
      <c r="F2675" s="30"/>
      <c r="G2675" s="30"/>
      <c r="H2675" s="48"/>
      <c r="I2675" s="49"/>
      <c r="J2675" s="49"/>
      <c r="K2675" s="48"/>
      <c r="L2675" s="50"/>
      <c r="M2675" s="30"/>
      <c r="N2675" s="30"/>
      <c r="O2675" s="30"/>
      <c r="P2675" s="30"/>
      <c r="Q2675" s="30"/>
      <c r="R2675" s="30"/>
      <c r="S2675" s="30"/>
      <c r="T2675" s="30"/>
      <c r="U2675" s="30"/>
      <c r="V2675" s="30"/>
      <c r="W2675" s="30"/>
      <c r="X2675" s="30"/>
      <c r="Y2675" s="30"/>
      <c r="Z2675" s="30"/>
      <c r="AA2675" s="30"/>
      <c r="AB2675" s="30"/>
      <c r="AC2675" s="30"/>
      <c r="AD2675" s="30"/>
      <c r="AE2675" s="30"/>
      <c r="AF2675" s="30"/>
      <c r="AG2675" s="30"/>
      <c r="AH2675" s="30"/>
    </row>
    <row r="2676" spans="1:34" ht="13">
      <c r="A2676" s="30"/>
      <c r="B2676" s="30"/>
      <c r="C2676" s="30"/>
      <c r="D2676" s="30"/>
      <c r="E2676" s="30"/>
      <c r="F2676" s="30"/>
      <c r="G2676" s="30"/>
      <c r="H2676" s="48"/>
      <c r="I2676" s="49"/>
      <c r="J2676" s="49"/>
      <c r="K2676" s="48"/>
      <c r="L2676" s="50"/>
      <c r="M2676" s="30"/>
      <c r="N2676" s="30"/>
      <c r="O2676" s="30"/>
      <c r="P2676" s="30"/>
      <c r="Q2676" s="30"/>
      <c r="R2676" s="30"/>
      <c r="S2676" s="30"/>
      <c r="T2676" s="30"/>
      <c r="U2676" s="30"/>
      <c r="V2676" s="30"/>
      <c r="W2676" s="30"/>
      <c r="X2676" s="30"/>
      <c r="Y2676" s="30"/>
      <c r="Z2676" s="30"/>
      <c r="AA2676" s="30"/>
      <c r="AB2676" s="30"/>
      <c r="AC2676" s="30"/>
      <c r="AD2676" s="30"/>
      <c r="AE2676" s="30"/>
      <c r="AF2676" s="30"/>
      <c r="AG2676" s="30"/>
      <c r="AH2676" s="30"/>
    </row>
    <row r="2677" spans="1:34" ht="13">
      <c r="A2677" s="30"/>
      <c r="B2677" s="30"/>
      <c r="C2677" s="30"/>
      <c r="D2677" s="30"/>
      <c r="E2677" s="30"/>
      <c r="F2677" s="30"/>
      <c r="G2677" s="30"/>
      <c r="H2677" s="48"/>
      <c r="I2677" s="49"/>
      <c r="J2677" s="49"/>
      <c r="K2677" s="48"/>
      <c r="L2677" s="50"/>
      <c r="M2677" s="30"/>
      <c r="N2677" s="30"/>
      <c r="O2677" s="30"/>
      <c r="P2677" s="30"/>
      <c r="Q2677" s="30"/>
      <c r="R2677" s="30"/>
      <c r="S2677" s="30"/>
      <c r="T2677" s="30"/>
      <c r="U2677" s="30"/>
      <c r="V2677" s="30"/>
      <c r="W2677" s="30"/>
      <c r="X2677" s="30"/>
      <c r="Y2677" s="30"/>
      <c r="Z2677" s="30"/>
      <c r="AA2677" s="30"/>
      <c r="AB2677" s="30"/>
      <c r="AC2677" s="30"/>
      <c r="AD2677" s="30"/>
      <c r="AE2677" s="30"/>
      <c r="AF2677" s="30"/>
      <c r="AG2677" s="30"/>
      <c r="AH2677" s="30"/>
    </row>
    <row r="2678" spans="1:34" ht="13">
      <c r="A2678" s="30"/>
      <c r="B2678" s="30"/>
      <c r="C2678" s="30"/>
      <c r="D2678" s="30"/>
      <c r="E2678" s="30"/>
      <c r="F2678" s="30"/>
      <c r="G2678" s="30"/>
      <c r="H2678" s="48"/>
      <c r="I2678" s="49"/>
      <c r="J2678" s="49"/>
      <c r="K2678" s="48"/>
      <c r="L2678" s="50"/>
      <c r="M2678" s="30"/>
      <c r="N2678" s="30"/>
      <c r="O2678" s="30"/>
      <c r="P2678" s="30"/>
      <c r="Q2678" s="30"/>
      <c r="R2678" s="30"/>
      <c r="S2678" s="30"/>
      <c r="T2678" s="30"/>
      <c r="U2678" s="30"/>
      <c r="V2678" s="30"/>
      <c r="W2678" s="30"/>
      <c r="X2678" s="30"/>
      <c r="Y2678" s="30"/>
      <c r="Z2678" s="30"/>
      <c r="AA2678" s="30"/>
      <c r="AB2678" s="30"/>
      <c r="AC2678" s="30"/>
      <c r="AD2678" s="30"/>
      <c r="AE2678" s="30"/>
      <c r="AF2678" s="30"/>
      <c r="AG2678" s="30"/>
      <c r="AH2678" s="30"/>
    </row>
    <row r="2679" spans="1:34" ht="13">
      <c r="A2679" s="30"/>
      <c r="B2679" s="30"/>
      <c r="C2679" s="30"/>
      <c r="D2679" s="30"/>
      <c r="E2679" s="30"/>
      <c r="F2679" s="30"/>
      <c r="G2679" s="30"/>
      <c r="H2679" s="48"/>
      <c r="I2679" s="49"/>
      <c r="J2679" s="49"/>
      <c r="K2679" s="48"/>
      <c r="L2679" s="50"/>
      <c r="M2679" s="30"/>
      <c r="N2679" s="30"/>
      <c r="O2679" s="30"/>
      <c r="P2679" s="30"/>
      <c r="Q2679" s="30"/>
      <c r="R2679" s="30"/>
      <c r="S2679" s="30"/>
      <c r="T2679" s="30"/>
      <c r="U2679" s="30"/>
      <c r="V2679" s="30"/>
      <c r="W2679" s="30"/>
      <c r="X2679" s="30"/>
      <c r="Y2679" s="30"/>
      <c r="Z2679" s="30"/>
      <c r="AA2679" s="30"/>
      <c r="AB2679" s="30"/>
      <c r="AC2679" s="30"/>
      <c r="AD2679" s="30"/>
      <c r="AE2679" s="30"/>
      <c r="AF2679" s="30"/>
      <c r="AG2679" s="30"/>
      <c r="AH2679" s="30"/>
    </row>
    <row r="2680" spans="1:34" ht="13">
      <c r="A2680" s="30"/>
      <c r="B2680" s="30"/>
      <c r="C2680" s="30"/>
      <c r="D2680" s="30"/>
      <c r="E2680" s="30"/>
      <c r="F2680" s="30"/>
      <c r="G2680" s="30"/>
      <c r="H2680" s="48"/>
      <c r="I2680" s="49"/>
      <c r="J2680" s="49"/>
      <c r="K2680" s="48"/>
      <c r="L2680" s="50"/>
      <c r="M2680" s="30"/>
      <c r="N2680" s="30"/>
      <c r="O2680" s="30"/>
      <c r="P2680" s="30"/>
      <c r="Q2680" s="30"/>
      <c r="R2680" s="30"/>
      <c r="S2680" s="30"/>
      <c r="T2680" s="30"/>
      <c r="U2680" s="30"/>
      <c r="V2680" s="30"/>
      <c r="W2680" s="30"/>
      <c r="X2680" s="30"/>
      <c r="Y2680" s="30"/>
      <c r="Z2680" s="30"/>
      <c r="AA2680" s="30"/>
      <c r="AB2680" s="30"/>
      <c r="AC2680" s="30"/>
      <c r="AD2680" s="30"/>
      <c r="AE2680" s="30"/>
      <c r="AF2680" s="30"/>
      <c r="AG2680" s="30"/>
      <c r="AH2680" s="30"/>
    </row>
    <row r="2681" spans="1:34" ht="13">
      <c r="A2681" s="30"/>
      <c r="B2681" s="30"/>
      <c r="C2681" s="30"/>
      <c r="D2681" s="30"/>
      <c r="E2681" s="30"/>
      <c r="F2681" s="30"/>
      <c r="G2681" s="30"/>
      <c r="H2681" s="48"/>
      <c r="I2681" s="49"/>
      <c r="J2681" s="49"/>
      <c r="K2681" s="48"/>
      <c r="L2681" s="50"/>
      <c r="M2681" s="30"/>
      <c r="N2681" s="30"/>
      <c r="O2681" s="30"/>
      <c r="P2681" s="30"/>
      <c r="Q2681" s="30"/>
      <c r="R2681" s="30"/>
      <c r="S2681" s="30"/>
      <c r="T2681" s="30"/>
      <c r="U2681" s="30"/>
      <c r="V2681" s="30"/>
      <c r="W2681" s="30"/>
      <c r="X2681" s="30"/>
      <c r="Y2681" s="30"/>
      <c r="Z2681" s="30"/>
      <c r="AA2681" s="30"/>
      <c r="AB2681" s="30"/>
      <c r="AC2681" s="30"/>
      <c r="AD2681" s="30"/>
      <c r="AE2681" s="30"/>
      <c r="AF2681" s="30"/>
      <c r="AG2681" s="30"/>
      <c r="AH2681" s="30"/>
    </row>
    <row r="2682" spans="1:34" ht="13">
      <c r="A2682" s="30"/>
      <c r="B2682" s="30"/>
      <c r="C2682" s="30"/>
      <c r="D2682" s="30"/>
      <c r="E2682" s="30"/>
      <c r="F2682" s="30"/>
      <c r="G2682" s="30"/>
      <c r="H2682" s="48"/>
      <c r="I2682" s="49"/>
      <c r="J2682" s="49"/>
      <c r="K2682" s="48"/>
      <c r="L2682" s="50"/>
      <c r="M2682" s="30"/>
      <c r="N2682" s="30"/>
      <c r="O2682" s="30"/>
      <c r="P2682" s="30"/>
      <c r="Q2682" s="30"/>
      <c r="R2682" s="30"/>
      <c r="S2682" s="30"/>
      <c r="T2682" s="30"/>
      <c r="U2682" s="30"/>
      <c r="V2682" s="30"/>
      <c r="W2682" s="30"/>
      <c r="X2682" s="30"/>
      <c r="Y2682" s="30"/>
      <c r="Z2682" s="30"/>
      <c r="AA2682" s="30"/>
      <c r="AB2682" s="30"/>
      <c r="AC2682" s="30"/>
      <c r="AD2682" s="30"/>
      <c r="AE2682" s="30"/>
      <c r="AF2682" s="30"/>
      <c r="AG2682" s="30"/>
      <c r="AH2682" s="30"/>
    </row>
    <row r="2683" spans="1:34" ht="13">
      <c r="A2683" s="30"/>
      <c r="B2683" s="30"/>
      <c r="C2683" s="30"/>
      <c r="D2683" s="30"/>
      <c r="E2683" s="30"/>
      <c r="F2683" s="30"/>
      <c r="G2683" s="30"/>
      <c r="H2683" s="48"/>
      <c r="I2683" s="49"/>
      <c r="J2683" s="49"/>
      <c r="K2683" s="48"/>
      <c r="L2683" s="50"/>
      <c r="M2683" s="30"/>
      <c r="N2683" s="30"/>
      <c r="O2683" s="30"/>
      <c r="P2683" s="30"/>
      <c r="Q2683" s="30"/>
      <c r="R2683" s="30"/>
      <c r="S2683" s="30"/>
      <c r="T2683" s="30"/>
      <c r="U2683" s="30"/>
      <c r="V2683" s="30"/>
      <c r="W2683" s="30"/>
      <c r="X2683" s="30"/>
      <c r="Y2683" s="30"/>
      <c r="Z2683" s="30"/>
      <c r="AA2683" s="30"/>
      <c r="AB2683" s="30"/>
      <c r="AC2683" s="30"/>
      <c r="AD2683" s="30"/>
      <c r="AE2683" s="30"/>
      <c r="AF2683" s="30"/>
      <c r="AG2683" s="30"/>
      <c r="AH2683" s="30"/>
    </row>
    <row r="2684" spans="1:34" ht="13">
      <c r="A2684" s="30"/>
      <c r="B2684" s="30"/>
      <c r="C2684" s="30"/>
      <c r="D2684" s="30"/>
      <c r="E2684" s="30"/>
      <c r="F2684" s="30"/>
      <c r="G2684" s="30"/>
      <c r="H2684" s="48"/>
      <c r="I2684" s="49"/>
      <c r="J2684" s="49"/>
      <c r="K2684" s="48"/>
      <c r="L2684" s="50"/>
      <c r="M2684" s="30"/>
      <c r="N2684" s="30"/>
      <c r="O2684" s="30"/>
      <c r="P2684" s="30"/>
      <c r="Q2684" s="30"/>
      <c r="R2684" s="30"/>
      <c r="S2684" s="30"/>
      <c r="T2684" s="30"/>
      <c r="U2684" s="30"/>
      <c r="V2684" s="30"/>
      <c r="W2684" s="30"/>
      <c r="X2684" s="30"/>
      <c r="Y2684" s="30"/>
      <c r="Z2684" s="30"/>
      <c r="AA2684" s="30"/>
      <c r="AB2684" s="30"/>
      <c r="AC2684" s="30"/>
      <c r="AD2684" s="30"/>
      <c r="AE2684" s="30"/>
      <c r="AF2684" s="30"/>
      <c r="AG2684" s="30"/>
      <c r="AH2684" s="30"/>
    </row>
    <row r="2685" spans="1:34" ht="13">
      <c r="A2685" s="30"/>
      <c r="B2685" s="30"/>
      <c r="C2685" s="30"/>
      <c r="D2685" s="30"/>
      <c r="E2685" s="30"/>
      <c r="F2685" s="30"/>
      <c r="G2685" s="30"/>
      <c r="H2685" s="48"/>
      <c r="I2685" s="49"/>
      <c r="J2685" s="49"/>
      <c r="K2685" s="48"/>
      <c r="L2685" s="50"/>
      <c r="M2685" s="30"/>
      <c r="N2685" s="30"/>
      <c r="O2685" s="30"/>
      <c r="P2685" s="30"/>
      <c r="Q2685" s="30"/>
      <c r="R2685" s="30"/>
      <c r="S2685" s="30"/>
      <c r="T2685" s="30"/>
      <c r="U2685" s="30"/>
      <c r="V2685" s="30"/>
      <c r="W2685" s="30"/>
      <c r="X2685" s="30"/>
      <c r="Y2685" s="30"/>
      <c r="Z2685" s="30"/>
      <c r="AA2685" s="30"/>
      <c r="AB2685" s="30"/>
      <c r="AC2685" s="30"/>
      <c r="AD2685" s="30"/>
      <c r="AE2685" s="30"/>
      <c r="AF2685" s="30"/>
      <c r="AG2685" s="30"/>
      <c r="AH2685" s="30"/>
    </row>
    <row r="2686" spans="1:34" ht="13">
      <c r="A2686" s="30"/>
      <c r="B2686" s="30"/>
      <c r="C2686" s="30"/>
      <c r="D2686" s="30"/>
      <c r="E2686" s="30"/>
      <c r="F2686" s="30"/>
      <c r="G2686" s="30"/>
      <c r="H2686" s="48"/>
      <c r="I2686" s="49"/>
      <c r="J2686" s="49"/>
      <c r="K2686" s="48"/>
      <c r="L2686" s="50"/>
      <c r="M2686" s="30"/>
      <c r="N2686" s="30"/>
      <c r="O2686" s="30"/>
      <c r="P2686" s="30"/>
      <c r="Q2686" s="30"/>
      <c r="R2686" s="30"/>
      <c r="S2686" s="30"/>
      <c r="T2686" s="30"/>
      <c r="U2686" s="30"/>
      <c r="V2686" s="30"/>
      <c r="W2686" s="30"/>
      <c r="X2686" s="30"/>
      <c r="Y2686" s="30"/>
      <c r="Z2686" s="30"/>
      <c r="AA2686" s="30"/>
      <c r="AB2686" s="30"/>
      <c r="AC2686" s="30"/>
      <c r="AD2686" s="30"/>
      <c r="AE2686" s="30"/>
      <c r="AF2686" s="30"/>
      <c r="AG2686" s="30"/>
      <c r="AH2686" s="30"/>
    </row>
    <row r="2687" spans="1:34" ht="13">
      <c r="A2687" s="30"/>
      <c r="B2687" s="30"/>
      <c r="C2687" s="30"/>
      <c r="D2687" s="30"/>
      <c r="E2687" s="30"/>
      <c r="F2687" s="30"/>
      <c r="G2687" s="30"/>
      <c r="H2687" s="48"/>
      <c r="I2687" s="49"/>
      <c r="J2687" s="49"/>
      <c r="K2687" s="48"/>
      <c r="L2687" s="50"/>
      <c r="M2687" s="30"/>
      <c r="N2687" s="30"/>
      <c r="O2687" s="30"/>
      <c r="P2687" s="30"/>
      <c r="Q2687" s="30"/>
      <c r="R2687" s="30"/>
      <c r="S2687" s="30"/>
      <c r="T2687" s="30"/>
      <c r="U2687" s="30"/>
      <c r="V2687" s="30"/>
      <c r="W2687" s="30"/>
      <c r="X2687" s="30"/>
      <c r="Y2687" s="30"/>
      <c r="Z2687" s="30"/>
      <c r="AA2687" s="30"/>
      <c r="AB2687" s="30"/>
      <c r="AC2687" s="30"/>
      <c r="AD2687" s="30"/>
      <c r="AE2687" s="30"/>
      <c r="AF2687" s="30"/>
      <c r="AG2687" s="30"/>
      <c r="AH2687" s="30"/>
    </row>
    <row r="2688" spans="1:34" ht="13">
      <c r="A2688" s="30"/>
      <c r="B2688" s="30"/>
      <c r="C2688" s="30"/>
      <c r="D2688" s="30"/>
      <c r="E2688" s="30"/>
      <c r="F2688" s="30"/>
      <c r="G2688" s="30"/>
      <c r="H2688" s="48"/>
      <c r="I2688" s="49"/>
      <c r="J2688" s="49"/>
      <c r="K2688" s="48"/>
      <c r="L2688" s="50"/>
      <c r="M2688" s="30"/>
      <c r="N2688" s="30"/>
      <c r="O2688" s="30"/>
      <c r="P2688" s="30"/>
      <c r="Q2688" s="30"/>
      <c r="R2688" s="30"/>
      <c r="S2688" s="30"/>
      <c r="T2688" s="30"/>
      <c r="U2688" s="30"/>
      <c r="V2688" s="30"/>
      <c r="W2688" s="30"/>
      <c r="X2688" s="30"/>
      <c r="Y2688" s="30"/>
      <c r="Z2688" s="30"/>
      <c r="AA2688" s="30"/>
      <c r="AB2688" s="30"/>
      <c r="AC2688" s="30"/>
      <c r="AD2688" s="30"/>
      <c r="AE2688" s="30"/>
      <c r="AF2688" s="30"/>
      <c r="AG2688" s="30"/>
      <c r="AH2688" s="30"/>
    </row>
    <row r="2689" spans="1:34" ht="13">
      <c r="A2689" s="30"/>
      <c r="B2689" s="30"/>
      <c r="C2689" s="30"/>
      <c r="D2689" s="30"/>
      <c r="E2689" s="30"/>
      <c r="F2689" s="30"/>
      <c r="G2689" s="30"/>
      <c r="H2689" s="48"/>
      <c r="I2689" s="49"/>
      <c r="J2689" s="49"/>
      <c r="K2689" s="48"/>
      <c r="L2689" s="50"/>
      <c r="M2689" s="30"/>
      <c r="N2689" s="30"/>
      <c r="O2689" s="30"/>
      <c r="P2689" s="30"/>
      <c r="Q2689" s="30"/>
      <c r="R2689" s="30"/>
      <c r="S2689" s="30"/>
      <c r="T2689" s="30"/>
      <c r="U2689" s="30"/>
      <c r="V2689" s="30"/>
      <c r="W2689" s="30"/>
      <c r="X2689" s="30"/>
      <c r="Y2689" s="30"/>
      <c r="Z2689" s="30"/>
      <c r="AA2689" s="30"/>
      <c r="AB2689" s="30"/>
      <c r="AC2689" s="30"/>
      <c r="AD2689" s="30"/>
      <c r="AE2689" s="30"/>
      <c r="AF2689" s="30"/>
      <c r="AG2689" s="30"/>
      <c r="AH2689" s="30"/>
    </row>
    <row r="2690" spans="1:34" ht="13">
      <c r="A2690" s="30"/>
      <c r="B2690" s="30"/>
      <c r="C2690" s="30"/>
      <c r="D2690" s="30"/>
      <c r="E2690" s="30"/>
      <c r="F2690" s="30"/>
      <c r="G2690" s="30"/>
      <c r="H2690" s="48"/>
      <c r="I2690" s="49"/>
      <c r="J2690" s="49"/>
      <c r="K2690" s="48"/>
      <c r="L2690" s="50"/>
      <c r="M2690" s="30"/>
      <c r="N2690" s="30"/>
      <c r="O2690" s="30"/>
      <c r="P2690" s="30"/>
      <c r="Q2690" s="30"/>
      <c r="R2690" s="30"/>
      <c r="S2690" s="30"/>
      <c r="T2690" s="30"/>
      <c r="U2690" s="30"/>
      <c r="V2690" s="30"/>
      <c r="W2690" s="30"/>
      <c r="X2690" s="30"/>
      <c r="Y2690" s="30"/>
      <c r="Z2690" s="30"/>
      <c r="AA2690" s="30"/>
      <c r="AB2690" s="30"/>
      <c r="AC2690" s="30"/>
      <c r="AD2690" s="30"/>
      <c r="AE2690" s="30"/>
      <c r="AF2690" s="30"/>
      <c r="AG2690" s="30"/>
      <c r="AH2690" s="30"/>
    </row>
    <row r="2691" spans="1:34" ht="13">
      <c r="A2691" s="30"/>
      <c r="B2691" s="30"/>
      <c r="C2691" s="30"/>
      <c r="D2691" s="30"/>
      <c r="E2691" s="30"/>
      <c r="F2691" s="30"/>
      <c r="G2691" s="30"/>
      <c r="H2691" s="48"/>
      <c r="I2691" s="49"/>
      <c r="J2691" s="49"/>
      <c r="K2691" s="48"/>
      <c r="L2691" s="50"/>
      <c r="M2691" s="30"/>
      <c r="N2691" s="30"/>
      <c r="O2691" s="30"/>
      <c r="P2691" s="30"/>
      <c r="Q2691" s="30"/>
      <c r="R2691" s="30"/>
      <c r="S2691" s="30"/>
      <c r="T2691" s="30"/>
      <c r="U2691" s="30"/>
      <c r="V2691" s="30"/>
      <c r="W2691" s="30"/>
      <c r="X2691" s="30"/>
      <c r="Y2691" s="30"/>
      <c r="Z2691" s="30"/>
      <c r="AA2691" s="30"/>
      <c r="AB2691" s="30"/>
      <c r="AC2691" s="30"/>
      <c r="AD2691" s="30"/>
      <c r="AE2691" s="30"/>
      <c r="AF2691" s="30"/>
      <c r="AG2691" s="30"/>
      <c r="AH2691" s="30"/>
    </row>
    <row r="2692" spans="1:34" ht="13">
      <c r="A2692" s="30"/>
      <c r="B2692" s="30"/>
      <c r="C2692" s="30"/>
      <c r="D2692" s="30"/>
      <c r="E2692" s="30"/>
      <c r="F2692" s="30"/>
      <c r="G2692" s="30"/>
      <c r="H2692" s="48"/>
      <c r="I2692" s="49"/>
      <c r="J2692" s="49"/>
      <c r="K2692" s="48"/>
      <c r="L2692" s="50"/>
      <c r="M2692" s="30"/>
      <c r="N2692" s="30"/>
      <c r="O2692" s="30"/>
      <c r="P2692" s="30"/>
      <c r="Q2692" s="30"/>
      <c r="R2692" s="30"/>
      <c r="S2692" s="30"/>
      <c r="T2692" s="30"/>
      <c r="U2692" s="30"/>
      <c r="V2692" s="30"/>
      <c r="W2692" s="30"/>
      <c r="X2692" s="30"/>
      <c r="Y2692" s="30"/>
      <c r="Z2692" s="30"/>
      <c r="AA2692" s="30"/>
      <c r="AB2692" s="30"/>
      <c r="AC2692" s="30"/>
      <c r="AD2692" s="30"/>
      <c r="AE2692" s="30"/>
      <c r="AF2692" s="30"/>
      <c r="AG2692" s="30"/>
      <c r="AH2692" s="30"/>
    </row>
    <row r="2693" spans="1:34" ht="13">
      <c r="A2693" s="30"/>
      <c r="B2693" s="30"/>
      <c r="C2693" s="30"/>
      <c r="D2693" s="30"/>
      <c r="E2693" s="30"/>
      <c r="F2693" s="30"/>
      <c r="G2693" s="30"/>
      <c r="H2693" s="48"/>
      <c r="I2693" s="49"/>
      <c r="J2693" s="49"/>
      <c r="K2693" s="48"/>
      <c r="L2693" s="50"/>
      <c r="M2693" s="30"/>
      <c r="N2693" s="30"/>
      <c r="O2693" s="30"/>
      <c r="P2693" s="30"/>
      <c r="Q2693" s="30"/>
      <c r="R2693" s="30"/>
      <c r="S2693" s="30"/>
      <c r="T2693" s="30"/>
      <c r="U2693" s="30"/>
      <c r="V2693" s="30"/>
      <c r="W2693" s="30"/>
      <c r="X2693" s="30"/>
      <c r="Y2693" s="30"/>
      <c r="Z2693" s="30"/>
      <c r="AA2693" s="30"/>
      <c r="AB2693" s="30"/>
      <c r="AC2693" s="30"/>
      <c r="AD2693" s="30"/>
      <c r="AE2693" s="30"/>
      <c r="AF2693" s="30"/>
      <c r="AG2693" s="30"/>
      <c r="AH2693" s="30"/>
    </row>
    <row r="2694" spans="1:34" ht="13">
      <c r="A2694" s="30"/>
      <c r="B2694" s="30"/>
      <c r="C2694" s="30"/>
      <c r="D2694" s="30"/>
      <c r="E2694" s="30"/>
      <c r="F2694" s="30"/>
      <c r="G2694" s="30"/>
      <c r="H2694" s="48"/>
      <c r="I2694" s="49"/>
      <c r="J2694" s="49"/>
      <c r="K2694" s="48"/>
      <c r="L2694" s="50"/>
      <c r="M2694" s="30"/>
      <c r="N2694" s="30"/>
      <c r="O2694" s="30"/>
      <c r="P2694" s="30"/>
      <c r="Q2694" s="30"/>
      <c r="R2694" s="30"/>
      <c r="S2694" s="30"/>
      <c r="T2694" s="30"/>
      <c r="U2694" s="30"/>
      <c r="V2694" s="30"/>
      <c r="W2694" s="30"/>
      <c r="X2694" s="30"/>
      <c r="Y2694" s="30"/>
      <c r="Z2694" s="30"/>
      <c r="AA2694" s="30"/>
      <c r="AB2694" s="30"/>
      <c r="AC2694" s="30"/>
      <c r="AD2694" s="30"/>
      <c r="AE2694" s="30"/>
      <c r="AF2694" s="30"/>
      <c r="AG2694" s="30"/>
      <c r="AH2694" s="30"/>
    </row>
    <row r="2695" spans="1:34" ht="13">
      <c r="A2695" s="30"/>
      <c r="B2695" s="30"/>
      <c r="C2695" s="30"/>
      <c r="D2695" s="30"/>
      <c r="E2695" s="30"/>
      <c r="F2695" s="30"/>
      <c r="G2695" s="30"/>
      <c r="H2695" s="48"/>
      <c r="I2695" s="49"/>
      <c r="J2695" s="49"/>
      <c r="K2695" s="48"/>
      <c r="L2695" s="50"/>
      <c r="M2695" s="30"/>
      <c r="N2695" s="30"/>
      <c r="O2695" s="30"/>
      <c r="P2695" s="30"/>
      <c r="Q2695" s="30"/>
      <c r="R2695" s="30"/>
      <c r="S2695" s="30"/>
      <c r="T2695" s="30"/>
      <c r="U2695" s="30"/>
      <c r="V2695" s="30"/>
      <c r="W2695" s="30"/>
      <c r="X2695" s="30"/>
      <c r="Y2695" s="30"/>
      <c r="Z2695" s="30"/>
      <c r="AA2695" s="30"/>
      <c r="AB2695" s="30"/>
      <c r="AC2695" s="30"/>
      <c r="AD2695" s="30"/>
      <c r="AE2695" s="30"/>
      <c r="AF2695" s="30"/>
      <c r="AG2695" s="30"/>
      <c r="AH2695" s="30"/>
    </row>
    <row r="2696" spans="1:34" ht="13">
      <c r="A2696" s="30"/>
      <c r="B2696" s="30"/>
      <c r="C2696" s="30"/>
      <c r="D2696" s="30"/>
      <c r="E2696" s="30"/>
      <c r="F2696" s="30"/>
      <c r="G2696" s="30"/>
      <c r="H2696" s="48"/>
      <c r="I2696" s="49"/>
      <c r="J2696" s="49"/>
      <c r="K2696" s="48"/>
      <c r="L2696" s="50"/>
      <c r="M2696" s="30"/>
      <c r="N2696" s="30"/>
      <c r="O2696" s="30"/>
      <c r="P2696" s="30"/>
      <c r="Q2696" s="30"/>
      <c r="R2696" s="30"/>
      <c r="S2696" s="30"/>
      <c r="T2696" s="30"/>
      <c r="U2696" s="30"/>
      <c r="V2696" s="30"/>
      <c r="W2696" s="30"/>
      <c r="X2696" s="30"/>
      <c r="Y2696" s="30"/>
      <c r="Z2696" s="30"/>
      <c r="AA2696" s="30"/>
      <c r="AB2696" s="30"/>
      <c r="AC2696" s="30"/>
      <c r="AD2696" s="30"/>
      <c r="AE2696" s="30"/>
      <c r="AF2696" s="30"/>
      <c r="AG2696" s="30"/>
      <c r="AH2696" s="30"/>
    </row>
    <row r="2697" spans="1:34" ht="13">
      <c r="A2697" s="30"/>
      <c r="B2697" s="30"/>
      <c r="C2697" s="30"/>
      <c r="D2697" s="30"/>
      <c r="E2697" s="30"/>
      <c r="F2697" s="30"/>
      <c r="G2697" s="30"/>
      <c r="H2697" s="48"/>
      <c r="I2697" s="49"/>
      <c r="J2697" s="49"/>
      <c r="K2697" s="48"/>
      <c r="L2697" s="50"/>
      <c r="M2697" s="30"/>
      <c r="N2697" s="30"/>
      <c r="O2697" s="30"/>
      <c r="P2697" s="30"/>
      <c r="Q2697" s="30"/>
      <c r="R2697" s="30"/>
      <c r="S2697" s="30"/>
      <c r="T2697" s="30"/>
      <c r="U2697" s="30"/>
      <c r="V2697" s="30"/>
      <c r="W2697" s="30"/>
      <c r="X2697" s="30"/>
      <c r="Y2697" s="30"/>
      <c r="Z2697" s="30"/>
      <c r="AA2697" s="30"/>
      <c r="AB2697" s="30"/>
      <c r="AC2697" s="30"/>
      <c r="AD2697" s="30"/>
      <c r="AE2697" s="30"/>
      <c r="AF2697" s="30"/>
      <c r="AG2697" s="30"/>
      <c r="AH2697" s="30"/>
    </row>
    <row r="2698" spans="1:34" ht="13">
      <c r="A2698" s="30"/>
      <c r="B2698" s="30"/>
      <c r="C2698" s="30"/>
      <c r="D2698" s="30"/>
      <c r="E2698" s="30"/>
      <c r="F2698" s="30"/>
      <c r="G2698" s="30"/>
      <c r="H2698" s="48"/>
      <c r="I2698" s="49"/>
      <c r="J2698" s="49"/>
      <c r="K2698" s="48"/>
      <c r="L2698" s="50"/>
      <c r="M2698" s="30"/>
      <c r="N2698" s="30"/>
      <c r="O2698" s="30"/>
      <c r="P2698" s="30"/>
      <c r="Q2698" s="30"/>
      <c r="R2698" s="30"/>
      <c r="S2698" s="30"/>
      <c r="T2698" s="30"/>
      <c r="U2698" s="30"/>
      <c r="V2698" s="30"/>
      <c r="W2698" s="30"/>
      <c r="X2698" s="30"/>
      <c r="Y2698" s="30"/>
      <c r="Z2698" s="30"/>
      <c r="AA2698" s="30"/>
      <c r="AB2698" s="30"/>
      <c r="AC2698" s="30"/>
      <c r="AD2698" s="30"/>
      <c r="AE2698" s="30"/>
      <c r="AF2698" s="30"/>
      <c r="AG2698" s="30"/>
      <c r="AH2698" s="30"/>
    </row>
    <row r="2699" spans="1:34" ht="13">
      <c r="A2699" s="30"/>
      <c r="B2699" s="30"/>
      <c r="C2699" s="30"/>
      <c r="D2699" s="30"/>
      <c r="E2699" s="30"/>
      <c r="F2699" s="30"/>
      <c r="G2699" s="30"/>
      <c r="H2699" s="48"/>
      <c r="I2699" s="49"/>
      <c r="J2699" s="49"/>
      <c r="K2699" s="48"/>
      <c r="L2699" s="50"/>
      <c r="M2699" s="30"/>
      <c r="N2699" s="30"/>
      <c r="O2699" s="30"/>
      <c r="P2699" s="30"/>
      <c r="Q2699" s="30"/>
      <c r="R2699" s="30"/>
      <c r="S2699" s="30"/>
      <c r="T2699" s="30"/>
      <c r="U2699" s="30"/>
      <c r="V2699" s="30"/>
      <c r="W2699" s="30"/>
      <c r="X2699" s="30"/>
      <c r="Y2699" s="30"/>
      <c r="Z2699" s="30"/>
      <c r="AA2699" s="30"/>
      <c r="AB2699" s="30"/>
      <c r="AC2699" s="30"/>
      <c r="AD2699" s="30"/>
      <c r="AE2699" s="30"/>
      <c r="AF2699" s="30"/>
      <c r="AG2699" s="30"/>
      <c r="AH2699" s="30"/>
    </row>
    <row r="2700" spans="1:34" ht="13">
      <c r="A2700" s="30"/>
      <c r="B2700" s="30"/>
      <c r="C2700" s="30"/>
      <c r="D2700" s="30"/>
      <c r="E2700" s="30"/>
      <c r="F2700" s="30"/>
      <c r="G2700" s="30"/>
      <c r="H2700" s="48"/>
      <c r="I2700" s="49"/>
      <c r="J2700" s="49"/>
      <c r="K2700" s="48"/>
      <c r="L2700" s="50"/>
      <c r="M2700" s="30"/>
      <c r="N2700" s="30"/>
      <c r="O2700" s="30"/>
      <c r="P2700" s="30"/>
      <c r="Q2700" s="30"/>
      <c r="R2700" s="30"/>
      <c r="S2700" s="30"/>
      <c r="T2700" s="30"/>
      <c r="U2700" s="30"/>
      <c r="V2700" s="30"/>
      <c r="W2700" s="30"/>
      <c r="X2700" s="30"/>
      <c r="Y2700" s="30"/>
      <c r="Z2700" s="30"/>
      <c r="AA2700" s="30"/>
      <c r="AB2700" s="30"/>
      <c r="AC2700" s="30"/>
      <c r="AD2700" s="30"/>
      <c r="AE2700" s="30"/>
      <c r="AF2700" s="30"/>
      <c r="AG2700" s="30"/>
      <c r="AH2700" s="30"/>
    </row>
    <row r="2701" spans="1:34" ht="13">
      <c r="A2701" s="30"/>
      <c r="B2701" s="30"/>
      <c r="C2701" s="30"/>
      <c r="D2701" s="30"/>
      <c r="E2701" s="30"/>
      <c r="F2701" s="30"/>
      <c r="G2701" s="30"/>
      <c r="H2701" s="48"/>
      <c r="I2701" s="49"/>
      <c r="J2701" s="49"/>
      <c r="K2701" s="48"/>
      <c r="L2701" s="50"/>
      <c r="M2701" s="30"/>
      <c r="N2701" s="30"/>
      <c r="O2701" s="30"/>
      <c r="P2701" s="30"/>
      <c r="Q2701" s="30"/>
      <c r="R2701" s="30"/>
      <c r="S2701" s="30"/>
      <c r="T2701" s="30"/>
      <c r="U2701" s="30"/>
      <c r="V2701" s="30"/>
      <c r="W2701" s="30"/>
      <c r="X2701" s="30"/>
      <c r="Y2701" s="30"/>
      <c r="Z2701" s="30"/>
      <c r="AA2701" s="30"/>
      <c r="AB2701" s="30"/>
      <c r="AC2701" s="30"/>
      <c r="AD2701" s="30"/>
      <c r="AE2701" s="30"/>
      <c r="AF2701" s="30"/>
      <c r="AG2701" s="30"/>
      <c r="AH2701" s="30"/>
    </row>
    <row r="2702" spans="1:34" ht="13">
      <c r="A2702" s="30"/>
      <c r="B2702" s="30"/>
      <c r="C2702" s="30"/>
      <c r="D2702" s="30"/>
      <c r="E2702" s="30"/>
      <c r="F2702" s="30"/>
      <c r="G2702" s="30"/>
      <c r="H2702" s="48"/>
      <c r="I2702" s="49"/>
      <c r="J2702" s="49"/>
      <c r="K2702" s="48"/>
      <c r="L2702" s="50"/>
      <c r="M2702" s="30"/>
      <c r="N2702" s="30"/>
      <c r="O2702" s="30"/>
      <c r="P2702" s="30"/>
      <c r="Q2702" s="30"/>
      <c r="R2702" s="30"/>
      <c r="S2702" s="30"/>
      <c r="T2702" s="30"/>
      <c r="U2702" s="30"/>
      <c r="V2702" s="30"/>
      <c r="W2702" s="30"/>
      <c r="X2702" s="30"/>
      <c r="Y2702" s="30"/>
      <c r="Z2702" s="30"/>
      <c r="AA2702" s="30"/>
      <c r="AB2702" s="30"/>
      <c r="AC2702" s="30"/>
      <c r="AD2702" s="30"/>
      <c r="AE2702" s="30"/>
      <c r="AF2702" s="30"/>
      <c r="AG2702" s="30"/>
      <c r="AH2702" s="30"/>
    </row>
    <row r="2703" spans="1:34" ht="13">
      <c r="A2703" s="30"/>
      <c r="B2703" s="30"/>
      <c r="C2703" s="30"/>
      <c r="D2703" s="30"/>
      <c r="E2703" s="30"/>
      <c r="F2703" s="30"/>
      <c r="G2703" s="30"/>
      <c r="H2703" s="48"/>
      <c r="I2703" s="49"/>
      <c r="J2703" s="49"/>
      <c r="K2703" s="48"/>
      <c r="L2703" s="50"/>
      <c r="M2703" s="30"/>
      <c r="N2703" s="30"/>
      <c r="O2703" s="30"/>
      <c r="P2703" s="30"/>
      <c r="Q2703" s="30"/>
      <c r="R2703" s="30"/>
      <c r="S2703" s="30"/>
      <c r="T2703" s="30"/>
      <c r="U2703" s="30"/>
      <c r="V2703" s="30"/>
      <c r="W2703" s="30"/>
      <c r="X2703" s="30"/>
      <c r="Y2703" s="30"/>
      <c r="Z2703" s="30"/>
      <c r="AA2703" s="30"/>
      <c r="AB2703" s="30"/>
      <c r="AC2703" s="30"/>
      <c r="AD2703" s="30"/>
      <c r="AE2703" s="30"/>
      <c r="AF2703" s="30"/>
      <c r="AG2703" s="30"/>
      <c r="AH2703" s="30"/>
    </row>
    <row r="2704" spans="1:34" ht="13">
      <c r="A2704" s="30"/>
      <c r="B2704" s="30"/>
      <c r="C2704" s="30"/>
      <c r="D2704" s="30"/>
      <c r="E2704" s="30"/>
      <c r="F2704" s="30"/>
      <c r="G2704" s="30"/>
      <c r="H2704" s="48"/>
      <c r="I2704" s="49"/>
      <c r="J2704" s="49"/>
      <c r="K2704" s="48"/>
      <c r="L2704" s="50"/>
      <c r="M2704" s="30"/>
      <c r="N2704" s="30"/>
      <c r="O2704" s="30"/>
      <c r="P2704" s="30"/>
      <c r="Q2704" s="30"/>
      <c r="R2704" s="30"/>
      <c r="S2704" s="30"/>
      <c r="T2704" s="30"/>
      <c r="U2704" s="30"/>
      <c r="V2704" s="30"/>
      <c r="W2704" s="30"/>
      <c r="X2704" s="30"/>
      <c r="Y2704" s="30"/>
      <c r="Z2704" s="30"/>
      <c r="AA2704" s="30"/>
      <c r="AB2704" s="30"/>
      <c r="AC2704" s="30"/>
      <c r="AD2704" s="30"/>
      <c r="AE2704" s="30"/>
      <c r="AF2704" s="30"/>
      <c r="AG2704" s="30"/>
      <c r="AH2704" s="30"/>
    </row>
    <row r="2705" spans="1:34" ht="13">
      <c r="A2705" s="30"/>
      <c r="B2705" s="30"/>
      <c r="C2705" s="30"/>
      <c r="D2705" s="30"/>
      <c r="E2705" s="30"/>
      <c r="F2705" s="30"/>
      <c r="G2705" s="30"/>
      <c r="H2705" s="48"/>
      <c r="I2705" s="49"/>
      <c r="J2705" s="49"/>
      <c r="K2705" s="48"/>
      <c r="L2705" s="50"/>
      <c r="M2705" s="30"/>
      <c r="N2705" s="30"/>
      <c r="O2705" s="30"/>
      <c r="P2705" s="30"/>
      <c r="Q2705" s="30"/>
      <c r="R2705" s="30"/>
      <c r="S2705" s="30"/>
      <c r="T2705" s="30"/>
      <c r="U2705" s="30"/>
      <c r="V2705" s="30"/>
      <c r="W2705" s="30"/>
      <c r="X2705" s="30"/>
      <c r="Y2705" s="30"/>
      <c r="Z2705" s="30"/>
      <c r="AA2705" s="30"/>
      <c r="AB2705" s="30"/>
      <c r="AC2705" s="30"/>
      <c r="AD2705" s="30"/>
      <c r="AE2705" s="30"/>
      <c r="AF2705" s="30"/>
      <c r="AG2705" s="30"/>
      <c r="AH2705" s="30"/>
    </row>
    <row r="2706" spans="1:34" ht="13">
      <c r="A2706" s="30"/>
      <c r="B2706" s="30"/>
      <c r="C2706" s="30"/>
      <c r="D2706" s="30"/>
      <c r="E2706" s="30"/>
      <c r="F2706" s="30"/>
      <c r="G2706" s="30"/>
      <c r="H2706" s="48"/>
      <c r="I2706" s="49"/>
      <c r="J2706" s="49"/>
      <c r="K2706" s="48"/>
      <c r="L2706" s="50"/>
      <c r="M2706" s="30"/>
      <c r="N2706" s="30"/>
      <c r="O2706" s="30"/>
      <c r="P2706" s="30"/>
      <c r="Q2706" s="30"/>
      <c r="R2706" s="30"/>
      <c r="S2706" s="30"/>
      <c r="T2706" s="30"/>
      <c r="U2706" s="30"/>
      <c r="V2706" s="30"/>
      <c r="W2706" s="30"/>
      <c r="X2706" s="30"/>
      <c r="Y2706" s="30"/>
      <c r="Z2706" s="30"/>
      <c r="AA2706" s="30"/>
      <c r="AB2706" s="30"/>
      <c r="AC2706" s="30"/>
      <c r="AD2706" s="30"/>
      <c r="AE2706" s="30"/>
      <c r="AF2706" s="30"/>
      <c r="AG2706" s="30"/>
      <c r="AH2706" s="30"/>
    </row>
    <row r="2707" spans="1:34" ht="13">
      <c r="A2707" s="30"/>
      <c r="B2707" s="30"/>
      <c r="C2707" s="30"/>
      <c r="D2707" s="30"/>
      <c r="E2707" s="30"/>
      <c r="F2707" s="30"/>
      <c r="G2707" s="30"/>
      <c r="H2707" s="48"/>
      <c r="I2707" s="49"/>
      <c r="J2707" s="49"/>
      <c r="K2707" s="48"/>
      <c r="L2707" s="50"/>
      <c r="M2707" s="30"/>
      <c r="N2707" s="30"/>
      <c r="O2707" s="30"/>
      <c r="P2707" s="30"/>
      <c r="Q2707" s="30"/>
      <c r="R2707" s="30"/>
      <c r="S2707" s="30"/>
      <c r="T2707" s="30"/>
      <c r="U2707" s="30"/>
      <c r="V2707" s="30"/>
      <c r="W2707" s="30"/>
      <c r="X2707" s="30"/>
      <c r="Y2707" s="30"/>
      <c r="Z2707" s="30"/>
      <c r="AA2707" s="30"/>
      <c r="AB2707" s="30"/>
      <c r="AC2707" s="30"/>
      <c r="AD2707" s="30"/>
      <c r="AE2707" s="30"/>
      <c r="AF2707" s="30"/>
      <c r="AG2707" s="30"/>
      <c r="AH2707" s="30"/>
    </row>
    <row r="2708" spans="1:34" ht="13">
      <c r="A2708" s="30"/>
      <c r="B2708" s="30"/>
      <c r="C2708" s="30"/>
      <c r="D2708" s="30"/>
      <c r="E2708" s="30"/>
      <c r="F2708" s="30"/>
      <c r="G2708" s="30"/>
      <c r="H2708" s="48"/>
      <c r="I2708" s="49"/>
      <c r="J2708" s="49"/>
      <c r="K2708" s="48"/>
      <c r="L2708" s="50"/>
      <c r="M2708" s="30"/>
      <c r="N2708" s="30"/>
      <c r="O2708" s="30"/>
      <c r="P2708" s="30"/>
      <c r="Q2708" s="30"/>
      <c r="R2708" s="30"/>
      <c r="S2708" s="30"/>
      <c r="T2708" s="30"/>
      <c r="U2708" s="30"/>
      <c r="V2708" s="30"/>
      <c r="W2708" s="30"/>
      <c r="X2708" s="30"/>
      <c r="Y2708" s="30"/>
      <c r="Z2708" s="30"/>
      <c r="AA2708" s="30"/>
      <c r="AB2708" s="30"/>
      <c r="AC2708" s="30"/>
      <c r="AD2708" s="30"/>
      <c r="AE2708" s="30"/>
      <c r="AF2708" s="30"/>
      <c r="AG2708" s="30"/>
      <c r="AH2708" s="30"/>
    </row>
    <row r="2709" spans="1:34" ht="13">
      <c r="A2709" s="30"/>
      <c r="B2709" s="30"/>
      <c r="C2709" s="30"/>
      <c r="D2709" s="30"/>
      <c r="E2709" s="30"/>
      <c r="F2709" s="30"/>
      <c r="G2709" s="30"/>
      <c r="H2709" s="48"/>
      <c r="I2709" s="49"/>
      <c r="J2709" s="49"/>
      <c r="K2709" s="48"/>
      <c r="L2709" s="50"/>
      <c r="M2709" s="30"/>
      <c r="N2709" s="30"/>
      <c r="O2709" s="30"/>
      <c r="P2709" s="30"/>
      <c r="Q2709" s="30"/>
      <c r="R2709" s="30"/>
      <c r="S2709" s="30"/>
      <c r="T2709" s="30"/>
      <c r="U2709" s="30"/>
      <c r="V2709" s="30"/>
      <c r="W2709" s="30"/>
      <c r="X2709" s="30"/>
      <c r="Y2709" s="30"/>
      <c r="Z2709" s="30"/>
      <c r="AA2709" s="30"/>
      <c r="AB2709" s="30"/>
      <c r="AC2709" s="30"/>
      <c r="AD2709" s="30"/>
      <c r="AE2709" s="30"/>
      <c r="AF2709" s="30"/>
      <c r="AG2709" s="30"/>
      <c r="AH2709" s="30"/>
    </row>
    <row r="2710" spans="1:34" ht="13">
      <c r="A2710" s="30"/>
      <c r="B2710" s="30"/>
      <c r="C2710" s="30"/>
      <c r="D2710" s="30"/>
      <c r="E2710" s="30"/>
      <c r="F2710" s="30"/>
      <c r="G2710" s="30"/>
      <c r="H2710" s="48"/>
      <c r="I2710" s="49"/>
      <c r="J2710" s="49"/>
      <c r="K2710" s="48"/>
      <c r="L2710" s="50"/>
      <c r="M2710" s="30"/>
      <c r="N2710" s="30"/>
      <c r="O2710" s="30"/>
      <c r="P2710" s="30"/>
      <c r="Q2710" s="30"/>
      <c r="R2710" s="30"/>
      <c r="S2710" s="30"/>
      <c r="T2710" s="30"/>
      <c r="U2710" s="30"/>
      <c r="V2710" s="30"/>
      <c r="W2710" s="30"/>
      <c r="X2710" s="30"/>
      <c r="Y2710" s="30"/>
      <c r="Z2710" s="30"/>
      <c r="AA2710" s="30"/>
      <c r="AB2710" s="30"/>
      <c r="AC2710" s="30"/>
      <c r="AD2710" s="30"/>
      <c r="AE2710" s="30"/>
      <c r="AF2710" s="30"/>
      <c r="AG2710" s="30"/>
      <c r="AH2710" s="30"/>
    </row>
    <row r="2711" spans="1:34" ht="13">
      <c r="A2711" s="30"/>
      <c r="B2711" s="30"/>
      <c r="C2711" s="30"/>
      <c r="D2711" s="30"/>
      <c r="E2711" s="30"/>
      <c r="F2711" s="30"/>
      <c r="G2711" s="30"/>
      <c r="H2711" s="48"/>
      <c r="I2711" s="49"/>
      <c r="J2711" s="49"/>
      <c r="K2711" s="48"/>
      <c r="L2711" s="50"/>
      <c r="M2711" s="30"/>
      <c r="N2711" s="30"/>
      <c r="O2711" s="30"/>
      <c r="P2711" s="30"/>
      <c r="Q2711" s="30"/>
      <c r="R2711" s="30"/>
      <c r="S2711" s="30"/>
      <c r="T2711" s="30"/>
      <c r="U2711" s="30"/>
      <c r="V2711" s="30"/>
      <c r="W2711" s="30"/>
      <c r="X2711" s="30"/>
      <c r="Y2711" s="30"/>
      <c r="Z2711" s="30"/>
      <c r="AA2711" s="30"/>
      <c r="AB2711" s="30"/>
      <c r="AC2711" s="30"/>
      <c r="AD2711" s="30"/>
      <c r="AE2711" s="30"/>
      <c r="AF2711" s="30"/>
      <c r="AG2711" s="30"/>
      <c r="AH2711" s="30"/>
    </row>
    <row r="2712" spans="1:34" ht="13">
      <c r="A2712" s="30"/>
      <c r="B2712" s="30"/>
      <c r="C2712" s="30"/>
      <c r="D2712" s="30"/>
      <c r="E2712" s="30"/>
      <c r="F2712" s="30"/>
      <c r="G2712" s="30"/>
      <c r="H2712" s="48"/>
      <c r="I2712" s="49"/>
      <c r="J2712" s="49"/>
      <c r="K2712" s="48"/>
      <c r="L2712" s="50"/>
      <c r="M2712" s="30"/>
      <c r="N2712" s="30"/>
      <c r="O2712" s="30"/>
      <c r="P2712" s="30"/>
      <c r="Q2712" s="30"/>
      <c r="R2712" s="30"/>
      <c r="S2712" s="30"/>
      <c r="T2712" s="30"/>
      <c r="U2712" s="30"/>
      <c r="V2712" s="30"/>
      <c r="W2712" s="30"/>
      <c r="X2712" s="30"/>
      <c r="Y2712" s="30"/>
      <c r="Z2712" s="30"/>
      <c r="AA2712" s="30"/>
      <c r="AB2712" s="30"/>
      <c r="AC2712" s="30"/>
      <c r="AD2712" s="30"/>
      <c r="AE2712" s="30"/>
      <c r="AF2712" s="30"/>
      <c r="AG2712" s="30"/>
      <c r="AH2712" s="30"/>
    </row>
    <row r="2713" spans="1:34" ht="13">
      <c r="A2713" s="30"/>
      <c r="B2713" s="30"/>
      <c r="C2713" s="30"/>
      <c r="D2713" s="30"/>
      <c r="E2713" s="30"/>
      <c r="F2713" s="30"/>
      <c r="G2713" s="30"/>
      <c r="H2713" s="48"/>
      <c r="I2713" s="49"/>
      <c r="J2713" s="49"/>
      <c r="K2713" s="48"/>
      <c r="L2713" s="50"/>
      <c r="M2713" s="30"/>
      <c r="N2713" s="30"/>
      <c r="O2713" s="30"/>
      <c r="P2713" s="30"/>
      <c r="Q2713" s="30"/>
      <c r="R2713" s="30"/>
      <c r="S2713" s="30"/>
      <c r="T2713" s="30"/>
      <c r="U2713" s="30"/>
      <c r="V2713" s="30"/>
      <c r="W2713" s="30"/>
      <c r="X2713" s="30"/>
      <c r="Y2713" s="30"/>
      <c r="Z2713" s="30"/>
      <c r="AA2713" s="30"/>
      <c r="AB2713" s="30"/>
      <c r="AC2713" s="30"/>
      <c r="AD2713" s="30"/>
      <c r="AE2713" s="30"/>
      <c r="AF2713" s="30"/>
      <c r="AG2713" s="30"/>
      <c r="AH2713" s="30"/>
    </row>
    <row r="2714" spans="1:34" ht="13">
      <c r="A2714" s="30"/>
      <c r="B2714" s="30"/>
      <c r="C2714" s="30"/>
      <c r="D2714" s="30"/>
      <c r="E2714" s="30"/>
      <c r="F2714" s="30"/>
      <c r="G2714" s="30"/>
      <c r="H2714" s="48"/>
      <c r="I2714" s="49"/>
      <c r="J2714" s="49"/>
      <c r="K2714" s="48"/>
      <c r="L2714" s="50"/>
      <c r="M2714" s="30"/>
      <c r="N2714" s="30"/>
      <c r="O2714" s="30"/>
      <c r="P2714" s="30"/>
      <c r="Q2714" s="30"/>
      <c r="R2714" s="30"/>
      <c r="S2714" s="30"/>
      <c r="T2714" s="30"/>
      <c r="U2714" s="30"/>
      <c r="V2714" s="30"/>
      <c r="W2714" s="30"/>
      <c r="X2714" s="30"/>
      <c r="Y2714" s="30"/>
      <c r="Z2714" s="30"/>
      <c r="AA2714" s="30"/>
      <c r="AB2714" s="30"/>
      <c r="AC2714" s="30"/>
      <c r="AD2714" s="30"/>
      <c r="AE2714" s="30"/>
      <c r="AF2714" s="30"/>
      <c r="AG2714" s="30"/>
      <c r="AH2714" s="30"/>
    </row>
    <row r="2715" spans="1:34" ht="13">
      <c r="A2715" s="30"/>
      <c r="B2715" s="30"/>
      <c r="C2715" s="30"/>
      <c r="D2715" s="30"/>
      <c r="E2715" s="30"/>
      <c r="F2715" s="30"/>
      <c r="G2715" s="30"/>
      <c r="H2715" s="48"/>
      <c r="I2715" s="49"/>
      <c r="J2715" s="49"/>
      <c r="K2715" s="48"/>
      <c r="L2715" s="50"/>
      <c r="M2715" s="30"/>
      <c r="N2715" s="30"/>
      <c r="O2715" s="30"/>
      <c r="P2715" s="30"/>
      <c r="Q2715" s="30"/>
      <c r="R2715" s="30"/>
      <c r="S2715" s="30"/>
      <c r="T2715" s="30"/>
      <c r="U2715" s="30"/>
      <c r="V2715" s="30"/>
      <c r="W2715" s="30"/>
      <c r="X2715" s="30"/>
      <c r="Y2715" s="30"/>
      <c r="Z2715" s="30"/>
      <c r="AA2715" s="30"/>
      <c r="AB2715" s="30"/>
      <c r="AC2715" s="30"/>
      <c r="AD2715" s="30"/>
      <c r="AE2715" s="30"/>
      <c r="AF2715" s="30"/>
      <c r="AG2715" s="30"/>
      <c r="AH2715" s="30"/>
    </row>
    <row r="2716" spans="1:34" ht="13">
      <c r="A2716" s="30"/>
      <c r="B2716" s="30"/>
      <c r="C2716" s="30"/>
      <c r="D2716" s="30"/>
      <c r="E2716" s="30"/>
      <c r="F2716" s="30"/>
      <c r="G2716" s="30"/>
      <c r="H2716" s="48"/>
      <c r="I2716" s="49"/>
      <c r="J2716" s="49"/>
      <c r="K2716" s="48"/>
      <c r="L2716" s="50"/>
      <c r="M2716" s="30"/>
      <c r="N2716" s="30"/>
      <c r="O2716" s="30"/>
      <c r="P2716" s="30"/>
      <c r="Q2716" s="30"/>
      <c r="R2716" s="30"/>
      <c r="S2716" s="30"/>
      <c r="T2716" s="30"/>
      <c r="U2716" s="30"/>
      <c r="V2716" s="30"/>
      <c r="W2716" s="30"/>
      <c r="X2716" s="30"/>
      <c r="Y2716" s="30"/>
      <c r="Z2716" s="30"/>
      <c r="AA2716" s="30"/>
      <c r="AB2716" s="30"/>
      <c r="AC2716" s="30"/>
      <c r="AD2716" s="30"/>
      <c r="AE2716" s="30"/>
      <c r="AF2716" s="30"/>
      <c r="AG2716" s="30"/>
      <c r="AH2716" s="30"/>
    </row>
    <row r="2717" spans="1:34" ht="13">
      <c r="A2717" s="30"/>
      <c r="B2717" s="30"/>
      <c r="C2717" s="30"/>
      <c r="D2717" s="30"/>
      <c r="E2717" s="30"/>
      <c r="F2717" s="30"/>
      <c r="G2717" s="30"/>
      <c r="H2717" s="48"/>
      <c r="I2717" s="49"/>
      <c r="J2717" s="49"/>
      <c r="K2717" s="48"/>
      <c r="L2717" s="50"/>
      <c r="M2717" s="30"/>
      <c r="N2717" s="30"/>
      <c r="O2717" s="30"/>
      <c r="P2717" s="30"/>
      <c r="Q2717" s="30"/>
      <c r="R2717" s="30"/>
      <c r="S2717" s="30"/>
      <c r="T2717" s="30"/>
      <c r="U2717" s="30"/>
      <c r="V2717" s="30"/>
      <c r="W2717" s="30"/>
      <c r="X2717" s="30"/>
      <c r="Y2717" s="30"/>
      <c r="Z2717" s="30"/>
      <c r="AA2717" s="30"/>
      <c r="AB2717" s="30"/>
      <c r="AC2717" s="30"/>
      <c r="AD2717" s="30"/>
      <c r="AE2717" s="30"/>
      <c r="AF2717" s="30"/>
      <c r="AG2717" s="30"/>
      <c r="AH2717" s="30"/>
    </row>
    <row r="2718" spans="1:34" ht="13">
      <c r="A2718" s="30"/>
      <c r="B2718" s="30"/>
      <c r="C2718" s="30"/>
      <c r="D2718" s="30"/>
      <c r="E2718" s="30"/>
      <c r="F2718" s="30"/>
      <c r="G2718" s="30"/>
      <c r="H2718" s="48"/>
      <c r="I2718" s="49"/>
      <c r="J2718" s="49"/>
      <c r="K2718" s="48"/>
      <c r="L2718" s="50"/>
      <c r="M2718" s="30"/>
      <c r="N2718" s="30"/>
      <c r="O2718" s="30"/>
      <c r="P2718" s="30"/>
      <c r="Q2718" s="30"/>
      <c r="R2718" s="30"/>
      <c r="S2718" s="30"/>
      <c r="T2718" s="30"/>
      <c r="U2718" s="30"/>
      <c r="V2718" s="30"/>
      <c r="W2718" s="30"/>
      <c r="X2718" s="30"/>
      <c r="Y2718" s="30"/>
      <c r="Z2718" s="30"/>
      <c r="AA2718" s="30"/>
      <c r="AB2718" s="30"/>
      <c r="AC2718" s="30"/>
      <c r="AD2718" s="30"/>
      <c r="AE2718" s="30"/>
      <c r="AF2718" s="30"/>
      <c r="AG2718" s="30"/>
      <c r="AH2718" s="30"/>
    </row>
    <row r="2719" spans="1:34" ht="13">
      <c r="A2719" s="30"/>
      <c r="B2719" s="30"/>
      <c r="C2719" s="30"/>
      <c r="D2719" s="30"/>
      <c r="E2719" s="30"/>
      <c r="F2719" s="30"/>
      <c r="G2719" s="30"/>
      <c r="H2719" s="48"/>
      <c r="I2719" s="49"/>
      <c r="J2719" s="49"/>
      <c r="K2719" s="48"/>
      <c r="L2719" s="50"/>
      <c r="M2719" s="30"/>
      <c r="N2719" s="30"/>
      <c r="O2719" s="30"/>
      <c r="P2719" s="30"/>
      <c r="Q2719" s="30"/>
      <c r="R2719" s="30"/>
      <c r="S2719" s="30"/>
      <c r="T2719" s="30"/>
      <c r="U2719" s="30"/>
      <c r="V2719" s="30"/>
      <c r="W2719" s="30"/>
      <c r="X2719" s="30"/>
      <c r="Y2719" s="30"/>
      <c r="Z2719" s="30"/>
      <c r="AA2719" s="30"/>
      <c r="AB2719" s="30"/>
      <c r="AC2719" s="30"/>
      <c r="AD2719" s="30"/>
      <c r="AE2719" s="30"/>
      <c r="AF2719" s="30"/>
      <c r="AG2719" s="30"/>
      <c r="AH2719" s="30"/>
    </row>
    <row r="2720" spans="1:34" ht="13">
      <c r="A2720" s="30"/>
      <c r="B2720" s="30"/>
      <c r="C2720" s="30"/>
      <c r="D2720" s="30"/>
      <c r="E2720" s="30"/>
      <c r="F2720" s="30"/>
      <c r="G2720" s="30"/>
      <c r="H2720" s="48"/>
      <c r="I2720" s="49"/>
      <c r="J2720" s="49"/>
      <c r="K2720" s="48"/>
      <c r="L2720" s="50"/>
      <c r="M2720" s="30"/>
      <c r="N2720" s="30"/>
      <c r="O2720" s="30"/>
      <c r="P2720" s="30"/>
      <c r="Q2720" s="30"/>
      <c r="R2720" s="30"/>
      <c r="S2720" s="30"/>
      <c r="T2720" s="30"/>
      <c r="U2720" s="30"/>
      <c r="V2720" s="30"/>
      <c r="W2720" s="30"/>
      <c r="X2720" s="30"/>
      <c r="Y2720" s="30"/>
      <c r="Z2720" s="30"/>
      <c r="AA2720" s="30"/>
      <c r="AB2720" s="30"/>
      <c r="AC2720" s="30"/>
      <c r="AD2720" s="30"/>
      <c r="AE2720" s="30"/>
      <c r="AF2720" s="30"/>
      <c r="AG2720" s="30"/>
      <c r="AH2720" s="30"/>
    </row>
    <row r="2721" spans="1:34" ht="13">
      <c r="A2721" s="30"/>
      <c r="B2721" s="30"/>
      <c r="C2721" s="30"/>
      <c r="D2721" s="30"/>
      <c r="E2721" s="30"/>
      <c r="F2721" s="30"/>
      <c r="G2721" s="30"/>
      <c r="H2721" s="48"/>
      <c r="I2721" s="49"/>
      <c r="J2721" s="49"/>
      <c r="K2721" s="48"/>
      <c r="L2721" s="50"/>
      <c r="M2721" s="30"/>
      <c r="N2721" s="30"/>
      <c r="O2721" s="30"/>
      <c r="P2721" s="30"/>
      <c r="Q2721" s="30"/>
      <c r="R2721" s="30"/>
      <c r="S2721" s="30"/>
      <c r="T2721" s="30"/>
      <c r="U2721" s="30"/>
      <c r="V2721" s="30"/>
      <c r="W2721" s="30"/>
      <c r="X2721" s="30"/>
      <c r="Y2721" s="30"/>
      <c r="Z2721" s="30"/>
      <c r="AA2721" s="30"/>
      <c r="AB2721" s="30"/>
      <c r="AC2721" s="30"/>
      <c r="AD2721" s="30"/>
      <c r="AE2721" s="30"/>
      <c r="AF2721" s="30"/>
      <c r="AG2721" s="30"/>
      <c r="AH2721" s="30"/>
    </row>
    <row r="2722" spans="1:34" ht="13">
      <c r="A2722" s="30"/>
      <c r="B2722" s="30"/>
      <c r="C2722" s="30"/>
      <c r="D2722" s="30"/>
      <c r="E2722" s="30"/>
      <c r="F2722" s="30"/>
      <c r="G2722" s="30"/>
      <c r="H2722" s="48"/>
      <c r="I2722" s="49"/>
      <c r="J2722" s="49"/>
      <c r="K2722" s="48"/>
      <c r="L2722" s="50"/>
      <c r="M2722" s="30"/>
      <c r="N2722" s="30"/>
      <c r="O2722" s="30"/>
      <c r="P2722" s="30"/>
      <c r="Q2722" s="30"/>
      <c r="R2722" s="30"/>
      <c r="S2722" s="30"/>
      <c r="T2722" s="30"/>
      <c r="U2722" s="30"/>
      <c r="V2722" s="30"/>
      <c r="W2722" s="30"/>
      <c r="X2722" s="30"/>
      <c r="Y2722" s="30"/>
      <c r="Z2722" s="30"/>
      <c r="AA2722" s="30"/>
      <c r="AB2722" s="30"/>
      <c r="AC2722" s="30"/>
      <c r="AD2722" s="30"/>
      <c r="AE2722" s="30"/>
      <c r="AF2722" s="30"/>
      <c r="AG2722" s="30"/>
      <c r="AH2722" s="30"/>
    </row>
  </sheetData>
  <hyperlinks>
    <hyperlink ref="M2" r:id="rId1" xr:uid="{00000000-0004-0000-0200-000000000000}"/>
    <hyperlink ref="N2" r:id="rId2" xr:uid="{00000000-0004-0000-0200-000001000000}"/>
    <hyperlink ref="M3" r:id="rId3" xr:uid="{00000000-0004-0000-0200-000002000000}"/>
    <hyperlink ref="N3" r:id="rId4" xr:uid="{00000000-0004-0000-0200-000003000000}"/>
    <hyperlink ref="M4" r:id="rId5" xr:uid="{00000000-0004-0000-0200-000004000000}"/>
    <hyperlink ref="N4" r:id="rId6" xr:uid="{00000000-0004-0000-0200-000005000000}"/>
    <hyperlink ref="M5" r:id="rId7" xr:uid="{00000000-0004-0000-0200-000006000000}"/>
    <hyperlink ref="N5" r:id="rId8" xr:uid="{00000000-0004-0000-0200-000007000000}"/>
    <hyperlink ref="M6" r:id="rId9" xr:uid="{00000000-0004-0000-0200-000008000000}"/>
    <hyperlink ref="N6" r:id="rId10" xr:uid="{00000000-0004-0000-0200-000009000000}"/>
    <hyperlink ref="M7" r:id="rId11" xr:uid="{00000000-0004-0000-0200-00000A000000}"/>
    <hyperlink ref="N7" r:id="rId12" xr:uid="{00000000-0004-0000-0200-00000B000000}"/>
    <hyperlink ref="M8" r:id="rId13" xr:uid="{00000000-0004-0000-0200-00000C000000}"/>
    <hyperlink ref="N8" r:id="rId14" xr:uid="{00000000-0004-0000-0200-00000D000000}"/>
    <hyperlink ref="M9" r:id="rId15" xr:uid="{00000000-0004-0000-0200-00000E000000}"/>
    <hyperlink ref="N9" r:id="rId16" xr:uid="{00000000-0004-0000-0200-00000F000000}"/>
    <hyperlink ref="M10" r:id="rId17" xr:uid="{00000000-0004-0000-0200-000010000000}"/>
    <hyperlink ref="N10" r:id="rId18" xr:uid="{00000000-0004-0000-0200-000011000000}"/>
    <hyperlink ref="M11" r:id="rId19" xr:uid="{00000000-0004-0000-0200-000012000000}"/>
    <hyperlink ref="N11" r:id="rId20" xr:uid="{00000000-0004-0000-0200-000013000000}"/>
    <hyperlink ref="M12" r:id="rId21" xr:uid="{00000000-0004-0000-0200-000014000000}"/>
    <hyperlink ref="N12" r:id="rId22" xr:uid="{00000000-0004-0000-0200-000015000000}"/>
    <hyperlink ref="M13" r:id="rId23" xr:uid="{00000000-0004-0000-0200-000016000000}"/>
    <hyperlink ref="N13" r:id="rId24" xr:uid="{00000000-0004-0000-0200-000017000000}"/>
    <hyperlink ref="M14" r:id="rId25" xr:uid="{00000000-0004-0000-0200-000018000000}"/>
    <hyperlink ref="N14" r:id="rId26" xr:uid="{00000000-0004-0000-0200-000019000000}"/>
    <hyperlink ref="M15" r:id="rId27" xr:uid="{00000000-0004-0000-0200-00001A000000}"/>
    <hyperlink ref="M16" r:id="rId28" xr:uid="{00000000-0004-0000-0200-00001B000000}"/>
    <hyperlink ref="M17" r:id="rId29" xr:uid="{00000000-0004-0000-0200-00001C000000}"/>
    <hyperlink ref="M18" r:id="rId30" xr:uid="{00000000-0004-0000-0200-00001D000000}"/>
    <hyperlink ref="M19" r:id="rId31" xr:uid="{00000000-0004-0000-0200-00001E000000}"/>
    <hyperlink ref="M20" r:id="rId32" xr:uid="{00000000-0004-0000-0200-00001F000000}"/>
    <hyperlink ref="M21" r:id="rId33" xr:uid="{00000000-0004-0000-0200-000020000000}"/>
    <hyperlink ref="M22" r:id="rId34" xr:uid="{00000000-0004-0000-0200-000021000000}"/>
    <hyperlink ref="M23" r:id="rId35" xr:uid="{00000000-0004-0000-0200-000022000000}"/>
    <hyperlink ref="M24" r:id="rId36" xr:uid="{00000000-0004-0000-0200-000023000000}"/>
    <hyperlink ref="M25" r:id="rId37" xr:uid="{00000000-0004-0000-0200-000024000000}"/>
    <hyperlink ref="M26" r:id="rId38" xr:uid="{00000000-0004-0000-0200-000025000000}"/>
    <hyperlink ref="M27" r:id="rId39" xr:uid="{00000000-0004-0000-0200-000026000000}"/>
    <hyperlink ref="M28" r:id="rId40" xr:uid="{00000000-0004-0000-0200-000027000000}"/>
    <hyperlink ref="M29" r:id="rId41" xr:uid="{00000000-0004-0000-0200-000028000000}"/>
    <hyperlink ref="M30" r:id="rId42" xr:uid="{00000000-0004-0000-0200-000029000000}"/>
    <hyperlink ref="M31" r:id="rId43" xr:uid="{00000000-0004-0000-0200-00002A000000}"/>
    <hyperlink ref="M32" r:id="rId44" xr:uid="{00000000-0004-0000-0200-00002B000000}"/>
    <hyperlink ref="M33" r:id="rId45" xr:uid="{00000000-0004-0000-0200-00002C000000}"/>
    <hyperlink ref="M34" r:id="rId46" xr:uid="{00000000-0004-0000-0200-00002D000000}"/>
    <hyperlink ref="M35" r:id="rId47" xr:uid="{00000000-0004-0000-0200-00002E000000}"/>
    <hyperlink ref="M36" r:id="rId48" xr:uid="{00000000-0004-0000-0200-00002F000000}"/>
    <hyperlink ref="M37" r:id="rId49" xr:uid="{00000000-0004-0000-0200-000030000000}"/>
    <hyperlink ref="M38" r:id="rId50" xr:uid="{00000000-0004-0000-0200-000031000000}"/>
    <hyperlink ref="M39" r:id="rId51" xr:uid="{00000000-0004-0000-0200-000032000000}"/>
    <hyperlink ref="N39" r:id="rId52" xr:uid="{00000000-0004-0000-0200-000033000000}"/>
    <hyperlink ref="M40" r:id="rId53" xr:uid="{00000000-0004-0000-0200-000034000000}"/>
    <hyperlink ref="M41" r:id="rId54" xr:uid="{00000000-0004-0000-0200-000035000000}"/>
    <hyperlink ref="M42" r:id="rId55" xr:uid="{00000000-0004-0000-0200-000036000000}"/>
    <hyperlink ref="M43" r:id="rId56" xr:uid="{00000000-0004-0000-0200-000037000000}"/>
    <hyperlink ref="M44" r:id="rId57" xr:uid="{00000000-0004-0000-0200-000038000000}"/>
    <hyperlink ref="M45" r:id="rId58" xr:uid="{00000000-0004-0000-0200-000039000000}"/>
    <hyperlink ref="M46" r:id="rId59" xr:uid="{00000000-0004-0000-0200-00003A000000}"/>
    <hyperlink ref="M47" r:id="rId60" xr:uid="{00000000-0004-0000-0200-00003B000000}"/>
    <hyperlink ref="M48" r:id="rId61" xr:uid="{00000000-0004-0000-0200-00003C000000}"/>
    <hyperlink ref="M49" r:id="rId62" xr:uid="{00000000-0004-0000-0200-00003D000000}"/>
    <hyperlink ref="M50" r:id="rId63" xr:uid="{00000000-0004-0000-0200-00003E000000}"/>
    <hyperlink ref="M51" r:id="rId64" xr:uid="{00000000-0004-0000-0200-00003F000000}"/>
    <hyperlink ref="M52" r:id="rId65" xr:uid="{00000000-0004-0000-0200-000040000000}"/>
    <hyperlink ref="M53" r:id="rId66" xr:uid="{00000000-0004-0000-0200-000041000000}"/>
    <hyperlink ref="M54" r:id="rId67" xr:uid="{00000000-0004-0000-0200-000042000000}"/>
    <hyperlink ref="M55" r:id="rId68" xr:uid="{00000000-0004-0000-0200-000043000000}"/>
    <hyperlink ref="M56" r:id="rId69" xr:uid="{00000000-0004-0000-0200-000044000000}"/>
    <hyperlink ref="M57" r:id="rId70" xr:uid="{00000000-0004-0000-0200-000045000000}"/>
    <hyperlink ref="M58" r:id="rId71" xr:uid="{00000000-0004-0000-0200-000046000000}"/>
    <hyperlink ref="M59" r:id="rId72" xr:uid="{00000000-0004-0000-0200-000047000000}"/>
    <hyperlink ref="M60" r:id="rId73" xr:uid="{00000000-0004-0000-0200-000048000000}"/>
    <hyperlink ref="M61" r:id="rId74" xr:uid="{00000000-0004-0000-0200-000049000000}"/>
    <hyperlink ref="M62" r:id="rId75" xr:uid="{00000000-0004-0000-0200-00004A000000}"/>
    <hyperlink ref="M63" r:id="rId76" xr:uid="{00000000-0004-0000-0200-00004B000000}"/>
    <hyperlink ref="M64" r:id="rId77" xr:uid="{00000000-0004-0000-0200-00004C000000}"/>
    <hyperlink ref="M65" r:id="rId78" xr:uid="{00000000-0004-0000-0200-00004D000000}"/>
    <hyperlink ref="M66" r:id="rId79" xr:uid="{00000000-0004-0000-0200-00004E000000}"/>
    <hyperlink ref="M67" r:id="rId80" xr:uid="{00000000-0004-0000-0200-00004F000000}"/>
    <hyperlink ref="M68" r:id="rId81" xr:uid="{00000000-0004-0000-0200-000050000000}"/>
    <hyperlink ref="M69" r:id="rId82" xr:uid="{00000000-0004-0000-0200-000051000000}"/>
    <hyperlink ref="M70" r:id="rId83" xr:uid="{00000000-0004-0000-0200-000052000000}"/>
    <hyperlink ref="M71" r:id="rId84" xr:uid="{00000000-0004-0000-0200-000053000000}"/>
    <hyperlink ref="M72" r:id="rId85" xr:uid="{00000000-0004-0000-0200-000054000000}"/>
    <hyperlink ref="M73" r:id="rId86" xr:uid="{00000000-0004-0000-0200-000055000000}"/>
    <hyperlink ref="M74" r:id="rId87" xr:uid="{00000000-0004-0000-0200-000056000000}"/>
    <hyperlink ref="M75" r:id="rId88" xr:uid="{00000000-0004-0000-0200-000057000000}"/>
    <hyperlink ref="M76" r:id="rId89" xr:uid="{00000000-0004-0000-0200-000058000000}"/>
    <hyperlink ref="M77" r:id="rId90" xr:uid="{00000000-0004-0000-0200-000059000000}"/>
    <hyperlink ref="M78" r:id="rId91" xr:uid="{00000000-0004-0000-0200-00005A000000}"/>
    <hyperlink ref="M79" r:id="rId92" xr:uid="{00000000-0004-0000-0200-00005B000000}"/>
    <hyperlink ref="M80" r:id="rId93" xr:uid="{00000000-0004-0000-0200-00005C000000}"/>
    <hyperlink ref="M81" r:id="rId94" xr:uid="{00000000-0004-0000-0200-00005D000000}"/>
    <hyperlink ref="M82" r:id="rId95" xr:uid="{00000000-0004-0000-0200-00005E000000}"/>
    <hyperlink ref="M83" r:id="rId96" xr:uid="{00000000-0004-0000-0200-00005F000000}"/>
    <hyperlink ref="M84" r:id="rId97" xr:uid="{00000000-0004-0000-0200-000060000000}"/>
    <hyperlink ref="M85" r:id="rId98" xr:uid="{00000000-0004-0000-0200-000061000000}"/>
    <hyperlink ref="M86" r:id="rId99" xr:uid="{00000000-0004-0000-0200-000062000000}"/>
    <hyperlink ref="M87" r:id="rId100" xr:uid="{00000000-0004-0000-0200-000063000000}"/>
    <hyperlink ref="M88" r:id="rId101" xr:uid="{00000000-0004-0000-0200-000064000000}"/>
    <hyperlink ref="M89" r:id="rId102" xr:uid="{00000000-0004-0000-0200-000065000000}"/>
    <hyperlink ref="M90" r:id="rId103" xr:uid="{00000000-0004-0000-0200-000066000000}"/>
    <hyperlink ref="M91" r:id="rId104" xr:uid="{00000000-0004-0000-0200-000067000000}"/>
    <hyperlink ref="M92" r:id="rId105" xr:uid="{00000000-0004-0000-0200-000068000000}"/>
    <hyperlink ref="M93" r:id="rId106" xr:uid="{00000000-0004-0000-0200-000069000000}"/>
    <hyperlink ref="M94" r:id="rId107" xr:uid="{00000000-0004-0000-0200-00006A000000}"/>
    <hyperlink ref="M95" r:id="rId108" xr:uid="{00000000-0004-0000-0200-00006B000000}"/>
    <hyperlink ref="M96" r:id="rId109" xr:uid="{00000000-0004-0000-0200-00006C000000}"/>
    <hyperlink ref="M97" r:id="rId110" xr:uid="{00000000-0004-0000-0200-00006D000000}"/>
    <hyperlink ref="M98" r:id="rId111" xr:uid="{00000000-0004-0000-0200-00006E000000}"/>
    <hyperlink ref="M99" r:id="rId112" xr:uid="{00000000-0004-0000-0200-00006F000000}"/>
    <hyperlink ref="M100" r:id="rId113" xr:uid="{00000000-0004-0000-0200-000070000000}"/>
    <hyperlink ref="M101" r:id="rId114" xr:uid="{00000000-0004-0000-0200-000071000000}"/>
    <hyperlink ref="M102" r:id="rId115" xr:uid="{00000000-0004-0000-0200-000072000000}"/>
    <hyperlink ref="M103" r:id="rId116" xr:uid="{00000000-0004-0000-0200-000073000000}"/>
    <hyperlink ref="M104" r:id="rId117" xr:uid="{00000000-0004-0000-0200-000074000000}"/>
    <hyperlink ref="M105" r:id="rId118" xr:uid="{00000000-0004-0000-0200-000075000000}"/>
    <hyperlink ref="M106" r:id="rId119" xr:uid="{00000000-0004-0000-0200-000076000000}"/>
    <hyperlink ref="M107" r:id="rId120" xr:uid="{00000000-0004-0000-0200-000077000000}"/>
    <hyperlink ref="M108" r:id="rId121" xr:uid="{00000000-0004-0000-0200-000078000000}"/>
    <hyperlink ref="M109" r:id="rId122" xr:uid="{00000000-0004-0000-0200-000079000000}"/>
    <hyperlink ref="M110" r:id="rId123" xr:uid="{00000000-0004-0000-0200-00007A000000}"/>
    <hyperlink ref="M111" r:id="rId124" xr:uid="{00000000-0004-0000-0200-00007B000000}"/>
    <hyperlink ref="M112" r:id="rId125" xr:uid="{00000000-0004-0000-0200-00007C000000}"/>
    <hyperlink ref="M113" r:id="rId126" xr:uid="{00000000-0004-0000-0200-00007D000000}"/>
    <hyperlink ref="M114" r:id="rId127" xr:uid="{00000000-0004-0000-0200-00007E000000}"/>
    <hyperlink ref="M115" r:id="rId128" xr:uid="{00000000-0004-0000-0200-00007F000000}"/>
    <hyperlink ref="M116" r:id="rId129" xr:uid="{00000000-0004-0000-0200-000080000000}"/>
    <hyperlink ref="M117" r:id="rId130" xr:uid="{00000000-0004-0000-0200-000081000000}"/>
    <hyperlink ref="M118" r:id="rId131" xr:uid="{00000000-0004-0000-0200-000082000000}"/>
    <hyperlink ref="M119" r:id="rId132" xr:uid="{00000000-0004-0000-0200-000083000000}"/>
    <hyperlink ref="M120" r:id="rId133" xr:uid="{00000000-0004-0000-0200-000084000000}"/>
    <hyperlink ref="M121" r:id="rId134" xr:uid="{00000000-0004-0000-0200-000085000000}"/>
    <hyperlink ref="M122" r:id="rId135" xr:uid="{00000000-0004-0000-0200-000086000000}"/>
    <hyperlink ref="M123" r:id="rId136" xr:uid="{00000000-0004-0000-0200-000087000000}"/>
    <hyperlink ref="M124" r:id="rId137" xr:uid="{00000000-0004-0000-0200-000088000000}"/>
    <hyperlink ref="M125" r:id="rId138" xr:uid="{00000000-0004-0000-0200-000089000000}"/>
    <hyperlink ref="M126" r:id="rId139" xr:uid="{00000000-0004-0000-0200-00008A000000}"/>
    <hyperlink ref="M127" r:id="rId140" xr:uid="{00000000-0004-0000-0200-00008B000000}"/>
    <hyperlink ref="M128" r:id="rId141" xr:uid="{00000000-0004-0000-0200-00008C000000}"/>
    <hyperlink ref="M129" r:id="rId142" xr:uid="{00000000-0004-0000-0200-00008D000000}"/>
    <hyperlink ref="M130" r:id="rId143" xr:uid="{00000000-0004-0000-0200-00008E000000}"/>
    <hyperlink ref="M131" r:id="rId144" xr:uid="{00000000-0004-0000-0200-00008F000000}"/>
    <hyperlink ref="M132" r:id="rId145" xr:uid="{00000000-0004-0000-0200-000090000000}"/>
    <hyperlink ref="M133" r:id="rId146" xr:uid="{00000000-0004-0000-0200-000091000000}"/>
    <hyperlink ref="M134" r:id="rId147" xr:uid="{00000000-0004-0000-0200-000092000000}"/>
    <hyperlink ref="M135" r:id="rId148" xr:uid="{00000000-0004-0000-0200-000093000000}"/>
    <hyperlink ref="M136" r:id="rId149" xr:uid="{00000000-0004-0000-0200-000094000000}"/>
    <hyperlink ref="M137" r:id="rId150" xr:uid="{00000000-0004-0000-0200-000095000000}"/>
    <hyperlink ref="M138" r:id="rId151" xr:uid="{00000000-0004-0000-0200-000096000000}"/>
    <hyperlink ref="M139" r:id="rId152" xr:uid="{00000000-0004-0000-0200-000097000000}"/>
    <hyperlink ref="M140" r:id="rId153" xr:uid="{00000000-0004-0000-0200-000098000000}"/>
    <hyperlink ref="M141" r:id="rId154" xr:uid="{00000000-0004-0000-0200-000099000000}"/>
    <hyperlink ref="M142" r:id="rId155" xr:uid="{00000000-0004-0000-0200-00009A000000}"/>
    <hyperlink ref="M143" r:id="rId156" xr:uid="{00000000-0004-0000-0200-00009B000000}"/>
    <hyperlink ref="M144" r:id="rId157" xr:uid="{00000000-0004-0000-0200-00009C000000}"/>
    <hyperlink ref="M145" r:id="rId158" xr:uid="{00000000-0004-0000-0200-00009D000000}"/>
    <hyperlink ref="M146" r:id="rId159" xr:uid="{00000000-0004-0000-0200-00009E000000}"/>
    <hyperlink ref="M147" r:id="rId160" xr:uid="{00000000-0004-0000-0200-00009F000000}"/>
    <hyperlink ref="M148" r:id="rId161" xr:uid="{00000000-0004-0000-0200-0000A0000000}"/>
    <hyperlink ref="M149" r:id="rId162" xr:uid="{00000000-0004-0000-0200-0000A1000000}"/>
    <hyperlink ref="M150" r:id="rId163" xr:uid="{00000000-0004-0000-0200-0000A2000000}"/>
    <hyperlink ref="M151" r:id="rId164" xr:uid="{00000000-0004-0000-0200-0000A3000000}"/>
    <hyperlink ref="M152" r:id="rId165" xr:uid="{00000000-0004-0000-0200-0000A4000000}"/>
    <hyperlink ref="M153" r:id="rId166" xr:uid="{00000000-0004-0000-0200-0000A5000000}"/>
    <hyperlink ref="M154" r:id="rId167" xr:uid="{00000000-0004-0000-0200-0000A6000000}"/>
    <hyperlink ref="M155" r:id="rId168" xr:uid="{00000000-0004-0000-0200-0000A7000000}"/>
    <hyperlink ref="M156" r:id="rId169" xr:uid="{00000000-0004-0000-0200-0000A8000000}"/>
    <hyperlink ref="M157" r:id="rId170" xr:uid="{00000000-0004-0000-0200-0000A9000000}"/>
    <hyperlink ref="M158" r:id="rId171" xr:uid="{00000000-0004-0000-0200-0000AA000000}"/>
    <hyperlink ref="M159" r:id="rId172" xr:uid="{00000000-0004-0000-0200-0000AB000000}"/>
    <hyperlink ref="M160" r:id="rId173" xr:uid="{00000000-0004-0000-0200-0000AC000000}"/>
    <hyperlink ref="M161" r:id="rId174" xr:uid="{00000000-0004-0000-0200-0000AD000000}"/>
    <hyperlink ref="M162" r:id="rId175" xr:uid="{00000000-0004-0000-0200-0000AE000000}"/>
    <hyperlink ref="M163" r:id="rId176" xr:uid="{00000000-0004-0000-0200-0000AF000000}"/>
    <hyperlink ref="M164" r:id="rId177" xr:uid="{00000000-0004-0000-0200-0000B0000000}"/>
    <hyperlink ref="M165" r:id="rId178" xr:uid="{00000000-0004-0000-0200-0000B1000000}"/>
    <hyperlink ref="M166" r:id="rId179" xr:uid="{00000000-0004-0000-0200-0000B2000000}"/>
    <hyperlink ref="M167" r:id="rId180" xr:uid="{00000000-0004-0000-0200-0000B3000000}"/>
    <hyperlink ref="M168" r:id="rId181" xr:uid="{00000000-0004-0000-0200-0000B4000000}"/>
    <hyperlink ref="M169" r:id="rId182" xr:uid="{00000000-0004-0000-0200-0000B5000000}"/>
    <hyperlink ref="M170" r:id="rId183" xr:uid="{00000000-0004-0000-0200-0000B6000000}"/>
    <hyperlink ref="M171" r:id="rId184" xr:uid="{00000000-0004-0000-0200-0000B7000000}"/>
    <hyperlink ref="M172" r:id="rId185" xr:uid="{00000000-0004-0000-0200-0000B8000000}"/>
    <hyperlink ref="M173" r:id="rId186" xr:uid="{00000000-0004-0000-0200-0000B9000000}"/>
    <hyperlink ref="M174" r:id="rId187" xr:uid="{00000000-0004-0000-0200-0000BA000000}"/>
    <hyperlink ref="M175" r:id="rId188" xr:uid="{00000000-0004-0000-0200-0000BB000000}"/>
    <hyperlink ref="M176" r:id="rId189" xr:uid="{00000000-0004-0000-0200-0000BC000000}"/>
    <hyperlink ref="M177" r:id="rId190" xr:uid="{00000000-0004-0000-0200-0000BD000000}"/>
    <hyperlink ref="M178" r:id="rId191" xr:uid="{00000000-0004-0000-0200-0000BE000000}"/>
    <hyperlink ref="M179" r:id="rId192" xr:uid="{00000000-0004-0000-0200-0000BF000000}"/>
    <hyperlink ref="M180" r:id="rId193" xr:uid="{00000000-0004-0000-0200-0000C0000000}"/>
    <hyperlink ref="M181" r:id="rId194" xr:uid="{00000000-0004-0000-0200-0000C1000000}"/>
    <hyperlink ref="M182" r:id="rId195" xr:uid="{00000000-0004-0000-0200-0000C2000000}"/>
    <hyperlink ref="M183" r:id="rId196" xr:uid="{00000000-0004-0000-0200-0000C3000000}"/>
    <hyperlink ref="M184" r:id="rId197" xr:uid="{00000000-0004-0000-0200-0000C4000000}"/>
    <hyperlink ref="M185" r:id="rId198" xr:uid="{00000000-0004-0000-0200-0000C5000000}"/>
    <hyperlink ref="N185" r:id="rId199" xr:uid="{00000000-0004-0000-0200-0000C6000000}"/>
    <hyperlink ref="M186" r:id="rId200" xr:uid="{00000000-0004-0000-0200-0000C7000000}"/>
    <hyperlink ref="N186" r:id="rId201" xr:uid="{00000000-0004-0000-0200-0000C8000000}"/>
    <hyperlink ref="M187" r:id="rId202" xr:uid="{00000000-0004-0000-0200-0000C9000000}"/>
    <hyperlink ref="M188" r:id="rId203" xr:uid="{00000000-0004-0000-0200-0000CA000000}"/>
    <hyperlink ref="M189" r:id="rId204" xr:uid="{00000000-0004-0000-0200-0000CB000000}"/>
    <hyperlink ref="M190" r:id="rId205" xr:uid="{00000000-0004-0000-0200-0000CC000000}"/>
    <hyperlink ref="M191" r:id="rId206" xr:uid="{00000000-0004-0000-0200-0000CD000000}"/>
    <hyperlink ref="M192" r:id="rId207" xr:uid="{00000000-0004-0000-0200-0000CE000000}"/>
    <hyperlink ref="M193" r:id="rId208" xr:uid="{00000000-0004-0000-0200-0000CF000000}"/>
    <hyperlink ref="M194" r:id="rId209" xr:uid="{00000000-0004-0000-0200-0000D0000000}"/>
    <hyperlink ref="M195" r:id="rId210" xr:uid="{00000000-0004-0000-0200-0000D1000000}"/>
    <hyperlink ref="M196" r:id="rId211" xr:uid="{00000000-0004-0000-0200-0000D2000000}"/>
    <hyperlink ref="M197" r:id="rId212" xr:uid="{00000000-0004-0000-0200-0000D3000000}"/>
    <hyperlink ref="M198" r:id="rId213" xr:uid="{00000000-0004-0000-0200-0000D4000000}"/>
    <hyperlink ref="M199" r:id="rId214" xr:uid="{00000000-0004-0000-0200-0000D5000000}"/>
    <hyperlink ref="M200" r:id="rId215" xr:uid="{00000000-0004-0000-0200-0000D6000000}"/>
    <hyperlink ref="M201" r:id="rId216" xr:uid="{00000000-0004-0000-0200-0000D7000000}"/>
    <hyperlink ref="M202" r:id="rId217" xr:uid="{00000000-0004-0000-0200-0000D8000000}"/>
    <hyperlink ref="M203" r:id="rId218" xr:uid="{00000000-0004-0000-0200-0000D9000000}"/>
    <hyperlink ref="M204" r:id="rId219" xr:uid="{00000000-0004-0000-0200-0000DA000000}"/>
    <hyperlink ref="M205" r:id="rId220" xr:uid="{00000000-0004-0000-0200-0000DB000000}"/>
    <hyperlink ref="M206" r:id="rId221" xr:uid="{00000000-0004-0000-0200-0000DC000000}"/>
    <hyperlink ref="M207" r:id="rId222" xr:uid="{00000000-0004-0000-0200-0000DD000000}"/>
    <hyperlink ref="M208" r:id="rId223" xr:uid="{00000000-0004-0000-0200-0000DE000000}"/>
    <hyperlink ref="M209" r:id="rId224" xr:uid="{00000000-0004-0000-0200-0000DF000000}"/>
    <hyperlink ref="M210" r:id="rId225" xr:uid="{00000000-0004-0000-0200-0000E0000000}"/>
    <hyperlink ref="M211" r:id="rId226" xr:uid="{00000000-0004-0000-0200-0000E1000000}"/>
    <hyperlink ref="M212" r:id="rId227" xr:uid="{00000000-0004-0000-0200-0000E2000000}"/>
    <hyperlink ref="M213" r:id="rId228" xr:uid="{00000000-0004-0000-0200-0000E3000000}"/>
    <hyperlink ref="M214" r:id="rId229" xr:uid="{00000000-0004-0000-0200-0000E4000000}"/>
    <hyperlink ref="M215" r:id="rId230" xr:uid="{00000000-0004-0000-0200-0000E5000000}"/>
    <hyperlink ref="M216" r:id="rId231" xr:uid="{00000000-0004-0000-0200-0000E6000000}"/>
    <hyperlink ref="M217" r:id="rId232" xr:uid="{00000000-0004-0000-0200-0000E7000000}"/>
    <hyperlink ref="M218" r:id="rId233" xr:uid="{00000000-0004-0000-0200-0000E8000000}"/>
    <hyperlink ref="M219" r:id="rId234" xr:uid="{00000000-0004-0000-0200-0000E9000000}"/>
    <hyperlink ref="M220" r:id="rId235" xr:uid="{00000000-0004-0000-0200-0000EA000000}"/>
    <hyperlink ref="M221" r:id="rId236" xr:uid="{00000000-0004-0000-0200-0000EB000000}"/>
    <hyperlink ref="M222" r:id="rId237" xr:uid="{00000000-0004-0000-0200-0000EC000000}"/>
    <hyperlink ref="M223" r:id="rId238" xr:uid="{00000000-0004-0000-0200-0000ED000000}"/>
    <hyperlink ref="M224" r:id="rId239" xr:uid="{00000000-0004-0000-0200-0000EE000000}"/>
    <hyperlink ref="M225" r:id="rId240" xr:uid="{00000000-0004-0000-0200-0000EF000000}"/>
    <hyperlink ref="M226" r:id="rId241" xr:uid="{00000000-0004-0000-0200-0000F0000000}"/>
    <hyperlink ref="M227" r:id="rId242" xr:uid="{00000000-0004-0000-0200-0000F1000000}"/>
    <hyperlink ref="M228" r:id="rId243" xr:uid="{00000000-0004-0000-0200-0000F2000000}"/>
    <hyperlink ref="M229" r:id="rId244" xr:uid="{00000000-0004-0000-0200-0000F3000000}"/>
    <hyperlink ref="M230" r:id="rId245" xr:uid="{00000000-0004-0000-0200-0000F4000000}"/>
    <hyperlink ref="M231" r:id="rId246" xr:uid="{00000000-0004-0000-0200-0000F5000000}"/>
    <hyperlink ref="M232" r:id="rId247" xr:uid="{00000000-0004-0000-0200-0000F6000000}"/>
    <hyperlink ref="M233" r:id="rId248" xr:uid="{00000000-0004-0000-0200-0000F7000000}"/>
    <hyperlink ref="M234" r:id="rId249" xr:uid="{00000000-0004-0000-0200-0000F8000000}"/>
    <hyperlink ref="M235" r:id="rId250" xr:uid="{00000000-0004-0000-0200-0000F9000000}"/>
    <hyperlink ref="M236" r:id="rId251" xr:uid="{00000000-0004-0000-0200-0000FA000000}"/>
    <hyperlink ref="M237" r:id="rId252" xr:uid="{00000000-0004-0000-0200-0000FB000000}"/>
    <hyperlink ref="M238" r:id="rId253" xr:uid="{00000000-0004-0000-0200-0000FC000000}"/>
    <hyperlink ref="M239" r:id="rId254" xr:uid="{00000000-0004-0000-0200-0000FD000000}"/>
    <hyperlink ref="M240" r:id="rId255" xr:uid="{00000000-0004-0000-0200-0000FE000000}"/>
    <hyperlink ref="M241" r:id="rId256" xr:uid="{00000000-0004-0000-0200-0000FF000000}"/>
    <hyperlink ref="M242" r:id="rId257" xr:uid="{00000000-0004-0000-0200-000000010000}"/>
    <hyperlink ref="M243" r:id="rId258" xr:uid="{00000000-0004-0000-0200-000001010000}"/>
    <hyperlink ref="M244" r:id="rId259" xr:uid="{00000000-0004-0000-0200-000002010000}"/>
    <hyperlink ref="M245" r:id="rId260" xr:uid="{00000000-0004-0000-0200-000003010000}"/>
    <hyperlink ref="M246" r:id="rId261" xr:uid="{00000000-0004-0000-0200-000004010000}"/>
    <hyperlink ref="M247" r:id="rId262" xr:uid="{00000000-0004-0000-0200-000005010000}"/>
    <hyperlink ref="M248" r:id="rId263" xr:uid="{00000000-0004-0000-0200-000006010000}"/>
    <hyperlink ref="M249" r:id="rId264" xr:uid="{00000000-0004-0000-0200-000007010000}"/>
    <hyperlink ref="M250" r:id="rId265" xr:uid="{00000000-0004-0000-0200-000008010000}"/>
    <hyperlink ref="M251" r:id="rId266" xr:uid="{00000000-0004-0000-0200-000009010000}"/>
    <hyperlink ref="M252" r:id="rId267" xr:uid="{00000000-0004-0000-0200-00000A010000}"/>
    <hyperlink ref="M253" r:id="rId268" xr:uid="{00000000-0004-0000-0200-00000B010000}"/>
    <hyperlink ref="M254" r:id="rId269" xr:uid="{00000000-0004-0000-0200-00000C010000}"/>
    <hyperlink ref="M255" r:id="rId270" xr:uid="{00000000-0004-0000-0200-00000D010000}"/>
    <hyperlink ref="M256" r:id="rId271" xr:uid="{00000000-0004-0000-0200-00000E010000}"/>
    <hyperlink ref="M257" r:id="rId272" xr:uid="{00000000-0004-0000-0200-00000F010000}"/>
    <hyperlink ref="M258" r:id="rId273" xr:uid="{00000000-0004-0000-0200-000010010000}"/>
    <hyperlink ref="M259" r:id="rId274" xr:uid="{00000000-0004-0000-0200-000011010000}"/>
    <hyperlink ref="M260" r:id="rId275" xr:uid="{00000000-0004-0000-0200-000012010000}"/>
    <hyperlink ref="M261" r:id="rId276" xr:uid="{00000000-0004-0000-0200-000013010000}"/>
    <hyperlink ref="M262" r:id="rId277" xr:uid="{00000000-0004-0000-0200-000014010000}"/>
    <hyperlink ref="M263" r:id="rId278" xr:uid="{00000000-0004-0000-0200-000015010000}"/>
    <hyperlink ref="M264" r:id="rId279" xr:uid="{00000000-0004-0000-0200-000016010000}"/>
    <hyperlink ref="M265" r:id="rId280" xr:uid="{00000000-0004-0000-0200-000017010000}"/>
    <hyperlink ref="M266" r:id="rId281" xr:uid="{00000000-0004-0000-0200-000018010000}"/>
    <hyperlink ref="M267" r:id="rId282" xr:uid="{00000000-0004-0000-0200-000019010000}"/>
    <hyperlink ref="M268" r:id="rId283" xr:uid="{00000000-0004-0000-0200-00001A010000}"/>
    <hyperlink ref="M269" r:id="rId284" xr:uid="{00000000-0004-0000-0200-00001B010000}"/>
    <hyperlink ref="M270" r:id="rId285" xr:uid="{00000000-0004-0000-0200-00001C010000}"/>
    <hyperlink ref="M271" r:id="rId286" xr:uid="{00000000-0004-0000-0200-00001D010000}"/>
    <hyperlink ref="M272" r:id="rId287" xr:uid="{00000000-0004-0000-0200-00001E010000}"/>
    <hyperlink ref="M273" r:id="rId288" xr:uid="{00000000-0004-0000-0200-00001F010000}"/>
    <hyperlink ref="M274" r:id="rId289" xr:uid="{00000000-0004-0000-0200-000020010000}"/>
    <hyperlink ref="M275" r:id="rId290" xr:uid="{00000000-0004-0000-0200-000021010000}"/>
    <hyperlink ref="M276" r:id="rId291" xr:uid="{00000000-0004-0000-0200-000022010000}"/>
    <hyperlink ref="M277" r:id="rId292" xr:uid="{00000000-0004-0000-0200-000023010000}"/>
    <hyperlink ref="M278" r:id="rId293" xr:uid="{00000000-0004-0000-0200-000024010000}"/>
    <hyperlink ref="M279" r:id="rId294" xr:uid="{00000000-0004-0000-0200-000025010000}"/>
    <hyperlink ref="M280" r:id="rId295" xr:uid="{00000000-0004-0000-0200-000026010000}"/>
    <hyperlink ref="M281" r:id="rId296" xr:uid="{00000000-0004-0000-0200-000027010000}"/>
    <hyperlink ref="M282" r:id="rId297" xr:uid="{00000000-0004-0000-0200-000028010000}"/>
    <hyperlink ref="M283" r:id="rId298" xr:uid="{00000000-0004-0000-0200-000029010000}"/>
    <hyperlink ref="M284" r:id="rId299" xr:uid="{00000000-0004-0000-0200-00002A010000}"/>
    <hyperlink ref="M285" r:id="rId300" xr:uid="{00000000-0004-0000-0200-00002B010000}"/>
    <hyperlink ref="M286" r:id="rId301" xr:uid="{00000000-0004-0000-0200-00002C010000}"/>
    <hyperlink ref="M287" r:id="rId302" xr:uid="{00000000-0004-0000-0200-00002D010000}"/>
    <hyperlink ref="M288" r:id="rId303" xr:uid="{00000000-0004-0000-0200-00002E010000}"/>
    <hyperlink ref="M289" r:id="rId304" xr:uid="{00000000-0004-0000-0200-00002F010000}"/>
    <hyperlink ref="M290" r:id="rId305" xr:uid="{00000000-0004-0000-0200-000030010000}"/>
    <hyperlink ref="M291" r:id="rId306" xr:uid="{00000000-0004-0000-0200-000031010000}"/>
    <hyperlink ref="M292" r:id="rId307" xr:uid="{00000000-0004-0000-0200-000032010000}"/>
    <hyperlink ref="M293" r:id="rId308" xr:uid="{00000000-0004-0000-0200-000033010000}"/>
    <hyperlink ref="M294" r:id="rId309" xr:uid="{00000000-0004-0000-0200-000034010000}"/>
    <hyperlink ref="M295" r:id="rId310" xr:uid="{00000000-0004-0000-0200-000035010000}"/>
    <hyperlink ref="M296" r:id="rId311" xr:uid="{00000000-0004-0000-0200-000036010000}"/>
    <hyperlink ref="M297" r:id="rId312" xr:uid="{00000000-0004-0000-0200-000037010000}"/>
    <hyperlink ref="M298" r:id="rId313" xr:uid="{00000000-0004-0000-0200-000038010000}"/>
    <hyperlink ref="M299" r:id="rId314" xr:uid="{00000000-0004-0000-0200-000039010000}"/>
    <hyperlink ref="M300" r:id="rId315" xr:uid="{00000000-0004-0000-0200-00003A010000}"/>
    <hyperlink ref="M301" r:id="rId316" xr:uid="{00000000-0004-0000-0200-00003B010000}"/>
    <hyperlink ref="M302" r:id="rId317" xr:uid="{00000000-0004-0000-0200-00003C010000}"/>
    <hyperlink ref="M303" r:id="rId318" xr:uid="{00000000-0004-0000-0200-00003D010000}"/>
    <hyperlink ref="M304" r:id="rId319" xr:uid="{00000000-0004-0000-0200-00003E010000}"/>
    <hyperlink ref="M305" r:id="rId320" xr:uid="{00000000-0004-0000-0200-00003F010000}"/>
    <hyperlink ref="M306" r:id="rId321" xr:uid="{00000000-0004-0000-0200-000040010000}"/>
    <hyperlink ref="M307" r:id="rId322" xr:uid="{00000000-0004-0000-0200-000041010000}"/>
    <hyperlink ref="M308" r:id="rId323" xr:uid="{00000000-0004-0000-0200-000042010000}"/>
    <hyperlink ref="M309" r:id="rId324" xr:uid="{00000000-0004-0000-0200-000043010000}"/>
    <hyperlink ref="M310" r:id="rId325" xr:uid="{00000000-0004-0000-0200-000044010000}"/>
    <hyperlink ref="M311" r:id="rId326" xr:uid="{00000000-0004-0000-0200-000045010000}"/>
    <hyperlink ref="M312" r:id="rId327" xr:uid="{00000000-0004-0000-0200-000046010000}"/>
    <hyperlink ref="M313" r:id="rId328" xr:uid="{00000000-0004-0000-0200-000047010000}"/>
    <hyperlink ref="M314" r:id="rId329" xr:uid="{00000000-0004-0000-0200-000048010000}"/>
    <hyperlink ref="M315" r:id="rId330" xr:uid="{00000000-0004-0000-0200-000049010000}"/>
    <hyperlink ref="M316" r:id="rId331" xr:uid="{00000000-0004-0000-0200-00004A010000}"/>
    <hyperlink ref="M317" r:id="rId332" xr:uid="{00000000-0004-0000-0200-00004B010000}"/>
    <hyperlink ref="M318" r:id="rId333" xr:uid="{00000000-0004-0000-0200-00004C010000}"/>
    <hyperlink ref="M319" r:id="rId334" xr:uid="{00000000-0004-0000-0200-00004D010000}"/>
    <hyperlink ref="M320" r:id="rId335" xr:uid="{00000000-0004-0000-0200-00004E010000}"/>
    <hyperlink ref="M321" r:id="rId336" xr:uid="{00000000-0004-0000-0200-00004F010000}"/>
    <hyperlink ref="M322" r:id="rId337" xr:uid="{00000000-0004-0000-0200-000050010000}"/>
    <hyperlink ref="M323" r:id="rId338" xr:uid="{00000000-0004-0000-0200-000051010000}"/>
    <hyperlink ref="M324" r:id="rId339" xr:uid="{00000000-0004-0000-0200-000052010000}"/>
    <hyperlink ref="M325" r:id="rId340" xr:uid="{00000000-0004-0000-0200-000053010000}"/>
    <hyperlink ref="M326" r:id="rId341" xr:uid="{00000000-0004-0000-0200-000054010000}"/>
    <hyperlink ref="M327" r:id="rId342" xr:uid="{00000000-0004-0000-0200-000055010000}"/>
    <hyperlink ref="M328" r:id="rId343" xr:uid="{00000000-0004-0000-0200-000056010000}"/>
    <hyperlink ref="M329" r:id="rId344" xr:uid="{00000000-0004-0000-0200-000057010000}"/>
    <hyperlink ref="M330" r:id="rId345" xr:uid="{00000000-0004-0000-0200-000058010000}"/>
    <hyperlink ref="M331" r:id="rId346" xr:uid="{00000000-0004-0000-0200-000059010000}"/>
    <hyperlink ref="M332" r:id="rId347" xr:uid="{00000000-0004-0000-0200-00005A010000}"/>
    <hyperlink ref="M333" r:id="rId348" xr:uid="{00000000-0004-0000-0200-00005B010000}"/>
    <hyperlink ref="M334" r:id="rId349" xr:uid="{00000000-0004-0000-0200-00005C010000}"/>
    <hyperlink ref="M335" r:id="rId350" xr:uid="{00000000-0004-0000-0200-00005D010000}"/>
    <hyperlink ref="M336" r:id="rId351" xr:uid="{00000000-0004-0000-0200-00005E010000}"/>
    <hyperlink ref="M337" r:id="rId352" xr:uid="{00000000-0004-0000-0200-00005F010000}"/>
    <hyperlink ref="M338" r:id="rId353" xr:uid="{00000000-0004-0000-0200-000060010000}"/>
    <hyperlink ref="M339" r:id="rId354" xr:uid="{00000000-0004-0000-0200-000061010000}"/>
    <hyperlink ref="M340" r:id="rId355" xr:uid="{00000000-0004-0000-0200-000062010000}"/>
    <hyperlink ref="M341" r:id="rId356" xr:uid="{00000000-0004-0000-0200-000063010000}"/>
    <hyperlink ref="M342" r:id="rId357" xr:uid="{00000000-0004-0000-0200-000064010000}"/>
    <hyperlink ref="M343" r:id="rId358" xr:uid="{00000000-0004-0000-0200-000065010000}"/>
    <hyperlink ref="M344" r:id="rId359" xr:uid="{00000000-0004-0000-0200-000066010000}"/>
    <hyperlink ref="M345" r:id="rId360" xr:uid="{00000000-0004-0000-0200-000067010000}"/>
    <hyperlink ref="M346" r:id="rId361" xr:uid="{00000000-0004-0000-0200-000068010000}"/>
    <hyperlink ref="M347" r:id="rId362" xr:uid="{00000000-0004-0000-0200-000069010000}"/>
    <hyperlink ref="M348" r:id="rId363" xr:uid="{00000000-0004-0000-0200-00006A010000}"/>
    <hyperlink ref="M349" r:id="rId364" xr:uid="{00000000-0004-0000-0200-00006B010000}"/>
    <hyperlink ref="M350" r:id="rId365" xr:uid="{00000000-0004-0000-0200-00006C010000}"/>
    <hyperlink ref="M351" r:id="rId366" xr:uid="{00000000-0004-0000-0200-00006D010000}"/>
    <hyperlink ref="M352" r:id="rId367" xr:uid="{00000000-0004-0000-0200-00006E010000}"/>
    <hyperlink ref="M353" r:id="rId368" xr:uid="{00000000-0004-0000-0200-00006F010000}"/>
    <hyperlink ref="M354" r:id="rId369" xr:uid="{00000000-0004-0000-0200-000070010000}"/>
    <hyperlink ref="M355" r:id="rId370" xr:uid="{00000000-0004-0000-0200-000071010000}"/>
    <hyperlink ref="M356" r:id="rId371" xr:uid="{00000000-0004-0000-0200-000072010000}"/>
    <hyperlink ref="M357" r:id="rId372" xr:uid="{00000000-0004-0000-0200-000073010000}"/>
    <hyperlink ref="M358" r:id="rId373" xr:uid="{00000000-0004-0000-0200-000074010000}"/>
    <hyperlink ref="M359" r:id="rId374" xr:uid="{00000000-0004-0000-0200-000075010000}"/>
    <hyperlink ref="M360" r:id="rId375" xr:uid="{00000000-0004-0000-0200-000076010000}"/>
    <hyperlink ref="M361" r:id="rId376" xr:uid="{00000000-0004-0000-0200-000077010000}"/>
    <hyperlink ref="M362" r:id="rId377" xr:uid="{00000000-0004-0000-0200-000078010000}"/>
    <hyperlink ref="M363" r:id="rId378" xr:uid="{00000000-0004-0000-0200-000079010000}"/>
    <hyperlink ref="M364" r:id="rId379" xr:uid="{00000000-0004-0000-0200-00007A010000}"/>
    <hyperlink ref="M365" r:id="rId380" xr:uid="{00000000-0004-0000-0200-00007B010000}"/>
    <hyperlink ref="M366" r:id="rId381" xr:uid="{00000000-0004-0000-0200-00007C010000}"/>
    <hyperlink ref="M367" r:id="rId382" xr:uid="{00000000-0004-0000-0200-00007D010000}"/>
    <hyperlink ref="M368" r:id="rId383" xr:uid="{00000000-0004-0000-0200-00007E010000}"/>
    <hyperlink ref="M369" r:id="rId384" xr:uid="{00000000-0004-0000-0200-00007F010000}"/>
    <hyperlink ref="M370" r:id="rId385" xr:uid="{00000000-0004-0000-0200-000080010000}"/>
    <hyperlink ref="M371" r:id="rId386" xr:uid="{00000000-0004-0000-0200-000081010000}"/>
    <hyperlink ref="M372" r:id="rId387" xr:uid="{00000000-0004-0000-0200-000082010000}"/>
    <hyperlink ref="M373" r:id="rId388" xr:uid="{00000000-0004-0000-0200-000083010000}"/>
    <hyperlink ref="M374" r:id="rId389" xr:uid="{00000000-0004-0000-0200-000084010000}"/>
    <hyperlink ref="M375" r:id="rId390" xr:uid="{00000000-0004-0000-0200-000085010000}"/>
    <hyperlink ref="M376" r:id="rId391" xr:uid="{00000000-0004-0000-0200-000086010000}"/>
    <hyperlink ref="M377" r:id="rId392" xr:uid="{00000000-0004-0000-0200-000087010000}"/>
    <hyperlink ref="M378" r:id="rId393" xr:uid="{00000000-0004-0000-0200-000088010000}"/>
    <hyperlink ref="M379" r:id="rId394" xr:uid="{00000000-0004-0000-0200-000089010000}"/>
    <hyperlink ref="M380" r:id="rId395" xr:uid="{00000000-0004-0000-0200-00008A010000}"/>
    <hyperlink ref="M381" r:id="rId396" xr:uid="{00000000-0004-0000-0200-00008B010000}"/>
    <hyperlink ref="M382" r:id="rId397" xr:uid="{00000000-0004-0000-0200-00008C010000}"/>
    <hyperlink ref="M383" r:id="rId398" xr:uid="{00000000-0004-0000-0200-00008D010000}"/>
    <hyperlink ref="M384" r:id="rId399" xr:uid="{00000000-0004-0000-0200-00008E010000}"/>
    <hyperlink ref="M385" r:id="rId400" xr:uid="{00000000-0004-0000-0200-00008F010000}"/>
    <hyperlink ref="M386" r:id="rId401" xr:uid="{00000000-0004-0000-0200-000090010000}"/>
    <hyperlink ref="M387" r:id="rId402" xr:uid="{00000000-0004-0000-0200-000091010000}"/>
    <hyperlink ref="M388" r:id="rId403" xr:uid="{00000000-0004-0000-0200-000092010000}"/>
    <hyperlink ref="M389" r:id="rId404" xr:uid="{00000000-0004-0000-0200-000093010000}"/>
    <hyperlink ref="M390" r:id="rId405" xr:uid="{00000000-0004-0000-0200-000094010000}"/>
    <hyperlink ref="M391" r:id="rId406" xr:uid="{00000000-0004-0000-0200-000095010000}"/>
    <hyperlink ref="M392" r:id="rId407" xr:uid="{00000000-0004-0000-0200-000096010000}"/>
    <hyperlink ref="M393" r:id="rId408" xr:uid="{00000000-0004-0000-0200-000097010000}"/>
    <hyperlink ref="M394" r:id="rId409" xr:uid="{00000000-0004-0000-0200-000098010000}"/>
    <hyperlink ref="M395" r:id="rId410" xr:uid="{00000000-0004-0000-0200-000099010000}"/>
    <hyperlink ref="M396" r:id="rId411" xr:uid="{00000000-0004-0000-0200-00009A010000}"/>
    <hyperlink ref="M397" r:id="rId412" xr:uid="{00000000-0004-0000-0200-00009B010000}"/>
    <hyperlink ref="M398" r:id="rId413" xr:uid="{00000000-0004-0000-0200-00009C010000}"/>
    <hyperlink ref="M399" r:id="rId414" xr:uid="{00000000-0004-0000-0200-00009D010000}"/>
    <hyperlink ref="M400" r:id="rId415" xr:uid="{00000000-0004-0000-0200-00009E010000}"/>
    <hyperlink ref="M401" r:id="rId416" xr:uid="{00000000-0004-0000-0200-00009F010000}"/>
    <hyperlink ref="M402" r:id="rId417" xr:uid="{00000000-0004-0000-0200-0000A0010000}"/>
    <hyperlink ref="M403" r:id="rId418" xr:uid="{00000000-0004-0000-0200-0000A1010000}"/>
    <hyperlink ref="M404" r:id="rId419" xr:uid="{00000000-0004-0000-0200-0000A2010000}"/>
    <hyperlink ref="M405" r:id="rId420" xr:uid="{00000000-0004-0000-0200-0000A3010000}"/>
    <hyperlink ref="M406" r:id="rId421" xr:uid="{00000000-0004-0000-0200-0000A4010000}"/>
    <hyperlink ref="M407" r:id="rId422" xr:uid="{00000000-0004-0000-0200-0000A5010000}"/>
    <hyperlink ref="M408" r:id="rId423" xr:uid="{00000000-0004-0000-0200-0000A6010000}"/>
    <hyperlink ref="M409" r:id="rId424" xr:uid="{00000000-0004-0000-0200-0000A7010000}"/>
    <hyperlink ref="M410" r:id="rId425" xr:uid="{00000000-0004-0000-0200-0000A8010000}"/>
    <hyperlink ref="M411" r:id="rId426" xr:uid="{00000000-0004-0000-0200-0000A9010000}"/>
    <hyperlink ref="M412" r:id="rId427" xr:uid="{00000000-0004-0000-0200-0000AA010000}"/>
    <hyperlink ref="M413" r:id="rId428" xr:uid="{00000000-0004-0000-0200-0000AB010000}"/>
    <hyperlink ref="M414" r:id="rId429" xr:uid="{00000000-0004-0000-0200-0000AC010000}"/>
    <hyperlink ref="M415" r:id="rId430" xr:uid="{00000000-0004-0000-0200-0000AD010000}"/>
    <hyperlink ref="M416" r:id="rId431" xr:uid="{00000000-0004-0000-0200-0000AE010000}"/>
    <hyperlink ref="M417" r:id="rId432" xr:uid="{00000000-0004-0000-0200-0000AF010000}"/>
    <hyperlink ref="M418" r:id="rId433" xr:uid="{00000000-0004-0000-0200-0000B0010000}"/>
    <hyperlink ref="M419" r:id="rId434" xr:uid="{00000000-0004-0000-0200-0000B1010000}"/>
    <hyperlink ref="M420" r:id="rId435" xr:uid="{00000000-0004-0000-0200-0000B2010000}"/>
    <hyperlink ref="M421" r:id="rId436" xr:uid="{00000000-0004-0000-0200-0000B3010000}"/>
    <hyperlink ref="M422" r:id="rId437" xr:uid="{00000000-0004-0000-0200-0000B4010000}"/>
    <hyperlink ref="M423" r:id="rId438" xr:uid="{00000000-0004-0000-0200-0000B5010000}"/>
    <hyperlink ref="M424" r:id="rId439" xr:uid="{00000000-0004-0000-0200-0000B6010000}"/>
    <hyperlink ref="M425" r:id="rId440" xr:uid="{00000000-0004-0000-0200-0000B7010000}"/>
    <hyperlink ref="M426" r:id="rId441" xr:uid="{00000000-0004-0000-0200-0000B8010000}"/>
    <hyperlink ref="M427" r:id="rId442" xr:uid="{00000000-0004-0000-0200-0000B9010000}"/>
    <hyperlink ref="M428" r:id="rId443" xr:uid="{00000000-0004-0000-0200-0000BA010000}"/>
    <hyperlink ref="M429" r:id="rId444" xr:uid="{00000000-0004-0000-0200-0000BB010000}"/>
    <hyperlink ref="M430" r:id="rId445" xr:uid="{00000000-0004-0000-0200-0000BC010000}"/>
    <hyperlink ref="M431" r:id="rId446" xr:uid="{00000000-0004-0000-0200-0000BD010000}"/>
    <hyperlink ref="M432" r:id="rId447" xr:uid="{00000000-0004-0000-0200-0000BE010000}"/>
    <hyperlink ref="M433" r:id="rId448" xr:uid="{00000000-0004-0000-0200-0000BF010000}"/>
    <hyperlink ref="M434" r:id="rId449" xr:uid="{00000000-0004-0000-0200-0000C0010000}"/>
    <hyperlink ref="M435" r:id="rId450" xr:uid="{00000000-0004-0000-0200-0000C1010000}"/>
    <hyperlink ref="M436" r:id="rId451" xr:uid="{00000000-0004-0000-0200-0000C2010000}"/>
    <hyperlink ref="M437" r:id="rId452" xr:uid="{00000000-0004-0000-0200-0000C3010000}"/>
    <hyperlink ref="M438" r:id="rId453" xr:uid="{00000000-0004-0000-0200-0000C4010000}"/>
    <hyperlink ref="M439" r:id="rId454" xr:uid="{00000000-0004-0000-0200-0000C5010000}"/>
    <hyperlink ref="M440" r:id="rId455" xr:uid="{00000000-0004-0000-0200-0000C6010000}"/>
    <hyperlink ref="M441" r:id="rId456" xr:uid="{00000000-0004-0000-0200-0000C7010000}"/>
    <hyperlink ref="M442" r:id="rId457" xr:uid="{00000000-0004-0000-0200-0000C8010000}"/>
    <hyperlink ref="M443" r:id="rId458" xr:uid="{00000000-0004-0000-0200-0000C9010000}"/>
    <hyperlink ref="M444" r:id="rId459" xr:uid="{00000000-0004-0000-0200-0000CA010000}"/>
    <hyperlink ref="M445" r:id="rId460" xr:uid="{00000000-0004-0000-0200-0000CB010000}"/>
    <hyperlink ref="M446" r:id="rId461" xr:uid="{00000000-0004-0000-0200-0000CC010000}"/>
    <hyperlink ref="M447" r:id="rId462" xr:uid="{00000000-0004-0000-0200-0000CD010000}"/>
    <hyperlink ref="M448" r:id="rId463" xr:uid="{00000000-0004-0000-0200-0000CE010000}"/>
    <hyperlink ref="M449" r:id="rId464" xr:uid="{00000000-0004-0000-0200-0000CF010000}"/>
    <hyperlink ref="M450" r:id="rId465" xr:uid="{00000000-0004-0000-0200-0000D0010000}"/>
    <hyperlink ref="M451" r:id="rId466" xr:uid="{00000000-0004-0000-0200-0000D1010000}"/>
    <hyperlink ref="M452" r:id="rId467" xr:uid="{00000000-0004-0000-0200-0000D2010000}"/>
    <hyperlink ref="M453" r:id="rId468" xr:uid="{00000000-0004-0000-0200-0000D3010000}"/>
    <hyperlink ref="M454" r:id="rId469" xr:uid="{00000000-0004-0000-0200-0000D4010000}"/>
    <hyperlink ref="M455" r:id="rId470" xr:uid="{00000000-0004-0000-0200-0000D5010000}"/>
    <hyperlink ref="M456" r:id="rId471" xr:uid="{00000000-0004-0000-0200-0000D6010000}"/>
    <hyperlink ref="M457" r:id="rId472" xr:uid="{00000000-0004-0000-0200-0000D7010000}"/>
    <hyperlink ref="M458" r:id="rId473" xr:uid="{00000000-0004-0000-0200-0000D8010000}"/>
    <hyperlink ref="M459" r:id="rId474" xr:uid="{00000000-0004-0000-0200-0000D9010000}"/>
    <hyperlink ref="M460" r:id="rId475" xr:uid="{00000000-0004-0000-0200-0000DA010000}"/>
    <hyperlink ref="M461" r:id="rId476" xr:uid="{00000000-0004-0000-0200-0000DB010000}"/>
    <hyperlink ref="M462" r:id="rId477" xr:uid="{00000000-0004-0000-0200-0000DC010000}"/>
    <hyperlink ref="M463" r:id="rId478" xr:uid="{00000000-0004-0000-0200-0000DD010000}"/>
    <hyperlink ref="M464" r:id="rId479" xr:uid="{00000000-0004-0000-0200-0000DE010000}"/>
    <hyperlink ref="M465" r:id="rId480" xr:uid="{00000000-0004-0000-0200-0000DF010000}"/>
    <hyperlink ref="M466" r:id="rId481" xr:uid="{00000000-0004-0000-0200-0000E0010000}"/>
    <hyperlink ref="M467" r:id="rId482" xr:uid="{00000000-0004-0000-0200-0000E1010000}"/>
    <hyperlink ref="M468" r:id="rId483" xr:uid="{00000000-0004-0000-0200-0000E2010000}"/>
    <hyperlink ref="M469" r:id="rId484" xr:uid="{00000000-0004-0000-0200-0000E3010000}"/>
    <hyperlink ref="M470" r:id="rId485" xr:uid="{00000000-0004-0000-0200-0000E4010000}"/>
    <hyperlink ref="M471" r:id="rId486" xr:uid="{00000000-0004-0000-0200-0000E5010000}"/>
    <hyperlink ref="M472" r:id="rId487" xr:uid="{00000000-0004-0000-0200-0000E6010000}"/>
    <hyperlink ref="M473" r:id="rId488" xr:uid="{00000000-0004-0000-0200-0000E7010000}"/>
    <hyperlink ref="M474" r:id="rId489" xr:uid="{00000000-0004-0000-0200-0000E8010000}"/>
    <hyperlink ref="M475" r:id="rId490" xr:uid="{00000000-0004-0000-0200-0000E9010000}"/>
    <hyperlink ref="M476" r:id="rId491" xr:uid="{00000000-0004-0000-0200-0000EA010000}"/>
    <hyperlink ref="M477" r:id="rId492" xr:uid="{00000000-0004-0000-0200-0000EB010000}"/>
    <hyperlink ref="M478" r:id="rId493" xr:uid="{00000000-0004-0000-0200-0000EC010000}"/>
    <hyperlink ref="M479" r:id="rId494" xr:uid="{00000000-0004-0000-0200-0000ED010000}"/>
    <hyperlink ref="M480" r:id="rId495" xr:uid="{00000000-0004-0000-0200-0000EE010000}"/>
    <hyperlink ref="M481" r:id="rId496" xr:uid="{00000000-0004-0000-0200-0000EF010000}"/>
    <hyperlink ref="M482" r:id="rId497" xr:uid="{00000000-0004-0000-0200-0000F0010000}"/>
    <hyperlink ref="M483" r:id="rId498" xr:uid="{00000000-0004-0000-0200-0000F1010000}"/>
    <hyperlink ref="M484" r:id="rId499" xr:uid="{00000000-0004-0000-0200-0000F2010000}"/>
    <hyperlink ref="M485" r:id="rId500" xr:uid="{00000000-0004-0000-0200-0000F3010000}"/>
    <hyperlink ref="M486" r:id="rId501" xr:uid="{00000000-0004-0000-0200-0000F4010000}"/>
    <hyperlink ref="M487" r:id="rId502" xr:uid="{00000000-0004-0000-0200-0000F5010000}"/>
    <hyperlink ref="M488" r:id="rId503" xr:uid="{00000000-0004-0000-0200-0000F6010000}"/>
    <hyperlink ref="M489" r:id="rId504" xr:uid="{00000000-0004-0000-0200-0000F7010000}"/>
    <hyperlink ref="M490" r:id="rId505" xr:uid="{00000000-0004-0000-0200-0000F8010000}"/>
    <hyperlink ref="M491" r:id="rId506" xr:uid="{00000000-0004-0000-0200-0000F9010000}"/>
    <hyperlink ref="M492" r:id="rId507" xr:uid="{00000000-0004-0000-0200-0000FA010000}"/>
    <hyperlink ref="M493" r:id="rId508" xr:uid="{00000000-0004-0000-0200-0000FB010000}"/>
    <hyperlink ref="M494" r:id="rId509" xr:uid="{00000000-0004-0000-0200-0000FC010000}"/>
    <hyperlink ref="M495" r:id="rId510" xr:uid="{00000000-0004-0000-0200-0000FD010000}"/>
    <hyperlink ref="M496" r:id="rId511" xr:uid="{00000000-0004-0000-0200-0000FE010000}"/>
    <hyperlink ref="M497" r:id="rId512" xr:uid="{00000000-0004-0000-0200-0000FF010000}"/>
    <hyperlink ref="M498" r:id="rId513" xr:uid="{00000000-0004-0000-0200-000000020000}"/>
    <hyperlink ref="M499" r:id="rId514" xr:uid="{00000000-0004-0000-0200-000001020000}"/>
    <hyperlink ref="M500" r:id="rId515" xr:uid="{00000000-0004-0000-0200-000002020000}"/>
    <hyperlink ref="M501" r:id="rId516" xr:uid="{00000000-0004-0000-0200-000003020000}"/>
    <hyperlink ref="M502" r:id="rId517" xr:uid="{00000000-0004-0000-0200-000004020000}"/>
    <hyperlink ref="M503" r:id="rId518" xr:uid="{00000000-0004-0000-0200-000005020000}"/>
    <hyperlink ref="M504" r:id="rId519" xr:uid="{00000000-0004-0000-0200-000006020000}"/>
    <hyperlink ref="M505" r:id="rId520" xr:uid="{00000000-0004-0000-0200-000007020000}"/>
    <hyperlink ref="M506" r:id="rId521" xr:uid="{00000000-0004-0000-0200-000008020000}"/>
    <hyperlink ref="M507" r:id="rId522" xr:uid="{00000000-0004-0000-0200-000009020000}"/>
    <hyperlink ref="M508" r:id="rId523" xr:uid="{00000000-0004-0000-0200-00000A020000}"/>
    <hyperlink ref="M509" r:id="rId524" xr:uid="{00000000-0004-0000-0200-00000B020000}"/>
    <hyperlink ref="M510" r:id="rId525" xr:uid="{00000000-0004-0000-0200-00000C020000}"/>
    <hyperlink ref="M511" r:id="rId526" xr:uid="{00000000-0004-0000-0200-00000D020000}"/>
    <hyperlink ref="M512" r:id="rId527" xr:uid="{00000000-0004-0000-0200-00000E020000}"/>
    <hyperlink ref="M513" r:id="rId528" xr:uid="{00000000-0004-0000-0200-00000F020000}"/>
    <hyperlink ref="M514" r:id="rId529" xr:uid="{00000000-0004-0000-0200-000010020000}"/>
    <hyperlink ref="M515" r:id="rId530" xr:uid="{00000000-0004-0000-0200-000011020000}"/>
    <hyperlink ref="M516" r:id="rId531" xr:uid="{00000000-0004-0000-0200-000012020000}"/>
    <hyperlink ref="M517" r:id="rId532" xr:uid="{00000000-0004-0000-0200-000013020000}"/>
    <hyperlink ref="M518" r:id="rId533" xr:uid="{00000000-0004-0000-0200-000014020000}"/>
    <hyperlink ref="M519" r:id="rId534" xr:uid="{00000000-0004-0000-0200-000015020000}"/>
    <hyperlink ref="M520" r:id="rId535" xr:uid="{00000000-0004-0000-0200-000016020000}"/>
    <hyperlink ref="M521" r:id="rId536" xr:uid="{00000000-0004-0000-0200-000017020000}"/>
    <hyperlink ref="M522" r:id="rId537" xr:uid="{00000000-0004-0000-0200-000018020000}"/>
    <hyperlink ref="M523" r:id="rId538" xr:uid="{00000000-0004-0000-0200-000019020000}"/>
    <hyperlink ref="M524" r:id="rId539" xr:uid="{00000000-0004-0000-0200-00001A020000}"/>
    <hyperlink ref="M525" r:id="rId540" xr:uid="{00000000-0004-0000-0200-00001B020000}"/>
    <hyperlink ref="M526" r:id="rId541" xr:uid="{00000000-0004-0000-0200-00001C020000}"/>
    <hyperlink ref="M527" r:id="rId542" xr:uid="{00000000-0004-0000-0200-00001D020000}"/>
    <hyperlink ref="M528" r:id="rId543" xr:uid="{00000000-0004-0000-0200-00001E020000}"/>
    <hyperlink ref="M529" r:id="rId544" xr:uid="{00000000-0004-0000-0200-00001F020000}"/>
    <hyperlink ref="M530" r:id="rId545" xr:uid="{00000000-0004-0000-0200-000020020000}"/>
    <hyperlink ref="M531" r:id="rId546" xr:uid="{00000000-0004-0000-0200-000021020000}"/>
    <hyperlink ref="M532" r:id="rId547" xr:uid="{00000000-0004-0000-0200-000022020000}"/>
    <hyperlink ref="M533" r:id="rId548" xr:uid="{00000000-0004-0000-0200-000023020000}"/>
    <hyperlink ref="M534" r:id="rId549" xr:uid="{00000000-0004-0000-0200-000024020000}"/>
    <hyperlink ref="M535" r:id="rId550" xr:uid="{00000000-0004-0000-0200-000025020000}"/>
    <hyperlink ref="M536" r:id="rId551" xr:uid="{00000000-0004-0000-0200-000026020000}"/>
    <hyperlink ref="M537" r:id="rId552" xr:uid="{00000000-0004-0000-0200-000027020000}"/>
    <hyperlink ref="M538" r:id="rId553" xr:uid="{00000000-0004-0000-0200-000028020000}"/>
    <hyperlink ref="M539" r:id="rId554" xr:uid="{00000000-0004-0000-0200-000029020000}"/>
    <hyperlink ref="M540" r:id="rId555" xr:uid="{00000000-0004-0000-0200-00002A020000}"/>
    <hyperlink ref="M541" r:id="rId556" xr:uid="{00000000-0004-0000-0200-00002B020000}"/>
    <hyperlink ref="M542" r:id="rId557" xr:uid="{00000000-0004-0000-0200-00002C020000}"/>
    <hyperlink ref="M543" r:id="rId558" xr:uid="{00000000-0004-0000-0200-00002D020000}"/>
    <hyperlink ref="M544" r:id="rId559" xr:uid="{00000000-0004-0000-0200-00002E020000}"/>
    <hyperlink ref="M545" r:id="rId560" xr:uid="{00000000-0004-0000-0200-00002F020000}"/>
    <hyperlink ref="M546" r:id="rId561" xr:uid="{00000000-0004-0000-0200-000030020000}"/>
    <hyperlink ref="M547" r:id="rId562" xr:uid="{00000000-0004-0000-0200-000031020000}"/>
    <hyperlink ref="M548" r:id="rId563" xr:uid="{00000000-0004-0000-0200-000032020000}"/>
    <hyperlink ref="M549" r:id="rId564" xr:uid="{00000000-0004-0000-0200-000033020000}"/>
    <hyperlink ref="M550" r:id="rId565" xr:uid="{00000000-0004-0000-0200-000034020000}"/>
    <hyperlink ref="M551" r:id="rId566" xr:uid="{00000000-0004-0000-0200-000035020000}"/>
    <hyperlink ref="M552" r:id="rId567" xr:uid="{00000000-0004-0000-0200-000036020000}"/>
    <hyperlink ref="M553" r:id="rId568" xr:uid="{00000000-0004-0000-0200-000037020000}"/>
    <hyperlink ref="M554" r:id="rId569" xr:uid="{00000000-0004-0000-0200-000038020000}"/>
    <hyperlink ref="M555" r:id="rId570" xr:uid="{00000000-0004-0000-0200-000039020000}"/>
    <hyperlink ref="M556" r:id="rId571" xr:uid="{00000000-0004-0000-0200-00003A020000}"/>
    <hyperlink ref="M557" r:id="rId572" xr:uid="{00000000-0004-0000-0200-00003B020000}"/>
    <hyperlink ref="M558" r:id="rId573" xr:uid="{00000000-0004-0000-0200-00003C020000}"/>
    <hyperlink ref="M559" r:id="rId574" xr:uid="{00000000-0004-0000-0200-00003D020000}"/>
    <hyperlink ref="M560" r:id="rId575" xr:uid="{00000000-0004-0000-0200-00003E020000}"/>
    <hyperlink ref="M561" r:id="rId576" xr:uid="{00000000-0004-0000-0200-00003F020000}"/>
    <hyperlink ref="M562" r:id="rId577" xr:uid="{00000000-0004-0000-0200-000040020000}"/>
    <hyperlink ref="M563" r:id="rId578" xr:uid="{00000000-0004-0000-0200-000041020000}"/>
    <hyperlink ref="M564" r:id="rId579" xr:uid="{00000000-0004-0000-0200-000042020000}"/>
    <hyperlink ref="M565" r:id="rId580" xr:uid="{00000000-0004-0000-0200-000043020000}"/>
    <hyperlink ref="M566" r:id="rId581" xr:uid="{00000000-0004-0000-0200-000044020000}"/>
    <hyperlink ref="M567" r:id="rId582" xr:uid="{00000000-0004-0000-0200-000045020000}"/>
    <hyperlink ref="M568" r:id="rId583" xr:uid="{00000000-0004-0000-0200-000046020000}"/>
    <hyperlink ref="M569" r:id="rId584" xr:uid="{00000000-0004-0000-0200-000047020000}"/>
    <hyperlink ref="M570" r:id="rId585" xr:uid="{00000000-0004-0000-0200-000048020000}"/>
    <hyperlink ref="M571" r:id="rId586" xr:uid="{00000000-0004-0000-0200-000049020000}"/>
    <hyperlink ref="M572" r:id="rId587" xr:uid="{00000000-0004-0000-0200-00004A020000}"/>
    <hyperlink ref="M573" r:id="rId588" xr:uid="{00000000-0004-0000-0200-00004B020000}"/>
    <hyperlink ref="M574" r:id="rId589" xr:uid="{00000000-0004-0000-0200-00004C020000}"/>
    <hyperlink ref="M575" r:id="rId590" xr:uid="{00000000-0004-0000-0200-00004D020000}"/>
    <hyperlink ref="M576" r:id="rId591" xr:uid="{00000000-0004-0000-0200-00004E020000}"/>
    <hyperlink ref="M577" r:id="rId592" xr:uid="{00000000-0004-0000-0200-00004F020000}"/>
    <hyperlink ref="M578" r:id="rId593" xr:uid="{00000000-0004-0000-0200-000050020000}"/>
    <hyperlink ref="M579" r:id="rId594" xr:uid="{00000000-0004-0000-0200-000051020000}"/>
    <hyperlink ref="M580" r:id="rId595" xr:uid="{00000000-0004-0000-0200-000052020000}"/>
    <hyperlink ref="M581" r:id="rId596" xr:uid="{00000000-0004-0000-0200-000053020000}"/>
    <hyperlink ref="M582" r:id="rId597" xr:uid="{00000000-0004-0000-0200-000054020000}"/>
    <hyperlink ref="M583" r:id="rId598" xr:uid="{00000000-0004-0000-0200-000055020000}"/>
    <hyperlink ref="M584" r:id="rId599" xr:uid="{00000000-0004-0000-0200-000056020000}"/>
    <hyperlink ref="M585" r:id="rId600" xr:uid="{00000000-0004-0000-0200-000057020000}"/>
    <hyperlink ref="M586" r:id="rId601" xr:uid="{00000000-0004-0000-0200-000058020000}"/>
    <hyperlink ref="M587" r:id="rId602" xr:uid="{00000000-0004-0000-0200-000059020000}"/>
    <hyperlink ref="M588" r:id="rId603" xr:uid="{00000000-0004-0000-0200-00005A020000}"/>
    <hyperlink ref="M589" r:id="rId604" xr:uid="{00000000-0004-0000-0200-00005B020000}"/>
    <hyperlink ref="M590" r:id="rId605" xr:uid="{00000000-0004-0000-0200-00005C020000}"/>
    <hyperlink ref="M591" r:id="rId606" xr:uid="{00000000-0004-0000-0200-00005D020000}"/>
    <hyperlink ref="M592" r:id="rId607" xr:uid="{00000000-0004-0000-0200-00005E020000}"/>
    <hyperlink ref="M593" r:id="rId608" xr:uid="{00000000-0004-0000-0200-00005F020000}"/>
    <hyperlink ref="M594" r:id="rId609" xr:uid="{00000000-0004-0000-0200-000060020000}"/>
    <hyperlink ref="M595" r:id="rId610" xr:uid="{00000000-0004-0000-0200-000061020000}"/>
    <hyperlink ref="M596" r:id="rId611" xr:uid="{00000000-0004-0000-0200-000062020000}"/>
    <hyperlink ref="M597" r:id="rId612" xr:uid="{00000000-0004-0000-0200-000063020000}"/>
    <hyperlink ref="M598" r:id="rId613" xr:uid="{00000000-0004-0000-0200-000064020000}"/>
    <hyperlink ref="M599" r:id="rId614" xr:uid="{00000000-0004-0000-0200-000065020000}"/>
    <hyperlink ref="M600" r:id="rId615" xr:uid="{00000000-0004-0000-0200-000066020000}"/>
    <hyperlink ref="M601" r:id="rId616" xr:uid="{00000000-0004-0000-0200-000067020000}"/>
    <hyperlink ref="M602" r:id="rId617" xr:uid="{00000000-0004-0000-0200-000068020000}"/>
    <hyperlink ref="M603" r:id="rId618" xr:uid="{00000000-0004-0000-0200-000069020000}"/>
    <hyperlink ref="M604" r:id="rId619" xr:uid="{00000000-0004-0000-0200-00006A020000}"/>
    <hyperlink ref="M605" r:id="rId620" xr:uid="{00000000-0004-0000-0200-00006B020000}"/>
    <hyperlink ref="M606" r:id="rId621" xr:uid="{00000000-0004-0000-0200-00006C020000}"/>
    <hyperlink ref="M607" r:id="rId622" xr:uid="{00000000-0004-0000-0200-00006D020000}"/>
    <hyperlink ref="M608" r:id="rId623" xr:uid="{00000000-0004-0000-0200-00006E020000}"/>
    <hyperlink ref="M609" r:id="rId624" xr:uid="{00000000-0004-0000-0200-00006F020000}"/>
    <hyperlink ref="M610" r:id="rId625" xr:uid="{00000000-0004-0000-0200-000070020000}"/>
    <hyperlink ref="M611" r:id="rId626" xr:uid="{00000000-0004-0000-0200-000071020000}"/>
    <hyperlink ref="M612" r:id="rId627" xr:uid="{00000000-0004-0000-0200-000072020000}"/>
    <hyperlink ref="M613" r:id="rId628" xr:uid="{00000000-0004-0000-0200-000073020000}"/>
    <hyperlink ref="M614" r:id="rId629" xr:uid="{00000000-0004-0000-0200-000074020000}"/>
    <hyperlink ref="M615" r:id="rId630" xr:uid="{00000000-0004-0000-0200-000075020000}"/>
    <hyperlink ref="M616" r:id="rId631" xr:uid="{00000000-0004-0000-0200-000076020000}"/>
    <hyperlink ref="M617" r:id="rId632" xr:uid="{00000000-0004-0000-0200-000077020000}"/>
    <hyperlink ref="M618" r:id="rId633" xr:uid="{00000000-0004-0000-0200-000078020000}"/>
    <hyperlink ref="M619" r:id="rId634" xr:uid="{00000000-0004-0000-0200-000079020000}"/>
    <hyperlink ref="M620" r:id="rId635" xr:uid="{00000000-0004-0000-0200-00007A020000}"/>
    <hyperlink ref="M621" r:id="rId636" xr:uid="{00000000-0004-0000-0200-00007B020000}"/>
    <hyperlink ref="M622" r:id="rId637" xr:uid="{00000000-0004-0000-0200-00007C020000}"/>
    <hyperlink ref="M623" r:id="rId638" xr:uid="{00000000-0004-0000-0200-00007D020000}"/>
    <hyperlink ref="M624" r:id="rId639" xr:uid="{00000000-0004-0000-0200-00007E020000}"/>
    <hyperlink ref="M625" r:id="rId640" xr:uid="{00000000-0004-0000-0200-00007F020000}"/>
    <hyperlink ref="M626" r:id="rId641" xr:uid="{00000000-0004-0000-0200-000080020000}"/>
    <hyperlink ref="M627" r:id="rId642" xr:uid="{00000000-0004-0000-0200-000081020000}"/>
    <hyperlink ref="M628" r:id="rId643" xr:uid="{00000000-0004-0000-0200-000082020000}"/>
    <hyperlink ref="M629" r:id="rId644" xr:uid="{00000000-0004-0000-0200-000083020000}"/>
    <hyperlink ref="M630" r:id="rId645" xr:uid="{00000000-0004-0000-0200-000084020000}"/>
    <hyperlink ref="M631" r:id="rId646" xr:uid="{00000000-0004-0000-0200-000085020000}"/>
    <hyperlink ref="M632" r:id="rId647" xr:uid="{00000000-0004-0000-0200-000086020000}"/>
    <hyperlink ref="M633" r:id="rId648" xr:uid="{00000000-0004-0000-0200-000087020000}"/>
    <hyperlink ref="M634" r:id="rId649" xr:uid="{00000000-0004-0000-0200-000088020000}"/>
    <hyperlink ref="M635" r:id="rId650" xr:uid="{00000000-0004-0000-0200-000089020000}"/>
    <hyperlink ref="M636" r:id="rId651" xr:uid="{00000000-0004-0000-0200-00008A020000}"/>
    <hyperlink ref="M637" r:id="rId652" xr:uid="{00000000-0004-0000-0200-00008B020000}"/>
    <hyperlink ref="M638" r:id="rId653" xr:uid="{00000000-0004-0000-0200-00008C020000}"/>
    <hyperlink ref="M639" r:id="rId654" xr:uid="{00000000-0004-0000-0200-00008D020000}"/>
    <hyperlink ref="M640" r:id="rId655" xr:uid="{00000000-0004-0000-0200-00008E020000}"/>
    <hyperlink ref="M641" r:id="rId656" xr:uid="{00000000-0004-0000-0200-00008F020000}"/>
    <hyperlink ref="M642" r:id="rId657" xr:uid="{00000000-0004-0000-0200-000090020000}"/>
    <hyperlink ref="M643" r:id="rId658" xr:uid="{00000000-0004-0000-0200-000091020000}"/>
    <hyperlink ref="M644" r:id="rId659" xr:uid="{00000000-0004-0000-0200-000092020000}"/>
    <hyperlink ref="M645" r:id="rId660" xr:uid="{00000000-0004-0000-0200-000093020000}"/>
    <hyperlink ref="M646" r:id="rId661" xr:uid="{00000000-0004-0000-0200-000094020000}"/>
    <hyperlink ref="M647" r:id="rId662" xr:uid="{00000000-0004-0000-0200-000095020000}"/>
    <hyperlink ref="M648" r:id="rId663" xr:uid="{00000000-0004-0000-0200-000096020000}"/>
    <hyperlink ref="M649" r:id="rId664" xr:uid="{00000000-0004-0000-0200-000097020000}"/>
    <hyperlink ref="M650" r:id="rId665" xr:uid="{00000000-0004-0000-0200-000098020000}"/>
    <hyperlink ref="M651" r:id="rId666" xr:uid="{00000000-0004-0000-0200-000099020000}"/>
    <hyperlink ref="M652" r:id="rId667" xr:uid="{00000000-0004-0000-0200-00009A020000}"/>
    <hyperlink ref="M653" r:id="rId668" xr:uid="{00000000-0004-0000-0200-00009B020000}"/>
    <hyperlink ref="M654" r:id="rId669" xr:uid="{00000000-0004-0000-0200-00009C020000}"/>
    <hyperlink ref="M655" r:id="rId670" xr:uid="{00000000-0004-0000-0200-00009D020000}"/>
    <hyperlink ref="M656" r:id="rId671" xr:uid="{00000000-0004-0000-0200-00009E020000}"/>
    <hyperlink ref="M657" r:id="rId672" xr:uid="{00000000-0004-0000-0200-00009F020000}"/>
    <hyperlink ref="M658" r:id="rId673" xr:uid="{00000000-0004-0000-0200-0000A0020000}"/>
    <hyperlink ref="M659" r:id="rId674" xr:uid="{00000000-0004-0000-0200-0000A1020000}"/>
    <hyperlink ref="M660" r:id="rId675" xr:uid="{00000000-0004-0000-0200-0000A2020000}"/>
    <hyperlink ref="M661" r:id="rId676" xr:uid="{00000000-0004-0000-0200-0000A3020000}"/>
    <hyperlink ref="M662" r:id="rId677" xr:uid="{00000000-0004-0000-0200-0000A4020000}"/>
    <hyperlink ref="M663" r:id="rId678" xr:uid="{00000000-0004-0000-0200-0000A5020000}"/>
    <hyperlink ref="M664" r:id="rId679" xr:uid="{00000000-0004-0000-0200-0000A6020000}"/>
    <hyperlink ref="M665" r:id="rId680" xr:uid="{00000000-0004-0000-0200-0000A7020000}"/>
    <hyperlink ref="M666" r:id="rId681" xr:uid="{00000000-0004-0000-0200-0000A8020000}"/>
    <hyperlink ref="M667" r:id="rId682" xr:uid="{00000000-0004-0000-0200-0000A9020000}"/>
    <hyperlink ref="M668" r:id="rId683" xr:uid="{00000000-0004-0000-0200-0000AA020000}"/>
    <hyperlink ref="M669" r:id="rId684" xr:uid="{00000000-0004-0000-0200-0000AB020000}"/>
    <hyperlink ref="M670" r:id="rId685" xr:uid="{00000000-0004-0000-0200-0000AC020000}"/>
    <hyperlink ref="M671" r:id="rId686" xr:uid="{00000000-0004-0000-0200-0000AD020000}"/>
    <hyperlink ref="M672" r:id="rId687" xr:uid="{00000000-0004-0000-0200-0000AE020000}"/>
    <hyperlink ref="M673" r:id="rId688" xr:uid="{00000000-0004-0000-0200-0000AF020000}"/>
    <hyperlink ref="M674" r:id="rId689" xr:uid="{00000000-0004-0000-0200-0000B0020000}"/>
    <hyperlink ref="M675" r:id="rId690" xr:uid="{00000000-0004-0000-0200-0000B1020000}"/>
    <hyperlink ref="M676" r:id="rId691" xr:uid="{00000000-0004-0000-0200-0000B2020000}"/>
    <hyperlink ref="M677" r:id="rId692" xr:uid="{00000000-0004-0000-0200-0000B3020000}"/>
    <hyperlink ref="M678" r:id="rId693" xr:uid="{00000000-0004-0000-0200-0000B4020000}"/>
    <hyperlink ref="M679" r:id="rId694" xr:uid="{00000000-0004-0000-0200-0000B5020000}"/>
    <hyperlink ref="M680" r:id="rId695" xr:uid="{00000000-0004-0000-0200-0000B6020000}"/>
    <hyperlink ref="M681" r:id="rId696" xr:uid="{00000000-0004-0000-0200-0000B7020000}"/>
    <hyperlink ref="M682" r:id="rId697" xr:uid="{00000000-0004-0000-0200-0000B8020000}"/>
    <hyperlink ref="M683" r:id="rId698" xr:uid="{00000000-0004-0000-0200-0000B9020000}"/>
    <hyperlink ref="M684" r:id="rId699" xr:uid="{00000000-0004-0000-0200-0000BA020000}"/>
    <hyperlink ref="M685" r:id="rId700" xr:uid="{00000000-0004-0000-0200-0000BB020000}"/>
    <hyperlink ref="M686" r:id="rId701" xr:uid="{00000000-0004-0000-0200-0000BC020000}"/>
    <hyperlink ref="M687" r:id="rId702" xr:uid="{00000000-0004-0000-0200-0000BD020000}"/>
    <hyperlink ref="M688" r:id="rId703" xr:uid="{00000000-0004-0000-0200-0000BE020000}"/>
    <hyperlink ref="M689" r:id="rId704" xr:uid="{00000000-0004-0000-0200-0000BF020000}"/>
    <hyperlink ref="M690" r:id="rId705" xr:uid="{00000000-0004-0000-0200-0000C0020000}"/>
    <hyperlink ref="M691" r:id="rId706" xr:uid="{00000000-0004-0000-0200-0000C1020000}"/>
    <hyperlink ref="M692" r:id="rId707" xr:uid="{00000000-0004-0000-0200-0000C2020000}"/>
    <hyperlink ref="M693" r:id="rId708" xr:uid="{00000000-0004-0000-0200-0000C3020000}"/>
    <hyperlink ref="M694" r:id="rId709" xr:uid="{00000000-0004-0000-0200-0000C4020000}"/>
    <hyperlink ref="M695" r:id="rId710" xr:uid="{00000000-0004-0000-0200-0000C5020000}"/>
    <hyperlink ref="M696" r:id="rId711" xr:uid="{00000000-0004-0000-0200-0000C6020000}"/>
    <hyperlink ref="M697" r:id="rId712" xr:uid="{00000000-0004-0000-0200-0000C7020000}"/>
    <hyperlink ref="M698" r:id="rId713" xr:uid="{00000000-0004-0000-0200-0000C8020000}"/>
    <hyperlink ref="M699" r:id="rId714" xr:uid="{00000000-0004-0000-0200-0000C9020000}"/>
    <hyperlink ref="M700" r:id="rId715" xr:uid="{00000000-0004-0000-0200-0000CA020000}"/>
    <hyperlink ref="M701" r:id="rId716" xr:uid="{00000000-0004-0000-0200-0000CB020000}"/>
    <hyperlink ref="M702" r:id="rId717" xr:uid="{00000000-0004-0000-0200-0000CC020000}"/>
    <hyperlink ref="M703" r:id="rId718" xr:uid="{00000000-0004-0000-0200-0000CD020000}"/>
    <hyperlink ref="M704" r:id="rId719" xr:uid="{00000000-0004-0000-0200-0000CE020000}"/>
    <hyperlink ref="M705" r:id="rId720" xr:uid="{00000000-0004-0000-0200-0000CF020000}"/>
    <hyperlink ref="M706" r:id="rId721" xr:uid="{00000000-0004-0000-0200-0000D0020000}"/>
    <hyperlink ref="M707" r:id="rId722" xr:uid="{00000000-0004-0000-0200-0000D1020000}"/>
    <hyperlink ref="M708" r:id="rId723" xr:uid="{00000000-0004-0000-0200-0000D2020000}"/>
    <hyperlink ref="M709" r:id="rId724" xr:uid="{00000000-0004-0000-0200-0000D3020000}"/>
    <hyperlink ref="M710" r:id="rId725" xr:uid="{00000000-0004-0000-0200-0000D4020000}"/>
    <hyperlink ref="M711" r:id="rId726" xr:uid="{00000000-0004-0000-0200-0000D5020000}"/>
    <hyperlink ref="M712" r:id="rId727" xr:uid="{00000000-0004-0000-0200-0000D6020000}"/>
    <hyperlink ref="M713" r:id="rId728" xr:uid="{00000000-0004-0000-0200-0000D7020000}"/>
    <hyperlink ref="M714" r:id="rId729" xr:uid="{00000000-0004-0000-0200-0000D8020000}"/>
    <hyperlink ref="M715" r:id="rId730" xr:uid="{00000000-0004-0000-0200-0000D9020000}"/>
    <hyperlink ref="M716" r:id="rId731" xr:uid="{00000000-0004-0000-0200-0000DA020000}"/>
    <hyperlink ref="M717" r:id="rId732" xr:uid="{00000000-0004-0000-0200-0000DB020000}"/>
    <hyperlink ref="M718" r:id="rId733" xr:uid="{00000000-0004-0000-0200-0000DC020000}"/>
    <hyperlink ref="M719" r:id="rId734" xr:uid="{00000000-0004-0000-0200-0000DD020000}"/>
    <hyperlink ref="M720" r:id="rId735" xr:uid="{00000000-0004-0000-0200-0000DE020000}"/>
    <hyperlink ref="M721" r:id="rId736" xr:uid="{00000000-0004-0000-0200-0000DF020000}"/>
    <hyperlink ref="M722" r:id="rId737" xr:uid="{00000000-0004-0000-0200-0000E0020000}"/>
    <hyperlink ref="M723" r:id="rId738" xr:uid="{00000000-0004-0000-0200-0000E1020000}"/>
    <hyperlink ref="M724" r:id="rId739" xr:uid="{00000000-0004-0000-0200-0000E2020000}"/>
    <hyperlink ref="M725" r:id="rId740" xr:uid="{00000000-0004-0000-0200-0000E3020000}"/>
    <hyperlink ref="M726" r:id="rId741" xr:uid="{00000000-0004-0000-0200-0000E4020000}"/>
    <hyperlink ref="M727" r:id="rId742" xr:uid="{00000000-0004-0000-0200-0000E5020000}"/>
    <hyperlink ref="M728" r:id="rId743" xr:uid="{00000000-0004-0000-0200-0000E6020000}"/>
    <hyperlink ref="M729" r:id="rId744" xr:uid="{00000000-0004-0000-0200-0000E7020000}"/>
    <hyperlink ref="M730" r:id="rId745" xr:uid="{00000000-0004-0000-0200-0000E8020000}"/>
    <hyperlink ref="M731" r:id="rId746" xr:uid="{00000000-0004-0000-0200-0000E9020000}"/>
    <hyperlink ref="M732" r:id="rId747" xr:uid="{00000000-0004-0000-0200-0000EA020000}"/>
    <hyperlink ref="M733" r:id="rId748" xr:uid="{00000000-0004-0000-0200-0000EB020000}"/>
    <hyperlink ref="M734" r:id="rId749" xr:uid="{00000000-0004-0000-0200-0000EC020000}"/>
    <hyperlink ref="M735" r:id="rId750" xr:uid="{00000000-0004-0000-0200-0000ED020000}"/>
    <hyperlink ref="M736" r:id="rId751" xr:uid="{00000000-0004-0000-0200-0000EE020000}"/>
    <hyperlink ref="M737" r:id="rId752" xr:uid="{00000000-0004-0000-0200-0000EF020000}"/>
    <hyperlink ref="M738" r:id="rId753" xr:uid="{00000000-0004-0000-0200-0000F0020000}"/>
    <hyperlink ref="M739" r:id="rId754" xr:uid="{00000000-0004-0000-0200-0000F1020000}"/>
    <hyperlink ref="M740" r:id="rId755" xr:uid="{00000000-0004-0000-0200-0000F2020000}"/>
    <hyperlink ref="M741" r:id="rId756" xr:uid="{00000000-0004-0000-0200-0000F3020000}"/>
    <hyperlink ref="M742" r:id="rId757" xr:uid="{00000000-0004-0000-0200-0000F4020000}"/>
    <hyperlink ref="M743" r:id="rId758" xr:uid="{00000000-0004-0000-0200-0000F5020000}"/>
    <hyperlink ref="M744" r:id="rId759" xr:uid="{00000000-0004-0000-0200-0000F6020000}"/>
    <hyperlink ref="M745" r:id="rId760" xr:uid="{00000000-0004-0000-0200-0000F7020000}"/>
    <hyperlink ref="M746" r:id="rId761" xr:uid="{00000000-0004-0000-0200-0000F8020000}"/>
    <hyperlink ref="M747" r:id="rId762" xr:uid="{00000000-0004-0000-0200-0000F9020000}"/>
    <hyperlink ref="M748" r:id="rId763" xr:uid="{00000000-0004-0000-0200-0000FA020000}"/>
    <hyperlink ref="M749" r:id="rId764" xr:uid="{00000000-0004-0000-0200-0000FB020000}"/>
    <hyperlink ref="M750" r:id="rId765" xr:uid="{00000000-0004-0000-0200-0000FC020000}"/>
    <hyperlink ref="M751" r:id="rId766" xr:uid="{00000000-0004-0000-0200-0000FD020000}"/>
    <hyperlink ref="M752" r:id="rId767" xr:uid="{00000000-0004-0000-0200-0000FE020000}"/>
    <hyperlink ref="M753" r:id="rId768" xr:uid="{00000000-0004-0000-0200-0000FF020000}"/>
    <hyperlink ref="M754" r:id="rId769" xr:uid="{00000000-0004-0000-0200-000000030000}"/>
    <hyperlink ref="M755" r:id="rId770" xr:uid="{00000000-0004-0000-0200-000001030000}"/>
    <hyperlink ref="M756" r:id="rId771" xr:uid="{00000000-0004-0000-0200-000002030000}"/>
    <hyperlink ref="M757" r:id="rId772" xr:uid="{00000000-0004-0000-0200-000003030000}"/>
    <hyperlink ref="M758" r:id="rId773" xr:uid="{00000000-0004-0000-0200-000004030000}"/>
    <hyperlink ref="M759" r:id="rId774" xr:uid="{00000000-0004-0000-0200-000005030000}"/>
    <hyperlink ref="M760" r:id="rId775" xr:uid="{00000000-0004-0000-0200-000006030000}"/>
    <hyperlink ref="M761" r:id="rId776" xr:uid="{00000000-0004-0000-0200-000007030000}"/>
    <hyperlink ref="M762" r:id="rId777" xr:uid="{00000000-0004-0000-0200-000008030000}"/>
    <hyperlink ref="M763" r:id="rId778" xr:uid="{00000000-0004-0000-0200-000009030000}"/>
    <hyperlink ref="M764" r:id="rId779" xr:uid="{00000000-0004-0000-0200-00000A030000}"/>
    <hyperlink ref="M765" r:id="rId780" xr:uid="{00000000-0004-0000-0200-00000B030000}"/>
    <hyperlink ref="M766" r:id="rId781" xr:uid="{00000000-0004-0000-0200-00000C030000}"/>
    <hyperlink ref="M767" r:id="rId782" xr:uid="{00000000-0004-0000-0200-00000D030000}"/>
    <hyperlink ref="M768" r:id="rId783" xr:uid="{00000000-0004-0000-0200-00000E030000}"/>
    <hyperlink ref="M769" r:id="rId784" xr:uid="{00000000-0004-0000-0200-00000F030000}"/>
    <hyperlink ref="M770" r:id="rId785" xr:uid="{00000000-0004-0000-0200-000010030000}"/>
    <hyperlink ref="M771" r:id="rId786" xr:uid="{00000000-0004-0000-0200-000011030000}"/>
    <hyperlink ref="M772" r:id="rId787" xr:uid="{00000000-0004-0000-0200-000012030000}"/>
    <hyperlink ref="M773" r:id="rId788" xr:uid="{00000000-0004-0000-0200-000013030000}"/>
    <hyperlink ref="M774" r:id="rId789" xr:uid="{00000000-0004-0000-0200-000014030000}"/>
    <hyperlink ref="M775" r:id="rId790" xr:uid="{00000000-0004-0000-0200-000015030000}"/>
    <hyperlink ref="M776" r:id="rId791" xr:uid="{00000000-0004-0000-0200-000016030000}"/>
    <hyperlink ref="M777" r:id="rId792" xr:uid="{00000000-0004-0000-0200-000017030000}"/>
    <hyperlink ref="M778" r:id="rId793" xr:uid="{00000000-0004-0000-0200-000018030000}"/>
    <hyperlink ref="M779" r:id="rId794" xr:uid="{00000000-0004-0000-0200-000019030000}"/>
    <hyperlink ref="M780" r:id="rId795" xr:uid="{00000000-0004-0000-0200-00001A030000}"/>
    <hyperlink ref="M781" r:id="rId796" xr:uid="{00000000-0004-0000-0200-00001B030000}"/>
    <hyperlink ref="M782" r:id="rId797" xr:uid="{00000000-0004-0000-0200-00001C030000}"/>
    <hyperlink ref="M783" r:id="rId798" xr:uid="{00000000-0004-0000-0200-00001D030000}"/>
    <hyperlink ref="M784" r:id="rId799" xr:uid="{00000000-0004-0000-0200-00001E030000}"/>
    <hyperlink ref="M785" r:id="rId800" xr:uid="{00000000-0004-0000-0200-00001F030000}"/>
    <hyperlink ref="M786" r:id="rId801" xr:uid="{00000000-0004-0000-0200-000020030000}"/>
    <hyperlink ref="M787" r:id="rId802" xr:uid="{00000000-0004-0000-0200-000021030000}"/>
    <hyperlink ref="M788" r:id="rId803" xr:uid="{00000000-0004-0000-0200-000022030000}"/>
    <hyperlink ref="M789" r:id="rId804" xr:uid="{00000000-0004-0000-0200-000023030000}"/>
    <hyperlink ref="M790" r:id="rId805" xr:uid="{00000000-0004-0000-0200-000024030000}"/>
    <hyperlink ref="M791" r:id="rId806" xr:uid="{00000000-0004-0000-0200-000025030000}"/>
    <hyperlink ref="M792" r:id="rId807" xr:uid="{00000000-0004-0000-0200-000026030000}"/>
    <hyperlink ref="M793" r:id="rId808" xr:uid="{00000000-0004-0000-0200-000027030000}"/>
    <hyperlink ref="M794" r:id="rId809" xr:uid="{00000000-0004-0000-0200-000028030000}"/>
    <hyperlink ref="M795" r:id="rId810" xr:uid="{00000000-0004-0000-0200-000029030000}"/>
    <hyperlink ref="M796" r:id="rId811" xr:uid="{00000000-0004-0000-0200-00002A030000}"/>
    <hyperlink ref="M797" r:id="rId812" xr:uid="{00000000-0004-0000-0200-00002B030000}"/>
    <hyperlink ref="M798" r:id="rId813" xr:uid="{00000000-0004-0000-0200-00002C030000}"/>
    <hyperlink ref="M799" r:id="rId814" xr:uid="{00000000-0004-0000-0200-00002D030000}"/>
    <hyperlink ref="M800" r:id="rId815" xr:uid="{00000000-0004-0000-0200-00002E030000}"/>
    <hyperlink ref="M801" r:id="rId816" xr:uid="{00000000-0004-0000-0200-00002F030000}"/>
    <hyperlink ref="M802" r:id="rId817" xr:uid="{00000000-0004-0000-0200-000030030000}"/>
    <hyperlink ref="M803" r:id="rId818" xr:uid="{00000000-0004-0000-0200-000031030000}"/>
    <hyperlink ref="M804" r:id="rId819" xr:uid="{00000000-0004-0000-0200-000032030000}"/>
    <hyperlink ref="M805" r:id="rId820" xr:uid="{00000000-0004-0000-0200-000033030000}"/>
    <hyperlink ref="M806" r:id="rId821" xr:uid="{00000000-0004-0000-0200-000034030000}"/>
    <hyperlink ref="M807" r:id="rId822" xr:uid="{00000000-0004-0000-0200-000035030000}"/>
    <hyperlink ref="M808" r:id="rId823" xr:uid="{00000000-0004-0000-0200-000036030000}"/>
    <hyperlink ref="M809" r:id="rId824" xr:uid="{00000000-0004-0000-0200-000037030000}"/>
    <hyperlink ref="M810" r:id="rId825" xr:uid="{00000000-0004-0000-0200-000038030000}"/>
    <hyperlink ref="M811" r:id="rId826" xr:uid="{00000000-0004-0000-0200-000039030000}"/>
    <hyperlink ref="M812" r:id="rId827" xr:uid="{00000000-0004-0000-0200-00003A030000}"/>
    <hyperlink ref="M813" r:id="rId828" xr:uid="{00000000-0004-0000-0200-00003B030000}"/>
    <hyperlink ref="M814" r:id="rId829" xr:uid="{00000000-0004-0000-0200-00003C030000}"/>
    <hyperlink ref="M815" r:id="rId830" xr:uid="{00000000-0004-0000-0200-00003D030000}"/>
    <hyperlink ref="M822" r:id="rId831" xr:uid="{00000000-0004-0000-0200-00003E030000}"/>
    <hyperlink ref="M823" r:id="rId832" xr:uid="{00000000-0004-0000-0200-00003F030000}"/>
    <hyperlink ref="M824" r:id="rId833" xr:uid="{00000000-0004-0000-0200-000040030000}"/>
    <hyperlink ref="M825" r:id="rId834" xr:uid="{00000000-0004-0000-0200-000041030000}"/>
    <hyperlink ref="M826" r:id="rId835" xr:uid="{00000000-0004-0000-0200-000042030000}"/>
    <hyperlink ref="M827" r:id="rId836" xr:uid="{00000000-0004-0000-0200-000043030000}"/>
    <hyperlink ref="M828" r:id="rId837" xr:uid="{00000000-0004-0000-0200-000044030000}"/>
    <hyperlink ref="M829" r:id="rId838" xr:uid="{00000000-0004-0000-0200-000045030000}"/>
    <hyperlink ref="M830" r:id="rId839" xr:uid="{00000000-0004-0000-0200-000046030000}"/>
    <hyperlink ref="M831" r:id="rId840" xr:uid="{00000000-0004-0000-0200-000047030000}"/>
    <hyperlink ref="M832" r:id="rId841" xr:uid="{00000000-0004-0000-0200-000048030000}"/>
    <hyperlink ref="M833" r:id="rId842" xr:uid="{00000000-0004-0000-0200-000049030000}"/>
    <hyperlink ref="M834" r:id="rId843" xr:uid="{00000000-0004-0000-0200-00004A030000}"/>
    <hyperlink ref="M835" r:id="rId844" xr:uid="{00000000-0004-0000-0200-00004B030000}"/>
    <hyperlink ref="M836" r:id="rId845" xr:uid="{00000000-0004-0000-0200-00004C030000}"/>
    <hyperlink ref="M837" r:id="rId846" xr:uid="{00000000-0004-0000-0200-00004D030000}"/>
    <hyperlink ref="M838" r:id="rId847" xr:uid="{00000000-0004-0000-0200-00004E030000}"/>
    <hyperlink ref="M839" r:id="rId848" xr:uid="{00000000-0004-0000-0200-00004F030000}"/>
    <hyperlink ref="M840" r:id="rId849" xr:uid="{00000000-0004-0000-0200-000050030000}"/>
    <hyperlink ref="M841" r:id="rId850" xr:uid="{00000000-0004-0000-0200-000051030000}"/>
    <hyperlink ref="M842" r:id="rId851" xr:uid="{00000000-0004-0000-0200-000052030000}"/>
    <hyperlink ref="M843" r:id="rId852" xr:uid="{00000000-0004-0000-0200-000053030000}"/>
    <hyperlink ref="M844" r:id="rId853" xr:uid="{00000000-0004-0000-0200-000054030000}"/>
    <hyperlink ref="M845" r:id="rId854" xr:uid="{00000000-0004-0000-0200-000055030000}"/>
    <hyperlink ref="M846" r:id="rId855" xr:uid="{00000000-0004-0000-0200-000056030000}"/>
    <hyperlink ref="M847" r:id="rId856" xr:uid="{00000000-0004-0000-0200-000057030000}"/>
    <hyperlink ref="M848" r:id="rId857" xr:uid="{00000000-0004-0000-0200-000058030000}"/>
    <hyperlink ref="M849" r:id="rId858" xr:uid="{00000000-0004-0000-0200-000059030000}"/>
    <hyperlink ref="M850" r:id="rId859" xr:uid="{00000000-0004-0000-0200-00005A030000}"/>
    <hyperlink ref="M851" r:id="rId860" xr:uid="{00000000-0004-0000-0200-00005B030000}"/>
    <hyperlink ref="M852" r:id="rId861" xr:uid="{00000000-0004-0000-0200-00005C030000}"/>
    <hyperlink ref="M853" r:id="rId862" xr:uid="{00000000-0004-0000-0200-00005D030000}"/>
    <hyperlink ref="M854" r:id="rId863" xr:uid="{00000000-0004-0000-0200-00005E030000}"/>
    <hyperlink ref="M855" r:id="rId864" xr:uid="{00000000-0004-0000-0200-00005F030000}"/>
    <hyperlink ref="M856" r:id="rId865" xr:uid="{00000000-0004-0000-0200-000060030000}"/>
    <hyperlink ref="M857" r:id="rId866" xr:uid="{00000000-0004-0000-0200-000061030000}"/>
    <hyperlink ref="M858" r:id="rId867" xr:uid="{00000000-0004-0000-0200-000062030000}"/>
    <hyperlink ref="M859" r:id="rId868" xr:uid="{00000000-0004-0000-0200-000063030000}"/>
    <hyperlink ref="M860" r:id="rId869" xr:uid="{00000000-0004-0000-0200-000064030000}"/>
    <hyperlink ref="M861" r:id="rId870" xr:uid="{00000000-0004-0000-0200-000065030000}"/>
    <hyperlink ref="M862" r:id="rId871" xr:uid="{00000000-0004-0000-0200-000066030000}"/>
    <hyperlink ref="M863" r:id="rId872" xr:uid="{00000000-0004-0000-0200-000067030000}"/>
    <hyperlink ref="M864" r:id="rId873" xr:uid="{00000000-0004-0000-0200-000068030000}"/>
    <hyperlink ref="M865" r:id="rId874" xr:uid="{00000000-0004-0000-0200-000069030000}"/>
    <hyperlink ref="M866" r:id="rId875" xr:uid="{00000000-0004-0000-0200-00006A030000}"/>
    <hyperlink ref="M867" r:id="rId876" xr:uid="{00000000-0004-0000-0200-00006B030000}"/>
    <hyperlink ref="M868" r:id="rId877" xr:uid="{00000000-0004-0000-0200-00006C030000}"/>
    <hyperlink ref="M869" r:id="rId878" xr:uid="{00000000-0004-0000-0200-00006D030000}"/>
    <hyperlink ref="M870" r:id="rId879" xr:uid="{00000000-0004-0000-0200-00006E030000}"/>
    <hyperlink ref="M871" r:id="rId880" xr:uid="{00000000-0004-0000-0200-00006F030000}"/>
    <hyperlink ref="M872" r:id="rId881" xr:uid="{00000000-0004-0000-0200-000070030000}"/>
    <hyperlink ref="M873" r:id="rId882" xr:uid="{00000000-0004-0000-0200-000071030000}"/>
    <hyperlink ref="M874" r:id="rId883" xr:uid="{00000000-0004-0000-0200-000072030000}"/>
    <hyperlink ref="M875" r:id="rId884" xr:uid="{00000000-0004-0000-0200-000073030000}"/>
    <hyperlink ref="M876" r:id="rId885" xr:uid="{00000000-0004-0000-0200-000074030000}"/>
    <hyperlink ref="M877" r:id="rId886" xr:uid="{00000000-0004-0000-0200-000075030000}"/>
    <hyperlink ref="M878" r:id="rId887" xr:uid="{00000000-0004-0000-0200-000076030000}"/>
    <hyperlink ref="M879" r:id="rId888" xr:uid="{00000000-0004-0000-0200-000077030000}"/>
    <hyperlink ref="M880" r:id="rId889" xr:uid="{00000000-0004-0000-0200-000078030000}"/>
    <hyperlink ref="M881" r:id="rId890" xr:uid="{00000000-0004-0000-0200-000079030000}"/>
    <hyperlink ref="M882" r:id="rId891" xr:uid="{00000000-0004-0000-0200-00007A030000}"/>
    <hyperlink ref="M883" r:id="rId892" xr:uid="{00000000-0004-0000-0200-00007B030000}"/>
    <hyperlink ref="N883" r:id="rId893" xr:uid="{00000000-0004-0000-0200-00007C030000}"/>
    <hyperlink ref="M884" r:id="rId894" xr:uid="{00000000-0004-0000-0200-00007D030000}"/>
    <hyperlink ref="N884" r:id="rId895" xr:uid="{00000000-0004-0000-0200-00007E030000}"/>
    <hyperlink ref="M885" r:id="rId896" xr:uid="{00000000-0004-0000-0200-00007F030000}"/>
    <hyperlink ref="N885" r:id="rId897" xr:uid="{00000000-0004-0000-0200-000080030000}"/>
    <hyperlink ref="M886" r:id="rId898" xr:uid="{00000000-0004-0000-0200-000081030000}"/>
    <hyperlink ref="N886" r:id="rId899" xr:uid="{00000000-0004-0000-0200-000082030000}"/>
    <hyperlink ref="M887" r:id="rId900" xr:uid="{00000000-0004-0000-0200-000083030000}"/>
    <hyperlink ref="N887" r:id="rId901" xr:uid="{00000000-0004-0000-0200-000084030000}"/>
    <hyperlink ref="M888" r:id="rId902" xr:uid="{00000000-0004-0000-0200-000085030000}"/>
    <hyperlink ref="N888" r:id="rId903" xr:uid="{00000000-0004-0000-0200-000086030000}"/>
    <hyperlink ref="M889" r:id="rId904" xr:uid="{00000000-0004-0000-0200-000087030000}"/>
    <hyperlink ref="N889" r:id="rId905" xr:uid="{00000000-0004-0000-0200-000088030000}"/>
    <hyperlink ref="M890" r:id="rId906" xr:uid="{00000000-0004-0000-0200-000089030000}"/>
    <hyperlink ref="M891" r:id="rId907" xr:uid="{00000000-0004-0000-0200-00008A030000}"/>
    <hyperlink ref="M892" r:id="rId908" xr:uid="{00000000-0004-0000-0200-00008B030000}"/>
    <hyperlink ref="M893" r:id="rId909" xr:uid="{00000000-0004-0000-0200-00008C030000}"/>
    <hyperlink ref="M894" r:id="rId910" xr:uid="{00000000-0004-0000-0200-00008D030000}"/>
    <hyperlink ref="M895" r:id="rId911" xr:uid="{00000000-0004-0000-0200-00008E030000}"/>
    <hyperlink ref="M896" r:id="rId912" xr:uid="{00000000-0004-0000-0200-00008F030000}"/>
    <hyperlink ref="M897" r:id="rId913" xr:uid="{00000000-0004-0000-0200-000090030000}"/>
    <hyperlink ref="M898" r:id="rId914" xr:uid="{00000000-0004-0000-0200-000091030000}"/>
    <hyperlink ref="M899" r:id="rId915" xr:uid="{00000000-0004-0000-0200-000092030000}"/>
    <hyperlink ref="M900" r:id="rId916" xr:uid="{00000000-0004-0000-0200-000093030000}"/>
    <hyperlink ref="M901" r:id="rId917" xr:uid="{00000000-0004-0000-0200-000094030000}"/>
    <hyperlink ref="M902" r:id="rId918" xr:uid="{00000000-0004-0000-0200-000095030000}"/>
    <hyperlink ref="M903" r:id="rId919" xr:uid="{00000000-0004-0000-0200-000096030000}"/>
    <hyperlink ref="M904" r:id="rId920" xr:uid="{00000000-0004-0000-0200-000097030000}"/>
    <hyperlink ref="M905" r:id="rId921" xr:uid="{00000000-0004-0000-0200-000098030000}"/>
    <hyperlink ref="M906" r:id="rId922" xr:uid="{00000000-0004-0000-0200-000099030000}"/>
    <hyperlink ref="M907" r:id="rId923" xr:uid="{00000000-0004-0000-0200-00009A030000}"/>
    <hyperlink ref="M908" r:id="rId924" xr:uid="{00000000-0004-0000-0200-00009B030000}"/>
    <hyperlink ref="M909" r:id="rId925" xr:uid="{00000000-0004-0000-0200-00009C030000}"/>
    <hyperlink ref="M910" r:id="rId926" xr:uid="{00000000-0004-0000-0200-00009D030000}"/>
    <hyperlink ref="M911" r:id="rId927" xr:uid="{00000000-0004-0000-0200-00009E030000}"/>
    <hyperlink ref="M912" r:id="rId928" xr:uid="{00000000-0004-0000-0200-00009F030000}"/>
    <hyperlink ref="M913" r:id="rId929" xr:uid="{00000000-0004-0000-0200-0000A0030000}"/>
    <hyperlink ref="M914" r:id="rId930" xr:uid="{00000000-0004-0000-0200-0000A1030000}"/>
    <hyperlink ref="M915" r:id="rId931" xr:uid="{00000000-0004-0000-0200-0000A2030000}"/>
    <hyperlink ref="M916" r:id="rId932" xr:uid="{00000000-0004-0000-0200-0000A3030000}"/>
    <hyperlink ref="M917" r:id="rId933" xr:uid="{00000000-0004-0000-0200-0000A4030000}"/>
    <hyperlink ref="M918" r:id="rId934" xr:uid="{00000000-0004-0000-0200-0000A5030000}"/>
    <hyperlink ref="M919" r:id="rId935" xr:uid="{00000000-0004-0000-0200-0000A6030000}"/>
    <hyperlink ref="M920" r:id="rId936" xr:uid="{00000000-0004-0000-0200-0000A7030000}"/>
    <hyperlink ref="M921" r:id="rId937" xr:uid="{00000000-0004-0000-0200-0000A8030000}"/>
    <hyperlink ref="M922" r:id="rId938" xr:uid="{00000000-0004-0000-0200-0000A9030000}"/>
    <hyperlink ref="M923" r:id="rId939" xr:uid="{00000000-0004-0000-0200-0000AA030000}"/>
    <hyperlink ref="M924" r:id="rId940" xr:uid="{00000000-0004-0000-0200-0000AB030000}"/>
    <hyperlink ref="M925" r:id="rId941" xr:uid="{00000000-0004-0000-0200-0000AC030000}"/>
    <hyperlink ref="M926" r:id="rId942" xr:uid="{00000000-0004-0000-0200-0000AD030000}"/>
    <hyperlink ref="M927" r:id="rId943" xr:uid="{00000000-0004-0000-0200-0000AE030000}"/>
    <hyperlink ref="M928" r:id="rId944" xr:uid="{00000000-0004-0000-0200-0000AF030000}"/>
    <hyperlink ref="M929" r:id="rId945" xr:uid="{00000000-0004-0000-0200-0000B0030000}"/>
    <hyperlink ref="M930" r:id="rId946" xr:uid="{00000000-0004-0000-0200-0000B1030000}"/>
    <hyperlink ref="M931" r:id="rId947" xr:uid="{00000000-0004-0000-0200-0000B2030000}"/>
    <hyperlink ref="M932" r:id="rId948" xr:uid="{00000000-0004-0000-0200-0000B3030000}"/>
    <hyperlink ref="M933" r:id="rId949" xr:uid="{00000000-0004-0000-0200-0000B4030000}"/>
    <hyperlink ref="M934" r:id="rId950" xr:uid="{00000000-0004-0000-0200-0000B5030000}"/>
    <hyperlink ref="M935" r:id="rId951" xr:uid="{00000000-0004-0000-0200-0000B6030000}"/>
    <hyperlink ref="M936" r:id="rId952" xr:uid="{00000000-0004-0000-0200-0000B7030000}"/>
    <hyperlink ref="M937" r:id="rId953" xr:uid="{00000000-0004-0000-0200-0000B8030000}"/>
    <hyperlink ref="M938" r:id="rId954" xr:uid="{00000000-0004-0000-0200-0000B9030000}"/>
    <hyperlink ref="M939" r:id="rId955" xr:uid="{00000000-0004-0000-0200-0000BA030000}"/>
    <hyperlink ref="M940" r:id="rId956" xr:uid="{00000000-0004-0000-0200-0000BB030000}"/>
    <hyperlink ref="M941" r:id="rId957" xr:uid="{00000000-0004-0000-0200-0000BC030000}"/>
    <hyperlink ref="M942" r:id="rId958" xr:uid="{00000000-0004-0000-0200-0000BD030000}"/>
    <hyperlink ref="M943" r:id="rId959" xr:uid="{00000000-0004-0000-0200-0000BE030000}"/>
    <hyperlink ref="M944" r:id="rId960" xr:uid="{00000000-0004-0000-0200-0000BF030000}"/>
    <hyperlink ref="M945" r:id="rId961" xr:uid="{00000000-0004-0000-0200-0000C0030000}"/>
    <hyperlink ref="M946" r:id="rId962" xr:uid="{00000000-0004-0000-0200-0000C1030000}"/>
    <hyperlink ref="M947" r:id="rId963" xr:uid="{00000000-0004-0000-0200-0000C2030000}"/>
    <hyperlink ref="M948" r:id="rId964" xr:uid="{00000000-0004-0000-0200-0000C3030000}"/>
    <hyperlink ref="M949" r:id="rId965" xr:uid="{00000000-0004-0000-0200-0000C4030000}"/>
    <hyperlink ref="M950" r:id="rId966" xr:uid="{00000000-0004-0000-0200-0000C5030000}"/>
    <hyperlink ref="M951" r:id="rId967" xr:uid="{00000000-0004-0000-0200-0000C6030000}"/>
    <hyperlink ref="M952" r:id="rId968" xr:uid="{00000000-0004-0000-0200-0000C7030000}"/>
    <hyperlink ref="M953" r:id="rId969" xr:uid="{00000000-0004-0000-0200-0000C8030000}"/>
    <hyperlink ref="M954" r:id="rId970" xr:uid="{00000000-0004-0000-0200-0000C9030000}"/>
    <hyperlink ref="M955" r:id="rId971" xr:uid="{00000000-0004-0000-0200-0000CA030000}"/>
    <hyperlink ref="M956" r:id="rId972" xr:uid="{00000000-0004-0000-0200-0000CB030000}"/>
    <hyperlink ref="M957" r:id="rId973" xr:uid="{00000000-0004-0000-0200-0000CC030000}"/>
    <hyperlink ref="M958" r:id="rId974" xr:uid="{00000000-0004-0000-0200-0000CD030000}"/>
    <hyperlink ref="M959" r:id="rId975" xr:uid="{00000000-0004-0000-0200-0000CE030000}"/>
    <hyperlink ref="M960" r:id="rId976" xr:uid="{00000000-0004-0000-0200-0000CF030000}"/>
    <hyperlink ref="M961" r:id="rId977" xr:uid="{00000000-0004-0000-0200-0000D0030000}"/>
    <hyperlink ref="M962" r:id="rId978" xr:uid="{00000000-0004-0000-0200-0000D1030000}"/>
    <hyperlink ref="M963" r:id="rId979" xr:uid="{00000000-0004-0000-0200-0000D2030000}"/>
    <hyperlink ref="M964" r:id="rId980" xr:uid="{00000000-0004-0000-0200-0000D3030000}"/>
    <hyperlink ref="M965" r:id="rId981" xr:uid="{00000000-0004-0000-0200-0000D4030000}"/>
    <hyperlink ref="M966" r:id="rId982" xr:uid="{00000000-0004-0000-0200-0000D5030000}"/>
    <hyperlink ref="M967" r:id="rId983" xr:uid="{00000000-0004-0000-0200-0000D6030000}"/>
    <hyperlink ref="M968" r:id="rId984" xr:uid="{00000000-0004-0000-0200-0000D7030000}"/>
    <hyperlink ref="M969" r:id="rId985" xr:uid="{00000000-0004-0000-0200-0000D8030000}"/>
    <hyperlink ref="M970" r:id="rId986" xr:uid="{00000000-0004-0000-0200-0000D9030000}"/>
    <hyperlink ref="M971" r:id="rId987" xr:uid="{00000000-0004-0000-0200-0000DA030000}"/>
    <hyperlink ref="M972" r:id="rId988" xr:uid="{00000000-0004-0000-0200-0000DB030000}"/>
    <hyperlink ref="M973" r:id="rId989" xr:uid="{00000000-0004-0000-0200-0000DC030000}"/>
    <hyperlink ref="M974" r:id="rId990" xr:uid="{00000000-0004-0000-0200-0000DD030000}"/>
    <hyperlink ref="M975" r:id="rId991" xr:uid="{00000000-0004-0000-0200-0000DE030000}"/>
    <hyperlink ref="M976" r:id="rId992" xr:uid="{00000000-0004-0000-0200-0000DF030000}"/>
    <hyperlink ref="M977" r:id="rId993" xr:uid="{00000000-0004-0000-0200-0000E0030000}"/>
    <hyperlink ref="M978" r:id="rId994" xr:uid="{00000000-0004-0000-0200-0000E1030000}"/>
    <hyperlink ref="M979" r:id="rId995" xr:uid="{00000000-0004-0000-0200-0000E2030000}"/>
    <hyperlink ref="M980" r:id="rId996" xr:uid="{00000000-0004-0000-0200-0000E3030000}"/>
    <hyperlink ref="M981" r:id="rId997" xr:uid="{00000000-0004-0000-0200-0000E4030000}"/>
    <hyperlink ref="M982" r:id="rId998" xr:uid="{00000000-0004-0000-0200-0000E5030000}"/>
    <hyperlink ref="M983" r:id="rId999" xr:uid="{00000000-0004-0000-0200-0000E6030000}"/>
    <hyperlink ref="M984" r:id="rId1000" xr:uid="{00000000-0004-0000-0200-0000E7030000}"/>
    <hyperlink ref="M985" r:id="rId1001" xr:uid="{00000000-0004-0000-0200-0000E8030000}"/>
    <hyperlink ref="M986" r:id="rId1002" xr:uid="{00000000-0004-0000-0200-0000E9030000}"/>
    <hyperlink ref="M987" r:id="rId1003" xr:uid="{00000000-0004-0000-0200-0000EA030000}"/>
    <hyperlink ref="M988" r:id="rId1004" xr:uid="{00000000-0004-0000-0200-0000EB030000}"/>
    <hyperlink ref="M989" r:id="rId1005" xr:uid="{00000000-0004-0000-0200-0000EC030000}"/>
    <hyperlink ref="M990" r:id="rId1006" xr:uid="{00000000-0004-0000-0200-0000ED030000}"/>
    <hyperlink ref="M991" r:id="rId1007" xr:uid="{00000000-0004-0000-0200-0000EE030000}"/>
    <hyperlink ref="M992" r:id="rId1008" xr:uid="{00000000-0004-0000-0200-0000EF030000}"/>
    <hyperlink ref="M993" r:id="rId1009" xr:uid="{00000000-0004-0000-0200-0000F0030000}"/>
    <hyperlink ref="M994" r:id="rId1010" xr:uid="{00000000-0004-0000-0200-0000F1030000}"/>
    <hyperlink ref="M995" r:id="rId1011" xr:uid="{00000000-0004-0000-0200-0000F2030000}"/>
    <hyperlink ref="M996" r:id="rId1012" xr:uid="{00000000-0004-0000-0200-0000F3030000}"/>
    <hyperlink ref="M997" r:id="rId1013" xr:uid="{00000000-0004-0000-0200-0000F4030000}"/>
    <hyperlink ref="M998" r:id="rId1014" xr:uid="{00000000-0004-0000-0200-0000F5030000}"/>
    <hyperlink ref="M999" r:id="rId1015" xr:uid="{00000000-0004-0000-0200-0000F6030000}"/>
    <hyperlink ref="M1000" r:id="rId1016" xr:uid="{00000000-0004-0000-0200-0000F7030000}"/>
    <hyperlink ref="M1001" r:id="rId1017" xr:uid="{00000000-0004-0000-0200-0000F8030000}"/>
    <hyperlink ref="M1002" r:id="rId1018" xr:uid="{00000000-0004-0000-0200-0000F9030000}"/>
    <hyperlink ref="M1003" r:id="rId1019" xr:uid="{00000000-0004-0000-0200-0000FA030000}"/>
    <hyperlink ref="M1004" r:id="rId1020" xr:uid="{00000000-0004-0000-0200-0000FB030000}"/>
    <hyperlink ref="M1005" r:id="rId1021" xr:uid="{00000000-0004-0000-0200-0000FC030000}"/>
    <hyperlink ref="M1006" r:id="rId1022" xr:uid="{00000000-0004-0000-0200-0000FD030000}"/>
    <hyperlink ref="M1007" r:id="rId1023" xr:uid="{00000000-0004-0000-0200-0000FE030000}"/>
    <hyperlink ref="M1008" r:id="rId1024" xr:uid="{00000000-0004-0000-0200-0000FF030000}"/>
    <hyperlink ref="M1009" r:id="rId1025" xr:uid="{00000000-0004-0000-0200-000000040000}"/>
    <hyperlink ref="M1010" r:id="rId1026" xr:uid="{00000000-0004-0000-0200-000001040000}"/>
    <hyperlink ref="M1011" r:id="rId1027" xr:uid="{00000000-0004-0000-0200-000002040000}"/>
    <hyperlink ref="M1012" r:id="rId1028" xr:uid="{00000000-0004-0000-0200-000003040000}"/>
    <hyperlink ref="M1013" r:id="rId1029" xr:uid="{00000000-0004-0000-0200-000004040000}"/>
    <hyperlink ref="M1014" r:id="rId1030" xr:uid="{00000000-0004-0000-0200-000005040000}"/>
    <hyperlink ref="M1015" r:id="rId1031" xr:uid="{00000000-0004-0000-0200-000006040000}"/>
    <hyperlink ref="M1016" r:id="rId1032" xr:uid="{00000000-0004-0000-0200-000007040000}"/>
    <hyperlink ref="M1017" r:id="rId1033" xr:uid="{00000000-0004-0000-0200-000008040000}"/>
    <hyperlink ref="M1018" r:id="rId1034" xr:uid="{00000000-0004-0000-0200-000009040000}"/>
    <hyperlink ref="M1019" r:id="rId1035" xr:uid="{00000000-0004-0000-0200-00000A040000}"/>
    <hyperlink ref="M1020" r:id="rId1036" xr:uid="{00000000-0004-0000-0200-00000B040000}"/>
    <hyperlink ref="M1021" r:id="rId1037" xr:uid="{00000000-0004-0000-0200-00000C040000}"/>
    <hyperlink ref="M1022" r:id="rId1038" xr:uid="{00000000-0004-0000-0200-00000D040000}"/>
    <hyperlink ref="M1023" r:id="rId1039" xr:uid="{00000000-0004-0000-0200-00000E040000}"/>
    <hyperlink ref="M1024" r:id="rId1040" xr:uid="{00000000-0004-0000-0200-00000F040000}"/>
    <hyperlink ref="M1025" r:id="rId1041" xr:uid="{00000000-0004-0000-0200-000010040000}"/>
    <hyperlink ref="M1026" r:id="rId1042" xr:uid="{00000000-0004-0000-0200-000011040000}"/>
    <hyperlink ref="M1027" r:id="rId1043" xr:uid="{00000000-0004-0000-0200-000012040000}"/>
    <hyperlink ref="M1028" r:id="rId1044" xr:uid="{00000000-0004-0000-0200-000013040000}"/>
    <hyperlink ref="M1029" r:id="rId1045" xr:uid="{00000000-0004-0000-0200-000014040000}"/>
    <hyperlink ref="M1030" r:id="rId1046" xr:uid="{00000000-0004-0000-0200-000015040000}"/>
    <hyperlink ref="M1031" r:id="rId1047" xr:uid="{00000000-0004-0000-0200-000016040000}"/>
    <hyperlink ref="M1032" r:id="rId1048" xr:uid="{00000000-0004-0000-0200-000017040000}"/>
    <hyperlink ref="M1033" r:id="rId1049" xr:uid="{00000000-0004-0000-0200-000018040000}"/>
    <hyperlink ref="M1034" r:id="rId1050" xr:uid="{00000000-0004-0000-0200-000019040000}"/>
    <hyperlink ref="M1035" r:id="rId1051" xr:uid="{00000000-0004-0000-0200-00001A040000}"/>
    <hyperlink ref="M1036" r:id="rId1052" xr:uid="{00000000-0004-0000-0200-00001B040000}"/>
    <hyperlink ref="M1037" r:id="rId1053" xr:uid="{00000000-0004-0000-0200-00001C040000}"/>
    <hyperlink ref="M1038" r:id="rId1054" xr:uid="{00000000-0004-0000-0200-00001D040000}"/>
    <hyperlink ref="M1039" r:id="rId1055" xr:uid="{00000000-0004-0000-0200-00001E040000}"/>
    <hyperlink ref="M1040" r:id="rId1056" xr:uid="{00000000-0004-0000-0200-00001F040000}"/>
    <hyperlink ref="M1041" r:id="rId1057" xr:uid="{00000000-0004-0000-0200-000020040000}"/>
    <hyperlink ref="M1042" r:id="rId1058" xr:uid="{00000000-0004-0000-0200-000021040000}"/>
    <hyperlink ref="M1043" r:id="rId1059" xr:uid="{00000000-0004-0000-0200-000022040000}"/>
    <hyperlink ref="M1044" r:id="rId1060" xr:uid="{00000000-0004-0000-0200-000023040000}"/>
    <hyperlink ref="M1045" r:id="rId1061" xr:uid="{00000000-0004-0000-0200-000024040000}"/>
    <hyperlink ref="M1046" r:id="rId1062" xr:uid="{00000000-0004-0000-0200-000025040000}"/>
    <hyperlink ref="M1047" r:id="rId1063" xr:uid="{00000000-0004-0000-0200-000026040000}"/>
    <hyperlink ref="M1048" r:id="rId1064" xr:uid="{00000000-0004-0000-0200-000027040000}"/>
    <hyperlink ref="M1049" r:id="rId1065" xr:uid="{00000000-0004-0000-0200-000028040000}"/>
    <hyperlink ref="M1050" r:id="rId1066" xr:uid="{00000000-0004-0000-0200-000029040000}"/>
    <hyperlink ref="M1051" r:id="rId1067" xr:uid="{00000000-0004-0000-0200-00002A040000}"/>
    <hyperlink ref="M1052" r:id="rId1068" xr:uid="{00000000-0004-0000-0200-00002B040000}"/>
    <hyperlink ref="M1053" r:id="rId1069" xr:uid="{00000000-0004-0000-0200-00002C040000}"/>
    <hyperlink ref="M1054" r:id="rId1070" xr:uid="{00000000-0004-0000-0200-00002D040000}"/>
    <hyperlink ref="M1055" r:id="rId1071" xr:uid="{00000000-0004-0000-0200-00002E040000}"/>
    <hyperlink ref="M1056" r:id="rId1072" xr:uid="{00000000-0004-0000-0200-00002F040000}"/>
    <hyperlink ref="M1057" r:id="rId1073" xr:uid="{00000000-0004-0000-0200-000030040000}"/>
    <hyperlink ref="M1058" r:id="rId1074" xr:uid="{00000000-0004-0000-0200-000031040000}"/>
    <hyperlink ref="M1059" r:id="rId1075" xr:uid="{00000000-0004-0000-0200-000032040000}"/>
    <hyperlink ref="M1060" r:id="rId1076" xr:uid="{00000000-0004-0000-0200-000033040000}"/>
    <hyperlink ref="M1061" r:id="rId1077" xr:uid="{00000000-0004-0000-0200-000034040000}"/>
    <hyperlink ref="M1062" r:id="rId1078" xr:uid="{00000000-0004-0000-0200-000035040000}"/>
    <hyperlink ref="M1063" r:id="rId1079" xr:uid="{00000000-0004-0000-0200-000036040000}"/>
    <hyperlink ref="M1064" r:id="rId1080" xr:uid="{00000000-0004-0000-0200-000037040000}"/>
    <hyperlink ref="M1065" r:id="rId1081" xr:uid="{00000000-0004-0000-0200-000038040000}"/>
    <hyperlink ref="M1066" r:id="rId1082" xr:uid="{00000000-0004-0000-0200-000039040000}"/>
    <hyperlink ref="M1067" r:id="rId1083" xr:uid="{00000000-0004-0000-0200-00003A040000}"/>
    <hyperlink ref="M1068" r:id="rId1084" xr:uid="{00000000-0004-0000-0200-00003B040000}"/>
    <hyperlink ref="M1069" r:id="rId1085" xr:uid="{00000000-0004-0000-0200-00003C040000}"/>
    <hyperlink ref="M1070" r:id="rId1086" xr:uid="{00000000-0004-0000-0200-00003D040000}"/>
    <hyperlink ref="M1071" r:id="rId1087" xr:uid="{00000000-0004-0000-0200-00003E040000}"/>
    <hyperlink ref="M1072" r:id="rId1088" xr:uid="{00000000-0004-0000-0200-00003F040000}"/>
    <hyperlink ref="M1073" r:id="rId1089" xr:uid="{00000000-0004-0000-0200-000040040000}"/>
    <hyperlink ref="M1074" r:id="rId1090" xr:uid="{00000000-0004-0000-0200-000041040000}"/>
    <hyperlink ref="M1075" r:id="rId1091" xr:uid="{00000000-0004-0000-0200-000042040000}"/>
    <hyperlink ref="M1076" r:id="rId1092" xr:uid="{00000000-0004-0000-0200-000043040000}"/>
    <hyperlink ref="M1077" r:id="rId1093" xr:uid="{00000000-0004-0000-0200-000044040000}"/>
    <hyperlink ref="M1078" r:id="rId1094" xr:uid="{00000000-0004-0000-0200-000045040000}"/>
    <hyperlink ref="M1079" r:id="rId1095" xr:uid="{00000000-0004-0000-0200-000046040000}"/>
    <hyperlink ref="M1080" r:id="rId1096" xr:uid="{00000000-0004-0000-0200-000047040000}"/>
    <hyperlink ref="M1081" r:id="rId1097" xr:uid="{00000000-0004-0000-0200-000048040000}"/>
    <hyperlink ref="M1082" r:id="rId1098" xr:uid="{00000000-0004-0000-0200-000049040000}"/>
    <hyperlink ref="M1083" r:id="rId1099" xr:uid="{00000000-0004-0000-0200-00004A040000}"/>
    <hyperlink ref="M1084" r:id="rId1100" xr:uid="{00000000-0004-0000-0200-00004B040000}"/>
    <hyperlink ref="M1085" r:id="rId1101" xr:uid="{00000000-0004-0000-0200-00004C040000}"/>
    <hyperlink ref="M1086" r:id="rId1102" xr:uid="{00000000-0004-0000-0200-00004D040000}"/>
    <hyperlink ref="M1087" r:id="rId1103" xr:uid="{00000000-0004-0000-0200-00004E040000}"/>
    <hyperlink ref="M1088" r:id="rId1104" xr:uid="{00000000-0004-0000-0200-00004F040000}"/>
    <hyperlink ref="M1089" r:id="rId1105" xr:uid="{00000000-0004-0000-0200-000050040000}"/>
    <hyperlink ref="M1090" r:id="rId1106" xr:uid="{00000000-0004-0000-0200-000051040000}"/>
    <hyperlink ref="M1091" r:id="rId1107" xr:uid="{00000000-0004-0000-0200-000052040000}"/>
    <hyperlink ref="M1092" r:id="rId1108" xr:uid="{00000000-0004-0000-0200-000053040000}"/>
    <hyperlink ref="M1093" r:id="rId1109" xr:uid="{00000000-0004-0000-0200-000054040000}"/>
    <hyperlink ref="M1094" r:id="rId1110" xr:uid="{00000000-0004-0000-0200-000055040000}"/>
    <hyperlink ref="M1095" r:id="rId1111" xr:uid="{00000000-0004-0000-0200-000056040000}"/>
    <hyperlink ref="M1096" r:id="rId1112" xr:uid="{00000000-0004-0000-0200-000057040000}"/>
    <hyperlink ref="M1097" r:id="rId1113" xr:uid="{00000000-0004-0000-0200-000058040000}"/>
    <hyperlink ref="M1098" r:id="rId1114" xr:uid="{00000000-0004-0000-0200-000059040000}"/>
    <hyperlink ref="M1099" r:id="rId1115" xr:uid="{00000000-0004-0000-0200-00005A040000}"/>
    <hyperlink ref="M1100" r:id="rId1116" xr:uid="{00000000-0004-0000-0200-00005B040000}"/>
    <hyperlink ref="M1101" r:id="rId1117" xr:uid="{00000000-0004-0000-0200-00005C040000}"/>
    <hyperlink ref="M1102" r:id="rId1118" xr:uid="{00000000-0004-0000-0200-00005D040000}"/>
    <hyperlink ref="M1103" r:id="rId1119" xr:uid="{00000000-0004-0000-0200-00005E040000}"/>
    <hyperlink ref="M1104" r:id="rId1120" xr:uid="{00000000-0004-0000-0200-00005F040000}"/>
    <hyperlink ref="M1105" r:id="rId1121" xr:uid="{00000000-0004-0000-0200-000060040000}"/>
    <hyperlink ref="M1106" r:id="rId1122" xr:uid="{00000000-0004-0000-0200-000061040000}"/>
    <hyperlink ref="M1107" r:id="rId1123" xr:uid="{00000000-0004-0000-0200-000062040000}"/>
    <hyperlink ref="M1108" r:id="rId1124" xr:uid="{00000000-0004-0000-0200-000063040000}"/>
    <hyperlink ref="M1109" r:id="rId1125" xr:uid="{00000000-0004-0000-0200-000064040000}"/>
    <hyperlink ref="M1110" r:id="rId1126" xr:uid="{00000000-0004-0000-0200-000065040000}"/>
    <hyperlink ref="M1111" r:id="rId1127" xr:uid="{00000000-0004-0000-0200-000066040000}"/>
    <hyperlink ref="M1112" r:id="rId1128" xr:uid="{00000000-0004-0000-0200-000067040000}"/>
    <hyperlink ref="M1113" r:id="rId1129" xr:uid="{00000000-0004-0000-0200-000068040000}"/>
    <hyperlink ref="M1114" r:id="rId1130" xr:uid="{00000000-0004-0000-0200-000069040000}"/>
    <hyperlink ref="M1115" r:id="rId1131" xr:uid="{00000000-0004-0000-0200-00006A040000}"/>
    <hyperlink ref="M1116" r:id="rId1132" xr:uid="{00000000-0004-0000-0200-00006B040000}"/>
    <hyperlink ref="M1117" r:id="rId1133" xr:uid="{00000000-0004-0000-0200-00006C040000}"/>
    <hyperlink ref="M1118" r:id="rId1134" xr:uid="{00000000-0004-0000-0200-00006D040000}"/>
    <hyperlink ref="M1119" r:id="rId1135" xr:uid="{00000000-0004-0000-0200-00006E040000}"/>
    <hyperlink ref="M1120" r:id="rId1136" xr:uid="{00000000-0004-0000-0200-00006F040000}"/>
    <hyperlink ref="M1121" r:id="rId1137" xr:uid="{00000000-0004-0000-0200-000070040000}"/>
    <hyperlink ref="M1122" r:id="rId1138" xr:uid="{00000000-0004-0000-0200-000071040000}"/>
    <hyperlink ref="M1123" r:id="rId1139" xr:uid="{00000000-0004-0000-0200-000072040000}"/>
    <hyperlink ref="M1124" r:id="rId1140" xr:uid="{00000000-0004-0000-0200-000073040000}"/>
    <hyperlink ref="M1125" r:id="rId1141" xr:uid="{00000000-0004-0000-0200-000074040000}"/>
    <hyperlink ref="M1126" r:id="rId1142" xr:uid="{00000000-0004-0000-0200-000075040000}"/>
    <hyperlink ref="M1127" r:id="rId1143" xr:uid="{00000000-0004-0000-0200-000076040000}"/>
    <hyperlink ref="M1128" r:id="rId1144" xr:uid="{00000000-0004-0000-0200-000077040000}"/>
    <hyperlink ref="M1129" r:id="rId1145" xr:uid="{00000000-0004-0000-0200-000078040000}"/>
    <hyperlink ref="M1130" r:id="rId1146" xr:uid="{00000000-0004-0000-0200-000079040000}"/>
    <hyperlink ref="M1131" r:id="rId1147" xr:uid="{00000000-0004-0000-0200-00007A040000}"/>
    <hyperlink ref="M1132" r:id="rId1148" xr:uid="{00000000-0004-0000-0200-00007B040000}"/>
    <hyperlink ref="M1133" r:id="rId1149" xr:uid="{00000000-0004-0000-0200-00007C040000}"/>
    <hyperlink ref="M1134" r:id="rId1150" xr:uid="{00000000-0004-0000-0200-00007D040000}"/>
    <hyperlink ref="M1135" r:id="rId1151" xr:uid="{00000000-0004-0000-0200-00007E040000}"/>
    <hyperlink ref="M1136" r:id="rId1152" xr:uid="{00000000-0004-0000-0200-00007F040000}"/>
    <hyperlink ref="M1137" r:id="rId1153" xr:uid="{00000000-0004-0000-0200-000080040000}"/>
    <hyperlink ref="M1138" r:id="rId1154" xr:uid="{00000000-0004-0000-0200-000081040000}"/>
    <hyperlink ref="M1139" r:id="rId1155" xr:uid="{00000000-0004-0000-0200-000082040000}"/>
    <hyperlink ref="M1140" r:id="rId1156" xr:uid="{00000000-0004-0000-0200-000083040000}"/>
    <hyperlink ref="M1141" r:id="rId1157" xr:uid="{00000000-0004-0000-0200-000084040000}"/>
    <hyperlink ref="M1142" r:id="rId1158" xr:uid="{00000000-0004-0000-0200-000085040000}"/>
    <hyperlink ref="M1143" r:id="rId1159" xr:uid="{00000000-0004-0000-0200-000086040000}"/>
    <hyperlink ref="M1144" r:id="rId1160" xr:uid="{00000000-0004-0000-0200-000087040000}"/>
    <hyperlink ref="M1145" r:id="rId1161" xr:uid="{00000000-0004-0000-0200-000088040000}"/>
    <hyperlink ref="M1146" r:id="rId1162" xr:uid="{00000000-0004-0000-0200-000089040000}"/>
    <hyperlink ref="M1147" r:id="rId1163" xr:uid="{00000000-0004-0000-0200-00008A040000}"/>
    <hyperlink ref="M1148" r:id="rId1164" xr:uid="{00000000-0004-0000-0200-00008B040000}"/>
    <hyperlink ref="M1149" r:id="rId1165" xr:uid="{00000000-0004-0000-0200-00008C040000}"/>
    <hyperlink ref="M1150" r:id="rId1166" xr:uid="{00000000-0004-0000-0200-00008D040000}"/>
    <hyperlink ref="M1151" r:id="rId1167" xr:uid="{00000000-0004-0000-0200-00008E040000}"/>
    <hyperlink ref="M1152" r:id="rId1168" xr:uid="{00000000-0004-0000-0200-00008F040000}"/>
    <hyperlink ref="M1153" r:id="rId1169" xr:uid="{00000000-0004-0000-0200-000090040000}"/>
    <hyperlink ref="M1154" r:id="rId1170" xr:uid="{00000000-0004-0000-0200-000091040000}"/>
    <hyperlink ref="M1155" r:id="rId1171" xr:uid="{00000000-0004-0000-0200-000092040000}"/>
    <hyperlink ref="M1156" r:id="rId1172" xr:uid="{00000000-0004-0000-0200-000093040000}"/>
    <hyperlink ref="M1157" r:id="rId1173" xr:uid="{00000000-0004-0000-0200-000094040000}"/>
    <hyperlink ref="M1158" r:id="rId1174" xr:uid="{00000000-0004-0000-0200-000095040000}"/>
    <hyperlink ref="M1159" r:id="rId1175" xr:uid="{00000000-0004-0000-0200-000096040000}"/>
    <hyperlink ref="M1160" r:id="rId1176" xr:uid="{00000000-0004-0000-0200-000097040000}"/>
    <hyperlink ref="M1161" r:id="rId1177" xr:uid="{00000000-0004-0000-0200-000098040000}"/>
    <hyperlink ref="M1162" r:id="rId1178" xr:uid="{00000000-0004-0000-0200-000099040000}"/>
    <hyperlink ref="M1163" r:id="rId1179" xr:uid="{00000000-0004-0000-0200-00009A040000}"/>
    <hyperlink ref="M1164" r:id="rId1180" xr:uid="{00000000-0004-0000-0200-00009B040000}"/>
    <hyperlink ref="M1165" r:id="rId1181" xr:uid="{00000000-0004-0000-0200-00009C040000}"/>
    <hyperlink ref="M1166" r:id="rId1182" xr:uid="{00000000-0004-0000-0200-00009D040000}"/>
    <hyperlink ref="M1167" r:id="rId1183" xr:uid="{00000000-0004-0000-0200-00009E040000}"/>
    <hyperlink ref="M1168" r:id="rId1184" xr:uid="{00000000-0004-0000-0200-00009F040000}"/>
    <hyperlink ref="M1169" r:id="rId1185" xr:uid="{00000000-0004-0000-0200-0000A0040000}"/>
    <hyperlink ref="M1170" r:id="rId1186" xr:uid="{00000000-0004-0000-0200-0000A1040000}"/>
    <hyperlink ref="M1171" r:id="rId1187" xr:uid="{00000000-0004-0000-0200-0000A2040000}"/>
    <hyperlink ref="M1172" r:id="rId1188" xr:uid="{00000000-0004-0000-0200-0000A3040000}"/>
    <hyperlink ref="M1173" r:id="rId1189" xr:uid="{00000000-0004-0000-0200-0000A4040000}"/>
    <hyperlink ref="M1174" r:id="rId1190" xr:uid="{00000000-0004-0000-0200-0000A5040000}"/>
    <hyperlink ref="M1175" r:id="rId1191" xr:uid="{00000000-0004-0000-0200-0000A6040000}"/>
    <hyperlink ref="M1176" r:id="rId1192" xr:uid="{00000000-0004-0000-0200-0000A7040000}"/>
    <hyperlink ref="M1177" r:id="rId1193" xr:uid="{00000000-0004-0000-0200-0000A8040000}"/>
    <hyperlink ref="M1178" r:id="rId1194" xr:uid="{00000000-0004-0000-0200-0000A9040000}"/>
    <hyperlink ref="M1179" r:id="rId1195" xr:uid="{00000000-0004-0000-0200-0000AA040000}"/>
    <hyperlink ref="M1180" r:id="rId1196" xr:uid="{00000000-0004-0000-0200-0000AB040000}"/>
    <hyperlink ref="M1181" r:id="rId1197" xr:uid="{00000000-0004-0000-0200-0000AC040000}"/>
    <hyperlink ref="M1182" r:id="rId1198" xr:uid="{00000000-0004-0000-0200-0000AD040000}"/>
    <hyperlink ref="M1183" r:id="rId1199" xr:uid="{00000000-0004-0000-0200-0000AE040000}"/>
    <hyperlink ref="M1184" r:id="rId1200" xr:uid="{00000000-0004-0000-0200-0000AF040000}"/>
    <hyperlink ref="M1185" r:id="rId1201" xr:uid="{00000000-0004-0000-0200-0000B0040000}"/>
    <hyperlink ref="M1186" r:id="rId1202" xr:uid="{00000000-0004-0000-0200-0000B1040000}"/>
    <hyperlink ref="M1187" r:id="rId1203" xr:uid="{00000000-0004-0000-0200-0000B2040000}"/>
    <hyperlink ref="M1188" r:id="rId1204" xr:uid="{00000000-0004-0000-0200-0000B3040000}"/>
    <hyperlink ref="M1189" r:id="rId1205" xr:uid="{00000000-0004-0000-0200-0000B4040000}"/>
    <hyperlink ref="M1190" r:id="rId1206" xr:uid="{00000000-0004-0000-0200-0000B5040000}"/>
    <hyperlink ref="M1191" r:id="rId1207" xr:uid="{00000000-0004-0000-0200-0000B6040000}"/>
    <hyperlink ref="M1192" r:id="rId1208" xr:uid="{00000000-0004-0000-0200-0000B7040000}"/>
    <hyperlink ref="M1193" r:id="rId1209" xr:uid="{00000000-0004-0000-0200-0000B8040000}"/>
    <hyperlink ref="M1194" r:id="rId1210" xr:uid="{00000000-0004-0000-0200-0000B9040000}"/>
    <hyperlink ref="M1195" r:id="rId1211" xr:uid="{00000000-0004-0000-0200-0000BA040000}"/>
    <hyperlink ref="M1196" r:id="rId1212" xr:uid="{00000000-0004-0000-0200-0000BB040000}"/>
    <hyperlink ref="M1197" r:id="rId1213" xr:uid="{00000000-0004-0000-0200-0000BC040000}"/>
    <hyperlink ref="M1198" r:id="rId1214" xr:uid="{00000000-0004-0000-0200-0000BD040000}"/>
    <hyperlink ref="M1199" r:id="rId1215" xr:uid="{00000000-0004-0000-0200-0000BE040000}"/>
    <hyperlink ref="M1200" r:id="rId1216" xr:uid="{00000000-0004-0000-0200-0000BF040000}"/>
    <hyperlink ref="M1201" r:id="rId1217" xr:uid="{00000000-0004-0000-0200-0000C0040000}"/>
    <hyperlink ref="M1202" r:id="rId1218" xr:uid="{00000000-0004-0000-0200-0000C1040000}"/>
    <hyperlink ref="M1203" r:id="rId1219" xr:uid="{00000000-0004-0000-0200-0000C2040000}"/>
    <hyperlink ref="M1204" r:id="rId1220" xr:uid="{00000000-0004-0000-0200-0000C3040000}"/>
    <hyperlink ref="M1205" r:id="rId1221" xr:uid="{00000000-0004-0000-0200-0000C4040000}"/>
    <hyperlink ref="M1206" r:id="rId1222" xr:uid="{00000000-0004-0000-0200-0000C5040000}"/>
    <hyperlink ref="M1207" r:id="rId1223" xr:uid="{00000000-0004-0000-0200-0000C6040000}"/>
    <hyperlink ref="M1208" r:id="rId1224" xr:uid="{00000000-0004-0000-0200-0000C7040000}"/>
    <hyperlink ref="M1209" r:id="rId1225" xr:uid="{00000000-0004-0000-0200-0000C8040000}"/>
    <hyperlink ref="M1210" r:id="rId1226" xr:uid="{00000000-0004-0000-0200-0000C9040000}"/>
    <hyperlink ref="M1211" r:id="rId1227" xr:uid="{00000000-0004-0000-0200-0000CA040000}"/>
    <hyperlink ref="M1212" r:id="rId1228" xr:uid="{00000000-0004-0000-0200-0000CB040000}"/>
    <hyperlink ref="M1213" r:id="rId1229" xr:uid="{00000000-0004-0000-0200-0000CC040000}"/>
    <hyperlink ref="M1214" r:id="rId1230" xr:uid="{00000000-0004-0000-0200-0000CD040000}"/>
    <hyperlink ref="M1215" r:id="rId1231" xr:uid="{00000000-0004-0000-0200-0000CE040000}"/>
    <hyperlink ref="M1216" r:id="rId1232" xr:uid="{00000000-0004-0000-0200-0000CF040000}"/>
    <hyperlink ref="M1217" r:id="rId1233" xr:uid="{00000000-0004-0000-0200-0000D0040000}"/>
    <hyperlink ref="M1218" r:id="rId1234" xr:uid="{00000000-0004-0000-0200-0000D1040000}"/>
    <hyperlink ref="M1219" r:id="rId1235" xr:uid="{00000000-0004-0000-0200-0000D2040000}"/>
    <hyperlink ref="M1220" r:id="rId1236" xr:uid="{00000000-0004-0000-0200-0000D3040000}"/>
    <hyperlink ref="M1221" r:id="rId1237" xr:uid="{00000000-0004-0000-0200-0000D4040000}"/>
    <hyperlink ref="M1222" r:id="rId1238" xr:uid="{00000000-0004-0000-0200-0000D5040000}"/>
    <hyperlink ref="M1223" r:id="rId1239" xr:uid="{00000000-0004-0000-0200-0000D6040000}"/>
    <hyperlink ref="M1224" r:id="rId1240" xr:uid="{00000000-0004-0000-0200-0000D7040000}"/>
    <hyperlink ref="M1225" r:id="rId1241" xr:uid="{00000000-0004-0000-0200-0000D8040000}"/>
    <hyperlink ref="M1226" r:id="rId1242" xr:uid="{00000000-0004-0000-0200-0000D9040000}"/>
    <hyperlink ref="M1227" r:id="rId1243" xr:uid="{00000000-0004-0000-0200-0000DA040000}"/>
    <hyperlink ref="M1228" r:id="rId1244" xr:uid="{00000000-0004-0000-0200-0000DB040000}"/>
    <hyperlink ref="M1229" r:id="rId1245" xr:uid="{00000000-0004-0000-0200-0000DC040000}"/>
    <hyperlink ref="M1230" r:id="rId1246" xr:uid="{00000000-0004-0000-0200-0000DD040000}"/>
    <hyperlink ref="M1231" r:id="rId1247" xr:uid="{00000000-0004-0000-0200-0000DE040000}"/>
    <hyperlink ref="M1232" r:id="rId1248" xr:uid="{00000000-0004-0000-0200-0000DF040000}"/>
    <hyperlink ref="M1233" r:id="rId1249" xr:uid="{00000000-0004-0000-0200-0000E0040000}"/>
    <hyperlink ref="M1234" r:id="rId1250" xr:uid="{00000000-0004-0000-0200-0000E1040000}"/>
    <hyperlink ref="M1235" r:id="rId1251" xr:uid="{00000000-0004-0000-0200-0000E2040000}"/>
    <hyperlink ref="M1236" r:id="rId1252" xr:uid="{00000000-0004-0000-0200-0000E3040000}"/>
    <hyperlink ref="M1237" r:id="rId1253" xr:uid="{00000000-0004-0000-0200-0000E4040000}"/>
    <hyperlink ref="M1238" r:id="rId1254" xr:uid="{00000000-0004-0000-0200-0000E5040000}"/>
    <hyperlink ref="M1239" r:id="rId1255" xr:uid="{00000000-0004-0000-0200-0000E6040000}"/>
    <hyperlink ref="M1240" r:id="rId1256" xr:uid="{00000000-0004-0000-0200-0000E7040000}"/>
    <hyperlink ref="M1241" r:id="rId1257" xr:uid="{00000000-0004-0000-0200-0000E8040000}"/>
    <hyperlink ref="M1242" r:id="rId1258" xr:uid="{00000000-0004-0000-0200-0000E9040000}"/>
    <hyperlink ref="M1243" r:id="rId1259" xr:uid="{00000000-0004-0000-0200-0000EA040000}"/>
    <hyperlink ref="M1244" r:id="rId1260" xr:uid="{00000000-0004-0000-0200-0000EB040000}"/>
    <hyperlink ref="M1245" r:id="rId1261" xr:uid="{00000000-0004-0000-0200-0000EC040000}"/>
    <hyperlink ref="M1246" r:id="rId1262" xr:uid="{00000000-0004-0000-0200-0000ED040000}"/>
    <hyperlink ref="M1247" r:id="rId1263" xr:uid="{00000000-0004-0000-0200-0000EE040000}"/>
    <hyperlink ref="M1248" r:id="rId1264" xr:uid="{00000000-0004-0000-0200-0000EF040000}"/>
    <hyperlink ref="M1249" r:id="rId1265" xr:uid="{00000000-0004-0000-0200-0000F0040000}"/>
    <hyperlink ref="M1250" r:id="rId1266" xr:uid="{00000000-0004-0000-0200-0000F1040000}"/>
    <hyperlink ref="M1251" r:id="rId1267" xr:uid="{00000000-0004-0000-0200-0000F2040000}"/>
    <hyperlink ref="M1252" r:id="rId1268" xr:uid="{00000000-0004-0000-0200-0000F3040000}"/>
    <hyperlink ref="M1253" r:id="rId1269" xr:uid="{00000000-0004-0000-0200-0000F4040000}"/>
    <hyperlink ref="M1254" r:id="rId1270" xr:uid="{00000000-0004-0000-0200-0000F5040000}"/>
    <hyperlink ref="M1255" r:id="rId1271" xr:uid="{00000000-0004-0000-0200-0000F6040000}"/>
    <hyperlink ref="M1256" r:id="rId1272" xr:uid="{00000000-0004-0000-0200-0000F7040000}"/>
    <hyperlink ref="M1257" r:id="rId1273" xr:uid="{00000000-0004-0000-0200-0000F8040000}"/>
    <hyperlink ref="M1258" r:id="rId1274" xr:uid="{00000000-0004-0000-0200-0000F9040000}"/>
    <hyperlink ref="M1259" r:id="rId1275" xr:uid="{00000000-0004-0000-0200-0000FA040000}"/>
    <hyperlink ref="M1260" r:id="rId1276" xr:uid="{00000000-0004-0000-0200-0000FB040000}"/>
    <hyperlink ref="M1261" r:id="rId1277" xr:uid="{00000000-0004-0000-0200-0000FC040000}"/>
    <hyperlink ref="M1262" r:id="rId1278" xr:uid="{00000000-0004-0000-0200-0000FD040000}"/>
    <hyperlink ref="M1263" r:id="rId1279" xr:uid="{00000000-0004-0000-0200-0000FE040000}"/>
    <hyperlink ref="M1264" r:id="rId1280" xr:uid="{00000000-0004-0000-0200-0000FF040000}"/>
    <hyperlink ref="M1265" r:id="rId1281" xr:uid="{00000000-0004-0000-0200-000000050000}"/>
    <hyperlink ref="M1266" r:id="rId1282" xr:uid="{00000000-0004-0000-0200-000001050000}"/>
    <hyperlink ref="M1267" r:id="rId1283" xr:uid="{00000000-0004-0000-0200-000002050000}"/>
    <hyperlink ref="M1268" r:id="rId1284" xr:uid="{00000000-0004-0000-0200-000003050000}"/>
    <hyperlink ref="M1269" r:id="rId1285" xr:uid="{00000000-0004-0000-0200-000004050000}"/>
    <hyperlink ref="M1270" r:id="rId1286" xr:uid="{00000000-0004-0000-0200-000005050000}"/>
    <hyperlink ref="M1271" r:id="rId1287" xr:uid="{00000000-0004-0000-0200-000006050000}"/>
    <hyperlink ref="M1272" r:id="rId1288" xr:uid="{00000000-0004-0000-0200-000007050000}"/>
    <hyperlink ref="M1273" r:id="rId1289" xr:uid="{00000000-0004-0000-0200-000008050000}"/>
    <hyperlink ref="M1274" r:id="rId1290" xr:uid="{00000000-0004-0000-0200-000009050000}"/>
    <hyperlink ref="M1275" r:id="rId1291" xr:uid="{00000000-0004-0000-0200-00000A050000}"/>
    <hyperlink ref="M1276" r:id="rId1292" xr:uid="{00000000-0004-0000-0200-00000B050000}"/>
    <hyperlink ref="M1277" r:id="rId1293" xr:uid="{00000000-0004-0000-0200-00000C050000}"/>
    <hyperlink ref="M1278" r:id="rId1294" xr:uid="{00000000-0004-0000-0200-00000D050000}"/>
    <hyperlink ref="M1279" r:id="rId1295" xr:uid="{00000000-0004-0000-0200-00000E050000}"/>
    <hyperlink ref="M1280" r:id="rId1296" xr:uid="{00000000-0004-0000-0200-00000F050000}"/>
    <hyperlink ref="M1281" r:id="rId1297" xr:uid="{00000000-0004-0000-0200-000010050000}"/>
    <hyperlink ref="M1282" r:id="rId1298" xr:uid="{00000000-0004-0000-0200-000011050000}"/>
    <hyperlink ref="M1283" r:id="rId1299" xr:uid="{00000000-0004-0000-0200-000012050000}"/>
    <hyperlink ref="M1284" r:id="rId1300" xr:uid="{00000000-0004-0000-0200-000013050000}"/>
    <hyperlink ref="M1285" r:id="rId1301" xr:uid="{00000000-0004-0000-0200-000014050000}"/>
    <hyperlink ref="M1286" r:id="rId1302" xr:uid="{00000000-0004-0000-0200-000015050000}"/>
    <hyperlink ref="M1287" r:id="rId1303" xr:uid="{00000000-0004-0000-0200-000016050000}"/>
    <hyperlink ref="M1288" r:id="rId1304" xr:uid="{00000000-0004-0000-0200-000017050000}"/>
    <hyperlink ref="M1289" r:id="rId1305" xr:uid="{00000000-0004-0000-0200-000018050000}"/>
    <hyperlink ref="M1290" r:id="rId1306" xr:uid="{00000000-0004-0000-0200-000019050000}"/>
    <hyperlink ref="M1291" r:id="rId1307" xr:uid="{00000000-0004-0000-0200-00001A050000}"/>
    <hyperlink ref="M1292" r:id="rId1308" xr:uid="{00000000-0004-0000-0200-00001B050000}"/>
    <hyperlink ref="M1293" r:id="rId1309" xr:uid="{00000000-0004-0000-0200-00001C050000}"/>
    <hyperlink ref="M1294" r:id="rId1310" xr:uid="{00000000-0004-0000-0200-00001D050000}"/>
    <hyperlink ref="M1295" r:id="rId1311" xr:uid="{00000000-0004-0000-0200-00001E050000}"/>
    <hyperlink ref="M1296" r:id="rId1312" xr:uid="{00000000-0004-0000-0200-00001F050000}"/>
    <hyperlink ref="M1297" r:id="rId1313" xr:uid="{00000000-0004-0000-0200-000020050000}"/>
    <hyperlink ref="M1298" r:id="rId1314" xr:uid="{00000000-0004-0000-0200-000021050000}"/>
    <hyperlink ref="M1299" r:id="rId1315" xr:uid="{00000000-0004-0000-0200-000022050000}"/>
    <hyperlink ref="M1300" r:id="rId1316" xr:uid="{00000000-0004-0000-0200-000023050000}"/>
    <hyperlink ref="M1301" r:id="rId1317" xr:uid="{00000000-0004-0000-0200-000024050000}"/>
    <hyperlink ref="M1302" r:id="rId1318" xr:uid="{00000000-0004-0000-0200-000025050000}"/>
    <hyperlink ref="M1303" r:id="rId1319" xr:uid="{00000000-0004-0000-0200-000026050000}"/>
    <hyperlink ref="M1304" r:id="rId1320" xr:uid="{00000000-0004-0000-0200-000027050000}"/>
    <hyperlink ref="M1305" r:id="rId1321" xr:uid="{00000000-0004-0000-0200-000028050000}"/>
    <hyperlink ref="M1306" r:id="rId1322" xr:uid="{00000000-0004-0000-0200-000029050000}"/>
    <hyperlink ref="M1307" r:id="rId1323" xr:uid="{00000000-0004-0000-0200-00002A050000}"/>
    <hyperlink ref="M1308" r:id="rId1324" xr:uid="{00000000-0004-0000-0200-00002B050000}"/>
    <hyperlink ref="M1309" r:id="rId1325" xr:uid="{00000000-0004-0000-0200-00002C050000}"/>
    <hyperlink ref="M1310" r:id="rId1326" xr:uid="{00000000-0004-0000-0200-00002D050000}"/>
    <hyperlink ref="M1311" r:id="rId1327" xr:uid="{00000000-0004-0000-0200-00002E050000}"/>
    <hyperlink ref="M1312" r:id="rId1328" xr:uid="{00000000-0004-0000-0200-00002F050000}"/>
    <hyperlink ref="M1313" r:id="rId1329" xr:uid="{00000000-0004-0000-0200-000030050000}"/>
    <hyperlink ref="M1314" r:id="rId1330" xr:uid="{00000000-0004-0000-0200-000031050000}"/>
    <hyperlink ref="M1315" r:id="rId1331" xr:uid="{00000000-0004-0000-0200-000032050000}"/>
    <hyperlink ref="M1316" r:id="rId1332" xr:uid="{00000000-0004-0000-0200-000033050000}"/>
    <hyperlink ref="M1317" r:id="rId1333" xr:uid="{00000000-0004-0000-0200-000034050000}"/>
    <hyperlink ref="M1318" r:id="rId1334" xr:uid="{00000000-0004-0000-0200-000035050000}"/>
    <hyperlink ref="M1319" r:id="rId1335" xr:uid="{00000000-0004-0000-0200-000036050000}"/>
    <hyperlink ref="M1320" r:id="rId1336" xr:uid="{00000000-0004-0000-0200-000037050000}"/>
    <hyperlink ref="M1321" r:id="rId1337" xr:uid="{00000000-0004-0000-0200-000038050000}"/>
    <hyperlink ref="M1322" r:id="rId1338" xr:uid="{00000000-0004-0000-0200-000039050000}"/>
    <hyperlink ref="M1323" r:id="rId1339" xr:uid="{00000000-0004-0000-0200-00003A050000}"/>
    <hyperlink ref="M1324" r:id="rId1340" xr:uid="{00000000-0004-0000-0200-00003B050000}"/>
    <hyperlink ref="M1325" r:id="rId1341" xr:uid="{00000000-0004-0000-0200-00003C050000}"/>
    <hyperlink ref="M1326" r:id="rId1342" xr:uid="{00000000-0004-0000-0200-00003D050000}"/>
    <hyperlink ref="M1327" r:id="rId1343" xr:uid="{00000000-0004-0000-0200-00003E050000}"/>
    <hyperlink ref="M1328" r:id="rId1344" xr:uid="{00000000-0004-0000-0200-00003F050000}"/>
    <hyperlink ref="M1329" r:id="rId1345" xr:uid="{00000000-0004-0000-0200-000040050000}"/>
    <hyperlink ref="M1330" r:id="rId1346" xr:uid="{00000000-0004-0000-0200-000041050000}"/>
    <hyperlink ref="M1331" r:id="rId1347" xr:uid="{00000000-0004-0000-0200-000042050000}"/>
    <hyperlink ref="M1332" r:id="rId1348" xr:uid="{00000000-0004-0000-0200-000043050000}"/>
    <hyperlink ref="M1333" r:id="rId1349" xr:uid="{00000000-0004-0000-0200-000044050000}"/>
    <hyperlink ref="M1334" r:id="rId1350" xr:uid="{00000000-0004-0000-0200-000045050000}"/>
    <hyperlink ref="M1335" r:id="rId1351" xr:uid="{00000000-0004-0000-0200-000046050000}"/>
    <hyperlink ref="M1336" r:id="rId1352" xr:uid="{00000000-0004-0000-0200-000047050000}"/>
    <hyperlink ref="M1337" r:id="rId1353" xr:uid="{00000000-0004-0000-0200-000048050000}"/>
    <hyperlink ref="M1338" r:id="rId1354" xr:uid="{00000000-0004-0000-0200-000049050000}"/>
    <hyperlink ref="M1339" r:id="rId1355" xr:uid="{00000000-0004-0000-0200-00004A050000}"/>
    <hyperlink ref="M1340" r:id="rId1356" xr:uid="{00000000-0004-0000-0200-00004B050000}"/>
    <hyperlink ref="M1341" r:id="rId1357" xr:uid="{00000000-0004-0000-0200-00004C050000}"/>
    <hyperlink ref="M1342" r:id="rId1358" xr:uid="{00000000-0004-0000-0200-00004D050000}"/>
    <hyperlink ref="M1343" r:id="rId1359" xr:uid="{00000000-0004-0000-0200-00004E050000}"/>
    <hyperlink ref="M1344" r:id="rId1360" xr:uid="{00000000-0004-0000-0200-00004F050000}"/>
    <hyperlink ref="M1345" r:id="rId1361" xr:uid="{00000000-0004-0000-0200-000050050000}"/>
    <hyperlink ref="M1346" r:id="rId1362" xr:uid="{00000000-0004-0000-0200-000051050000}"/>
    <hyperlink ref="M1347" r:id="rId1363" xr:uid="{00000000-0004-0000-0200-000052050000}"/>
    <hyperlink ref="M1348" r:id="rId1364" xr:uid="{00000000-0004-0000-0200-000053050000}"/>
    <hyperlink ref="M1349" r:id="rId1365" xr:uid="{00000000-0004-0000-0200-000054050000}"/>
    <hyperlink ref="M1350" r:id="rId1366" xr:uid="{00000000-0004-0000-0200-000055050000}"/>
    <hyperlink ref="M1351" r:id="rId1367" xr:uid="{00000000-0004-0000-0200-000056050000}"/>
    <hyperlink ref="M1352" r:id="rId1368" xr:uid="{00000000-0004-0000-0200-000057050000}"/>
    <hyperlink ref="M1353" r:id="rId1369" xr:uid="{00000000-0004-0000-0200-000058050000}"/>
    <hyperlink ref="M1354" r:id="rId1370" xr:uid="{00000000-0004-0000-0200-000059050000}"/>
    <hyperlink ref="M1355" r:id="rId1371" xr:uid="{00000000-0004-0000-0200-00005A050000}"/>
    <hyperlink ref="M1356" r:id="rId1372" xr:uid="{00000000-0004-0000-0200-00005B050000}"/>
    <hyperlink ref="M1357" r:id="rId1373" xr:uid="{00000000-0004-0000-0200-00005C050000}"/>
    <hyperlink ref="M1358" r:id="rId1374" xr:uid="{00000000-0004-0000-0200-00005D050000}"/>
    <hyperlink ref="M1359" r:id="rId1375" xr:uid="{00000000-0004-0000-0200-00005E050000}"/>
    <hyperlink ref="M1360" r:id="rId1376" xr:uid="{00000000-0004-0000-0200-00005F050000}"/>
    <hyperlink ref="M1361" r:id="rId1377" xr:uid="{00000000-0004-0000-0200-000060050000}"/>
    <hyperlink ref="M1362" r:id="rId1378" xr:uid="{00000000-0004-0000-0200-000061050000}"/>
    <hyperlink ref="M1363" r:id="rId1379" xr:uid="{00000000-0004-0000-0200-000062050000}"/>
    <hyperlink ref="M1364" r:id="rId1380" xr:uid="{00000000-0004-0000-0200-000063050000}"/>
    <hyperlink ref="M1365" r:id="rId1381" xr:uid="{00000000-0004-0000-0200-000064050000}"/>
    <hyperlink ref="M1366" r:id="rId1382" xr:uid="{00000000-0004-0000-0200-000065050000}"/>
    <hyperlink ref="M1367" r:id="rId1383" xr:uid="{00000000-0004-0000-0200-000066050000}"/>
    <hyperlink ref="M1368" r:id="rId1384" xr:uid="{00000000-0004-0000-0200-000067050000}"/>
    <hyperlink ref="M1369" r:id="rId1385" xr:uid="{00000000-0004-0000-0200-000068050000}"/>
    <hyperlink ref="M1370" r:id="rId1386" xr:uid="{00000000-0004-0000-0200-000069050000}"/>
    <hyperlink ref="M1371" r:id="rId1387" xr:uid="{00000000-0004-0000-0200-00006A050000}"/>
    <hyperlink ref="M1372" r:id="rId1388" xr:uid="{00000000-0004-0000-0200-00006B050000}"/>
    <hyperlink ref="M1373" r:id="rId1389" xr:uid="{00000000-0004-0000-0200-00006C050000}"/>
    <hyperlink ref="M1374" r:id="rId1390" xr:uid="{00000000-0004-0000-0200-00006D050000}"/>
    <hyperlink ref="M1375" r:id="rId1391" xr:uid="{00000000-0004-0000-0200-00006E050000}"/>
    <hyperlink ref="M1376" r:id="rId1392" xr:uid="{00000000-0004-0000-0200-00006F050000}"/>
    <hyperlink ref="M1377" r:id="rId1393" xr:uid="{00000000-0004-0000-0200-000070050000}"/>
    <hyperlink ref="M1378" r:id="rId1394" xr:uid="{00000000-0004-0000-0200-000071050000}"/>
    <hyperlink ref="M1379" r:id="rId1395" xr:uid="{00000000-0004-0000-0200-000072050000}"/>
    <hyperlink ref="M1380" r:id="rId1396" xr:uid="{00000000-0004-0000-0200-000073050000}"/>
    <hyperlink ref="M1381" r:id="rId1397" xr:uid="{00000000-0004-0000-0200-000074050000}"/>
    <hyperlink ref="M1382" r:id="rId1398" xr:uid="{00000000-0004-0000-0200-000075050000}"/>
    <hyperlink ref="M1383" r:id="rId1399" xr:uid="{00000000-0004-0000-0200-000076050000}"/>
    <hyperlink ref="M1384" r:id="rId1400" xr:uid="{00000000-0004-0000-0200-000077050000}"/>
    <hyperlink ref="M1385" r:id="rId1401" xr:uid="{00000000-0004-0000-0200-000078050000}"/>
    <hyperlink ref="M1386" r:id="rId1402" xr:uid="{00000000-0004-0000-0200-000079050000}"/>
    <hyperlink ref="M1387" r:id="rId1403" xr:uid="{00000000-0004-0000-0200-00007A050000}"/>
    <hyperlink ref="M1388" r:id="rId1404" xr:uid="{00000000-0004-0000-0200-00007B050000}"/>
    <hyperlink ref="M1389" r:id="rId1405" xr:uid="{00000000-0004-0000-0200-00007C050000}"/>
    <hyperlink ref="M1390" r:id="rId1406" xr:uid="{00000000-0004-0000-0200-00007D050000}"/>
    <hyperlink ref="M1391" r:id="rId1407" xr:uid="{00000000-0004-0000-0200-00007E050000}"/>
    <hyperlink ref="M1392" r:id="rId1408" xr:uid="{00000000-0004-0000-0200-00007F050000}"/>
    <hyperlink ref="M1393" r:id="rId1409" xr:uid="{00000000-0004-0000-0200-000080050000}"/>
    <hyperlink ref="M1394" r:id="rId1410" xr:uid="{00000000-0004-0000-0200-000081050000}"/>
    <hyperlink ref="M1395" r:id="rId1411" xr:uid="{00000000-0004-0000-0200-000082050000}"/>
    <hyperlink ref="M1396" r:id="rId1412" xr:uid="{00000000-0004-0000-0200-000083050000}"/>
    <hyperlink ref="M1397" r:id="rId1413" xr:uid="{00000000-0004-0000-0200-000084050000}"/>
    <hyperlink ref="M1398" r:id="rId1414" xr:uid="{00000000-0004-0000-0200-000085050000}"/>
    <hyperlink ref="M1399" r:id="rId1415" xr:uid="{00000000-0004-0000-0200-000086050000}"/>
    <hyperlink ref="M1400" r:id="rId1416" xr:uid="{00000000-0004-0000-0200-000087050000}"/>
    <hyperlink ref="M1401" r:id="rId1417" xr:uid="{00000000-0004-0000-0200-000088050000}"/>
    <hyperlink ref="M1402" r:id="rId1418" xr:uid="{00000000-0004-0000-0200-000089050000}"/>
    <hyperlink ref="M1403" r:id="rId1419" xr:uid="{00000000-0004-0000-0200-00008A050000}"/>
    <hyperlink ref="M1404" r:id="rId1420" xr:uid="{00000000-0004-0000-0200-00008B050000}"/>
    <hyperlink ref="M1405" r:id="rId1421" xr:uid="{00000000-0004-0000-0200-00008C050000}"/>
    <hyperlink ref="M1406" r:id="rId1422" xr:uid="{00000000-0004-0000-0200-00008D050000}"/>
    <hyperlink ref="M1407" r:id="rId1423" xr:uid="{00000000-0004-0000-0200-00008E050000}"/>
    <hyperlink ref="M1408" r:id="rId1424" xr:uid="{00000000-0004-0000-0200-00008F050000}"/>
    <hyperlink ref="M1409" r:id="rId1425" xr:uid="{00000000-0004-0000-0200-000090050000}"/>
    <hyperlink ref="M1410" r:id="rId1426" xr:uid="{00000000-0004-0000-0200-000091050000}"/>
    <hyperlink ref="M1411" r:id="rId1427" xr:uid="{00000000-0004-0000-0200-000092050000}"/>
    <hyperlink ref="M1412" r:id="rId1428" xr:uid="{00000000-0004-0000-0200-000093050000}"/>
    <hyperlink ref="M1413" r:id="rId1429" xr:uid="{00000000-0004-0000-0200-000094050000}"/>
    <hyperlink ref="M1414" r:id="rId1430" xr:uid="{00000000-0004-0000-0200-000095050000}"/>
    <hyperlink ref="M1415" r:id="rId1431" xr:uid="{00000000-0004-0000-0200-000096050000}"/>
    <hyperlink ref="M1416" r:id="rId1432" xr:uid="{00000000-0004-0000-0200-000097050000}"/>
    <hyperlink ref="M1417" r:id="rId1433" xr:uid="{00000000-0004-0000-0200-000098050000}"/>
    <hyperlink ref="M1418" r:id="rId1434" xr:uid="{00000000-0004-0000-0200-000099050000}"/>
    <hyperlink ref="M1419" r:id="rId1435" xr:uid="{00000000-0004-0000-0200-00009A050000}"/>
    <hyperlink ref="M1420" r:id="rId1436" xr:uid="{00000000-0004-0000-0200-00009B050000}"/>
    <hyperlink ref="M1421" r:id="rId1437" xr:uid="{00000000-0004-0000-0200-00009C050000}"/>
    <hyperlink ref="M1422" r:id="rId1438" xr:uid="{00000000-0004-0000-0200-00009D050000}"/>
    <hyperlink ref="M1423" r:id="rId1439" xr:uid="{00000000-0004-0000-0200-00009E050000}"/>
    <hyperlink ref="M1424" r:id="rId1440" xr:uid="{00000000-0004-0000-0200-00009F050000}"/>
    <hyperlink ref="M1425" r:id="rId1441" xr:uid="{00000000-0004-0000-0200-0000A0050000}"/>
    <hyperlink ref="M1426" r:id="rId1442" xr:uid="{00000000-0004-0000-0200-0000A1050000}"/>
    <hyperlink ref="M1427" r:id="rId1443" xr:uid="{00000000-0004-0000-0200-0000A2050000}"/>
    <hyperlink ref="M1428" r:id="rId1444" xr:uid="{00000000-0004-0000-0200-0000A3050000}"/>
    <hyperlink ref="M1429" r:id="rId1445" xr:uid="{00000000-0004-0000-0200-0000A4050000}"/>
    <hyperlink ref="M1430" r:id="rId1446" xr:uid="{00000000-0004-0000-0200-0000A5050000}"/>
    <hyperlink ref="M1431" r:id="rId1447" xr:uid="{00000000-0004-0000-0200-0000A6050000}"/>
    <hyperlink ref="M1432" r:id="rId1448" xr:uid="{00000000-0004-0000-0200-0000A7050000}"/>
    <hyperlink ref="M1433" r:id="rId1449" xr:uid="{00000000-0004-0000-0200-0000A8050000}"/>
    <hyperlink ref="M1434" r:id="rId1450" xr:uid="{00000000-0004-0000-0200-0000A9050000}"/>
    <hyperlink ref="M1435" r:id="rId1451" xr:uid="{00000000-0004-0000-0200-0000AA050000}"/>
    <hyperlink ref="M1436" r:id="rId1452" xr:uid="{00000000-0004-0000-0200-0000AB050000}"/>
    <hyperlink ref="M1437" r:id="rId1453" xr:uid="{00000000-0004-0000-0200-0000AC050000}"/>
    <hyperlink ref="M1438" r:id="rId1454" xr:uid="{00000000-0004-0000-0200-0000AD050000}"/>
    <hyperlink ref="M1439" r:id="rId1455" xr:uid="{00000000-0004-0000-0200-0000AE050000}"/>
    <hyperlink ref="M1440" r:id="rId1456" xr:uid="{00000000-0004-0000-0200-0000AF050000}"/>
    <hyperlink ref="M1441" r:id="rId1457" xr:uid="{00000000-0004-0000-0200-0000B0050000}"/>
    <hyperlink ref="M1442" r:id="rId1458" xr:uid="{00000000-0004-0000-0200-0000B1050000}"/>
    <hyperlink ref="M1443" r:id="rId1459" xr:uid="{00000000-0004-0000-0200-0000B2050000}"/>
    <hyperlink ref="M1444" r:id="rId1460" xr:uid="{00000000-0004-0000-0200-0000B3050000}"/>
    <hyperlink ref="M1445" r:id="rId1461" xr:uid="{00000000-0004-0000-0200-0000B4050000}"/>
    <hyperlink ref="M1446" r:id="rId1462" xr:uid="{00000000-0004-0000-0200-0000B5050000}"/>
    <hyperlink ref="M1447" r:id="rId1463" xr:uid="{00000000-0004-0000-0200-0000B6050000}"/>
    <hyperlink ref="M1448" r:id="rId1464" xr:uid="{00000000-0004-0000-0200-0000B7050000}"/>
    <hyperlink ref="M1449" r:id="rId1465" xr:uid="{00000000-0004-0000-0200-0000B8050000}"/>
    <hyperlink ref="M1450" r:id="rId1466" xr:uid="{00000000-0004-0000-0200-0000B9050000}"/>
    <hyperlink ref="M1451" r:id="rId1467" xr:uid="{00000000-0004-0000-0200-0000BA050000}"/>
    <hyperlink ref="M1452" r:id="rId1468" xr:uid="{00000000-0004-0000-0200-0000BB050000}"/>
    <hyperlink ref="M1453" r:id="rId1469" xr:uid="{00000000-0004-0000-0200-0000BC050000}"/>
    <hyperlink ref="M1454" r:id="rId1470" xr:uid="{00000000-0004-0000-0200-0000BD050000}"/>
    <hyperlink ref="M1455" r:id="rId1471" xr:uid="{00000000-0004-0000-0200-0000BE050000}"/>
    <hyperlink ref="M1456" r:id="rId1472" xr:uid="{00000000-0004-0000-0200-0000BF050000}"/>
    <hyperlink ref="M1457" r:id="rId1473" xr:uid="{00000000-0004-0000-0200-0000C0050000}"/>
    <hyperlink ref="M1458" r:id="rId1474" xr:uid="{00000000-0004-0000-0200-0000C1050000}"/>
    <hyperlink ref="M1459" r:id="rId1475" xr:uid="{00000000-0004-0000-0200-0000C2050000}"/>
    <hyperlink ref="M1460" r:id="rId1476" xr:uid="{00000000-0004-0000-0200-0000C3050000}"/>
    <hyperlink ref="M1461" r:id="rId1477" xr:uid="{00000000-0004-0000-0200-0000C4050000}"/>
    <hyperlink ref="M1462" r:id="rId1478" xr:uid="{00000000-0004-0000-0200-0000C5050000}"/>
    <hyperlink ref="M1463" r:id="rId1479" xr:uid="{00000000-0004-0000-0200-0000C6050000}"/>
    <hyperlink ref="M1464" r:id="rId1480" xr:uid="{00000000-0004-0000-0200-0000C7050000}"/>
    <hyperlink ref="M1465" r:id="rId1481" xr:uid="{00000000-0004-0000-0200-0000C8050000}"/>
    <hyperlink ref="M1466" r:id="rId1482" xr:uid="{00000000-0004-0000-0200-0000C9050000}"/>
    <hyperlink ref="M1467" r:id="rId1483" xr:uid="{00000000-0004-0000-0200-0000CA050000}"/>
    <hyperlink ref="M1468" r:id="rId1484" xr:uid="{00000000-0004-0000-0200-0000CB050000}"/>
    <hyperlink ref="M1469" r:id="rId1485" xr:uid="{00000000-0004-0000-0200-0000CC050000}"/>
    <hyperlink ref="M1470" r:id="rId1486" xr:uid="{00000000-0004-0000-0200-0000CD050000}"/>
    <hyperlink ref="M1471" r:id="rId1487" xr:uid="{00000000-0004-0000-0200-0000CE050000}"/>
    <hyperlink ref="M1472" r:id="rId1488" xr:uid="{00000000-0004-0000-0200-0000CF050000}"/>
    <hyperlink ref="M1473" r:id="rId1489" xr:uid="{00000000-0004-0000-0200-0000D0050000}"/>
    <hyperlink ref="M1474" r:id="rId1490" xr:uid="{00000000-0004-0000-0200-0000D1050000}"/>
    <hyperlink ref="M1475" r:id="rId1491" xr:uid="{00000000-0004-0000-0200-0000D2050000}"/>
    <hyperlink ref="M1476" r:id="rId1492" xr:uid="{00000000-0004-0000-0200-0000D3050000}"/>
    <hyperlink ref="M1477" r:id="rId1493" xr:uid="{00000000-0004-0000-0200-0000D4050000}"/>
    <hyperlink ref="M1478" r:id="rId1494" xr:uid="{00000000-0004-0000-0200-0000D5050000}"/>
    <hyperlink ref="M1479" r:id="rId1495" xr:uid="{00000000-0004-0000-0200-0000D6050000}"/>
    <hyperlink ref="M1480" r:id="rId1496" xr:uid="{00000000-0004-0000-0200-0000D7050000}"/>
    <hyperlink ref="M1481" r:id="rId1497" xr:uid="{00000000-0004-0000-0200-0000D8050000}"/>
    <hyperlink ref="M1482" r:id="rId1498" xr:uid="{00000000-0004-0000-0200-0000D9050000}"/>
    <hyperlink ref="M1483" r:id="rId1499" xr:uid="{00000000-0004-0000-0200-0000DA050000}"/>
    <hyperlink ref="M1484" r:id="rId1500" xr:uid="{00000000-0004-0000-0200-0000DB050000}"/>
    <hyperlink ref="M1485" r:id="rId1501" xr:uid="{00000000-0004-0000-0200-0000DC050000}"/>
    <hyperlink ref="M1486" r:id="rId1502" xr:uid="{00000000-0004-0000-0200-0000DD050000}"/>
    <hyperlink ref="M1487" r:id="rId1503" xr:uid="{00000000-0004-0000-0200-0000DE050000}"/>
    <hyperlink ref="M1488" r:id="rId1504" xr:uid="{00000000-0004-0000-0200-0000DF050000}"/>
    <hyperlink ref="M1489" r:id="rId1505" xr:uid="{00000000-0004-0000-0200-0000E0050000}"/>
    <hyperlink ref="M1490" r:id="rId1506" xr:uid="{00000000-0004-0000-0200-0000E1050000}"/>
    <hyperlink ref="M1491" r:id="rId1507" xr:uid="{00000000-0004-0000-0200-0000E2050000}"/>
    <hyperlink ref="M1492" r:id="rId1508" xr:uid="{00000000-0004-0000-0200-0000E3050000}"/>
    <hyperlink ref="M1493" r:id="rId1509" xr:uid="{00000000-0004-0000-0200-0000E4050000}"/>
    <hyperlink ref="M1494" r:id="rId1510" xr:uid="{00000000-0004-0000-0200-0000E5050000}"/>
    <hyperlink ref="M1495" r:id="rId1511" xr:uid="{00000000-0004-0000-0200-0000E6050000}"/>
    <hyperlink ref="M1496" r:id="rId1512" xr:uid="{00000000-0004-0000-0200-0000E7050000}"/>
    <hyperlink ref="M1497" r:id="rId1513" xr:uid="{00000000-0004-0000-0200-0000E8050000}"/>
    <hyperlink ref="M1498" r:id="rId1514" xr:uid="{00000000-0004-0000-0200-0000E9050000}"/>
    <hyperlink ref="M1499" r:id="rId1515" xr:uid="{00000000-0004-0000-0200-0000EA050000}"/>
    <hyperlink ref="M1500" r:id="rId1516" xr:uid="{00000000-0004-0000-0200-0000EB050000}"/>
    <hyperlink ref="M1501" r:id="rId1517" xr:uid="{00000000-0004-0000-0200-0000EC050000}"/>
    <hyperlink ref="M1502" r:id="rId1518" xr:uid="{00000000-0004-0000-0200-0000ED050000}"/>
    <hyperlink ref="M1503" r:id="rId1519" xr:uid="{00000000-0004-0000-0200-0000EE050000}"/>
    <hyperlink ref="M1504" r:id="rId1520" xr:uid="{00000000-0004-0000-0200-0000EF050000}"/>
    <hyperlink ref="M1505" r:id="rId1521" xr:uid="{00000000-0004-0000-0200-0000F0050000}"/>
    <hyperlink ref="M1506" r:id="rId1522" xr:uid="{00000000-0004-0000-0200-0000F1050000}"/>
    <hyperlink ref="M1507" r:id="rId1523" xr:uid="{00000000-0004-0000-0200-0000F2050000}"/>
    <hyperlink ref="M1508" r:id="rId1524" xr:uid="{00000000-0004-0000-0200-0000F3050000}"/>
    <hyperlink ref="M1509" r:id="rId1525" xr:uid="{00000000-0004-0000-0200-0000F4050000}"/>
    <hyperlink ref="M1510" r:id="rId1526" xr:uid="{00000000-0004-0000-0200-0000F5050000}"/>
    <hyperlink ref="M1511" r:id="rId1527" xr:uid="{00000000-0004-0000-0200-0000F6050000}"/>
    <hyperlink ref="M1512" r:id="rId1528" xr:uid="{00000000-0004-0000-0200-0000F7050000}"/>
    <hyperlink ref="M1513" r:id="rId1529" xr:uid="{00000000-0004-0000-0200-0000F8050000}"/>
    <hyperlink ref="M1514" r:id="rId1530" xr:uid="{00000000-0004-0000-0200-0000F9050000}"/>
    <hyperlink ref="M1515" r:id="rId1531" xr:uid="{00000000-0004-0000-0200-0000FA050000}"/>
    <hyperlink ref="M1516" r:id="rId1532" xr:uid="{00000000-0004-0000-0200-0000FB050000}"/>
    <hyperlink ref="M1517" r:id="rId1533" xr:uid="{00000000-0004-0000-0200-0000FC050000}"/>
    <hyperlink ref="M1518" r:id="rId1534" xr:uid="{00000000-0004-0000-0200-0000FD050000}"/>
    <hyperlink ref="M1519" r:id="rId1535" xr:uid="{00000000-0004-0000-0200-0000FE050000}"/>
    <hyperlink ref="M1520" r:id="rId1536" xr:uid="{00000000-0004-0000-0200-0000FF050000}"/>
    <hyperlink ref="M1521" r:id="rId1537" xr:uid="{00000000-0004-0000-0200-000000060000}"/>
    <hyperlink ref="M1522" r:id="rId1538" xr:uid="{00000000-0004-0000-0200-000001060000}"/>
    <hyperlink ref="M1523" r:id="rId1539" xr:uid="{00000000-0004-0000-0200-000002060000}"/>
    <hyperlink ref="M1524" r:id="rId1540" xr:uid="{00000000-0004-0000-0200-000003060000}"/>
    <hyperlink ref="M1525" r:id="rId1541" xr:uid="{00000000-0004-0000-0200-000004060000}"/>
    <hyperlink ref="M1526" r:id="rId1542" xr:uid="{00000000-0004-0000-0200-000005060000}"/>
    <hyperlink ref="M1527" r:id="rId1543" xr:uid="{00000000-0004-0000-0200-000006060000}"/>
    <hyperlink ref="M1528" r:id="rId1544" xr:uid="{00000000-0004-0000-0200-000007060000}"/>
    <hyperlink ref="M1529" r:id="rId1545" xr:uid="{00000000-0004-0000-0200-000008060000}"/>
    <hyperlink ref="M1530" r:id="rId1546" xr:uid="{00000000-0004-0000-0200-000009060000}"/>
    <hyperlink ref="M1531" r:id="rId1547" xr:uid="{00000000-0004-0000-0200-00000A060000}"/>
    <hyperlink ref="M1532" r:id="rId1548" xr:uid="{00000000-0004-0000-0200-00000B060000}"/>
    <hyperlink ref="M1533" r:id="rId1549" xr:uid="{00000000-0004-0000-0200-00000C060000}"/>
    <hyperlink ref="M1534" r:id="rId1550" xr:uid="{00000000-0004-0000-0200-00000D060000}"/>
    <hyperlink ref="M1535" r:id="rId1551" xr:uid="{00000000-0004-0000-0200-00000E060000}"/>
    <hyperlink ref="M1536" r:id="rId1552" xr:uid="{00000000-0004-0000-0200-00000F060000}"/>
    <hyperlink ref="M1537" r:id="rId1553" xr:uid="{00000000-0004-0000-0200-000010060000}"/>
    <hyperlink ref="M1538" r:id="rId1554" xr:uid="{00000000-0004-0000-0200-000011060000}"/>
    <hyperlink ref="M1539" r:id="rId1555" xr:uid="{00000000-0004-0000-0200-000012060000}"/>
    <hyperlink ref="M1540" r:id="rId1556" xr:uid="{00000000-0004-0000-0200-000013060000}"/>
    <hyperlink ref="M1541" r:id="rId1557" xr:uid="{00000000-0004-0000-0200-000014060000}"/>
    <hyperlink ref="M1542" r:id="rId1558" xr:uid="{00000000-0004-0000-0200-000015060000}"/>
    <hyperlink ref="M1543" r:id="rId1559" xr:uid="{00000000-0004-0000-0200-000016060000}"/>
    <hyperlink ref="M1544" r:id="rId1560" xr:uid="{00000000-0004-0000-0200-000017060000}"/>
    <hyperlink ref="M1545" r:id="rId1561" xr:uid="{00000000-0004-0000-0200-000018060000}"/>
    <hyperlink ref="M1546" r:id="rId1562" xr:uid="{00000000-0004-0000-0200-000019060000}"/>
    <hyperlink ref="M1547" r:id="rId1563" xr:uid="{00000000-0004-0000-0200-00001A060000}"/>
    <hyperlink ref="M1548" r:id="rId1564" xr:uid="{00000000-0004-0000-0200-00001B060000}"/>
    <hyperlink ref="M1549" r:id="rId1565" xr:uid="{00000000-0004-0000-0200-00001C060000}"/>
    <hyperlink ref="M1550" r:id="rId1566" xr:uid="{00000000-0004-0000-0200-00001D060000}"/>
    <hyperlink ref="M1551" r:id="rId1567" xr:uid="{00000000-0004-0000-0200-00001E060000}"/>
    <hyperlink ref="M1552" r:id="rId1568" xr:uid="{00000000-0004-0000-0200-00001F060000}"/>
    <hyperlink ref="M1553" r:id="rId1569" xr:uid="{00000000-0004-0000-0200-000020060000}"/>
    <hyperlink ref="M1554" r:id="rId1570" xr:uid="{00000000-0004-0000-0200-000021060000}"/>
    <hyperlink ref="M1555" r:id="rId1571" xr:uid="{00000000-0004-0000-0200-000022060000}"/>
    <hyperlink ref="M1556" r:id="rId1572" xr:uid="{00000000-0004-0000-0200-000023060000}"/>
    <hyperlink ref="M1557" r:id="rId1573" xr:uid="{00000000-0004-0000-0200-000024060000}"/>
    <hyperlink ref="M1558" r:id="rId1574" xr:uid="{00000000-0004-0000-0200-000025060000}"/>
    <hyperlink ref="M1559" r:id="rId1575" xr:uid="{00000000-0004-0000-0200-000026060000}"/>
    <hyperlink ref="M1560" r:id="rId1576" xr:uid="{00000000-0004-0000-0200-000027060000}"/>
    <hyperlink ref="M1561" r:id="rId1577" xr:uid="{00000000-0004-0000-0200-000028060000}"/>
    <hyperlink ref="M1562" r:id="rId1578" xr:uid="{00000000-0004-0000-0200-000029060000}"/>
    <hyperlink ref="M1563" r:id="rId1579" xr:uid="{00000000-0004-0000-0200-00002A060000}"/>
    <hyperlink ref="M1564" r:id="rId1580" xr:uid="{00000000-0004-0000-0200-00002B060000}"/>
    <hyperlink ref="M1565" r:id="rId1581" xr:uid="{00000000-0004-0000-0200-00002C060000}"/>
    <hyperlink ref="M1566" r:id="rId1582" xr:uid="{00000000-0004-0000-0200-00002D060000}"/>
    <hyperlink ref="M1567" r:id="rId1583" xr:uid="{00000000-0004-0000-0200-00002E060000}"/>
    <hyperlink ref="M1568" r:id="rId1584" xr:uid="{00000000-0004-0000-0200-00002F060000}"/>
    <hyperlink ref="M1569" r:id="rId1585" xr:uid="{00000000-0004-0000-0200-000030060000}"/>
    <hyperlink ref="M1570" r:id="rId1586" xr:uid="{00000000-0004-0000-0200-000031060000}"/>
    <hyperlink ref="M1571" r:id="rId1587" xr:uid="{00000000-0004-0000-0200-000032060000}"/>
    <hyperlink ref="M1572" r:id="rId1588" xr:uid="{00000000-0004-0000-0200-000033060000}"/>
    <hyperlink ref="M1573" r:id="rId1589" xr:uid="{00000000-0004-0000-0200-000034060000}"/>
    <hyperlink ref="M1574" r:id="rId1590" xr:uid="{00000000-0004-0000-0200-000035060000}"/>
    <hyperlink ref="M1575" r:id="rId1591" xr:uid="{00000000-0004-0000-0200-000036060000}"/>
    <hyperlink ref="M1576" r:id="rId1592" xr:uid="{00000000-0004-0000-0200-000037060000}"/>
    <hyperlink ref="M1577" r:id="rId1593" xr:uid="{00000000-0004-0000-0200-000038060000}"/>
    <hyperlink ref="M1578" r:id="rId1594" xr:uid="{00000000-0004-0000-0200-000039060000}"/>
    <hyperlink ref="M1579" r:id="rId1595" xr:uid="{00000000-0004-0000-0200-00003A060000}"/>
    <hyperlink ref="M1580" r:id="rId1596" xr:uid="{00000000-0004-0000-0200-00003B060000}"/>
    <hyperlink ref="M1581" r:id="rId1597" xr:uid="{00000000-0004-0000-0200-00003C060000}"/>
    <hyperlink ref="M1582" r:id="rId1598" xr:uid="{00000000-0004-0000-0200-00003D060000}"/>
    <hyperlink ref="M1583" r:id="rId1599" xr:uid="{00000000-0004-0000-0200-00003E060000}"/>
    <hyperlink ref="M1584" r:id="rId1600" xr:uid="{00000000-0004-0000-0200-00003F060000}"/>
    <hyperlink ref="M1585" r:id="rId1601" xr:uid="{00000000-0004-0000-0200-000040060000}"/>
    <hyperlink ref="M1586" r:id="rId1602" xr:uid="{00000000-0004-0000-0200-000041060000}"/>
    <hyperlink ref="M1587" r:id="rId1603" xr:uid="{00000000-0004-0000-0200-000042060000}"/>
    <hyperlink ref="M1588" r:id="rId1604" xr:uid="{00000000-0004-0000-0200-000043060000}"/>
    <hyperlink ref="M1589" r:id="rId1605" xr:uid="{00000000-0004-0000-0200-000044060000}"/>
    <hyperlink ref="M1590" r:id="rId1606" xr:uid="{00000000-0004-0000-0200-000045060000}"/>
    <hyperlink ref="M1591" r:id="rId1607" xr:uid="{00000000-0004-0000-0200-000046060000}"/>
    <hyperlink ref="M1592" r:id="rId1608" xr:uid="{00000000-0004-0000-0200-000047060000}"/>
    <hyperlink ref="M1593" r:id="rId1609" xr:uid="{00000000-0004-0000-0200-000048060000}"/>
    <hyperlink ref="M1594" r:id="rId1610" xr:uid="{00000000-0004-0000-0200-000049060000}"/>
    <hyperlink ref="M1595" r:id="rId1611" xr:uid="{00000000-0004-0000-0200-00004A060000}"/>
    <hyperlink ref="M1596" r:id="rId1612" xr:uid="{00000000-0004-0000-0200-00004B060000}"/>
    <hyperlink ref="M1597" r:id="rId1613" xr:uid="{00000000-0004-0000-0200-00004C060000}"/>
    <hyperlink ref="M1598" r:id="rId1614" xr:uid="{00000000-0004-0000-0200-00004D060000}"/>
    <hyperlink ref="M1599" r:id="rId1615" xr:uid="{00000000-0004-0000-0200-00004E060000}"/>
    <hyperlink ref="M1600" r:id="rId1616" xr:uid="{00000000-0004-0000-0200-00004F060000}"/>
    <hyperlink ref="M1601" r:id="rId1617" xr:uid="{00000000-0004-0000-0200-000050060000}"/>
    <hyperlink ref="M1602" r:id="rId1618" xr:uid="{00000000-0004-0000-0200-000051060000}"/>
    <hyperlink ref="M1603" r:id="rId1619" xr:uid="{00000000-0004-0000-0200-000052060000}"/>
    <hyperlink ref="M1604" r:id="rId1620" xr:uid="{00000000-0004-0000-0200-000053060000}"/>
    <hyperlink ref="M1605" r:id="rId1621" xr:uid="{00000000-0004-0000-0200-000054060000}"/>
    <hyperlink ref="M1606" r:id="rId1622" xr:uid="{00000000-0004-0000-0200-000055060000}"/>
    <hyperlink ref="M1607" r:id="rId1623" xr:uid="{00000000-0004-0000-0200-000056060000}"/>
    <hyperlink ref="M1608" r:id="rId1624" xr:uid="{00000000-0004-0000-0200-000057060000}"/>
    <hyperlink ref="M1609" r:id="rId1625" xr:uid="{00000000-0004-0000-0200-000058060000}"/>
    <hyperlink ref="M1610" r:id="rId1626" xr:uid="{00000000-0004-0000-0200-000059060000}"/>
    <hyperlink ref="M1611" r:id="rId1627" xr:uid="{00000000-0004-0000-0200-00005A060000}"/>
    <hyperlink ref="M1612" r:id="rId1628" xr:uid="{00000000-0004-0000-0200-00005B060000}"/>
    <hyperlink ref="M1613" r:id="rId1629" xr:uid="{00000000-0004-0000-0200-00005C060000}"/>
    <hyperlink ref="M1614" r:id="rId1630" xr:uid="{00000000-0004-0000-0200-00005D060000}"/>
    <hyperlink ref="M1615" r:id="rId1631" xr:uid="{00000000-0004-0000-0200-00005E060000}"/>
    <hyperlink ref="M1616" r:id="rId1632" xr:uid="{00000000-0004-0000-0200-00005F060000}"/>
    <hyperlink ref="M1617" r:id="rId1633" xr:uid="{00000000-0004-0000-0200-000060060000}"/>
    <hyperlink ref="M1618" r:id="rId1634" xr:uid="{00000000-0004-0000-0200-000061060000}"/>
    <hyperlink ref="M1619" r:id="rId1635" xr:uid="{00000000-0004-0000-0200-000062060000}"/>
    <hyperlink ref="M1620" r:id="rId1636" xr:uid="{00000000-0004-0000-0200-000063060000}"/>
    <hyperlink ref="M1621" r:id="rId1637" xr:uid="{00000000-0004-0000-0200-000064060000}"/>
    <hyperlink ref="M1622" r:id="rId1638" xr:uid="{00000000-0004-0000-0200-000065060000}"/>
    <hyperlink ref="M1623" r:id="rId1639" xr:uid="{00000000-0004-0000-0200-000066060000}"/>
    <hyperlink ref="M1624" r:id="rId1640" xr:uid="{00000000-0004-0000-0200-000067060000}"/>
    <hyperlink ref="M1625" r:id="rId1641" xr:uid="{00000000-0004-0000-0200-000068060000}"/>
    <hyperlink ref="M1626" r:id="rId1642" xr:uid="{00000000-0004-0000-0200-000069060000}"/>
    <hyperlink ref="M1627" r:id="rId1643" xr:uid="{00000000-0004-0000-0200-00006A060000}"/>
    <hyperlink ref="M1628" r:id="rId1644" xr:uid="{00000000-0004-0000-0200-00006B060000}"/>
    <hyperlink ref="M1629" r:id="rId1645" xr:uid="{00000000-0004-0000-0200-00006C060000}"/>
    <hyperlink ref="M1630" r:id="rId1646" xr:uid="{00000000-0004-0000-0200-00006D060000}"/>
    <hyperlink ref="M1631" r:id="rId1647" xr:uid="{00000000-0004-0000-0200-00006E060000}"/>
    <hyperlink ref="M1632" r:id="rId1648" xr:uid="{00000000-0004-0000-0200-00006F060000}"/>
    <hyperlink ref="M1633" r:id="rId1649" xr:uid="{00000000-0004-0000-0200-000070060000}"/>
    <hyperlink ref="M1634" r:id="rId1650" xr:uid="{00000000-0004-0000-0200-000071060000}"/>
    <hyperlink ref="M1635" r:id="rId1651" xr:uid="{00000000-0004-0000-0200-000072060000}"/>
    <hyperlink ref="M1636" r:id="rId1652" xr:uid="{00000000-0004-0000-0200-000073060000}"/>
    <hyperlink ref="M1637" r:id="rId1653" xr:uid="{00000000-0004-0000-0200-000074060000}"/>
    <hyperlink ref="M1638" r:id="rId1654" xr:uid="{00000000-0004-0000-0200-000075060000}"/>
    <hyperlink ref="M1639" r:id="rId1655" xr:uid="{00000000-0004-0000-0200-000076060000}"/>
    <hyperlink ref="M1640" r:id="rId1656" xr:uid="{00000000-0004-0000-0200-000077060000}"/>
    <hyperlink ref="M1641" r:id="rId1657" xr:uid="{00000000-0004-0000-0200-000078060000}"/>
    <hyperlink ref="M1642" r:id="rId1658" xr:uid="{00000000-0004-0000-0200-000079060000}"/>
    <hyperlink ref="M1643" r:id="rId1659" xr:uid="{00000000-0004-0000-0200-00007A060000}"/>
    <hyperlink ref="M1644" r:id="rId1660" xr:uid="{00000000-0004-0000-0200-00007B060000}"/>
    <hyperlink ref="M1645" r:id="rId1661" xr:uid="{00000000-0004-0000-0200-00007C060000}"/>
    <hyperlink ref="M1646" r:id="rId1662" xr:uid="{00000000-0004-0000-0200-00007D060000}"/>
    <hyperlink ref="M1647" r:id="rId1663" xr:uid="{00000000-0004-0000-0200-00007E060000}"/>
    <hyperlink ref="M1648" r:id="rId1664" xr:uid="{00000000-0004-0000-0200-00007F060000}"/>
    <hyperlink ref="M1649" r:id="rId1665" xr:uid="{00000000-0004-0000-0200-000080060000}"/>
    <hyperlink ref="M1650" r:id="rId1666" xr:uid="{00000000-0004-0000-0200-000081060000}"/>
    <hyperlink ref="M1651" r:id="rId1667" xr:uid="{00000000-0004-0000-0200-000082060000}"/>
    <hyperlink ref="M1652" r:id="rId1668" xr:uid="{00000000-0004-0000-0200-000083060000}"/>
    <hyperlink ref="M1653" r:id="rId1669" xr:uid="{00000000-0004-0000-0200-000084060000}"/>
    <hyperlink ref="M1654" r:id="rId1670" xr:uid="{00000000-0004-0000-0200-000085060000}"/>
    <hyperlink ref="M1655" r:id="rId1671" xr:uid="{00000000-0004-0000-0200-000086060000}"/>
    <hyperlink ref="M1656" r:id="rId1672" xr:uid="{00000000-0004-0000-0200-000087060000}"/>
    <hyperlink ref="M1657" r:id="rId1673" xr:uid="{00000000-0004-0000-0200-000088060000}"/>
    <hyperlink ref="M1658" r:id="rId1674" xr:uid="{00000000-0004-0000-0200-000089060000}"/>
    <hyperlink ref="M1659" r:id="rId1675" xr:uid="{00000000-0004-0000-0200-00008A060000}"/>
    <hyperlink ref="M1660" r:id="rId1676" xr:uid="{00000000-0004-0000-0200-00008B060000}"/>
    <hyperlink ref="M1661" r:id="rId1677" xr:uid="{00000000-0004-0000-0200-00008C060000}"/>
    <hyperlink ref="M1662" r:id="rId1678" xr:uid="{00000000-0004-0000-0200-00008D060000}"/>
    <hyperlink ref="M1663" r:id="rId1679" xr:uid="{00000000-0004-0000-0200-00008E060000}"/>
    <hyperlink ref="M1664" r:id="rId1680" xr:uid="{00000000-0004-0000-0200-00008F060000}"/>
    <hyperlink ref="M1665" r:id="rId1681" xr:uid="{00000000-0004-0000-0200-000090060000}"/>
    <hyperlink ref="M1666" r:id="rId1682" xr:uid="{00000000-0004-0000-0200-000091060000}"/>
    <hyperlink ref="M1667" r:id="rId1683" xr:uid="{00000000-0004-0000-0200-000092060000}"/>
    <hyperlink ref="M1668" r:id="rId1684" xr:uid="{00000000-0004-0000-0200-000093060000}"/>
    <hyperlink ref="M1669" r:id="rId1685" xr:uid="{00000000-0004-0000-0200-000094060000}"/>
    <hyperlink ref="M1670" r:id="rId1686" xr:uid="{00000000-0004-0000-0200-000095060000}"/>
    <hyperlink ref="M1671" r:id="rId1687" xr:uid="{00000000-0004-0000-0200-000096060000}"/>
    <hyperlink ref="M1672" r:id="rId1688" xr:uid="{00000000-0004-0000-0200-000097060000}"/>
    <hyperlink ref="M1673" r:id="rId1689" xr:uid="{00000000-0004-0000-0200-000098060000}"/>
    <hyperlink ref="M1674" r:id="rId1690" xr:uid="{00000000-0004-0000-0200-000099060000}"/>
    <hyperlink ref="M1675" r:id="rId1691" xr:uid="{00000000-0004-0000-0200-00009A060000}"/>
    <hyperlink ref="M1676" r:id="rId1692" xr:uid="{00000000-0004-0000-0200-00009B060000}"/>
    <hyperlink ref="M1677" r:id="rId1693" xr:uid="{00000000-0004-0000-0200-00009C060000}"/>
    <hyperlink ref="M1678" r:id="rId1694" xr:uid="{00000000-0004-0000-0200-00009D060000}"/>
    <hyperlink ref="M1679" r:id="rId1695" xr:uid="{00000000-0004-0000-0200-00009E060000}"/>
    <hyperlink ref="M1680" r:id="rId1696" xr:uid="{00000000-0004-0000-0200-00009F060000}"/>
    <hyperlink ref="M1681" r:id="rId1697" xr:uid="{00000000-0004-0000-0200-0000A0060000}"/>
    <hyperlink ref="M1682" r:id="rId1698" xr:uid="{00000000-0004-0000-0200-0000A1060000}"/>
    <hyperlink ref="M1683" r:id="rId1699" xr:uid="{00000000-0004-0000-0200-0000A2060000}"/>
    <hyperlink ref="M1684" r:id="rId1700" xr:uid="{00000000-0004-0000-0200-0000A3060000}"/>
    <hyperlink ref="M1685" r:id="rId1701" xr:uid="{00000000-0004-0000-0200-0000A4060000}"/>
    <hyperlink ref="M1686" r:id="rId1702" xr:uid="{00000000-0004-0000-0200-0000A5060000}"/>
    <hyperlink ref="M1687" r:id="rId1703" xr:uid="{00000000-0004-0000-0200-0000A6060000}"/>
    <hyperlink ref="M1688" r:id="rId1704" xr:uid="{00000000-0004-0000-0200-0000A7060000}"/>
    <hyperlink ref="M1689" r:id="rId1705" xr:uid="{00000000-0004-0000-0200-0000A8060000}"/>
    <hyperlink ref="M1690" r:id="rId1706" xr:uid="{00000000-0004-0000-0200-0000A9060000}"/>
    <hyperlink ref="M1691" r:id="rId1707" xr:uid="{00000000-0004-0000-0200-0000AA060000}"/>
    <hyperlink ref="M1692" r:id="rId1708" xr:uid="{00000000-0004-0000-0200-0000AB060000}"/>
    <hyperlink ref="M1693" r:id="rId1709" xr:uid="{00000000-0004-0000-0200-0000AC060000}"/>
    <hyperlink ref="M1694" r:id="rId1710" xr:uid="{00000000-0004-0000-0200-0000AD060000}"/>
    <hyperlink ref="M1695" r:id="rId1711" xr:uid="{00000000-0004-0000-0200-0000AE060000}"/>
    <hyperlink ref="M1696" r:id="rId1712" xr:uid="{00000000-0004-0000-0200-0000AF060000}"/>
    <hyperlink ref="M1697" r:id="rId1713" xr:uid="{00000000-0004-0000-0200-0000B0060000}"/>
    <hyperlink ref="M1698" r:id="rId1714" xr:uid="{00000000-0004-0000-0200-0000B1060000}"/>
    <hyperlink ref="M1699" r:id="rId1715" xr:uid="{00000000-0004-0000-0200-0000B2060000}"/>
    <hyperlink ref="M1700" r:id="rId1716" xr:uid="{00000000-0004-0000-0200-0000B3060000}"/>
    <hyperlink ref="M1701" r:id="rId1717" xr:uid="{00000000-0004-0000-0200-0000B4060000}"/>
    <hyperlink ref="M1702" r:id="rId1718" xr:uid="{00000000-0004-0000-0200-0000B5060000}"/>
    <hyperlink ref="M1703" r:id="rId1719" xr:uid="{00000000-0004-0000-0200-0000B6060000}"/>
    <hyperlink ref="M1704" r:id="rId1720" xr:uid="{00000000-0004-0000-0200-0000B7060000}"/>
    <hyperlink ref="M1705" r:id="rId1721" xr:uid="{00000000-0004-0000-0200-0000B8060000}"/>
    <hyperlink ref="M1706" r:id="rId1722" xr:uid="{00000000-0004-0000-0200-0000B9060000}"/>
    <hyperlink ref="M1707" r:id="rId1723" xr:uid="{00000000-0004-0000-0200-0000BA060000}"/>
    <hyperlink ref="M1708" r:id="rId1724" xr:uid="{00000000-0004-0000-0200-0000BB060000}"/>
    <hyperlink ref="M1709" r:id="rId1725" xr:uid="{00000000-0004-0000-0200-0000BC060000}"/>
    <hyperlink ref="M1710" r:id="rId1726" xr:uid="{00000000-0004-0000-0200-0000BD060000}"/>
    <hyperlink ref="M1711" r:id="rId1727" xr:uid="{00000000-0004-0000-0200-0000BE060000}"/>
    <hyperlink ref="M1712" r:id="rId1728" xr:uid="{00000000-0004-0000-0200-0000BF060000}"/>
    <hyperlink ref="M1713" r:id="rId1729" xr:uid="{00000000-0004-0000-0200-0000C0060000}"/>
    <hyperlink ref="M1714" r:id="rId1730" xr:uid="{00000000-0004-0000-0200-0000C1060000}"/>
    <hyperlink ref="M1715" r:id="rId1731" xr:uid="{00000000-0004-0000-0200-0000C2060000}"/>
    <hyperlink ref="M1716" r:id="rId1732" xr:uid="{00000000-0004-0000-0200-0000C3060000}"/>
    <hyperlink ref="M1717" r:id="rId1733" xr:uid="{00000000-0004-0000-0200-0000C4060000}"/>
    <hyperlink ref="M1718" r:id="rId1734" xr:uid="{00000000-0004-0000-0200-0000C5060000}"/>
    <hyperlink ref="M1719" r:id="rId1735" xr:uid="{00000000-0004-0000-0200-0000C6060000}"/>
    <hyperlink ref="M1720" r:id="rId1736" xr:uid="{00000000-0004-0000-0200-0000C7060000}"/>
    <hyperlink ref="M1721" r:id="rId1737" xr:uid="{00000000-0004-0000-0200-0000C8060000}"/>
    <hyperlink ref="M1722" r:id="rId1738" xr:uid="{00000000-0004-0000-0200-0000C9060000}"/>
    <hyperlink ref="M1723" r:id="rId1739" xr:uid="{00000000-0004-0000-0200-0000CA060000}"/>
    <hyperlink ref="M1724" r:id="rId1740" xr:uid="{00000000-0004-0000-0200-0000CB060000}"/>
    <hyperlink ref="M1725" r:id="rId1741" xr:uid="{00000000-0004-0000-0200-0000CC060000}"/>
    <hyperlink ref="M1726" r:id="rId1742" xr:uid="{00000000-0004-0000-0200-0000CD060000}"/>
    <hyperlink ref="M1727" r:id="rId1743" xr:uid="{00000000-0004-0000-0200-0000CE060000}"/>
    <hyperlink ref="M1728" r:id="rId1744" xr:uid="{00000000-0004-0000-0200-0000CF060000}"/>
    <hyperlink ref="M1729" r:id="rId1745" xr:uid="{00000000-0004-0000-0200-0000D0060000}"/>
    <hyperlink ref="M1730" r:id="rId1746" xr:uid="{00000000-0004-0000-0200-0000D1060000}"/>
    <hyperlink ref="M1731" r:id="rId1747" xr:uid="{00000000-0004-0000-0200-0000D2060000}"/>
    <hyperlink ref="M1732" r:id="rId1748" xr:uid="{00000000-0004-0000-0200-0000D3060000}"/>
    <hyperlink ref="M1733" r:id="rId1749" xr:uid="{00000000-0004-0000-0200-0000D4060000}"/>
    <hyperlink ref="M1734" r:id="rId1750" xr:uid="{00000000-0004-0000-0200-0000D5060000}"/>
    <hyperlink ref="M1735" r:id="rId1751" xr:uid="{00000000-0004-0000-0200-0000D6060000}"/>
    <hyperlink ref="M1736" r:id="rId1752" xr:uid="{00000000-0004-0000-0200-0000D7060000}"/>
    <hyperlink ref="M1737" r:id="rId1753" xr:uid="{00000000-0004-0000-0200-0000D8060000}"/>
    <hyperlink ref="M1738" r:id="rId1754" xr:uid="{00000000-0004-0000-0200-0000D9060000}"/>
    <hyperlink ref="M1739" r:id="rId1755" xr:uid="{00000000-0004-0000-0200-0000DA060000}"/>
    <hyperlink ref="M1740" r:id="rId1756" xr:uid="{00000000-0004-0000-0200-0000DB060000}"/>
    <hyperlink ref="M1741" r:id="rId1757" xr:uid="{00000000-0004-0000-0200-0000DC060000}"/>
    <hyperlink ref="M1742" r:id="rId1758" xr:uid="{00000000-0004-0000-0200-0000DD060000}"/>
    <hyperlink ref="M1743" r:id="rId1759" xr:uid="{00000000-0004-0000-0200-0000DE060000}"/>
    <hyperlink ref="M1744" r:id="rId1760" xr:uid="{00000000-0004-0000-0200-0000DF060000}"/>
    <hyperlink ref="M1745" r:id="rId1761" xr:uid="{00000000-0004-0000-0200-0000E0060000}"/>
    <hyperlink ref="M1746" r:id="rId1762" xr:uid="{00000000-0004-0000-0200-0000E1060000}"/>
    <hyperlink ref="M1747" r:id="rId1763" xr:uid="{00000000-0004-0000-0200-0000E2060000}"/>
    <hyperlink ref="M1748" r:id="rId1764" xr:uid="{00000000-0004-0000-0200-0000E3060000}"/>
    <hyperlink ref="M1749" r:id="rId1765" xr:uid="{00000000-0004-0000-0200-0000E4060000}"/>
    <hyperlink ref="M1750" r:id="rId1766" xr:uid="{00000000-0004-0000-0200-0000E5060000}"/>
    <hyperlink ref="M1751" r:id="rId1767" xr:uid="{00000000-0004-0000-0200-0000E6060000}"/>
    <hyperlink ref="M1752" r:id="rId1768" xr:uid="{00000000-0004-0000-0200-0000E7060000}"/>
    <hyperlink ref="M1753" r:id="rId1769" xr:uid="{00000000-0004-0000-0200-0000E8060000}"/>
    <hyperlink ref="M1754" r:id="rId1770" xr:uid="{00000000-0004-0000-0200-0000E9060000}"/>
    <hyperlink ref="M1755" r:id="rId1771" xr:uid="{00000000-0004-0000-0200-0000EA060000}"/>
    <hyperlink ref="M1756" r:id="rId1772" xr:uid="{00000000-0004-0000-0200-0000EB060000}"/>
    <hyperlink ref="M1757" r:id="rId1773" xr:uid="{00000000-0004-0000-0200-0000EC060000}"/>
    <hyperlink ref="M1758" r:id="rId1774" xr:uid="{00000000-0004-0000-0200-0000ED060000}"/>
    <hyperlink ref="M1759" r:id="rId1775" xr:uid="{00000000-0004-0000-0200-0000EE060000}"/>
    <hyperlink ref="M1760" r:id="rId1776" xr:uid="{00000000-0004-0000-0200-0000EF060000}"/>
    <hyperlink ref="M1761" r:id="rId1777" xr:uid="{00000000-0004-0000-0200-0000F0060000}"/>
    <hyperlink ref="M1762" r:id="rId1778" xr:uid="{00000000-0004-0000-0200-0000F1060000}"/>
    <hyperlink ref="M1763" r:id="rId1779" xr:uid="{00000000-0004-0000-0200-0000F2060000}"/>
    <hyperlink ref="M1764" r:id="rId1780" xr:uid="{00000000-0004-0000-0200-0000F3060000}"/>
    <hyperlink ref="M1765" r:id="rId1781" xr:uid="{00000000-0004-0000-0200-0000F4060000}"/>
    <hyperlink ref="M1766" r:id="rId1782" xr:uid="{00000000-0004-0000-0200-0000F5060000}"/>
    <hyperlink ref="M1767" r:id="rId1783" xr:uid="{00000000-0004-0000-0200-0000F6060000}"/>
    <hyperlink ref="M1768" r:id="rId1784" xr:uid="{00000000-0004-0000-0200-0000F7060000}"/>
    <hyperlink ref="M1769" r:id="rId1785" xr:uid="{00000000-0004-0000-0200-0000F8060000}"/>
    <hyperlink ref="M1770" r:id="rId1786" xr:uid="{00000000-0004-0000-0200-0000F9060000}"/>
    <hyperlink ref="M1771" r:id="rId1787" xr:uid="{00000000-0004-0000-0200-0000FA060000}"/>
    <hyperlink ref="M1772" r:id="rId1788" xr:uid="{00000000-0004-0000-0200-0000FB060000}"/>
    <hyperlink ref="M1773" r:id="rId1789" xr:uid="{00000000-0004-0000-0200-0000FC060000}"/>
    <hyperlink ref="M1774" r:id="rId1790" xr:uid="{00000000-0004-0000-0200-0000FD060000}"/>
    <hyperlink ref="M1775" r:id="rId1791" xr:uid="{00000000-0004-0000-0200-0000FE060000}"/>
    <hyperlink ref="M1776" r:id="rId1792" xr:uid="{00000000-0004-0000-0200-0000FF060000}"/>
    <hyperlink ref="M1777" r:id="rId1793" xr:uid="{00000000-0004-0000-0200-000000070000}"/>
    <hyperlink ref="M1778" r:id="rId1794" xr:uid="{00000000-0004-0000-0200-000001070000}"/>
    <hyperlink ref="M1779" r:id="rId1795" xr:uid="{00000000-0004-0000-0200-000002070000}"/>
    <hyperlink ref="M1780" r:id="rId1796" xr:uid="{00000000-0004-0000-0200-000003070000}"/>
    <hyperlink ref="M1781" r:id="rId1797" xr:uid="{00000000-0004-0000-0200-000004070000}"/>
    <hyperlink ref="M1782" r:id="rId1798" xr:uid="{00000000-0004-0000-0200-000005070000}"/>
    <hyperlink ref="M1783" r:id="rId1799" xr:uid="{00000000-0004-0000-0200-000006070000}"/>
    <hyperlink ref="M1784" r:id="rId1800" xr:uid="{00000000-0004-0000-0200-000007070000}"/>
    <hyperlink ref="M1785" r:id="rId1801" xr:uid="{00000000-0004-0000-0200-000008070000}"/>
    <hyperlink ref="M1786" r:id="rId1802" xr:uid="{00000000-0004-0000-0200-000009070000}"/>
    <hyperlink ref="M1787" r:id="rId1803" xr:uid="{00000000-0004-0000-0200-00000A070000}"/>
    <hyperlink ref="M1788" r:id="rId1804" xr:uid="{00000000-0004-0000-0200-00000B070000}"/>
    <hyperlink ref="M1789" r:id="rId1805" xr:uid="{00000000-0004-0000-0200-00000C070000}"/>
    <hyperlink ref="M1790" r:id="rId1806" xr:uid="{00000000-0004-0000-0200-00000D070000}"/>
    <hyperlink ref="M1791" r:id="rId1807" xr:uid="{00000000-0004-0000-0200-00000E070000}"/>
    <hyperlink ref="M1792" r:id="rId1808" xr:uid="{00000000-0004-0000-0200-00000F070000}"/>
    <hyperlink ref="M1793" r:id="rId1809" xr:uid="{00000000-0004-0000-0200-000010070000}"/>
    <hyperlink ref="M1794" r:id="rId1810" xr:uid="{00000000-0004-0000-0200-000011070000}"/>
    <hyperlink ref="M1795" r:id="rId1811" xr:uid="{00000000-0004-0000-0200-000012070000}"/>
    <hyperlink ref="M1796" r:id="rId1812" xr:uid="{00000000-0004-0000-0200-000013070000}"/>
    <hyperlink ref="M1797" r:id="rId1813" xr:uid="{00000000-0004-0000-0200-000014070000}"/>
    <hyperlink ref="M1798" r:id="rId1814" xr:uid="{00000000-0004-0000-0200-000015070000}"/>
    <hyperlink ref="M1799" r:id="rId1815" xr:uid="{00000000-0004-0000-0200-000016070000}"/>
    <hyperlink ref="M1800" r:id="rId1816" xr:uid="{00000000-0004-0000-0200-000017070000}"/>
    <hyperlink ref="M1801" r:id="rId1817" xr:uid="{00000000-0004-0000-0200-000018070000}"/>
    <hyperlink ref="M1802" r:id="rId1818" xr:uid="{00000000-0004-0000-0200-000019070000}"/>
    <hyperlink ref="M1803" r:id="rId1819" xr:uid="{00000000-0004-0000-0200-00001A070000}"/>
    <hyperlink ref="M1804" r:id="rId1820" xr:uid="{00000000-0004-0000-0200-00001B070000}"/>
    <hyperlink ref="M1805" r:id="rId1821" xr:uid="{00000000-0004-0000-0200-00001C070000}"/>
    <hyperlink ref="M1806" r:id="rId1822" xr:uid="{00000000-0004-0000-0200-00001D070000}"/>
    <hyperlink ref="M1807" r:id="rId1823" xr:uid="{00000000-0004-0000-0200-00001E070000}"/>
    <hyperlink ref="M1808" r:id="rId1824" xr:uid="{00000000-0004-0000-0200-00001F070000}"/>
    <hyperlink ref="M1809" r:id="rId1825" xr:uid="{00000000-0004-0000-0200-000020070000}"/>
    <hyperlink ref="M1810" r:id="rId1826" xr:uid="{00000000-0004-0000-0200-000021070000}"/>
    <hyperlink ref="M1811" r:id="rId1827" xr:uid="{00000000-0004-0000-0200-000022070000}"/>
    <hyperlink ref="M1812" r:id="rId1828" xr:uid="{00000000-0004-0000-0200-000023070000}"/>
    <hyperlink ref="M1813" r:id="rId1829" xr:uid="{00000000-0004-0000-0200-000024070000}"/>
    <hyperlink ref="M1814" r:id="rId1830" xr:uid="{00000000-0004-0000-0200-000025070000}"/>
    <hyperlink ref="M1815" r:id="rId1831" xr:uid="{00000000-0004-0000-0200-000026070000}"/>
    <hyperlink ref="M1816" r:id="rId1832" xr:uid="{00000000-0004-0000-0200-000027070000}"/>
    <hyperlink ref="M1817" r:id="rId1833" xr:uid="{00000000-0004-0000-0200-000028070000}"/>
    <hyperlink ref="M1818" r:id="rId1834" xr:uid="{00000000-0004-0000-0200-000029070000}"/>
    <hyperlink ref="M1819" r:id="rId1835" xr:uid="{00000000-0004-0000-0200-00002A070000}"/>
    <hyperlink ref="M1820" r:id="rId1836" xr:uid="{00000000-0004-0000-0200-00002B070000}"/>
    <hyperlink ref="M1821" r:id="rId1837" xr:uid="{00000000-0004-0000-0200-00002C070000}"/>
    <hyperlink ref="M1822" r:id="rId1838" xr:uid="{00000000-0004-0000-0200-00002D070000}"/>
    <hyperlink ref="M1823" r:id="rId1839" xr:uid="{00000000-0004-0000-0200-00002E070000}"/>
    <hyperlink ref="M1824" r:id="rId1840" xr:uid="{00000000-0004-0000-0200-00002F070000}"/>
    <hyperlink ref="M1825" r:id="rId1841" xr:uid="{00000000-0004-0000-0200-000030070000}"/>
    <hyperlink ref="M1826" r:id="rId1842" xr:uid="{00000000-0004-0000-0200-000031070000}"/>
    <hyperlink ref="M1827" r:id="rId1843" xr:uid="{00000000-0004-0000-0200-000032070000}"/>
    <hyperlink ref="M1828" r:id="rId1844" xr:uid="{00000000-0004-0000-0200-000033070000}"/>
    <hyperlink ref="M1829" r:id="rId1845" xr:uid="{00000000-0004-0000-0200-000034070000}"/>
    <hyperlink ref="M1830" r:id="rId1846" xr:uid="{00000000-0004-0000-0200-000035070000}"/>
    <hyperlink ref="M1831" r:id="rId1847" xr:uid="{00000000-0004-0000-0200-000036070000}"/>
    <hyperlink ref="M1832" r:id="rId1848" xr:uid="{00000000-0004-0000-0200-000037070000}"/>
    <hyperlink ref="M1833" r:id="rId1849" xr:uid="{00000000-0004-0000-0200-000038070000}"/>
    <hyperlink ref="M1834" r:id="rId1850" xr:uid="{00000000-0004-0000-0200-000039070000}"/>
    <hyperlink ref="M1835" r:id="rId1851" xr:uid="{00000000-0004-0000-0200-00003A070000}"/>
    <hyperlink ref="M1836" r:id="rId1852" xr:uid="{00000000-0004-0000-0200-00003B070000}"/>
    <hyperlink ref="M1837" r:id="rId1853" xr:uid="{00000000-0004-0000-0200-00003C070000}"/>
    <hyperlink ref="M1838" r:id="rId1854" xr:uid="{00000000-0004-0000-0200-00003D070000}"/>
    <hyperlink ref="M1839" r:id="rId1855" xr:uid="{00000000-0004-0000-0200-00003E070000}"/>
    <hyperlink ref="M1840" r:id="rId1856" xr:uid="{00000000-0004-0000-0200-00003F070000}"/>
    <hyperlink ref="M1841" r:id="rId1857" xr:uid="{00000000-0004-0000-0200-000040070000}"/>
    <hyperlink ref="M1842" r:id="rId1858" xr:uid="{00000000-0004-0000-0200-000041070000}"/>
    <hyperlink ref="M1843" r:id="rId1859" xr:uid="{00000000-0004-0000-0200-000042070000}"/>
    <hyperlink ref="M1844" r:id="rId1860" xr:uid="{00000000-0004-0000-0200-000043070000}"/>
    <hyperlink ref="M1845" r:id="rId1861" xr:uid="{00000000-0004-0000-0200-000044070000}"/>
    <hyperlink ref="M1846" r:id="rId1862" xr:uid="{00000000-0004-0000-0200-000045070000}"/>
    <hyperlink ref="M1847" r:id="rId1863" xr:uid="{00000000-0004-0000-0200-000046070000}"/>
    <hyperlink ref="M1848" r:id="rId1864" xr:uid="{00000000-0004-0000-0200-000047070000}"/>
    <hyperlink ref="M1849" r:id="rId1865" xr:uid="{00000000-0004-0000-0200-000048070000}"/>
    <hyperlink ref="M1850" r:id="rId1866" xr:uid="{00000000-0004-0000-0200-000049070000}"/>
    <hyperlink ref="M1851" r:id="rId1867" xr:uid="{00000000-0004-0000-0200-00004A070000}"/>
    <hyperlink ref="M1852" r:id="rId1868" xr:uid="{00000000-0004-0000-0200-00004B070000}"/>
    <hyperlink ref="M1853" r:id="rId1869" xr:uid="{00000000-0004-0000-0200-00004C070000}"/>
    <hyperlink ref="M1854" r:id="rId1870" xr:uid="{00000000-0004-0000-0200-00004D070000}"/>
    <hyperlink ref="M1855" r:id="rId1871" xr:uid="{00000000-0004-0000-0200-00004E070000}"/>
    <hyperlink ref="M1856" r:id="rId1872" xr:uid="{00000000-0004-0000-0200-00004F070000}"/>
    <hyperlink ref="M1857" r:id="rId1873" xr:uid="{00000000-0004-0000-0200-000050070000}"/>
    <hyperlink ref="M1858" r:id="rId1874" xr:uid="{00000000-0004-0000-0200-000051070000}"/>
    <hyperlink ref="M1859" r:id="rId1875" xr:uid="{00000000-0004-0000-0200-000052070000}"/>
    <hyperlink ref="M1860" r:id="rId1876" xr:uid="{00000000-0004-0000-0200-000053070000}"/>
    <hyperlink ref="M1861" r:id="rId1877" xr:uid="{00000000-0004-0000-0200-000054070000}"/>
    <hyperlink ref="M1862" r:id="rId1878" xr:uid="{00000000-0004-0000-0200-000055070000}"/>
    <hyperlink ref="M1863" r:id="rId1879" xr:uid="{00000000-0004-0000-0200-000056070000}"/>
    <hyperlink ref="M1864" r:id="rId1880" xr:uid="{00000000-0004-0000-0200-000057070000}"/>
    <hyperlink ref="M1865" r:id="rId1881" xr:uid="{00000000-0004-0000-0200-000058070000}"/>
    <hyperlink ref="M1866" r:id="rId1882" xr:uid="{00000000-0004-0000-0200-000059070000}"/>
    <hyperlink ref="M1867" r:id="rId1883" xr:uid="{00000000-0004-0000-0200-00005A070000}"/>
    <hyperlink ref="M1868" r:id="rId1884" xr:uid="{00000000-0004-0000-0200-00005B070000}"/>
    <hyperlink ref="M1869" r:id="rId1885" xr:uid="{00000000-0004-0000-0200-00005C070000}"/>
    <hyperlink ref="M1870" r:id="rId1886" xr:uid="{00000000-0004-0000-0200-00005D070000}"/>
    <hyperlink ref="M1871" r:id="rId1887" xr:uid="{00000000-0004-0000-0200-00005E070000}"/>
    <hyperlink ref="M1872" r:id="rId1888" xr:uid="{00000000-0004-0000-0200-00005F070000}"/>
    <hyperlink ref="M1873" r:id="rId1889" xr:uid="{00000000-0004-0000-0200-000060070000}"/>
    <hyperlink ref="M1874" r:id="rId1890" xr:uid="{00000000-0004-0000-0200-000061070000}"/>
  </hyperlinks>
  <pageMargins left="0.7" right="0.7" top="0.75" bottom="0.75" header="0.3" footer="0.3"/>
  <drawing r:id="rId1891"/>
  <legacyDrawing r:id="rId18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2722"/>
  <sheetViews>
    <sheetView workbookViewId="0">
      <pane ySplit="1" topLeftCell="A2" activePane="bottomLeft" state="frozen"/>
      <selection pane="bottomLeft" activeCell="B3" sqref="B3"/>
    </sheetView>
  </sheetViews>
  <sheetFormatPr baseColWidth="10" defaultColWidth="12.6640625" defaultRowHeight="15.75" customHeight="1"/>
  <cols>
    <col min="1" max="1" width="29.1640625" customWidth="1"/>
    <col min="2" max="2" width="14.1640625" customWidth="1"/>
    <col min="3" max="3" width="22.1640625" customWidth="1"/>
    <col min="4" max="4" width="14.1640625" customWidth="1"/>
    <col min="5" max="5" width="14.5" customWidth="1"/>
    <col min="6" max="6" width="12.33203125" customWidth="1"/>
    <col min="7" max="8" width="9.6640625" customWidth="1"/>
    <col min="9" max="11" width="22.1640625" customWidth="1"/>
    <col min="12" max="12" width="23.33203125" customWidth="1"/>
  </cols>
  <sheetData>
    <row r="1" spans="1:31" ht="13">
      <c r="A1" s="11" t="s">
        <v>599</v>
      </c>
      <c r="B1" s="11" t="s">
        <v>252</v>
      </c>
      <c r="C1" s="11" t="s">
        <v>600</v>
      </c>
      <c r="D1" s="11" t="s">
        <v>601</v>
      </c>
      <c r="E1" s="11" t="s">
        <v>602</v>
      </c>
      <c r="F1" s="11" t="s">
        <v>603</v>
      </c>
      <c r="G1" s="35" t="s">
        <v>604</v>
      </c>
      <c r="H1" s="35" t="s">
        <v>861</v>
      </c>
      <c r="I1" s="35" t="s">
        <v>862</v>
      </c>
      <c r="J1" s="64" t="s">
        <v>863</v>
      </c>
      <c r="K1" s="64" t="s">
        <v>864</v>
      </c>
      <c r="L1" s="11" t="s">
        <v>607</v>
      </c>
      <c r="M1" s="11"/>
      <c r="N1" s="11"/>
      <c r="O1" s="11"/>
      <c r="P1" s="11"/>
      <c r="Q1" s="11"/>
      <c r="R1" s="11"/>
      <c r="S1" s="11"/>
      <c r="T1" s="11"/>
      <c r="U1" s="11"/>
      <c r="V1" s="11"/>
      <c r="W1" s="11"/>
      <c r="X1" s="11"/>
      <c r="Y1" s="11"/>
      <c r="Z1" s="11"/>
      <c r="AA1" s="11"/>
      <c r="AB1" s="11"/>
      <c r="AC1" s="11"/>
      <c r="AD1" s="11"/>
      <c r="AE1" s="11"/>
    </row>
    <row r="2" spans="1:31" ht="13">
      <c r="A2" s="18" t="s">
        <v>371</v>
      </c>
      <c r="B2" s="18" t="s">
        <v>608</v>
      </c>
      <c r="C2" s="18" t="s">
        <v>609</v>
      </c>
      <c r="D2" s="18" t="s">
        <v>610</v>
      </c>
      <c r="E2" s="27" t="s">
        <v>611</v>
      </c>
      <c r="F2" s="36">
        <v>1991</v>
      </c>
      <c r="G2" s="37">
        <v>1800</v>
      </c>
      <c r="H2" s="37" t="s">
        <v>402</v>
      </c>
      <c r="I2" s="37" t="s">
        <v>402</v>
      </c>
      <c r="J2" s="65" t="s">
        <v>402</v>
      </c>
      <c r="K2" s="65" t="s">
        <v>402</v>
      </c>
      <c r="L2" s="38" t="s">
        <v>612</v>
      </c>
    </row>
    <row r="3" spans="1:31" ht="13">
      <c r="A3" s="18" t="s">
        <v>371</v>
      </c>
      <c r="B3" s="18" t="s">
        <v>608</v>
      </c>
      <c r="C3" s="18" t="s">
        <v>609</v>
      </c>
      <c r="D3" s="18" t="s">
        <v>610</v>
      </c>
      <c r="E3" s="27" t="s">
        <v>611</v>
      </c>
      <c r="F3" s="36">
        <v>1993</v>
      </c>
      <c r="G3" s="37">
        <v>2025</v>
      </c>
      <c r="H3" s="37">
        <f t="shared" ref="H3:I3" si="0">F3-F2</f>
        <v>2</v>
      </c>
      <c r="I3" s="37">
        <f t="shared" si="0"/>
        <v>225</v>
      </c>
      <c r="J3" s="65">
        <f t="shared" ref="J3:J8" si="1">I3/G2</f>
        <v>0.125</v>
      </c>
      <c r="K3" s="65">
        <f t="shared" ref="K3:K8" si="2">J3/H3</f>
        <v>6.25E-2</v>
      </c>
      <c r="L3" s="38" t="s">
        <v>612</v>
      </c>
    </row>
    <row r="4" spans="1:31" ht="13">
      <c r="A4" s="18" t="s">
        <v>371</v>
      </c>
      <c r="B4" s="18" t="s">
        <v>608</v>
      </c>
      <c r="C4" s="18" t="s">
        <v>609</v>
      </c>
      <c r="D4" s="18" t="s">
        <v>610</v>
      </c>
      <c r="E4" s="27" t="s">
        <v>611</v>
      </c>
      <c r="F4" s="36">
        <v>1996</v>
      </c>
      <c r="G4" s="37">
        <v>2007</v>
      </c>
      <c r="H4" s="37">
        <f t="shared" ref="H4:I4" si="3">F4-F3</f>
        <v>3</v>
      </c>
      <c r="I4" s="37">
        <f t="shared" si="3"/>
        <v>-18</v>
      </c>
      <c r="J4" s="65">
        <f t="shared" si="1"/>
        <v>-8.8888888888888889E-3</v>
      </c>
      <c r="K4" s="65">
        <f t="shared" si="2"/>
        <v>-2.9629629629629628E-3</v>
      </c>
      <c r="L4" s="38" t="s">
        <v>612</v>
      </c>
    </row>
    <row r="5" spans="1:31" ht="13">
      <c r="A5" s="18" t="s">
        <v>371</v>
      </c>
      <c r="B5" s="18" t="s">
        <v>608</v>
      </c>
      <c r="C5" s="18" t="s">
        <v>609</v>
      </c>
      <c r="D5" s="18" t="s">
        <v>610</v>
      </c>
      <c r="E5" s="27" t="s">
        <v>611</v>
      </c>
      <c r="F5" s="36">
        <v>2001</v>
      </c>
      <c r="G5" s="37">
        <v>1801</v>
      </c>
      <c r="H5" s="37">
        <f t="shared" ref="H5:I5" si="4">F5-F4</f>
        <v>5</v>
      </c>
      <c r="I5" s="37">
        <f t="shared" si="4"/>
        <v>-206</v>
      </c>
      <c r="J5" s="65">
        <f t="shared" si="1"/>
        <v>-0.10264075734927752</v>
      </c>
      <c r="K5" s="65">
        <f t="shared" si="2"/>
        <v>-2.0528151469855503E-2</v>
      </c>
      <c r="L5" s="38" t="s">
        <v>612</v>
      </c>
    </row>
    <row r="6" spans="1:31" ht="13">
      <c r="A6" s="18" t="s">
        <v>371</v>
      </c>
      <c r="B6" s="18" t="s">
        <v>608</v>
      </c>
      <c r="C6" s="18" t="s">
        <v>609</v>
      </c>
      <c r="D6" s="18" t="s">
        <v>610</v>
      </c>
      <c r="E6" s="27" t="s">
        <v>611</v>
      </c>
      <c r="F6" s="36">
        <v>2005</v>
      </c>
      <c r="G6" s="37">
        <v>2026</v>
      </c>
      <c r="H6" s="37">
        <f t="shared" ref="H6:I6" si="5">F6-F5</f>
        <v>4</v>
      </c>
      <c r="I6" s="37">
        <f t="shared" si="5"/>
        <v>225</v>
      </c>
      <c r="J6" s="65">
        <f t="shared" si="1"/>
        <v>0.1249305941143809</v>
      </c>
      <c r="K6" s="65">
        <f t="shared" si="2"/>
        <v>3.1232648528595225E-2</v>
      </c>
      <c r="L6" s="38" t="s">
        <v>612</v>
      </c>
    </row>
    <row r="7" spans="1:31" ht="13">
      <c r="A7" s="18" t="s">
        <v>371</v>
      </c>
      <c r="B7" s="18" t="s">
        <v>608</v>
      </c>
      <c r="C7" s="18" t="s">
        <v>609</v>
      </c>
      <c r="D7" s="18" t="s">
        <v>610</v>
      </c>
      <c r="E7" s="27" t="s">
        <v>611</v>
      </c>
      <c r="F7" s="36">
        <v>2008</v>
      </c>
      <c r="G7" s="37">
        <v>2496</v>
      </c>
      <c r="H7" s="37">
        <f t="shared" ref="H7:I7" si="6">F7-F6</f>
        <v>3</v>
      </c>
      <c r="I7" s="37">
        <f t="shared" si="6"/>
        <v>470</v>
      </c>
      <c r="J7" s="65">
        <f t="shared" si="1"/>
        <v>0.23198420533070088</v>
      </c>
      <c r="K7" s="65">
        <f t="shared" si="2"/>
        <v>7.7328068443566961E-2</v>
      </c>
      <c r="L7" s="38" t="s">
        <v>612</v>
      </c>
    </row>
    <row r="8" spans="1:31" ht="13">
      <c r="A8" s="18" t="s">
        <v>371</v>
      </c>
      <c r="B8" s="18" t="s">
        <v>608</v>
      </c>
      <c r="C8" s="18" t="s">
        <v>609</v>
      </c>
      <c r="D8" s="18" t="s">
        <v>610</v>
      </c>
      <c r="E8" s="27" t="s">
        <v>611</v>
      </c>
      <c r="F8" s="36">
        <v>2014</v>
      </c>
      <c r="G8" s="37">
        <v>2697</v>
      </c>
      <c r="H8" s="37">
        <f t="shared" ref="H8:I8" si="7">F8-F7</f>
        <v>6</v>
      </c>
      <c r="I8" s="37">
        <f t="shared" si="7"/>
        <v>201</v>
      </c>
      <c r="J8" s="65">
        <f t="shared" si="1"/>
        <v>8.0528846153846159E-2</v>
      </c>
      <c r="K8" s="65">
        <f t="shared" si="2"/>
        <v>1.342147435897436E-2</v>
      </c>
      <c r="L8" s="38" t="s">
        <v>612</v>
      </c>
    </row>
    <row r="9" spans="1:31" ht="13">
      <c r="A9" s="18" t="s">
        <v>371</v>
      </c>
      <c r="B9" s="18" t="s">
        <v>608</v>
      </c>
      <c r="C9" s="18" t="s">
        <v>609</v>
      </c>
      <c r="D9" s="18" t="s">
        <v>621</v>
      </c>
      <c r="E9" s="18" t="s">
        <v>622</v>
      </c>
      <c r="F9" s="18">
        <v>1996</v>
      </c>
      <c r="G9" s="40">
        <v>739</v>
      </c>
      <c r="H9" s="61" t="s">
        <v>402</v>
      </c>
      <c r="I9" s="37" t="s">
        <v>402</v>
      </c>
      <c r="J9" s="65" t="s">
        <v>402</v>
      </c>
      <c r="K9" s="65" t="s">
        <v>402</v>
      </c>
      <c r="L9" s="41" t="s">
        <v>623</v>
      </c>
    </row>
    <row r="10" spans="1:31" ht="13">
      <c r="A10" s="18" t="s">
        <v>371</v>
      </c>
      <c r="B10" s="18" t="s">
        <v>608</v>
      </c>
      <c r="C10" s="18" t="s">
        <v>609</v>
      </c>
      <c r="D10" s="18" t="s">
        <v>621</v>
      </c>
      <c r="E10" s="18" t="s">
        <v>622</v>
      </c>
      <c r="F10" s="18">
        <v>2001</v>
      </c>
      <c r="G10" s="40">
        <v>730</v>
      </c>
      <c r="H10" s="40">
        <f t="shared" ref="H10:I10" si="8">F10-F9</f>
        <v>5</v>
      </c>
      <c r="I10" s="40">
        <f t="shared" si="8"/>
        <v>-9</v>
      </c>
      <c r="J10" s="66">
        <f t="shared" ref="J10:J14" si="9">I10/G9</f>
        <v>-1.2178619756427604E-2</v>
      </c>
      <c r="K10" s="65">
        <f t="shared" ref="K10:K14" si="10">J10/H10</f>
        <v>-2.4357239512855207E-3</v>
      </c>
      <c r="L10" s="41" t="s">
        <v>623</v>
      </c>
    </row>
    <row r="11" spans="1:31" ht="13">
      <c r="A11" s="18" t="s">
        <v>371</v>
      </c>
      <c r="B11" s="18" t="s">
        <v>608</v>
      </c>
      <c r="C11" s="18" t="s">
        <v>609</v>
      </c>
      <c r="D11" s="18" t="s">
        <v>621</v>
      </c>
      <c r="E11" s="18" t="s">
        <v>622</v>
      </c>
      <c r="F11" s="18">
        <v>2005</v>
      </c>
      <c r="G11" s="40">
        <v>590</v>
      </c>
      <c r="H11" s="40">
        <f t="shared" ref="H11:I11" si="11">F11-F10</f>
        <v>4</v>
      </c>
      <c r="I11" s="40">
        <f t="shared" si="11"/>
        <v>-140</v>
      </c>
      <c r="J11" s="66">
        <f t="shared" si="9"/>
        <v>-0.19178082191780821</v>
      </c>
      <c r="K11" s="65">
        <f t="shared" si="10"/>
        <v>-4.7945205479452052E-2</v>
      </c>
      <c r="L11" s="41" t="s">
        <v>623</v>
      </c>
    </row>
    <row r="12" spans="1:31" ht="13">
      <c r="A12" s="18" t="s">
        <v>371</v>
      </c>
      <c r="B12" s="18" t="s">
        <v>608</v>
      </c>
      <c r="C12" s="18" t="s">
        <v>609</v>
      </c>
      <c r="D12" s="18" t="s">
        <v>621</v>
      </c>
      <c r="E12" s="18" t="s">
        <v>622</v>
      </c>
      <c r="F12" s="18">
        <v>2008</v>
      </c>
      <c r="G12" s="40">
        <v>681</v>
      </c>
      <c r="H12" s="40">
        <f t="shared" ref="H12:I12" si="12">F12-F11</f>
        <v>3</v>
      </c>
      <c r="I12" s="40">
        <f t="shared" si="12"/>
        <v>91</v>
      </c>
      <c r="J12" s="66">
        <f t="shared" si="9"/>
        <v>0.15423728813559323</v>
      </c>
      <c r="K12" s="65">
        <f t="shared" si="10"/>
        <v>5.1412429378531077E-2</v>
      </c>
      <c r="L12" s="41" t="s">
        <v>623</v>
      </c>
    </row>
    <row r="13" spans="1:31" ht="13">
      <c r="A13" s="18" t="s">
        <v>371</v>
      </c>
      <c r="B13" s="18" t="s">
        <v>608</v>
      </c>
      <c r="C13" s="18" t="s">
        <v>609</v>
      </c>
      <c r="D13" s="18" t="s">
        <v>621</v>
      </c>
      <c r="E13" s="18" t="s">
        <v>622</v>
      </c>
      <c r="F13" s="18">
        <v>2014</v>
      </c>
      <c r="G13" s="40">
        <v>977</v>
      </c>
      <c r="H13" s="40">
        <f t="shared" ref="H13:I13" si="13">F13-F12</f>
        <v>6</v>
      </c>
      <c r="I13" s="40">
        <f t="shared" si="13"/>
        <v>296</v>
      </c>
      <c r="J13" s="66">
        <f t="shared" si="9"/>
        <v>0.43465491923641703</v>
      </c>
      <c r="K13" s="65">
        <f t="shared" si="10"/>
        <v>7.2442486539402842E-2</v>
      </c>
      <c r="L13" s="41" t="s">
        <v>623</v>
      </c>
    </row>
    <row r="14" spans="1:31" ht="13">
      <c r="A14" s="18" t="s">
        <v>371</v>
      </c>
      <c r="B14" s="18" t="s">
        <v>608</v>
      </c>
      <c r="C14" s="18" t="s">
        <v>609</v>
      </c>
      <c r="D14" s="18" t="s">
        <v>621</v>
      </c>
      <c r="E14" s="18" t="s">
        <v>622</v>
      </c>
      <c r="F14" s="18">
        <v>2018</v>
      </c>
      <c r="G14" s="40">
        <v>1363</v>
      </c>
      <c r="H14" s="40">
        <f t="shared" ref="H14:I14" si="14">F14-F13</f>
        <v>4</v>
      </c>
      <c r="I14" s="40">
        <f t="shared" si="14"/>
        <v>386</v>
      </c>
      <c r="J14" s="66">
        <f t="shared" si="9"/>
        <v>0.39508700102354144</v>
      </c>
      <c r="K14" s="65">
        <f t="shared" si="10"/>
        <v>9.877175025588536E-2</v>
      </c>
      <c r="L14" s="41" t="s">
        <v>623</v>
      </c>
    </row>
    <row r="15" spans="1:31" ht="13">
      <c r="A15" s="18" t="s">
        <v>313</v>
      </c>
      <c r="B15" s="18" t="s">
        <v>630</v>
      </c>
      <c r="C15" s="18" t="s">
        <v>631</v>
      </c>
      <c r="D15" s="18" t="s">
        <v>632</v>
      </c>
      <c r="E15" s="18" t="s">
        <v>611</v>
      </c>
      <c r="F15" s="37">
        <v>1978.9972714870401</v>
      </c>
      <c r="G15" s="37">
        <v>1293</v>
      </c>
      <c r="H15" s="37" t="s">
        <v>402</v>
      </c>
      <c r="I15" s="37" t="s">
        <v>402</v>
      </c>
      <c r="J15" s="65" t="s">
        <v>402</v>
      </c>
      <c r="K15" s="65" t="s">
        <v>402</v>
      </c>
      <c r="L15" s="38" t="s">
        <v>612</v>
      </c>
    </row>
    <row r="16" spans="1:31" ht="13">
      <c r="A16" s="18" t="s">
        <v>313</v>
      </c>
      <c r="B16" s="18" t="s">
        <v>630</v>
      </c>
      <c r="C16" s="18" t="s">
        <v>631</v>
      </c>
      <c r="D16" s="18" t="s">
        <v>632</v>
      </c>
      <c r="E16" s="18" t="s">
        <v>611</v>
      </c>
      <c r="F16" s="37">
        <v>1990.96452933151</v>
      </c>
      <c r="G16" s="37">
        <v>1018</v>
      </c>
      <c r="H16" s="37">
        <f t="shared" ref="H16:I16" si="15">F16-F15</f>
        <v>11.967257844469941</v>
      </c>
      <c r="I16" s="37">
        <f t="shared" si="15"/>
        <v>-275</v>
      </c>
      <c r="J16" s="65">
        <f t="shared" ref="J16:J38" si="16">I16/G15</f>
        <v>-0.21268368136117555</v>
      </c>
      <c r="K16" s="65">
        <f t="shared" ref="K16:K38" si="17">J16/H16</f>
        <v>-1.7772131604856869E-2</v>
      </c>
      <c r="L16" s="38" t="s">
        <v>612</v>
      </c>
    </row>
    <row r="17" spans="1:12" ht="13">
      <c r="A17" s="18" t="s">
        <v>313</v>
      </c>
      <c r="B17" s="18" t="s">
        <v>630</v>
      </c>
      <c r="C17" s="18" t="s">
        <v>631</v>
      </c>
      <c r="D17" s="18" t="s">
        <v>632</v>
      </c>
      <c r="E17" s="18" t="s">
        <v>611</v>
      </c>
      <c r="F17" s="37">
        <v>1993.9563437926299</v>
      </c>
      <c r="G17" s="37">
        <v>653</v>
      </c>
      <c r="H17" s="37">
        <f t="shared" ref="H17:I17" si="18">F17-F16</f>
        <v>2.9918144611199295</v>
      </c>
      <c r="I17" s="37">
        <f t="shared" si="18"/>
        <v>-365</v>
      </c>
      <c r="J17" s="65">
        <f t="shared" si="16"/>
        <v>-0.35854616895874264</v>
      </c>
      <c r="K17" s="65">
        <f t="shared" si="17"/>
        <v>-0.11984238114302302</v>
      </c>
      <c r="L17" s="38" t="s">
        <v>612</v>
      </c>
    </row>
    <row r="18" spans="1:12" ht="13">
      <c r="A18" s="18" t="s">
        <v>313</v>
      </c>
      <c r="B18" s="18" t="s">
        <v>630</v>
      </c>
      <c r="C18" s="18" t="s">
        <v>631</v>
      </c>
      <c r="D18" s="18" t="s">
        <v>632</v>
      </c>
      <c r="E18" s="18" t="s">
        <v>611</v>
      </c>
      <c r="F18" s="37">
        <v>1995</v>
      </c>
      <c r="G18" s="37">
        <v>491</v>
      </c>
      <c r="H18" s="37">
        <f t="shared" ref="H18:I18" si="19">F18-F17</f>
        <v>1.043656207370077</v>
      </c>
      <c r="I18" s="37">
        <f t="shared" si="19"/>
        <v>-162</v>
      </c>
      <c r="J18" s="65">
        <f t="shared" si="16"/>
        <v>-0.24808575803981622</v>
      </c>
      <c r="K18" s="65">
        <f t="shared" si="17"/>
        <v>-0.23770831456555103</v>
      </c>
      <c r="L18" s="38" t="s">
        <v>612</v>
      </c>
    </row>
    <row r="19" spans="1:12" ht="13">
      <c r="A19" s="18" t="s">
        <v>313</v>
      </c>
      <c r="B19" s="18" t="s">
        <v>630</v>
      </c>
      <c r="C19" s="18" t="s">
        <v>631</v>
      </c>
      <c r="D19" s="18" t="s">
        <v>632</v>
      </c>
      <c r="E19" s="18" t="s">
        <v>611</v>
      </c>
      <c r="F19" s="37">
        <v>1996</v>
      </c>
      <c r="G19" s="37">
        <v>594</v>
      </c>
      <c r="H19" s="37">
        <f t="shared" ref="H19:I19" si="20">F19-F18</f>
        <v>1</v>
      </c>
      <c r="I19" s="37">
        <f t="shared" si="20"/>
        <v>103</v>
      </c>
      <c r="J19" s="65">
        <f t="shared" si="16"/>
        <v>0.20977596741344195</v>
      </c>
      <c r="K19" s="65">
        <f t="shared" si="17"/>
        <v>0.20977596741344195</v>
      </c>
      <c r="L19" s="38" t="s">
        <v>612</v>
      </c>
    </row>
    <row r="20" spans="1:12" ht="13">
      <c r="A20" s="18" t="s">
        <v>313</v>
      </c>
      <c r="B20" s="18" t="s">
        <v>630</v>
      </c>
      <c r="C20" s="18" t="s">
        <v>631</v>
      </c>
      <c r="D20" s="18" t="s">
        <v>632</v>
      </c>
      <c r="E20" s="18" t="s">
        <v>611</v>
      </c>
      <c r="F20" s="37">
        <v>1997.0068212824001</v>
      </c>
      <c r="G20" s="37">
        <v>440</v>
      </c>
      <c r="H20" s="37">
        <f t="shared" ref="H20:I20" si="21">F20-F19</f>
        <v>1.0068212824000966</v>
      </c>
      <c r="I20" s="37">
        <f t="shared" si="21"/>
        <v>-154</v>
      </c>
      <c r="J20" s="65">
        <f t="shared" si="16"/>
        <v>-0.25925925925925924</v>
      </c>
      <c r="K20" s="65">
        <f t="shared" si="17"/>
        <v>-0.25750276021304175</v>
      </c>
      <c r="L20" s="38" t="s">
        <v>612</v>
      </c>
    </row>
    <row r="21" spans="1:12" ht="13">
      <c r="A21" s="18" t="s">
        <v>313</v>
      </c>
      <c r="B21" s="18" t="s">
        <v>630</v>
      </c>
      <c r="C21" s="18" t="s">
        <v>631</v>
      </c>
      <c r="D21" s="18" t="s">
        <v>632</v>
      </c>
      <c r="E21" s="18" t="s">
        <v>611</v>
      </c>
      <c r="F21" s="37">
        <v>1998.0627557980899</v>
      </c>
      <c r="G21" s="37">
        <v>347</v>
      </c>
      <c r="H21" s="37">
        <f t="shared" ref="H21:I21" si="22">F21-F20</f>
        <v>1.0559345156898416</v>
      </c>
      <c r="I21" s="37">
        <f t="shared" si="22"/>
        <v>-93</v>
      </c>
      <c r="J21" s="65">
        <f t="shared" si="16"/>
        <v>-0.21136363636363636</v>
      </c>
      <c r="K21" s="65">
        <f t="shared" si="17"/>
        <v>-0.20016737138813251</v>
      </c>
      <c r="L21" s="38" t="s">
        <v>612</v>
      </c>
    </row>
    <row r="22" spans="1:12" ht="13">
      <c r="A22" s="18" t="s">
        <v>313</v>
      </c>
      <c r="B22" s="18" t="s">
        <v>630</v>
      </c>
      <c r="C22" s="18" t="s">
        <v>631</v>
      </c>
      <c r="D22" s="18" t="s">
        <v>632</v>
      </c>
      <c r="E22" s="18" t="s">
        <v>611</v>
      </c>
      <c r="F22" s="37">
        <v>1998.94270122783</v>
      </c>
      <c r="G22" s="37">
        <v>367</v>
      </c>
      <c r="H22" s="37">
        <f t="shared" ref="H22:I22" si="23">F22-F21</f>
        <v>0.87994542974001888</v>
      </c>
      <c r="I22" s="37">
        <f t="shared" si="23"/>
        <v>20</v>
      </c>
      <c r="J22" s="65">
        <f t="shared" si="16"/>
        <v>5.7636887608069162E-2</v>
      </c>
      <c r="K22" s="65">
        <f t="shared" si="17"/>
        <v>6.5500524987212067E-2</v>
      </c>
      <c r="L22" s="38" t="s">
        <v>612</v>
      </c>
    </row>
    <row r="23" spans="1:12" ht="13">
      <c r="A23" s="18" t="s">
        <v>313</v>
      </c>
      <c r="B23" s="18" t="s">
        <v>630</v>
      </c>
      <c r="C23" s="18" t="s">
        <v>631</v>
      </c>
      <c r="D23" s="18" t="s">
        <v>632</v>
      </c>
      <c r="E23" s="18" t="s">
        <v>611</v>
      </c>
      <c r="F23" s="37">
        <v>1999.99863574352</v>
      </c>
      <c r="G23" s="37">
        <v>435</v>
      </c>
      <c r="H23" s="37">
        <f t="shared" ref="H23:I23" si="24">F23-F22</f>
        <v>1.055934515690069</v>
      </c>
      <c r="I23" s="37">
        <f t="shared" si="24"/>
        <v>68</v>
      </c>
      <c r="J23" s="65">
        <f t="shared" si="16"/>
        <v>0.18528610354223432</v>
      </c>
      <c r="K23" s="65">
        <f t="shared" si="17"/>
        <v>0.1754712065843847</v>
      </c>
      <c r="L23" s="38" t="s">
        <v>612</v>
      </c>
    </row>
    <row r="24" spans="1:12" ht="13">
      <c r="A24" s="18" t="s">
        <v>313</v>
      </c>
      <c r="B24" s="18" t="s">
        <v>630</v>
      </c>
      <c r="C24" s="18" t="s">
        <v>631</v>
      </c>
      <c r="D24" s="18" t="s">
        <v>632</v>
      </c>
      <c r="E24" s="18" t="s">
        <v>611</v>
      </c>
      <c r="F24" s="37">
        <v>2000.9959072305601</v>
      </c>
      <c r="G24" s="37">
        <v>386</v>
      </c>
      <c r="H24" s="37">
        <f t="shared" ref="H24:I24" si="25">F24-F23</f>
        <v>0.99727148704005231</v>
      </c>
      <c r="I24" s="37">
        <f t="shared" si="25"/>
        <v>-49</v>
      </c>
      <c r="J24" s="65">
        <f t="shared" si="16"/>
        <v>-0.11264367816091954</v>
      </c>
      <c r="K24" s="65">
        <f t="shared" si="17"/>
        <v>-0.11295186879878734</v>
      </c>
      <c r="L24" s="38" t="s">
        <v>612</v>
      </c>
    </row>
    <row r="25" spans="1:12" ht="13">
      <c r="A25" s="18" t="s">
        <v>313</v>
      </c>
      <c r="B25" s="18" t="s">
        <v>630</v>
      </c>
      <c r="C25" s="18" t="s">
        <v>631</v>
      </c>
      <c r="D25" s="18" t="s">
        <v>632</v>
      </c>
      <c r="E25" s="18" t="s">
        <v>611</v>
      </c>
      <c r="F25" s="37">
        <v>2001.9931787175999</v>
      </c>
      <c r="G25" s="37">
        <v>313</v>
      </c>
      <c r="H25" s="37">
        <f t="shared" ref="H25:I25" si="26">F25-F24</f>
        <v>0.99727148703982493</v>
      </c>
      <c r="I25" s="37">
        <f t="shared" si="26"/>
        <v>-73</v>
      </c>
      <c r="J25" s="65">
        <f t="shared" si="16"/>
        <v>-0.18911917098445596</v>
      </c>
      <c r="K25" s="65">
        <f t="shared" si="17"/>
        <v>-0.18963659689681242</v>
      </c>
      <c r="L25" s="38" t="s">
        <v>612</v>
      </c>
    </row>
    <row r="26" spans="1:12" ht="13">
      <c r="A26" s="18" t="s">
        <v>313</v>
      </c>
      <c r="B26" s="18" t="s">
        <v>630</v>
      </c>
      <c r="C26" s="18" t="s">
        <v>631</v>
      </c>
      <c r="D26" s="18" t="s">
        <v>632</v>
      </c>
      <c r="E26" s="18" t="s">
        <v>611</v>
      </c>
      <c r="F26" s="37">
        <v>2002.99045020464</v>
      </c>
      <c r="G26" s="37">
        <v>357</v>
      </c>
      <c r="H26" s="37">
        <f t="shared" ref="H26:I26" si="27">F26-F25</f>
        <v>0.99727148704005231</v>
      </c>
      <c r="I26" s="37">
        <f t="shared" si="27"/>
        <v>44</v>
      </c>
      <c r="J26" s="65">
        <f t="shared" si="16"/>
        <v>0.14057507987220447</v>
      </c>
      <c r="K26" s="65">
        <f t="shared" si="17"/>
        <v>0.14095969021378299</v>
      </c>
      <c r="L26" s="38" t="s">
        <v>612</v>
      </c>
    </row>
    <row r="27" spans="1:12" ht="13">
      <c r="A27" s="18" t="s">
        <v>313</v>
      </c>
      <c r="B27" s="18" t="s">
        <v>630</v>
      </c>
      <c r="C27" s="18" t="s">
        <v>631</v>
      </c>
      <c r="D27" s="18" t="s">
        <v>632</v>
      </c>
      <c r="E27" s="18" t="s">
        <v>611</v>
      </c>
      <c r="F27" s="37">
        <v>2003.98772169168</v>
      </c>
      <c r="G27" s="37">
        <v>366</v>
      </c>
      <c r="H27" s="37">
        <f t="shared" ref="H27:I27" si="28">F27-F26</f>
        <v>0.99727148704005231</v>
      </c>
      <c r="I27" s="37">
        <f t="shared" si="28"/>
        <v>9</v>
      </c>
      <c r="J27" s="65">
        <f t="shared" si="16"/>
        <v>2.5210084033613446E-2</v>
      </c>
      <c r="K27" s="65">
        <f t="shared" si="17"/>
        <v>2.5279058271723116E-2</v>
      </c>
      <c r="L27" s="38" t="s">
        <v>612</v>
      </c>
    </row>
    <row r="28" spans="1:12" ht="13">
      <c r="A28" s="18" t="s">
        <v>313</v>
      </c>
      <c r="B28" s="18" t="s">
        <v>630</v>
      </c>
      <c r="C28" s="18" t="s">
        <v>631</v>
      </c>
      <c r="D28" s="18" t="s">
        <v>632</v>
      </c>
      <c r="E28" s="18" t="s">
        <v>611</v>
      </c>
      <c r="F28" s="37">
        <v>2004.9849931787201</v>
      </c>
      <c r="G28" s="37">
        <v>278</v>
      </c>
      <c r="H28" s="37">
        <f t="shared" ref="H28:I28" si="29">F28-F27</f>
        <v>0.99727148704005231</v>
      </c>
      <c r="I28" s="37">
        <f t="shared" si="29"/>
        <v>-88</v>
      </c>
      <c r="J28" s="65">
        <f t="shared" si="16"/>
        <v>-0.24043715846994534</v>
      </c>
      <c r="K28" s="65">
        <f t="shared" si="17"/>
        <v>-0.2410949892727545</v>
      </c>
      <c r="L28" s="38" t="s">
        <v>612</v>
      </c>
    </row>
    <row r="29" spans="1:12" ht="13">
      <c r="A29" s="18" t="s">
        <v>313</v>
      </c>
      <c r="B29" s="18" t="s">
        <v>630</v>
      </c>
      <c r="C29" s="18" t="s">
        <v>631</v>
      </c>
      <c r="D29" s="18" t="s">
        <v>632</v>
      </c>
      <c r="E29" s="18" t="s">
        <v>611</v>
      </c>
      <c r="F29" s="37">
        <v>2005.9822646657601</v>
      </c>
      <c r="G29" s="37">
        <v>305</v>
      </c>
      <c r="H29" s="37">
        <f t="shared" ref="H29:I29" si="30">F29-F28</f>
        <v>0.99727148704005231</v>
      </c>
      <c r="I29" s="37">
        <f t="shared" si="30"/>
        <v>27</v>
      </c>
      <c r="J29" s="65">
        <f t="shared" si="16"/>
        <v>9.7122302158273388E-2</v>
      </c>
      <c r="K29" s="65">
        <f t="shared" si="17"/>
        <v>9.7388026651134746E-2</v>
      </c>
      <c r="L29" s="38" t="s">
        <v>612</v>
      </c>
    </row>
    <row r="30" spans="1:12" ht="13">
      <c r="A30" s="18" t="s">
        <v>313</v>
      </c>
      <c r="B30" s="18" t="s">
        <v>630</v>
      </c>
      <c r="C30" s="18" t="s">
        <v>631</v>
      </c>
      <c r="D30" s="18" t="s">
        <v>632</v>
      </c>
      <c r="E30" s="18" t="s">
        <v>611</v>
      </c>
      <c r="F30" s="37">
        <v>2006.9795361527999</v>
      </c>
      <c r="G30" s="37">
        <v>375</v>
      </c>
      <c r="H30" s="37">
        <f t="shared" ref="H30:I30" si="31">F30-F29</f>
        <v>0.99727148703982493</v>
      </c>
      <c r="I30" s="37">
        <f t="shared" si="31"/>
        <v>70</v>
      </c>
      <c r="J30" s="65">
        <f t="shared" si="16"/>
        <v>0.22950819672131148</v>
      </c>
      <c r="K30" s="65">
        <f t="shared" si="17"/>
        <v>0.23013612612404541</v>
      </c>
      <c r="L30" s="38" t="s">
        <v>612</v>
      </c>
    </row>
    <row r="31" spans="1:12" ht="13">
      <c r="A31" s="18" t="s">
        <v>313</v>
      </c>
      <c r="B31" s="18" t="s">
        <v>630</v>
      </c>
      <c r="C31" s="18" t="s">
        <v>631</v>
      </c>
      <c r="D31" s="18" t="s">
        <v>632</v>
      </c>
      <c r="E31" s="18" t="s">
        <v>611</v>
      </c>
      <c r="F31" s="37">
        <v>2007.97680763984</v>
      </c>
      <c r="G31" s="37">
        <v>375</v>
      </c>
      <c r="H31" s="37">
        <f t="shared" ref="H31:I31" si="32">F31-F30</f>
        <v>0.99727148704005231</v>
      </c>
      <c r="I31" s="37">
        <f t="shared" si="32"/>
        <v>0</v>
      </c>
      <c r="J31" s="65">
        <f t="shared" si="16"/>
        <v>0</v>
      </c>
      <c r="K31" s="65">
        <f t="shared" si="17"/>
        <v>0</v>
      </c>
      <c r="L31" s="38" t="s">
        <v>612</v>
      </c>
    </row>
    <row r="32" spans="1:12" ht="13">
      <c r="A32" s="18" t="s">
        <v>313</v>
      </c>
      <c r="B32" s="18" t="s">
        <v>630</v>
      </c>
      <c r="C32" s="18" t="s">
        <v>631</v>
      </c>
      <c r="D32" s="18" t="s">
        <v>632</v>
      </c>
      <c r="E32" s="18" t="s">
        <v>611</v>
      </c>
      <c r="F32" s="37">
        <v>2009.0327421555301</v>
      </c>
      <c r="G32" s="37">
        <v>321</v>
      </c>
      <c r="H32" s="37">
        <f t="shared" ref="H32:I32" si="33">F32-F31</f>
        <v>1.055934515690069</v>
      </c>
      <c r="I32" s="37">
        <f t="shared" si="33"/>
        <v>-54</v>
      </c>
      <c r="J32" s="65">
        <f t="shared" si="16"/>
        <v>-0.14399999999999999</v>
      </c>
      <c r="K32" s="65">
        <f t="shared" si="17"/>
        <v>-0.13637209302311123</v>
      </c>
      <c r="L32" s="38" t="s">
        <v>612</v>
      </c>
    </row>
    <row r="33" spans="1:31" ht="13">
      <c r="A33" s="18" t="s">
        <v>313</v>
      </c>
      <c r="B33" s="18" t="s">
        <v>630</v>
      </c>
      <c r="C33" s="18" t="s">
        <v>631</v>
      </c>
      <c r="D33" s="18" t="s">
        <v>632</v>
      </c>
      <c r="E33" s="18" t="s">
        <v>611</v>
      </c>
      <c r="F33" s="37">
        <v>2009.9713506139201</v>
      </c>
      <c r="G33" s="37">
        <v>340</v>
      </c>
      <c r="H33" s="37">
        <f t="shared" ref="H33:I33" si="34">F33-F32</f>
        <v>0.93860845839003559</v>
      </c>
      <c r="I33" s="37">
        <f t="shared" si="34"/>
        <v>19</v>
      </c>
      <c r="J33" s="65">
        <f t="shared" si="16"/>
        <v>5.9190031152647975E-2</v>
      </c>
      <c r="K33" s="65">
        <f t="shared" si="17"/>
        <v>6.3061472143746397E-2</v>
      </c>
      <c r="L33" s="38" t="s">
        <v>612</v>
      </c>
    </row>
    <row r="34" spans="1:31" ht="13">
      <c r="A34" s="18" t="s">
        <v>313</v>
      </c>
      <c r="B34" s="18" t="s">
        <v>630</v>
      </c>
      <c r="C34" s="18" t="s">
        <v>631</v>
      </c>
      <c r="D34" s="18" t="s">
        <v>632</v>
      </c>
      <c r="E34" s="18" t="s">
        <v>611</v>
      </c>
      <c r="F34" s="37">
        <v>2011</v>
      </c>
      <c r="G34" s="37">
        <v>284</v>
      </c>
      <c r="H34" s="37">
        <f t="shared" ref="H34:I34" si="35">F34-F33</f>
        <v>1.0286493860799055</v>
      </c>
      <c r="I34" s="37">
        <f t="shared" si="35"/>
        <v>-56</v>
      </c>
      <c r="J34" s="65">
        <f t="shared" si="16"/>
        <v>-0.16470588235294117</v>
      </c>
      <c r="K34" s="65">
        <f t="shared" si="17"/>
        <v>-0.16011858324304373</v>
      </c>
      <c r="L34" s="38" t="s">
        <v>612</v>
      </c>
    </row>
    <row r="35" spans="1:31" ht="13">
      <c r="A35" s="18" t="s">
        <v>313</v>
      </c>
      <c r="B35" s="18" t="s">
        <v>630</v>
      </c>
      <c r="C35" s="18" t="s">
        <v>631</v>
      </c>
      <c r="D35" s="18" t="s">
        <v>632</v>
      </c>
      <c r="E35" s="18" t="s">
        <v>611</v>
      </c>
      <c r="F35" s="37">
        <v>2012.02455661664</v>
      </c>
      <c r="G35" s="37">
        <v>312</v>
      </c>
      <c r="H35" s="37">
        <f t="shared" ref="H35:I35" si="36">F35-F34</f>
        <v>1.024556616639984</v>
      </c>
      <c r="I35" s="37">
        <f t="shared" si="36"/>
        <v>28</v>
      </c>
      <c r="J35" s="65">
        <f t="shared" si="16"/>
        <v>9.8591549295774641E-2</v>
      </c>
      <c r="K35" s="65">
        <f t="shared" si="17"/>
        <v>9.6228502841652575E-2</v>
      </c>
      <c r="L35" s="38" t="s">
        <v>612</v>
      </c>
    </row>
    <row r="36" spans="1:31" ht="13">
      <c r="A36" s="18" t="s">
        <v>313</v>
      </c>
      <c r="B36" s="18" t="s">
        <v>630</v>
      </c>
      <c r="C36" s="18" t="s">
        <v>631</v>
      </c>
      <c r="D36" s="18" t="s">
        <v>632</v>
      </c>
      <c r="E36" s="18" t="s">
        <v>611</v>
      </c>
      <c r="F36" s="37">
        <v>2013.9604365620701</v>
      </c>
      <c r="G36" s="37">
        <v>379</v>
      </c>
      <c r="H36" s="37">
        <f t="shared" ref="H36:I36" si="37">F36-F35</f>
        <v>1.9358799454300879</v>
      </c>
      <c r="I36" s="37">
        <f t="shared" si="37"/>
        <v>67</v>
      </c>
      <c r="J36" s="65">
        <f t="shared" si="16"/>
        <v>0.21474358974358973</v>
      </c>
      <c r="K36" s="65">
        <f t="shared" si="17"/>
        <v>0.1109281545327858</v>
      </c>
      <c r="L36" s="38" t="s">
        <v>612</v>
      </c>
    </row>
    <row r="37" spans="1:31" ht="13">
      <c r="A37" s="18" t="s">
        <v>313</v>
      </c>
      <c r="B37" s="18" t="s">
        <v>630</v>
      </c>
      <c r="C37" s="18" t="s">
        <v>631</v>
      </c>
      <c r="D37" s="18" t="s">
        <v>632</v>
      </c>
      <c r="E37" s="18" t="s">
        <v>611</v>
      </c>
      <c r="F37" s="37">
        <v>2016.0136425648</v>
      </c>
      <c r="G37" s="37">
        <v>247</v>
      </c>
      <c r="H37" s="37">
        <f t="shared" ref="H37:I37" si="38">F37-F36</f>
        <v>2.053206002729894</v>
      </c>
      <c r="I37" s="37">
        <f t="shared" si="38"/>
        <v>-132</v>
      </c>
      <c r="J37" s="65">
        <f t="shared" si="16"/>
        <v>-0.34828496042216361</v>
      </c>
      <c r="K37" s="65">
        <f t="shared" si="17"/>
        <v>-0.16962981793307258</v>
      </c>
      <c r="L37" s="38" t="s">
        <v>612</v>
      </c>
    </row>
    <row r="38" spans="1:31" ht="13">
      <c r="A38" s="18" t="s">
        <v>313</v>
      </c>
      <c r="B38" s="18" t="s">
        <v>630</v>
      </c>
      <c r="C38" s="18" t="s">
        <v>631</v>
      </c>
      <c r="D38" s="18" t="s">
        <v>632</v>
      </c>
      <c r="E38" s="18" t="s">
        <v>611</v>
      </c>
      <c r="F38" s="37">
        <v>2018.0081855388801</v>
      </c>
      <c r="G38" s="37">
        <v>269</v>
      </c>
      <c r="H38" s="37">
        <f t="shared" ref="H38:I38" si="39">F38-F37</f>
        <v>1.9945429740801046</v>
      </c>
      <c r="I38" s="37">
        <f t="shared" si="39"/>
        <v>22</v>
      </c>
      <c r="J38" s="65">
        <f t="shared" si="16"/>
        <v>8.9068825910931168E-2</v>
      </c>
      <c r="K38" s="65">
        <f t="shared" si="17"/>
        <v>4.4656258134528413E-2</v>
      </c>
      <c r="L38" s="38" t="s">
        <v>612</v>
      </c>
    </row>
    <row r="39" spans="1:31" ht="16">
      <c r="A39" s="42" t="s">
        <v>634</v>
      </c>
      <c r="B39" s="42" t="s">
        <v>268</v>
      </c>
      <c r="C39" s="18" t="s">
        <v>635</v>
      </c>
      <c r="D39" s="27" t="s">
        <v>636</v>
      </c>
      <c r="E39" s="42" t="s">
        <v>611</v>
      </c>
      <c r="F39" s="43">
        <v>1991</v>
      </c>
      <c r="G39" s="38">
        <v>2582</v>
      </c>
      <c r="H39" s="38" t="s">
        <v>402</v>
      </c>
      <c r="I39" s="38" t="s">
        <v>402</v>
      </c>
      <c r="J39" s="67" t="s">
        <v>402</v>
      </c>
      <c r="K39" s="65" t="s">
        <v>402</v>
      </c>
      <c r="L39" s="38" t="s">
        <v>637</v>
      </c>
      <c r="M39" s="27"/>
      <c r="N39" s="27"/>
      <c r="O39" s="27"/>
      <c r="P39" s="27"/>
      <c r="Q39" s="27"/>
      <c r="R39" s="27"/>
      <c r="S39" s="27"/>
      <c r="T39" s="27"/>
      <c r="U39" s="27"/>
      <c r="V39" s="27"/>
      <c r="W39" s="27"/>
      <c r="X39" s="27"/>
      <c r="Y39" s="27"/>
      <c r="Z39" s="27"/>
      <c r="AA39" s="27"/>
      <c r="AB39" s="27"/>
      <c r="AC39" s="27"/>
      <c r="AD39" s="27"/>
      <c r="AE39" s="27"/>
    </row>
    <row r="40" spans="1:31" ht="16">
      <c r="A40" s="42" t="s">
        <v>634</v>
      </c>
      <c r="B40" s="42" t="s">
        <v>268</v>
      </c>
      <c r="C40" s="18" t="s">
        <v>635</v>
      </c>
      <c r="D40" s="27" t="s">
        <v>636</v>
      </c>
      <c r="E40" s="42" t="s">
        <v>611</v>
      </c>
      <c r="F40" s="43">
        <v>1993</v>
      </c>
      <c r="G40" s="38">
        <v>2644</v>
      </c>
      <c r="H40" s="38">
        <f t="shared" ref="H40:I40" si="40">F40-F39</f>
        <v>2</v>
      </c>
      <c r="I40" s="38">
        <f t="shared" si="40"/>
        <v>62</v>
      </c>
      <c r="J40" s="67">
        <f t="shared" ref="J40:J45" si="41">I40/G39</f>
        <v>2.4012393493415957E-2</v>
      </c>
      <c r="K40" s="65">
        <f t="shared" ref="K40:K45" si="42">J40/H40</f>
        <v>1.2006196746707979E-2</v>
      </c>
      <c r="L40" s="38" t="s">
        <v>637</v>
      </c>
      <c r="M40" s="27"/>
      <c r="N40" s="27"/>
      <c r="O40" s="27"/>
      <c r="P40" s="27"/>
      <c r="Q40" s="27"/>
      <c r="R40" s="27"/>
      <c r="S40" s="27"/>
      <c r="T40" s="27"/>
      <c r="U40" s="27"/>
      <c r="V40" s="27"/>
      <c r="W40" s="27"/>
      <c r="X40" s="27"/>
      <c r="Y40" s="27"/>
      <c r="Z40" s="27"/>
      <c r="AA40" s="27"/>
      <c r="AB40" s="27"/>
      <c r="AC40" s="27"/>
      <c r="AD40" s="27"/>
      <c r="AE40" s="27"/>
    </row>
    <row r="41" spans="1:31" ht="16">
      <c r="A41" s="42" t="s">
        <v>634</v>
      </c>
      <c r="B41" s="42" t="s">
        <v>268</v>
      </c>
      <c r="C41" s="18" t="s">
        <v>635</v>
      </c>
      <c r="D41" s="27" t="s">
        <v>636</v>
      </c>
      <c r="E41" s="42" t="s">
        <v>611</v>
      </c>
      <c r="F41" s="43">
        <v>1996</v>
      </c>
      <c r="G41" s="38">
        <v>2948</v>
      </c>
      <c r="H41" s="38">
        <f t="shared" ref="H41:I41" si="43">F41-F40</f>
        <v>3</v>
      </c>
      <c r="I41" s="38">
        <f t="shared" si="43"/>
        <v>304</v>
      </c>
      <c r="J41" s="67">
        <f t="shared" si="41"/>
        <v>0.11497730711043873</v>
      </c>
      <c r="K41" s="65">
        <f t="shared" si="42"/>
        <v>3.8325769036812909E-2</v>
      </c>
      <c r="L41" s="38" t="s">
        <v>637</v>
      </c>
      <c r="M41" s="27"/>
      <c r="N41" s="27"/>
      <c r="O41" s="27"/>
      <c r="P41" s="27"/>
      <c r="Q41" s="27"/>
      <c r="R41" s="27"/>
      <c r="S41" s="27"/>
      <c r="T41" s="27"/>
      <c r="U41" s="27"/>
      <c r="V41" s="27"/>
      <c r="W41" s="27"/>
      <c r="X41" s="27"/>
      <c r="Y41" s="27"/>
      <c r="Z41" s="27"/>
      <c r="AA41" s="27"/>
      <c r="AB41" s="27"/>
      <c r="AC41" s="27"/>
      <c r="AD41" s="27"/>
      <c r="AE41" s="27"/>
    </row>
    <row r="42" spans="1:31" ht="16">
      <c r="A42" s="42" t="s">
        <v>634</v>
      </c>
      <c r="B42" s="42" t="s">
        <v>268</v>
      </c>
      <c r="C42" s="18" t="s">
        <v>635</v>
      </c>
      <c r="D42" s="27" t="s">
        <v>636</v>
      </c>
      <c r="E42" s="42" t="s">
        <v>611</v>
      </c>
      <c r="F42" s="43">
        <v>2001</v>
      </c>
      <c r="G42" s="38">
        <v>961</v>
      </c>
      <c r="H42" s="38">
        <f t="shared" ref="H42:I42" si="44">F42-F41</f>
        <v>5</v>
      </c>
      <c r="I42" s="38">
        <f t="shared" si="44"/>
        <v>-1987</v>
      </c>
      <c r="J42" s="67">
        <f t="shared" si="41"/>
        <v>-0.67401628222523746</v>
      </c>
      <c r="K42" s="65">
        <f t="shared" si="42"/>
        <v>-0.13480325644504748</v>
      </c>
      <c r="L42" s="38" t="s">
        <v>637</v>
      </c>
      <c r="M42" s="27"/>
      <c r="N42" s="27"/>
      <c r="O42" s="27"/>
      <c r="P42" s="27"/>
      <c r="Q42" s="27"/>
      <c r="R42" s="27"/>
      <c r="S42" s="27"/>
      <c r="T42" s="27"/>
      <c r="U42" s="27"/>
      <c r="V42" s="27"/>
      <c r="W42" s="27"/>
      <c r="X42" s="27"/>
      <c r="Y42" s="27"/>
      <c r="Z42" s="27"/>
      <c r="AA42" s="27"/>
      <c r="AB42" s="27"/>
      <c r="AC42" s="27"/>
      <c r="AD42" s="27"/>
      <c r="AE42" s="27"/>
    </row>
    <row r="43" spans="1:31" ht="16">
      <c r="A43" s="42" t="s">
        <v>634</v>
      </c>
      <c r="B43" s="42" t="s">
        <v>268</v>
      </c>
      <c r="C43" s="18" t="s">
        <v>635</v>
      </c>
      <c r="D43" s="27" t="s">
        <v>636</v>
      </c>
      <c r="E43" s="42" t="s">
        <v>611</v>
      </c>
      <c r="F43" s="43">
        <v>2005</v>
      </c>
      <c r="G43" s="38">
        <v>1460</v>
      </c>
      <c r="H43" s="38">
        <f t="shared" ref="H43:I43" si="45">F43-F42</f>
        <v>4</v>
      </c>
      <c r="I43" s="38">
        <f t="shared" si="45"/>
        <v>499</v>
      </c>
      <c r="J43" s="67">
        <f t="shared" si="41"/>
        <v>0.51925078043704476</v>
      </c>
      <c r="K43" s="65">
        <f t="shared" si="42"/>
        <v>0.12981269510926119</v>
      </c>
      <c r="L43" s="38" t="s">
        <v>637</v>
      </c>
      <c r="M43" s="27"/>
      <c r="N43" s="27"/>
      <c r="O43" s="27"/>
      <c r="P43" s="27"/>
      <c r="Q43" s="27"/>
      <c r="R43" s="27"/>
      <c r="S43" s="27"/>
      <c r="T43" s="27"/>
      <c r="U43" s="27"/>
      <c r="V43" s="27"/>
      <c r="W43" s="27"/>
      <c r="X43" s="27"/>
      <c r="Y43" s="27"/>
      <c r="Z43" s="27"/>
      <c r="AA43" s="27"/>
      <c r="AB43" s="27"/>
      <c r="AC43" s="27"/>
      <c r="AD43" s="27"/>
      <c r="AE43" s="27"/>
    </row>
    <row r="44" spans="1:31" ht="16">
      <c r="A44" s="42" t="s">
        <v>634</v>
      </c>
      <c r="B44" s="42" t="s">
        <v>268</v>
      </c>
      <c r="C44" s="18" t="s">
        <v>635</v>
      </c>
      <c r="D44" s="27" t="s">
        <v>636</v>
      </c>
      <c r="E44" s="42" t="s">
        <v>611</v>
      </c>
      <c r="F44" s="43">
        <v>2008</v>
      </c>
      <c r="G44" s="38">
        <v>875</v>
      </c>
      <c r="H44" s="38">
        <f t="shared" ref="H44:I44" si="46">F44-F43</f>
        <v>3</v>
      </c>
      <c r="I44" s="38">
        <f t="shared" si="46"/>
        <v>-585</v>
      </c>
      <c r="J44" s="67">
        <f t="shared" si="41"/>
        <v>-0.40068493150684931</v>
      </c>
      <c r="K44" s="65">
        <f t="shared" si="42"/>
        <v>-0.13356164383561644</v>
      </c>
      <c r="L44" s="38" t="s">
        <v>637</v>
      </c>
      <c r="M44" s="27"/>
      <c r="N44" s="27"/>
      <c r="O44" s="27"/>
      <c r="P44" s="27"/>
      <c r="Q44" s="27"/>
      <c r="R44" s="27"/>
      <c r="S44" s="27"/>
      <c r="T44" s="27"/>
      <c r="U44" s="27"/>
      <c r="V44" s="27"/>
      <c r="W44" s="27"/>
      <c r="X44" s="27"/>
      <c r="Y44" s="27"/>
      <c r="Z44" s="27"/>
      <c r="AA44" s="27"/>
      <c r="AB44" s="27"/>
      <c r="AC44" s="27"/>
      <c r="AD44" s="27"/>
      <c r="AE44" s="27"/>
    </row>
    <row r="45" spans="1:31" ht="16">
      <c r="A45" s="30" t="s">
        <v>634</v>
      </c>
      <c r="B45" s="30" t="s">
        <v>268</v>
      </c>
      <c r="C45" s="18" t="s">
        <v>635</v>
      </c>
      <c r="D45" s="18" t="s">
        <v>636</v>
      </c>
      <c r="E45" s="30" t="s">
        <v>611</v>
      </c>
      <c r="F45" s="46">
        <v>2014</v>
      </c>
      <c r="G45" s="37">
        <v>1483</v>
      </c>
      <c r="H45" s="38">
        <f t="shared" ref="H45:I45" si="47">F45-F44</f>
        <v>6</v>
      </c>
      <c r="I45" s="38">
        <f t="shared" si="47"/>
        <v>608</v>
      </c>
      <c r="J45" s="67">
        <f t="shared" si="41"/>
        <v>0.69485714285714284</v>
      </c>
      <c r="K45" s="65">
        <f t="shared" si="42"/>
        <v>0.11580952380952381</v>
      </c>
      <c r="L45" s="38" t="s">
        <v>637</v>
      </c>
    </row>
    <row r="46" spans="1:31" ht="13">
      <c r="A46" s="30" t="s">
        <v>634</v>
      </c>
      <c r="B46" s="18" t="s">
        <v>553</v>
      </c>
      <c r="C46" s="18" t="s">
        <v>635</v>
      </c>
      <c r="D46" s="18" t="s">
        <v>621</v>
      </c>
      <c r="E46" s="18" t="s">
        <v>622</v>
      </c>
      <c r="F46" s="18">
        <v>1996</v>
      </c>
      <c r="G46" s="26">
        <v>1946</v>
      </c>
      <c r="H46" s="68" t="s">
        <v>402</v>
      </c>
      <c r="I46" s="68" t="s">
        <v>402</v>
      </c>
      <c r="J46" s="69" t="s">
        <v>402</v>
      </c>
      <c r="K46" s="65" t="s">
        <v>402</v>
      </c>
      <c r="L46" s="41" t="s">
        <v>623</v>
      </c>
    </row>
    <row r="47" spans="1:31" ht="13">
      <c r="A47" s="30" t="s">
        <v>634</v>
      </c>
      <c r="B47" s="18" t="s">
        <v>553</v>
      </c>
      <c r="C47" s="18" t="s">
        <v>635</v>
      </c>
      <c r="D47" s="18" t="s">
        <v>621</v>
      </c>
      <c r="E47" s="18" t="s">
        <v>622</v>
      </c>
      <c r="F47" s="18">
        <v>2001</v>
      </c>
      <c r="G47" s="26">
        <v>1657</v>
      </c>
      <c r="H47" s="26">
        <f t="shared" ref="H47:I47" si="48">F47-F46</f>
        <v>5</v>
      </c>
      <c r="I47" s="26">
        <f t="shared" si="48"/>
        <v>-289</v>
      </c>
      <c r="J47" s="66">
        <f t="shared" ref="J47:J51" si="49">I47/G46</f>
        <v>-0.14850976361767729</v>
      </c>
      <c r="K47" s="65">
        <f t="shared" ref="K47:K51" si="50">J47/H47</f>
        <v>-2.9701952723535457E-2</v>
      </c>
      <c r="L47" s="41" t="s">
        <v>623</v>
      </c>
    </row>
    <row r="48" spans="1:31" ht="13">
      <c r="A48" s="30" t="s">
        <v>634</v>
      </c>
      <c r="B48" s="18" t="s">
        <v>553</v>
      </c>
      <c r="C48" s="18" t="s">
        <v>635</v>
      </c>
      <c r="D48" s="18" t="s">
        <v>621</v>
      </c>
      <c r="E48" s="18" t="s">
        <v>622</v>
      </c>
      <c r="F48" s="18">
        <v>2005</v>
      </c>
      <c r="G48" s="26">
        <v>1042</v>
      </c>
      <c r="H48" s="26">
        <f t="shared" ref="H48:I48" si="51">F48-F47</f>
        <v>4</v>
      </c>
      <c r="I48" s="26">
        <f t="shared" si="51"/>
        <v>-615</v>
      </c>
      <c r="J48" s="66">
        <f t="shared" si="49"/>
        <v>-0.37115268557634279</v>
      </c>
      <c r="K48" s="65">
        <f t="shared" si="50"/>
        <v>-9.2788171394085697E-2</v>
      </c>
      <c r="L48" s="41" t="s">
        <v>623</v>
      </c>
    </row>
    <row r="49" spans="1:12" ht="13">
      <c r="A49" s="30" t="s">
        <v>634</v>
      </c>
      <c r="B49" s="18" t="s">
        <v>553</v>
      </c>
      <c r="C49" s="18" t="s">
        <v>635</v>
      </c>
      <c r="D49" s="18" t="s">
        <v>621</v>
      </c>
      <c r="E49" s="18" t="s">
        <v>622</v>
      </c>
      <c r="F49" s="18">
        <v>2008</v>
      </c>
      <c r="G49" s="18">
        <v>919</v>
      </c>
      <c r="H49" s="26">
        <f t="shared" ref="H49:I49" si="52">F49-F48</f>
        <v>3</v>
      </c>
      <c r="I49" s="26">
        <f t="shared" si="52"/>
        <v>-123</v>
      </c>
      <c r="J49" s="66">
        <f t="shared" si="49"/>
        <v>-0.11804222648752399</v>
      </c>
      <c r="K49" s="65">
        <f t="shared" si="50"/>
        <v>-3.9347408829174667E-2</v>
      </c>
      <c r="L49" s="41" t="s">
        <v>623</v>
      </c>
    </row>
    <row r="50" spans="1:12" ht="13">
      <c r="A50" s="30" t="s">
        <v>634</v>
      </c>
      <c r="B50" s="18" t="s">
        <v>553</v>
      </c>
      <c r="C50" s="18" t="s">
        <v>635</v>
      </c>
      <c r="D50" s="18" t="s">
        <v>621</v>
      </c>
      <c r="E50" s="18" t="s">
        <v>622</v>
      </c>
      <c r="F50" s="18">
        <v>2014</v>
      </c>
      <c r="G50" s="26">
        <v>1077</v>
      </c>
      <c r="H50" s="26">
        <f t="shared" ref="H50:I50" si="53">F50-F49</f>
        <v>6</v>
      </c>
      <c r="I50" s="26">
        <f t="shared" si="53"/>
        <v>158</v>
      </c>
      <c r="J50" s="66">
        <f t="shared" si="49"/>
        <v>0.17192600652883569</v>
      </c>
      <c r="K50" s="65">
        <f t="shared" si="50"/>
        <v>2.8654334421472614E-2</v>
      </c>
      <c r="L50" s="41" t="s">
        <v>623</v>
      </c>
    </row>
    <row r="51" spans="1:12" ht="13">
      <c r="A51" s="30" t="s">
        <v>634</v>
      </c>
      <c r="B51" s="18" t="s">
        <v>553</v>
      </c>
      <c r="C51" s="18" t="s">
        <v>635</v>
      </c>
      <c r="D51" s="18" t="s">
        <v>621</v>
      </c>
      <c r="E51" s="18" t="s">
        <v>622</v>
      </c>
      <c r="F51" s="18">
        <v>2018</v>
      </c>
      <c r="G51" s="18">
        <v>670</v>
      </c>
      <c r="H51" s="26">
        <f t="shared" ref="H51:I51" si="54">F51-F50</f>
        <v>4</v>
      </c>
      <c r="I51" s="26">
        <f t="shared" si="54"/>
        <v>-407</v>
      </c>
      <c r="J51" s="66">
        <f t="shared" si="49"/>
        <v>-0.3779015784586815</v>
      </c>
      <c r="K51" s="65">
        <f t="shared" si="50"/>
        <v>-9.4475394614670374E-2</v>
      </c>
      <c r="L51" s="41" t="s">
        <v>623</v>
      </c>
    </row>
    <row r="52" spans="1:12" ht="13">
      <c r="A52" s="30" t="s">
        <v>634</v>
      </c>
      <c r="B52" s="18" t="s">
        <v>553</v>
      </c>
      <c r="C52" s="18" t="s">
        <v>635</v>
      </c>
      <c r="D52" s="18" t="s">
        <v>640</v>
      </c>
      <c r="E52" s="18" t="s">
        <v>622</v>
      </c>
      <c r="F52" s="18">
        <v>1986</v>
      </c>
      <c r="G52" s="18" t="s">
        <v>402</v>
      </c>
      <c r="H52" s="18" t="s">
        <v>402</v>
      </c>
      <c r="I52" s="18" t="s">
        <v>402</v>
      </c>
      <c r="J52" s="66" t="s">
        <v>402</v>
      </c>
      <c r="K52" s="65" t="s">
        <v>402</v>
      </c>
      <c r="L52" s="41" t="s">
        <v>623</v>
      </c>
    </row>
    <row r="53" spans="1:12" ht="13">
      <c r="A53" s="30" t="s">
        <v>634</v>
      </c>
      <c r="B53" s="18" t="s">
        <v>553</v>
      </c>
      <c r="C53" s="18" t="s">
        <v>635</v>
      </c>
      <c r="D53" s="18" t="s">
        <v>640</v>
      </c>
      <c r="E53" s="18" t="s">
        <v>622</v>
      </c>
      <c r="F53" s="18">
        <v>1987</v>
      </c>
      <c r="G53" s="18" t="s">
        <v>402</v>
      </c>
      <c r="H53" s="18" t="s">
        <v>402</v>
      </c>
      <c r="I53" s="18" t="s">
        <v>402</v>
      </c>
      <c r="J53" s="66" t="s">
        <v>402</v>
      </c>
      <c r="K53" s="65" t="s">
        <v>402</v>
      </c>
      <c r="L53" s="41" t="s">
        <v>623</v>
      </c>
    </row>
    <row r="54" spans="1:12" ht="13">
      <c r="A54" s="30" t="s">
        <v>634</v>
      </c>
      <c r="B54" s="18" t="s">
        <v>553</v>
      </c>
      <c r="C54" s="18" t="s">
        <v>635</v>
      </c>
      <c r="D54" s="18" t="s">
        <v>640</v>
      </c>
      <c r="E54" s="18" t="s">
        <v>622</v>
      </c>
      <c r="F54" s="18">
        <v>1988</v>
      </c>
      <c r="G54" s="18" t="s">
        <v>402</v>
      </c>
      <c r="H54" s="18" t="s">
        <v>402</v>
      </c>
      <c r="I54" s="18" t="s">
        <v>402</v>
      </c>
      <c r="J54" s="66" t="s">
        <v>402</v>
      </c>
      <c r="K54" s="65" t="s">
        <v>402</v>
      </c>
      <c r="L54" s="41" t="s">
        <v>623</v>
      </c>
    </row>
    <row r="55" spans="1:12" ht="13">
      <c r="A55" s="30" t="s">
        <v>634</v>
      </c>
      <c r="B55" s="18" t="s">
        <v>553</v>
      </c>
      <c r="C55" s="18" t="s">
        <v>635</v>
      </c>
      <c r="D55" s="18" t="s">
        <v>640</v>
      </c>
      <c r="E55" s="18" t="s">
        <v>622</v>
      </c>
      <c r="F55" s="18">
        <v>1989</v>
      </c>
      <c r="G55" s="18">
        <v>742</v>
      </c>
      <c r="H55" s="18" t="s">
        <v>402</v>
      </c>
      <c r="I55" s="18" t="s">
        <v>402</v>
      </c>
      <c r="J55" s="66" t="s">
        <v>402</v>
      </c>
      <c r="K55" s="65" t="s">
        <v>402</v>
      </c>
      <c r="L55" s="41" t="s">
        <v>623</v>
      </c>
    </row>
    <row r="56" spans="1:12" ht="13">
      <c r="A56" s="30" t="s">
        <v>634</v>
      </c>
      <c r="B56" s="18" t="s">
        <v>553</v>
      </c>
      <c r="C56" s="18" t="s">
        <v>635</v>
      </c>
      <c r="D56" s="18" t="s">
        <v>640</v>
      </c>
      <c r="E56" s="18" t="s">
        <v>622</v>
      </c>
      <c r="F56" s="18">
        <v>1990</v>
      </c>
      <c r="G56" s="18">
        <v>588</v>
      </c>
      <c r="H56" s="18">
        <f t="shared" ref="H56:I56" si="55">F56-F55</f>
        <v>1</v>
      </c>
      <c r="I56" s="18">
        <f t="shared" si="55"/>
        <v>-154</v>
      </c>
      <c r="J56" s="66">
        <f t="shared" ref="J56:J84" si="56">I56/G55</f>
        <v>-0.20754716981132076</v>
      </c>
      <c r="K56" s="65">
        <f t="shared" ref="K56:K84" si="57">J56/H56</f>
        <v>-0.20754716981132076</v>
      </c>
      <c r="L56" s="41" t="s">
        <v>623</v>
      </c>
    </row>
    <row r="57" spans="1:12" ht="13">
      <c r="A57" s="30" t="s">
        <v>634</v>
      </c>
      <c r="B57" s="18" t="s">
        <v>553</v>
      </c>
      <c r="C57" s="18" t="s">
        <v>635</v>
      </c>
      <c r="D57" s="18" t="s">
        <v>640</v>
      </c>
      <c r="E57" s="18" t="s">
        <v>622</v>
      </c>
      <c r="F57" s="18">
        <v>1991</v>
      </c>
      <c r="G57" s="18">
        <v>641</v>
      </c>
      <c r="H57" s="18">
        <f t="shared" ref="H57:I57" si="58">F57-F56</f>
        <v>1</v>
      </c>
      <c r="I57" s="18">
        <f t="shared" si="58"/>
        <v>53</v>
      </c>
      <c r="J57" s="66">
        <f t="shared" si="56"/>
        <v>9.013605442176871E-2</v>
      </c>
      <c r="K57" s="65">
        <f t="shared" si="57"/>
        <v>9.013605442176871E-2</v>
      </c>
      <c r="L57" s="41" t="s">
        <v>623</v>
      </c>
    </row>
    <row r="58" spans="1:12" ht="13">
      <c r="A58" s="30" t="s">
        <v>634</v>
      </c>
      <c r="B58" s="18" t="s">
        <v>553</v>
      </c>
      <c r="C58" s="18" t="s">
        <v>635</v>
      </c>
      <c r="D58" s="18" t="s">
        <v>640</v>
      </c>
      <c r="E58" s="18" t="s">
        <v>622</v>
      </c>
      <c r="F58" s="18">
        <v>1992</v>
      </c>
      <c r="G58" s="26">
        <v>1050</v>
      </c>
      <c r="H58" s="18">
        <f t="shared" ref="H58:I58" si="59">F58-F57</f>
        <v>1</v>
      </c>
      <c r="I58" s="26">
        <f t="shared" si="59"/>
        <v>409</v>
      </c>
      <c r="J58" s="66">
        <f t="shared" si="56"/>
        <v>0.63806552262090488</v>
      </c>
      <c r="K58" s="65">
        <f t="shared" si="57"/>
        <v>0.63806552262090488</v>
      </c>
      <c r="L58" s="41" t="s">
        <v>623</v>
      </c>
    </row>
    <row r="59" spans="1:12" ht="13">
      <c r="A59" s="30" t="s">
        <v>634</v>
      </c>
      <c r="B59" s="18" t="s">
        <v>553</v>
      </c>
      <c r="C59" s="18" t="s">
        <v>635</v>
      </c>
      <c r="D59" s="18" t="s">
        <v>640</v>
      </c>
      <c r="E59" s="18" t="s">
        <v>622</v>
      </c>
      <c r="F59" s="18">
        <v>1993</v>
      </c>
      <c r="G59" s="18">
        <v>980</v>
      </c>
      <c r="H59" s="18">
        <f t="shared" ref="H59:I59" si="60">F59-F58</f>
        <v>1</v>
      </c>
      <c r="I59" s="26">
        <f t="shared" si="60"/>
        <v>-70</v>
      </c>
      <c r="J59" s="66">
        <f t="shared" si="56"/>
        <v>-6.6666666666666666E-2</v>
      </c>
      <c r="K59" s="65">
        <f t="shared" si="57"/>
        <v>-6.6666666666666666E-2</v>
      </c>
      <c r="L59" s="41" t="s">
        <v>623</v>
      </c>
    </row>
    <row r="60" spans="1:12" ht="13">
      <c r="A60" s="30" t="s">
        <v>634</v>
      </c>
      <c r="B60" s="18" t="s">
        <v>553</v>
      </c>
      <c r="C60" s="18" t="s">
        <v>635</v>
      </c>
      <c r="D60" s="18" t="s">
        <v>640</v>
      </c>
      <c r="E60" s="18" t="s">
        <v>622</v>
      </c>
      <c r="F60" s="18">
        <v>1994</v>
      </c>
      <c r="G60" s="26">
        <v>1361</v>
      </c>
      <c r="H60" s="18">
        <f t="shared" ref="H60:I60" si="61">F60-F59</f>
        <v>1</v>
      </c>
      <c r="I60" s="26">
        <f t="shared" si="61"/>
        <v>381</v>
      </c>
      <c r="J60" s="66">
        <f t="shared" si="56"/>
        <v>0.38877551020408163</v>
      </c>
      <c r="K60" s="65">
        <f t="shared" si="57"/>
        <v>0.38877551020408163</v>
      </c>
      <c r="L60" s="41" t="s">
        <v>623</v>
      </c>
    </row>
    <row r="61" spans="1:12" ht="13">
      <c r="A61" s="30" t="s">
        <v>634</v>
      </c>
      <c r="B61" s="18" t="s">
        <v>553</v>
      </c>
      <c r="C61" s="18" t="s">
        <v>635</v>
      </c>
      <c r="D61" s="18" t="s">
        <v>640</v>
      </c>
      <c r="E61" s="18" t="s">
        <v>622</v>
      </c>
      <c r="F61" s="18">
        <v>1995</v>
      </c>
      <c r="G61" s="26">
        <v>1335</v>
      </c>
      <c r="H61" s="18">
        <f t="shared" ref="H61:I61" si="62">F61-F60</f>
        <v>1</v>
      </c>
      <c r="I61" s="26">
        <f t="shared" si="62"/>
        <v>-26</v>
      </c>
      <c r="J61" s="66">
        <f t="shared" si="56"/>
        <v>-1.9103600293901544E-2</v>
      </c>
      <c r="K61" s="65">
        <f t="shared" si="57"/>
        <v>-1.9103600293901544E-2</v>
      </c>
      <c r="L61" s="41" t="s">
        <v>623</v>
      </c>
    </row>
    <row r="62" spans="1:12" ht="13">
      <c r="A62" s="30" t="s">
        <v>634</v>
      </c>
      <c r="B62" s="18" t="s">
        <v>553</v>
      </c>
      <c r="C62" s="18" t="s">
        <v>635</v>
      </c>
      <c r="D62" s="18" t="s">
        <v>640</v>
      </c>
      <c r="E62" s="18" t="s">
        <v>622</v>
      </c>
      <c r="F62" s="18">
        <v>1996</v>
      </c>
      <c r="G62" s="26">
        <v>1502</v>
      </c>
      <c r="H62" s="18">
        <f t="shared" ref="H62:I62" si="63">F62-F61</f>
        <v>1</v>
      </c>
      <c r="I62" s="26">
        <f t="shared" si="63"/>
        <v>167</v>
      </c>
      <c r="J62" s="66">
        <f t="shared" si="56"/>
        <v>0.12509363295880149</v>
      </c>
      <c r="K62" s="65">
        <f t="shared" si="57"/>
        <v>0.12509363295880149</v>
      </c>
      <c r="L62" s="41" t="s">
        <v>623</v>
      </c>
    </row>
    <row r="63" spans="1:12" ht="13">
      <c r="A63" s="30" t="s">
        <v>634</v>
      </c>
      <c r="B63" s="18" t="s">
        <v>553</v>
      </c>
      <c r="C63" s="18" t="s">
        <v>635</v>
      </c>
      <c r="D63" s="18" t="s">
        <v>640</v>
      </c>
      <c r="E63" s="18" t="s">
        <v>622</v>
      </c>
      <c r="F63" s="18">
        <v>1997</v>
      </c>
      <c r="G63" s="26">
        <v>1224</v>
      </c>
      <c r="H63" s="18">
        <f t="shared" ref="H63:I63" si="64">F63-F62</f>
        <v>1</v>
      </c>
      <c r="I63" s="26">
        <f t="shared" si="64"/>
        <v>-278</v>
      </c>
      <c r="J63" s="66">
        <f t="shared" si="56"/>
        <v>-0.18508655126498003</v>
      </c>
      <c r="K63" s="65">
        <f t="shared" si="57"/>
        <v>-0.18508655126498003</v>
      </c>
      <c r="L63" s="41" t="s">
        <v>623</v>
      </c>
    </row>
    <row r="64" spans="1:12" ht="13">
      <c r="A64" s="30" t="s">
        <v>634</v>
      </c>
      <c r="B64" s="18" t="s">
        <v>553</v>
      </c>
      <c r="C64" s="18" t="s">
        <v>635</v>
      </c>
      <c r="D64" s="18" t="s">
        <v>640</v>
      </c>
      <c r="E64" s="18" t="s">
        <v>622</v>
      </c>
      <c r="F64" s="18">
        <v>1998</v>
      </c>
      <c r="G64" s="26">
        <v>1422</v>
      </c>
      <c r="H64" s="18">
        <f t="shared" ref="H64:I64" si="65">F64-F63</f>
        <v>1</v>
      </c>
      <c r="I64" s="26">
        <f t="shared" si="65"/>
        <v>198</v>
      </c>
      <c r="J64" s="66">
        <f t="shared" si="56"/>
        <v>0.16176470588235295</v>
      </c>
      <c r="K64" s="65">
        <f t="shared" si="57"/>
        <v>0.16176470588235295</v>
      </c>
      <c r="L64" s="41" t="s">
        <v>623</v>
      </c>
    </row>
    <row r="65" spans="1:12" ht="13">
      <c r="A65" s="30" t="s">
        <v>634</v>
      </c>
      <c r="B65" s="18" t="s">
        <v>553</v>
      </c>
      <c r="C65" s="18" t="s">
        <v>635</v>
      </c>
      <c r="D65" s="18" t="s">
        <v>640</v>
      </c>
      <c r="E65" s="18" t="s">
        <v>622</v>
      </c>
      <c r="F65" s="18">
        <v>1999</v>
      </c>
      <c r="G65" s="26">
        <v>1260</v>
      </c>
      <c r="H65" s="18">
        <f t="shared" ref="H65:I65" si="66">F65-F64</f>
        <v>1</v>
      </c>
      <c r="I65" s="26">
        <f t="shared" si="66"/>
        <v>-162</v>
      </c>
      <c r="J65" s="66">
        <f t="shared" si="56"/>
        <v>-0.11392405063291139</v>
      </c>
      <c r="K65" s="65">
        <f t="shared" si="57"/>
        <v>-0.11392405063291139</v>
      </c>
      <c r="L65" s="41" t="s">
        <v>623</v>
      </c>
    </row>
    <row r="66" spans="1:12" ht="13">
      <c r="A66" s="30" t="s">
        <v>634</v>
      </c>
      <c r="B66" s="18" t="s">
        <v>553</v>
      </c>
      <c r="C66" s="18" t="s">
        <v>635</v>
      </c>
      <c r="D66" s="18" t="s">
        <v>640</v>
      </c>
      <c r="E66" s="18" t="s">
        <v>622</v>
      </c>
      <c r="F66" s="18">
        <v>2000</v>
      </c>
      <c r="G66" s="26">
        <v>1072</v>
      </c>
      <c r="H66" s="18">
        <f t="shared" ref="H66:I66" si="67">F66-F65</f>
        <v>1</v>
      </c>
      <c r="I66" s="26">
        <f t="shared" si="67"/>
        <v>-188</v>
      </c>
      <c r="J66" s="66">
        <f t="shared" si="56"/>
        <v>-0.1492063492063492</v>
      </c>
      <c r="K66" s="65">
        <f t="shared" si="57"/>
        <v>-0.1492063492063492</v>
      </c>
      <c r="L66" s="41" t="s">
        <v>623</v>
      </c>
    </row>
    <row r="67" spans="1:12" ht="13">
      <c r="A67" s="30" t="s">
        <v>634</v>
      </c>
      <c r="B67" s="18" t="s">
        <v>553</v>
      </c>
      <c r="C67" s="18" t="s">
        <v>635</v>
      </c>
      <c r="D67" s="18" t="s">
        <v>640</v>
      </c>
      <c r="E67" s="18" t="s">
        <v>622</v>
      </c>
      <c r="F67" s="18">
        <v>2001</v>
      </c>
      <c r="G67" s="26">
        <v>1158</v>
      </c>
      <c r="H67" s="18">
        <f t="shared" ref="H67:I67" si="68">F67-F66</f>
        <v>1</v>
      </c>
      <c r="I67" s="26">
        <f t="shared" si="68"/>
        <v>86</v>
      </c>
      <c r="J67" s="66">
        <f t="shared" si="56"/>
        <v>8.0223880597014921E-2</v>
      </c>
      <c r="K67" s="65">
        <f t="shared" si="57"/>
        <v>8.0223880597014921E-2</v>
      </c>
      <c r="L67" s="41" t="s">
        <v>623</v>
      </c>
    </row>
    <row r="68" spans="1:12" ht="13">
      <c r="A68" s="30" t="s">
        <v>634</v>
      </c>
      <c r="B68" s="18" t="s">
        <v>553</v>
      </c>
      <c r="C68" s="18" t="s">
        <v>635</v>
      </c>
      <c r="D68" s="18" t="s">
        <v>640</v>
      </c>
      <c r="E68" s="18" t="s">
        <v>622</v>
      </c>
      <c r="F68" s="18">
        <v>2002</v>
      </c>
      <c r="G68" s="26">
        <v>1343</v>
      </c>
      <c r="H68" s="18">
        <f t="shared" ref="H68:I68" si="69">F68-F67</f>
        <v>1</v>
      </c>
      <c r="I68" s="26">
        <f t="shared" si="69"/>
        <v>185</v>
      </c>
      <c r="J68" s="66">
        <f t="shared" si="56"/>
        <v>0.15975820379965458</v>
      </c>
      <c r="K68" s="65">
        <f t="shared" si="57"/>
        <v>0.15975820379965458</v>
      </c>
      <c r="L68" s="41" t="s">
        <v>623</v>
      </c>
    </row>
    <row r="69" spans="1:12" ht="13">
      <c r="A69" s="30" t="s">
        <v>634</v>
      </c>
      <c r="B69" s="18" t="s">
        <v>553</v>
      </c>
      <c r="C69" s="18" t="s">
        <v>635</v>
      </c>
      <c r="D69" s="18" t="s">
        <v>640</v>
      </c>
      <c r="E69" s="18" t="s">
        <v>622</v>
      </c>
      <c r="F69" s="18">
        <v>2003</v>
      </c>
      <c r="G69" s="26">
        <v>1224</v>
      </c>
      <c r="H69" s="18">
        <f t="shared" ref="H69:I69" si="70">F69-F68</f>
        <v>1</v>
      </c>
      <c r="I69" s="26">
        <f t="shared" si="70"/>
        <v>-119</v>
      </c>
      <c r="J69" s="66">
        <f t="shared" si="56"/>
        <v>-8.8607594936708861E-2</v>
      </c>
      <c r="K69" s="65">
        <f t="shared" si="57"/>
        <v>-8.8607594936708861E-2</v>
      </c>
      <c r="L69" s="41" t="s">
        <v>623</v>
      </c>
    </row>
    <row r="70" spans="1:12" ht="13">
      <c r="A70" s="30" t="s">
        <v>634</v>
      </c>
      <c r="B70" s="18" t="s">
        <v>553</v>
      </c>
      <c r="C70" s="18" t="s">
        <v>635</v>
      </c>
      <c r="D70" s="18" t="s">
        <v>640</v>
      </c>
      <c r="E70" s="18" t="s">
        <v>622</v>
      </c>
      <c r="F70" s="18">
        <v>2004</v>
      </c>
      <c r="G70" s="26">
        <v>1391</v>
      </c>
      <c r="H70" s="18">
        <f t="shared" ref="H70:I70" si="71">F70-F69</f>
        <v>1</v>
      </c>
      <c r="I70" s="26">
        <f t="shared" si="71"/>
        <v>167</v>
      </c>
      <c r="J70" s="66">
        <f t="shared" si="56"/>
        <v>0.13643790849673201</v>
      </c>
      <c r="K70" s="65">
        <f t="shared" si="57"/>
        <v>0.13643790849673201</v>
      </c>
      <c r="L70" s="41" t="s">
        <v>623</v>
      </c>
    </row>
    <row r="71" spans="1:12" ht="13">
      <c r="A71" s="30" t="s">
        <v>634</v>
      </c>
      <c r="B71" s="18" t="s">
        <v>553</v>
      </c>
      <c r="C71" s="18" t="s">
        <v>635</v>
      </c>
      <c r="D71" s="18" t="s">
        <v>640</v>
      </c>
      <c r="E71" s="18" t="s">
        <v>622</v>
      </c>
      <c r="F71" s="18">
        <v>2005</v>
      </c>
      <c r="G71" s="26">
        <v>1522</v>
      </c>
      <c r="H71" s="18">
        <f t="shared" ref="H71:I71" si="72">F71-F70</f>
        <v>1</v>
      </c>
      <c r="I71" s="26">
        <f t="shared" si="72"/>
        <v>131</v>
      </c>
      <c r="J71" s="66">
        <f t="shared" si="56"/>
        <v>9.417685118619698E-2</v>
      </c>
      <c r="K71" s="65">
        <f t="shared" si="57"/>
        <v>9.417685118619698E-2</v>
      </c>
      <c r="L71" s="41" t="s">
        <v>623</v>
      </c>
    </row>
    <row r="72" spans="1:12" ht="13">
      <c r="A72" s="30" t="s">
        <v>634</v>
      </c>
      <c r="B72" s="18" t="s">
        <v>553</v>
      </c>
      <c r="C72" s="18" t="s">
        <v>635</v>
      </c>
      <c r="D72" s="18" t="s">
        <v>640</v>
      </c>
      <c r="E72" s="18" t="s">
        <v>622</v>
      </c>
      <c r="F72" s="18">
        <v>2006</v>
      </c>
      <c r="G72" s="26">
        <v>1619</v>
      </c>
      <c r="H72" s="18">
        <f t="shared" ref="H72:I72" si="73">F72-F71</f>
        <v>1</v>
      </c>
      <c r="I72" s="26">
        <f t="shared" si="73"/>
        <v>97</v>
      </c>
      <c r="J72" s="66">
        <f t="shared" si="56"/>
        <v>6.3731931668856767E-2</v>
      </c>
      <c r="K72" s="65">
        <f t="shared" si="57"/>
        <v>6.3731931668856767E-2</v>
      </c>
      <c r="L72" s="41" t="s">
        <v>623</v>
      </c>
    </row>
    <row r="73" spans="1:12" ht="13">
      <c r="A73" s="30" t="s">
        <v>634</v>
      </c>
      <c r="B73" s="18" t="s">
        <v>553</v>
      </c>
      <c r="C73" s="18" t="s">
        <v>635</v>
      </c>
      <c r="D73" s="18" t="s">
        <v>640</v>
      </c>
      <c r="E73" s="18" t="s">
        <v>622</v>
      </c>
      <c r="F73" s="18">
        <v>2007</v>
      </c>
      <c r="G73" s="26">
        <v>1327</v>
      </c>
      <c r="H73" s="18">
        <f t="shared" ref="H73:I73" si="74">F73-F72</f>
        <v>1</v>
      </c>
      <c r="I73" s="26">
        <f t="shared" si="74"/>
        <v>-292</v>
      </c>
      <c r="J73" s="66">
        <f t="shared" si="56"/>
        <v>-0.18035824583075974</v>
      </c>
      <c r="K73" s="65">
        <f t="shared" si="57"/>
        <v>-0.18035824583075974</v>
      </c>
      <c r="L73" s="41" t="s">
        <v>623</v>
      </c>
    </row>
    <row r="74" spans="1:12" ht="13">
      <c r="A74" s="30" t="s">
        <v>634</v>
      </c>
      <c r="B74" s="18" t="s">
        <v>553</v>
      </c>
      <c r="C74" s="18" t="s">
        <v>635</v>
      </c>
      <c r="D74" s="18" t="s">
        <v>640</v>
      </c>
      <c r="E74" s="18" t="s">
        <v>622</v>
      </c>
      <c r="F74" s="18">
        <v>2008</v>
      </c>
      <c r="G74" s="26">
        <v>1397</v>
      </c>
      <c r="H74" s="18">
        <f t="shared" ref="H74:I74" si="75">F74-F73</f>
        <v>1</v>
      </c>
      <c r="I74" s="26">
        <f t="shared" si="75"/>
        <v>70</v>
      </c>
      <c r="J74" s="66">
        <f t="shared" si="56"/>
        <v>5.275056518462698E-2</v>
      </c>
      <c r="K74" s="65">
        <f t="shared" si="57"/>
        <v>5.275056518462698E-2</v>
      </c>
      <c r="L74" s="41" t="s">
        <v>623</v>
      </c>
    </row>
    <row r="75" spans="1:12" ht="13">
      <c r="A75" s="30" t="s">
        <v>634</v>
      </c>
      <c r="B75" s="18" t="s">
        <v>553</v>
      </c>
      <c r="C75" s="18" t="s">
        <v>635</v>
      </c>
      <c r="D75" s="18" t="s">
        <v>640</v>
      </c>
      <c r="E75" s="18" t="s">
        <v>622</v>
      </c>
      <c r="F75" s="18">
        <v>2009</v>
      </c>
      <c r="G75" s="26">
        <v>1490</v>
      </c>
      <c r="H75" s="18">
        <f t="shared" ref="H75:I75" si="76">F75-F74</f>
        <v>1</v>
      </c>
      <c r="I75" s="26">
        <f t="shared" si="76"/>
        <v>93</v>
      </c>
      <c r="J75" s="66">
        <f t="shared" si="56"/>
        <v>6.6571224051539007E-2</v>
      </c>
      <c r="K75" s="65">
        <f t="shared" si="57"/>
        <v>6.6571224051539007E-2</v>
      </c>
      <c r="L75" s="41" t="s">
        <v>623</v>
      </c>
    </row>
    <row r="76" spans="1:12" ht="13">
      <c r="A76" s="30" t="s">
        <v>634</v>
      </c>
      <c r="B76" s="18" t="s">
        <v>553</v>
      </c>
      <c r="C76" s="18" t="s">
        <v>635</v>
      </c>
      <c r="D76" s="18" t="s">
        <v>640</v>
      </c>
      <c r="E76" s="18" t="s">
        <v>622</v>
      </c>
      <c r="F76" s="18">
        <v>2010</v>
      </c>
      <c r="G76" s="26">
        <v>1358</v>
      </c>
      <c r="H76" s="18">
        <f t="shared" ref="H76:I76" si="77">F76-F75</f>
        <v>1</v>
      </c>
      <c r="I76" s="26">
        <f t="shared" si="77"/>
        <v>-132</v>
      </c>
      <c r="J76" s="66">
        <f t="shared" si="56"/>
        <v>-8.859060402684564E-2</v>
      </c>
      <c r="K76" s="65">
        <f t="shared" si="57"/>
        <v>-8.859060402684564E-2</v>
      </c>
      <c r="L76" s="41" t="s">
        <v>623</v>
      </c>
    </row>
    <row r="77" spans="1:12" ht="13">
      <c r="A77" s="30" t="s">
        <v>634</v>
      </c>
      <c r="B77" s="18" t="s">
        <v>553</v>
      </c>
      <c r="C77" s="18" t="s">
        <v>635</v>
      </c>
      <c r="D77" s="18" t="s">
        <v>640</v>
      </c>
      <c r="E77" s="18" t="s">
        <v>622</v>
      </c>
      <c r="F77" s="18">
        <v>2011</v>
      </c>
      <c r="G77" s="26">
        <v>1391</v>
      </c>
      <c r="H77" s="18">
        <f t="shared" ref="H77:I77" si="78">F77-F76</f>
        <v>1</v>
      </c>
      <c r="I77" s="26">
        <f t="shared" si="78"/>
        <v>33</v>
      </c>
      <c r="J77" s="66">
        <f t="shared" si="56"/>
        <v>2.4300441826215022E-2</v>
      </c>
      <c r="K77" s="65">
        <f t="shared" si="57"/>
        <v>2.4300441826215022E-2</v>
      </c>
      <c r="L77" s="41" t="s">
        <v>623</v>
      </c>
    </row>
    <row r="78" spans="1:12" ht="13">
      <c r="A78" s="30" t="s">
        <v>634</v>
      </c>
      <c r="B78" s="18" t="s">
        <v>553</v>
      </c>
      <c r="C78" s="18" t="s">
        <v>635</v>
      </c>
      <c r="D78" s="18" t="s">
        <v>640</v>
      </c>
      <c r="E78" s="18" t="s">
        <v>622</v>
      </c>
      <c r="F78" s="18">
        <v>2012</v>
      </c>
      <c r="G78" s="26">
        <v>1426</v>
      </c>
      <c r="H78" s="18">
        <f t="shared" ref="H78:I78" si="79">F78-F77</f>
        <v>1</v>
      </c>
      <c r="I78" s="26">
        <f t="shared" si="79"/>
        <v>35</v>
      </c>
      <c r="J78" s="66">
        <f t="shared" si="56"/>
        <v>2.5161754133716751E-2</v>
      </c>
      <c r="K78" s="65">
        <f t="shared" si="57"/>
        <v>2.5161754133716751E-2</v>
      </c>
      <c r="L78" s="41" t="s">
        <v>623</v>
      </c>
    </row>
    <row r="79" spans="1:12" ht="13">
      <c r="A79" s="30" t="s">
        <v>634</v>
      </c>
      <c r="B79" s="18" t="s">
        <v>553</v>
      </c>
      <c r="C79" s="18" t="s">
        <v>635</v>
      </c>
      <c r="D79" s="18" t="s">
        <v>640</v>
      </c>
      <c r="E79" s="18" t="s">
        <v>622</v>
      </c>
      <c r="F79" s="18">
        <v>2013</v>
      </c>
      <c r="G79" s="26">
        <v>1375</v>
      </c>
      <c r="H79" s="18">
        <f t="shared" ref="H79:I79" si="80">F79-F78</f>
        <v>1</v>
      </c>
      <c r="I79" s="26">
        <f t="shared" si="80"/>
        <v>-51</v>
      </c>
      <c r="J79" s="66">
        <f t="shared" si="56"/>
        <v>-3.5764375876577839E-2</v>
      </c>
      <c r="K79" s="65">
        <f t="shared" si="57"/>
        <v>-3.5764375876577839E-2</v>
      </c>
      <c r="L79" s="41" t="s">
        <v>623</v>
      </c>
    </row>
    <row r="80" spans="1:12" ht="13">
      <c r="A80" s="30" t="s">
        <v>634</v>
      </c>
      <c r="B80" s="18" t="s">
        <v>553</v>
      </c>
      <c r="C80" s="18" t="s">
        <v>635</v>
      </c>
      <c r="D80" s="18" t="s">
        <v>640</v>
      </c>
      <c r="E80" s="18" t="s">
        <v>622</v>
      </c>
      <c r="F80" s="18">
        <v>2014</v>
      </c>
      <c r="G80" s="26">
        <v>2123</v>
      </c>
      <c r="H80" s="18">
        <f t="shared" ref="H80:I80" si="81">F80-F79</f>
        <v>1</v>
      </c>
      <c r="I80" s="26">
        <f t="shared" si="81"/>
        <v>748</v>
      </c>
      <c r="J80" s="66">
        <f t="shared" si="56"/>
        <v>0.54400000000000004</v>
      </c>
      <c r="K80" s="65">
        <f t="shared" si="57"/>
        <v>0.54400000000000004</v>
      </c>
      <c r="L80" s="41" t="s">
        <v>623</v>
      </c>
    </row>
    <row r="81" spans="1:31" ht="13">
      <c r="A81" s="30" t="s">
        <v>634</v>
      </c>
      <c r="B81" s="18" t="s">
        <v>553</v>
      </c>
      <c r="C81" s="18" t="s">
        <v>635</v>
      </c>
      <c r="D81" s="18" t="s">
        <v>640</v>
      </c>
      <c r="E81" s="18" t="s">
        <v>622</v>
      </c>
      <c r="F81" s="18">
        <v>2015</v>
      </c>
      <c r="G81" s="26">
        <v>2173</v>
      </c>
      <c r="H81" s="18">
        <f t="shared" ref="H81:I81" si="82">F81-F80</f>
        <v>1</v>
      </c>
      <c r="I81" s="26">
        <f t="shared" si="82"/>
        <v>50</v>
      </c>
      <c r="J81" s="66">
        <f t="shared" si="56"/>
        <v>2.3551577955723033E-2</v>
      </c>
      <c r="K81" s="65">
        <f t="shared" si="57"/>
        <v>2.3551577955723033E-2</v>
      </c>
      <c r="L81" s="41" t="s">
        <v>623</v>
      </c>
    </row>
    <row r="82" spans="1:31" ht="13">
      <c r="A82" s="30" t="s">
        <v>634</v>
      </c>
      <c r="B82" s="18" t="s">
        <v>553</v>
      </c>
      <c r="C82" s="18" t="s">
        <v>635</v>
      </c>
      <c r="D82" s="18" t="s">
        <v>640</v>
      </c>
      <c r="E82" s="18" t="s">
        <v>622</v>
      </c>
      <c r="F82" s="18">
        <v>2016</v>
      </c>
      <c r="G82" s="26">
        <v>1860</v>
      </c>
      <c r="H82" s="18">
        <f t="shared" ref="H82:I82" si="83">F82-F81</f>
        <v>1</v>
      </c>
      <c r="I82" s="26">
        <f t="shared" si="83"/>
        <v>-313</v>
      </c>
      <c r="J82" s="66">
        <f t="shared" si="56"/>
        <v>-0.14404049700874366</v>
      </c>
      <c r="K82" s="65">
        <f t="shared" si="57"/>
        <v>-0.14404049700874366</v>
      </c>
      <c r="L82" s="41" t="s">
        <v>623</v>
      </c>
    </row>
    <row r="83" spans="1:31" ht="13">
      <c r="A83" s="30" t="s">
        <v>634</v>
      </c>
      <c r="B83" s="18" t="s">
        <v>553</v>
      </c>
      <c r="C83" s="18" t="s">
        <v>635</v>
      </c>
      <c r="D83" s="18" t="s">
        <v>640</v>
      </c>
      <c r="E83" s="18" t="s">
        <v>622</v>
      </c>
      <c r="F83" s="18">
        <v>2017</v>
      </c>
      <c r="G83" s="26">
        <v>2088</v>
      </c>
      <c r="H83" s="18">
        <f t="shared" ref="H83:I83" si="84">F83-F82</f>
        <v>1</v>
      </c>
      <c r="I83" s="26">
        <f t="shared" si="84"/>
        <v>228</v>
      </c>
      <c r="J83" s="66">
        <f t="shared" si="56"/>
        <v>0.12258064516129032</v>
      </c>
      <c r="K83" s="65">
        <f t="shared" si="57"/>
        <v>0.12258064516129032</v>
      </c>
      <c r="L83" s="41" t="s">
        <v>623</v>
      </c>
    </row>
    <row r="84" spans="1:31" ht="13">
      <c r="A84" s="30" t="s">
        <v>634</v>
      </c>
      <c r="B84" s="18" t="s">
        <v>553</v>
      </c>
      <c r="C84" s="18" t="s">
        <v>635</v>
      </c>
      <c r="D84" s="18" t="s">
        <v>640</v>
      </c>
      <c r="E84" s="18" t="s">
        <v>622</v>
      </c>
      <c r="F84" s="18">
        <v>2018</v>
      </c>
      <c r="G84" s="26">
        <v>1898</v>
      </c>
      <c r="H84" s="18">
        <f t="shared" ref="H84:I84" si="85">F84-F83</f>
        <v>1</v>
      </c>
      <c r="I84" s="26">
        <f t="shared" si="85"/>
        <v>-190</v>
      </c>
      <c r="J84" s="66">
        <f t="shared" si="56"/>
        <v>-9.0996168582375483E-2</v>
      </c>
      <c r="K84" s="65">
        <f t="shared" si="57"/>
        <v>-9.0996168582375483E-2</v>
      </c>
      <c r="L84" s="41" t="s">
        <v>623</v>
      </c>
    </row>
    <row r="85" spans="1:31" ht="13">
      <c r="A85" s="30" t="s">
        <v>641</v>
      </c>
      <c r="B85" s="30" t="s">
        <v>274</v>
      </c>
      <c r="C85" s="18" t="s">
        <v>642</v>
      </c>
      <c r="D85" s="30" t="s">
        <v>643</v>
      </c>
      <c r="E85" s="30" t="s">
        <v>611</v>
      </c>
      <c r="F85" s="47">
        <v>1978.04143126177</v>
      </c>
      <c r="G85" s="47">
        <v>4765</v>
      </c>
      <c r="H85" s="47" t="s">
        <v>402</v>
      </c>
      <c r="I85" s="47" t="s">
        <v>402</v>
      </c>
      <c r="J85" s="70" t="s">
        <v>402</v>
      </c>
      <c r="K85" s="65" t="s">
        <v>402</v>
      </c>
      <c r="L85" s="38" t="s">
        <v>612</v>
      </c>
      <c r="M85" s="30"/>
      <c r="N85" s="30"/>
      <c r="O85" s="30"/>
      <c r="P85" s="30"/>
      <c r="Q85" s="30"/>
      <c r="R85" s="30"/>
      <c r="S85" s="30"/>
      <c r="T85" s="30"/>
      <c r="U85" s="30"/>
      <c r="V85" s="30"/>
      <c r="W85" s="30"/>
      <c r="X85" s="30"/>
      <c r="Y85" s="30"/>
      <c r="Z85" s="30"/>
      <c r="AA85" s="30"/>
      <c r="AB85" s="30"/>
      <c r="AC85" s="30"/>
      <c r="AD85" s="30"/>
      <c r="AE85" s="30"/>
    </row>
    <row r="86" spans="1:31" ht="13">
      <c r="A86" s="30" t="s">
        <v>641</v>
      </c>
      <c r="B86" s="30" t="s">
        <v>274</v>
      </c>
      <c r="C86" s="18" t="s">
        <v>642</v>
      </c>
      <c r="D86" s="30" t="s">
        <v>643</v>
      </c>
      <c r="E86" s="30" t="s">
        <v>611</v>
      </c>
      <c r="F86" s="47">
        <v>1980</v>
      </c>
      <c r="G86" s="47">
        <v>3885</v>
      </c>
      <c r="H86" s="47">
        <f t="shared" ref="H86:I86" si="86">F86-F85</f>
        <v>1.9585687382300421</v>
      </c>
      <c r="I86" s="47">
        <f t="shared" si="86"/>
        <v>-880</v>
      </c>
      <c r="J86" s="70">
        <f t="shared" ref="J86:J98" si="87">I86/G85</f>
        <v>-0.18467995802728226</v>
      </c>
      <c r="K86" s="65">
        <f t="shared" ref="K86:K98" si="88">J86/H86</f>
        <v>-9.429332472353126E-2</v>
      </c>
      <c r="L86" s="38" t="s">
        <v>612</v>
      </c>
      <c r="M86" s="30"/>
      <c r="N86" s="30"/>
      <c r="O86" s="30"/>
      <c r="P86" s="30"/>
      <c r="Q86" s="30"/>
      <c r="R86" s="30"/>
      <c r="S86" s="30"/>
      <c r="T86" s="30"/>
      <c r="U86" s="30"/>
      <c r="V86" s="30"/>
      <c r="W86" s="30"/>
      <c r="X86" s="30"/>
      <c r="Y86" s="30"/>
      <c r="Z86" s="30"/>
      <c r="AA86" s="30"/>
      <c r="AB86" s="30"/>
      <c r="AC86" s="30"/>
      <c r="AD86" s="30"/>
      <c r="AE86" s="30"/>
    </row>
    <row r="87" spans="1:31" ht="13">
      <c r="A87" s="30" t="s">
        <v>641</v>
      </c>
      <c r="B87" s="30" t="s">
        <v>274</v>
      </c>
      <c r="C87" s="18" t="s">
        <v>642</v>
      </c>
      <c r="D87" s="30" t="s">
        <v>643</v>
      </c>
      <c r="E87" s="30" t="s">
        <v>611</v>
      </c>
      <c r="F87" s="47">
        <v>1980.97928436912</v>
      </c>
      <c r="G87" s="47">
        <v>4467</v>
      </c>
      <c r="H87" s="47">
        <f t="shared" ref="H87:I87" si="89">F87-F86</f>
        <v>0.97928436912002326</v>
      </c>
      <c r="I87" s="47">
        <f t="shared" si="89"/>
        <v>582</v>
      </c>
      <c r="J87" s="70">
        <f t="shared" si="87"/>
        <v>0.14980694980694981</v>
      </c>
      <c r="K87" s="65">
        <f t="shared" si="88"/>
        <v>0.15297594297513917</v>
      </c>
      <c r="L87" s="38" t="s">
        <v>612</v>
      </c>
      <c r="M87" s="30"/>
      <c r="N87" s="30"/>
      <c r="O87" s="30"/>
      <c r="P87" s="30"/>
      <c r="Q87" s="30"/>
      <c r="R87" s="30"/>
      <c r="S87" s="30"/>
      <c r="T87" s="30"/>
      <c r="U87" s="30"/>
      <c r="V87" s="30"/>
      <c r="W87" s="30"/>
      <c r="X87" s="30"/>
      <c r="Y87" s="30"/>
      <c r="Z87" s="30"/>
      <c r="AA87" s="30"/>
      <c r="AB87" s="30"/>
      <c r="AC87" s="30"/>
      <c r="AD87" s="30"/>
      <c r="AE87" s="30"/>
    </row>
    <row r="88" spans="1:31" ht="13">
      <c r="A88" s="30" t="s">
        <v>641</v>
      </c>
      <c r="B88" s="30" t="s">
        <v>274</v>
      </c>
      <c r="C88" s="18" t="s">
        <v>642</v>
      </c>
      <c r="D88" s="30" t="s">
        <v>643</v>
      </c>
      <c r="E88" s="30" t="s">
        <v>611</v>
      </c>
      <c r="F88" s="47">
        <v>1981.95856873823</v>
      </c>
      <c r="G88" s="47">
        <v>7395</v>
      </c>
      <c r="H88" s="47">
        <f t="shared" ref="H88:I88" si="90">F88-F87</f>
        <v>0.97928436911001882</v>
      </c>
      <c r="I88" s="47">
        <f t="shared" si="90"/>
        <v>2928</v>
      </c>
      <c r="J88" s="70">
        <f t="shared" si="87"/>
        <v>0.65547347212894558</v>
      </c>
      <c r="K88" s="65">
        <f t="shared" si="88"/>
        <v>0.66933925711960962</v>
      </c>
      <c r="L88" s="38" t="s">
        <v>612</v>
      </c>
      <c r="M88" s="30"/>
      <c r="N88" s="30"/>
      <c r="O88" s="30"/>
      <c r="P88" s="30"/>
      <c r="Q88" s="30"/>
      <c r="R88" s="30"/>
      <c r="S88" s="30"/>
      <c r="T88" s="30"/>
      <c r="U88" s="30"/>
      <c r="V88" s="30"/>
      <c r="W88" s="30"/>
      <c r="X88" s="30"/>
      <c r="Y88" s="30"/>
      <c r="Z88" s="30"/>
      <c r="AA88" s="30"/>
      <c r="AB88" s="30"/>
      <c r="AC88" s="30"/>
      <c r="AD88" s="30"/>
      <c r="AE88" s="30"/>
    </row>
    <row r="89" spans="1:31" ht="13">
      <c r="A89" s="30" t="s">
        <v>641</v>
      </c>
      <c r="B89" s="30" t="s">
        <v>274</v>
      </c>
      <c r="C89" s="18" t="s">
        <v>642</v>
      </c>
      <c r="D89" s="30" t="s">
        <v>643</v>
      </c>
      <c r="E89" s="30" t="s">
        <v>611</v>
      </c>
      <c r="F89" s="47">
        <v>1982.9378531073401</v>
      </c>
      <c r="G89" s="47">
        <v>6573</v>
      </c>
      <c r="H89" s="47">
        <f t="shared" ref="H89:I89" si="91">F89-F88</f>
        <v>0.97928436911001882</v>
      </c>
      <c r="I89" s="47">
        <f t="shared" si="91"/>
        <v>-822</v>
      </c>
      <c r="J89" s="70">
        <f t="shared" si="87"/>
        <v>-0.11115618661257606</v>
      </c>
      <c r="K89" s="65">
        <f t="shared" si="88"/>
        <v>-0.11350756748378989</v>
      </c>
      <c r="L89" s="38" t="s">
        <v>612</v>
      </c>
      <c r="M89" s="30"/>
      <c r="N89" s="30"/>
      <c r="O89" s="30"/>
      <c r="P89" s="30"/>
      <c r="Q89" s="30"/>
      <c r="R89" s="30"/>
      <c r="S89" s="30"/>
      <c r="T89" s="30"/>
      <c r="U89" s="30"/>
      <c r="V89" s="30"/>
      <c r="W89" s="30"/>
      <c r="X89" s="30"/>
      <c r="Y89" s="30"/>
      <c r="Z89" s="30"/>
      <c r="AA89" s="30"/>
      <c r="AB89" s="30"/>
      <c r="AC89" s="30"/>
      <c r="AD89" s="30"/>
      <c r="AE89" s="30"/>
    </row>
    <row r="90" spans="1:31" ht="13">
      <c r="A90" s="30" t="s">
        <v>641</v>
      </c>
      <c r="B90" s="30" t="s">
        <v>274</v>
      </c>
      <c r="C90" s="18" t="s">
        <v>642</v>
      </c>
      <c r="D90" s="30" t="s">
        <v>643</v>
      </c>
      <c r="E90" s="30" t="s">
        <v>611</v>
      </c>
      <c r="F90" s="47">
        <v>1984.97175141243</v>
      </c>
      <c r="G90" s="47">
        <v>5762</v>
      </c>
      <c r="H90" s="47">
        <f t="shared" ref="H90:I90" si="92">F90-F89</f>
        <v>2.033898305089906</v>
      </c>
      <c r="I90" s="47">
        <f t="shared" si="92"/>
        <v>-811</v>
      </c>
      <c r="J90" s="70">
        <f t="shared" si="87"/>
        <v>-0.12338353871900198</v>
      </c>
      <c r="K90" s="65">
        <f t="shared" si="88"/>
        <v>-6.06635732033554E-2</v>
      </c>
      <c r="L90" s="38" t="s">
        <v>612</v>
      </c>
      <c r="M90" s="30"/>
      <c r="N90" s="30"/>
      <c r="O90" s="30"/>
      <c r="P90" s="30"/>
      <c r="Q90" s="30"/>
      <c r="R90" s="30"/>
      <c r="S90" s="30"/>
      <c r="T90" s="30"/>
      <c r="U90" s="30"/>
      <c r="V90" s="30"/>
      <c r="W90" s="30"/>
      <c r="X90" s="30"/>
      <c r="Y90" s="30"/>
      <c r="Z90" s="30"/>
      <c r="AA90" s="30"/>
      <c r="AB90" s="30"/>
      <c r="AC90" s="30"/>
      <c r="AD90" s="30"/>
      <c r="AE90" s="30"/>
    </row>
    <row r="91" spans="1:31" ht="13">
      <c r="A91" s="30" t="s">
        <v>641</v>
      </c>
      <c r="B91" s="30" t="s">
        <v>274</v>
      </c>
      <c r="C91" s="18" t="s">
        <v>642</v>
      </c>
      <c r="D91" s="30" t="s">
        <v>643</v>
      </c>
      <c r="E91" s="30" t="s">
        <v>611</v>
      </c>
      <c r="F91" s="47">
        <v>1985.95103578154</v>
      </c>
      <c r="G91" s="47">
        <v>8917</v>
      </c>
      <c r="H91" s="47">
        <f t="shared" ref="H91:I91" si="93">F91-F90</f>
        <v>0.97928436911001882</v>
      </c>
      <c r="I91" s="47">
        <f t="shared" si="93"/>
        <v>3155</v>
      </c>
      <c r="J91" s="70">
        <f t="shared" si="87"/>
        <v>0.5475529330093718</v>
      </c>
      <c r="K91" s="65">
        <f t="shared" si="88"/>
        <v>0.55913578351811344</v>
      </c>
      <c r="L91" s="38" t="s">
        <v>612</v>
      </c>
      <c r="M91" s="30"/>
      <c r="N91" s="30"/>
      <c r="O91" s="30"/>
      <c r="P91" s="30"/>
      <c r="Q91" s="30"/>
      <c r="R91" s="30"/>
      <c r="S91" s="30"/>
      <c r="T91" s="30"/>
      <c r="U91" s="30"/>
      <c r="V91" s="30"/>
      <c r="W91" s="30"/>
      <c r="X91" s="30"/>
      <c r="Y91" s="30"/>
      <c r="Z91" s="30"/>
      <c r="AA91" s="30"/>
      <c r="AB91" s="30"/>
      <c r="AC91" s="30"/>
      <c r="AD91" s="30"/>
      <c r="AE91" s="30"/>
    </row>
    <row r="92" spans="1:31" ht="13">
      <c r="A92" s="30" t="s">
        <v>641</v>
      </c>
      <c r="B92" s="30" t="s">
        <v>274</v>
      </c>
      <c r="C92" s="18" t="s">
        <v>642</v>
      </c>
      <c r="D92" s="30" t="s">
        <v>643</v>
      </c>
      <c r="E92" s="30" t="s">
        <v>611</v>
      </c>
      <c r="F92" s="47">
        <v>1986.93032015066</v>
      </c>
      <c r="G92" s="47">
        <v>5298</v>
      </c>
      <c r="H92" s="47">
        <f t="shared" ref="H92:I92" si="94">F92-F91</f>
        <v>0.97928436912002326</v>
      </c>
      <c r="I92" s="47">
        <f t="shared" si="94"/>
        <v>-3619</v>
      </c>
      <c r="J92" s="70">
        <f t="shared" si="87"/>
        <v>-0.40585398676684986</v>
      </c>
      <c r="K92" s="65">
        <f t="shared" si="88"/>
        <v>-0.41443935956166322</v>
      </c>
      <c r="L92" s="38" t="s">
        <v>612</v>
      </c>
      <c r="M92" s="30"/>
      <c r="N92" s="30"/>
      <c r="O92" s="30"/>
      <c r="P92" s="30"/>
      <c r="Q92" s="30"/>
      <c r="R92" s="30"/>
      <c r="S92" s="30"/>
      <c r="T92" s="30"/>
      <c r="U92" s="30"/>
      <c r="V92" s="30"/>
      <c r="W92" s="30"/>
      <c r="X92" s="30"/>
      <c r="Y92" s="30"/>
      <c r="Z92" s="30"/>
      <c r="AA92" s="30"/>
      <c r="AB92" s="30"/>
      <c r="AC92" s="30"/>
      <c r="AD92" s="30"/>
      <c r="AE92" s="30"/>
    </row>
    <row r="93" spans="1:31" ht="13">
      <c r="A93" s="30" t="s">
        <v>641</v>
      </c>
      <c r="B93" s="30" t="s">
        <v>274</v>
      </c>
      <c r="C93" s="18" t="s">
        <v>642</v>
      </c>
      <c r="D93" s="30" t="s">
        <v>643</v>
      </c>
      <c r="E93" s="30" t="s">
        <v>611</v>
      </c>
      <c r="F93" s="47">
        <v>1987.90960451977</v>
      </c>
      <c r="G93" s="47">
        <v>6928</v>
      </c>
      <c r="H93" s="47">
        <f t="shared" ref="H93:I93" si="95">F93-F92</f>
        <v>0.97928436911001882</v>
      </c>
      <c r="I93" s="47">
        <f t="shared" si="95"/>
        <v>1630</v>
      </c>
      <c r="J93" s="70">
        <f t="shared" si="87"/>
        <v>0.30766326915817288</v>
      </c>
      <c r="K93" s="65">
        <f t="shared" si="88"/>
        <v>0.31417153062269298</v>
      </c>
      <c r="L93" s="38" t="s">
        <v>612</v>
      </c>
      <c r="M93" s="30"/>
      <c r="N93" s="30"/>
      <c r="O93" s="30"/>
      <c r="P93" s="30"/>
      <c r="Q93" s="30"/>
      <c r="R93" s="30"/>
      <c r="S93" s="30"/>
      <c r="T93" s="30"/>
      <c r="U93" s="30"/>
      <c r="V93" s="30"/>
      <c r="W93" s="30"/>
      <c r="X93" s="30"/>
      <c r="Y93" s="30"/>
      <c r="Z93" s="30"/>
      <c r="AA93" s="30"/>
      <c r="AB93" s="30"/>
      <c r="AC93" s="30"/>
      <c r="AD93" s="30"/>
      <c r="AE93" s="30"/>
    </row>
    <row r="94" spans="1:31" ht="13">
      <c r="A94" s="30" t="s">
        <v>641</v>
      </c>
      <c r="B94" s="30" t="s">
        <v>274</v>
      </c>
      <c r="C94" s="18" t="s">
        <v>642</v>
      </c>
      <c r="D94" s="30" t="s">
        <v>643</v>
      </c>
      <c r="E94" s="30" t="s">
        <v>611</v>
      </c>
      <c r="F94" s="47">
        <v>1992.9566854990601</v>
      </c>
      <c r="G94" s="47">
        <v>8167</v>
      </c>
      <c r="H94" s="47">
        <f t="shared" ref="H94:I94" si="96">F94-F93</f>
        <v>5.0470809792900582</v>
      </c>
      <c r="I94" s="47">
        <f t="shared" si="96"/>
        <v>1239</v>
      </c>
      <c r="J94" s="70">
        <f t="shared" si="87"/>
        <v>0.17883949191685913</v>
      </c>
      <c r="K94" s="65">
        <f t="shared" si="88"/>
        <v>3.5434242614830282E-2</v>
      </c>
      <c r="L94" s="38" t="s">
        <v>612</v>
      </c>
      <c r="M94" s="30"/>
      <c r="N94" s="30"/>
      <c r="O94" s="30"/>
      <c r="P94" s="30"/>
      <c r="Q94" s="30"/>
      <c r="R94" s="30"/>
      <c r="S94" s="30"/>
      <c r="T94" s="30"/>
      <c r="U94" s="30"/>
      <c r="V94" s="30"/>
      <c r="W94" s="30"/>
      <c r="X94" s="30"/>
      <c r="Y94" s="30"/>
      <c r="Z94" s="30"/>
      <c r="AA94" s="30"/>
      <c r="AB94" s="30"/>
      <c r="AC94" s="30"/>
      <c r="AD94" s="30"/>
      <c r="AE94" s="30"/>
    </row>
    <row r="95" spans="1:31" ht="13">
      <c r="A95" s="30" t="s">
        <v>641</v>
      </c>
      <c r="B95" s="30" t="s">
        <v>274</v>
      </c>
      <c r="C95" s="18" t="s">
        <v>642</v>
      </c>
      <c r="D95" s="30" t="s">
        <v>643</v>
      </c>
      <c r="E95" s="30" t="s">
        <v>611</v>
      </c>
      <c r="F95" s="47">
        <v>2001.0169491525401</v>
      </c>
      <c r="G95" s="47">
        <v>10545</v>
      </c>
      <c r="H95" s="47">
        <f t="shared" ref="H95:I95" si="97">F95-F94</f>
        <v>8.0602636534799785</v>
      </c>
      <c r="I95" s="47">
        <f t="shared" si="97"/>
        <v>2378</v>
      </c>
      <c r="J95" s="70">
        <f t="shared" si="87"/>
        <v>0.29117178890657525</v>
      </c>
      <c r="K95" s="65">
        <f t="shared" si="88"/>
        <v>3.6124350446137488E-2</v>
      </c>
      <c r="L95" s="38" t="s">
        <v>612</v>
      </c>
      <c r="M95" s="30"/>
      <c r="N95" s="30"/>
      <c r="O95" s="30"/>
      <c r="P95" s="30"/>
      <c r="Q95" s="30"/>
      <c r="R95" s="30"/>
      <c r="S95" s="30"/>
      <c r="T95" s="30"/>
      <c r="U95" s="30"/>
      <c r="V95" s="30"/>
      <c r="W95" s="30"/>
      <c r="X95" s="30"/>
      <c r="Y95" s="30"/>
      <c r="Z95" s="30"/>
      <c r="AA95" s="30"/>
      <c r="AB95" s="30"/>
      <c r="AC95" s="30"/>
      <c r="AD95" s="30"/>
      <c r="AE95" s="30"/>
    </row>
    <row r="96" spans="1:31" ht="13">
      <c r="A96" s="30" t="s">
        <v>641</v>
      </c>
      <c r="B96" s="30" t="s">
        <v>274</v>
      </c>
      <c r="C96" s="18" t="s">
        <v>642</v>
      </c>
      <c r="D96" s="30" t="s">
        <v>643</v>
      </c>
      <c r="E96" s="30" t="s">
        <v>611</v>
      </c>
      <c r="F96" s="47">
        <v>2004.03013182674</v>
      </c>
      <c r="G96" s="47">
        <v>12631</v>
      </c>
      <c r="H96" s="47">
        <f t="shared" ref="H96:I96" si="98">F96-F95</f>
        <v>3.0131826741999248</v>
      </c>
      <c r="I96" s="47">
        <f t="shared" si="98"/>
        <v>2086</v>
      </c>
      <c r="J96" s="70">
        <f t="shared" si="87"/>
        <v>0.19781887150308203</v>
      </c>
      <c r="K96" s="65">
        <f t="shared" si="88"/>
        <v>6.565113798007878E-2</v>
      </c>
      <c r="L96" s="38" t="s">
        <v>612</v>
      </c>
      <c r="M96" s="30"/>
      <c r="N96" s="30"/>
      <c r="O96" s="30"/>
      <c r="P96" s="30"/>
      <c r="Q96" s="30"/>
      <c r="R96" s="30"/>
      <c r="S96" s="30"/>
      <c r="T96" s="30"/>
      <c r="U96" s="30"/>
      <c r="V96" s="30"/>
      <c r="W96" s="30"/>
      <c r="X96" s="30"/>
      <c r="Y96" s="30"/>
      <c r="Z96" s="30"/>
      <c r="AA96" s="30"/>
      <c r="AB96" s="30"/>
      <c r="AC96" s="30"/>
      <c r="AD96" s="30"/>
      <c r="AE96" s="30"/>
    </row>
    <row r="97" spans="1:31" ht="13">
      <c r="A97" s="30" t="s">
        <v>641</v>
      </c>
      <c r="B97" s="30" t="s">
        <v>274</v>
      </c>
      <c r="C97" s="18" t="s">
        <v>642</v>
      </c>
      <c r="D97" s="30" t="s">
        <v>643</v>
      </c>
      <c r="E97" s="30" t="s">
        <v>611</v>
      </c>
      <c r="F97" s="47">
        <v>2010.9604519774</v>
      </c>
      <c r="G97" s="47">
        <v>16820</v>
      </c>
      <c r="H97" s="47">
        <f t="shared" ref="H97:I97" si="99">F97-F96</f>
        <v>6.9303201506600089</v>
      </c>
      <c r="I97" s="47">
        <f t="shared" si="99"/>
        <v>4189</v>
      </c>
      <c r="J97" s="70">
        <f t="shared" si="87"/>
        <v>0.33164436703348904</v>
      </c>
      <c r="K97" s="65">
        <f t="shared" si="88"/>
        <v>4.7854119264880556E-2</v>
      </c>
      <c r="L97" s="38" t="s">
        <v>612</v>
      </c>
      <c r="M97" s="30"/>
      <c r="N97" s="30"/>
      <c r="O97" s="30"/>
      <c r="P97" s="30"/>
      <c r="Q97" s="30"/>
      <c r="R97" s="30"/>
      <c r="S97" s="30"/>
      <c r="T97" s="30"/>
      <c r="U97" s="30"/>
      <c r="V97" s="30"/>
      <c r="W97" s="30"/>
      <c r="X97" s="30"/>
      <c r="Y97" s="30"/>
      <c r="Z97" s="30"/>
      <c r="AA97" s="30"/>
      <c r="AB97" s="30"/>
      <c r="AC97" s="30"/>
      <c r="AD97" s="30"/>
      <c r="AE97" s="30"/>
    </row>
    <row r="98" spans="1:31" ht="13">
      <c r="A98" s="30" t="s">
        <v>641</v>
      </c>
      <c r="B98" s="30" t="s">
        <v>274</v>
      </c>
      <c r="C98" s="18" t="s">
        <v>642</v>
      </c>
      <c r="D98" s="30" t="s">
        <v>643</v>
      </c>
      <c r="E98" s="30" t="s">
        <v>611</v>
      </c>
      <c r="F98" s="47">
        <v>2018.9453860640299</v>
      </c>
      <c r="G98" s="47">
        <v>14025</v>
      </c>
      <c r="H98" s="47">
        <f t="shared" ref="H98:I98" si="100">F98-F97</f>
        <v>7.9849340866298917</v>
      </c>
      <c r="I98" s="47">
        <f t="shared" si="100"/>
        <v>-2795</v>
      </c>
      <c r="J98" s="70">
        <f t="shared" si="87"/>
        <v>-0.16617122473246135</v>
      </c>
      <c r="K98" s="65">
        <f t="shared" si="88"/>
        <v>-2.0810594418143195E-2</v>
      </c>
      <c r="L98" s="38" t="s">
        <v>612</v>
      </c>
      <c r="M98" s="30"/>
      <c r="N98" s="30"/>
      <c r="O98" s="30"/>
      <c r="P98" s="30"/>
      <c r="Q98" s="30"/>
      <c r="R98" s="30"/>
      <c r="S98" s="30"/>
      <c r="T98" s="30"/>
      <c r="U98" s="30"/>
      <c r="V98" s="30"/>
      <c r="W98" s="30"/>
      <c r="X98" s="30"/>
      <c r="Y98" s="30"/>
      <c r="Z98" s="30"/>
      <c r="AA98" s="30"/>
      <c r="AB98" s="30"/>
      <c r="AC98" s="30"/>
      <c r="AD98" s="30"/>
      <c r="AE98" s="30"/>
    </row>
    <row r="99" spans="1:31" ht="13">
      <c r="A99" s="30" t="s">
        <v>261</v>
      </c>
      <c r="B99" s="30" t="s">
        <v>262</v>
      </c>
      <c r="C99" s="18" t="s">
        <v>645</v>
      </c>
      <c r="D99" s="18" t="s">
        <v>646</v>
      </c>
      <c r="E99" s="30" t="s">
        <v>647</v>
      </c>
      <c r="F99" s="48">
        <v>1975</v>
      </c>
      <c r="G99" s="49">
        <v>88924</v>
      </c>
      <c r="H99" s="49" t="s">
        <v>402</v>
      </c>
      <c r="I99" s="49" t="s">
        <v>402</v>
      </c>
      <c r="J99" s="71" t="s">
        <v>402</v>
      </c>
      <c r="K99" s="65" t="s">
        <v>402</v>
      </c>
      <c r="L99" s="38" t="s">
        <v>612</v>
      </c>
    </row>
    <row r="100" spans="1:31" ht="13">
      <c r="A100" s="30" t="s">
        <v>261</v>
      </c>
      <c r="B100" s="30" t="s">
        <v>262</v>
      </c>
      <c r="C100" s="18" t="s">
        <v>645</v>
      </c>
      <c r="D100" s="18" t="s">
        <v>646</v>
      </c>
      <c r="E100" s="30" t="s">
        <v>647</v>
      </c>
      <c r="F100" s="48">
        <v>1976</v>
      </c>
      <c r="G100" s="49">
        <v>94170</v>
      </c>
      <c r="H100" s="49">
        <f t="shared" ref="H100:I100" si="101">F100-F99</f>
        <v>1</v>
      </c>
      <c r="I100" s="49">
        <f t="shared" si="101"/>
        <v>5246</v>
      </c>
      <c r="J100" s="71">
        <f t="shared" ref="J100:J138" si="102">I100/G99</f>
        <v>5.8994197292069631E-2</v>
      </c>
      <c r="K100" s="65">
        <f t="shared" ref="K100:K138" si="103">J100/H100</f>
        <v>5.8994197292069631E-2</v>
      </c>
      <c r="L100" s="38" t="s">
        <v>612</v>
      </c>
    </row>
    <row r="101" spans="1:31" ht="13">
      <c r="A101" s="30" t="s">
        <v>261</v>
      </c>
      <c r="B101" s="30" t="s">
        <v>262</v>
      </c>
      <c r="C101" s="18" t="s">
        <v>645</v>
      </c>
      <c r="D101" s="18" t="s">
        <v>646</v>
      </c>
      <c r="E101" s="30" t="s">
        <v>647</v>
      </c>
      <c r="F101" s="48">
        <v>1977</v>
      </c>
      <c r="G101" s="49">
        <v>91199</v>
      </c>
      <c r="H101" s="49">
        <f t="shared" ref="H101:I101" si="104">F101-F100</f>
        <v>1</v>
      </c>
      <c r="I101" s="49">
        <f t="shared" si="104"/>
        <v>-2971</v>
      </c>
      <c r="J101" s="71">
        <f t="shared" si="102"/>
        <v>-3.1549325687586283E-2</v>
      </c>
      <c r="K101" s="65">
        <f t="shared" si="103"/>
        <v>-3.1549325687586283E-2</v>
      </c>
      <c r="L101" s="38" t="s">
        <v>612</v>
      </c>
    </row>
    <row r="102" spans="1:31" ht="13">
      <c r="A102" s="30" t="s">
        <v>261</v>
      </c>
      <c r="B102" s="30" t="s">
        <v>262</v>
      </c>
      <c r="C102" s="18" t="s">
        <v>645</v>
      </c>
      <c r="D102" s="18" t="s">
        <v>646</v>
      </c>
      <c r="E102" s="30" t="s">
        <v>647</v>
      </c>
      <c r="F102" s="48">
        <v>1978</v>
      </c>
      <c r="G102" s="49">
        <v>90913</v>
      </c>
      <c r="H102" s="49">
        <f t="shared" ref="H102:I102" si="105">F102-F101</f>
        <v>1</v>
      </c>
      <c r="I102" s="49">
        <f t="shared" si="105"/>
        <v>-286</v>
      </c>
      <c r="J102" s="71">
        <f t="shared" si="102"/>
        <v>-3.1359992982379192E-3</v>
      </c>
      <c r="K102" s="65">
        <f t="shared" si="103"/>
        <v>-3.1359992982379192E-3</v>
      </c>
      <c r="L102" s="38" t="s">
        <v>612</v>
      </c>
    </row>
    <row r="103" spans="1:31" ht="13">
      <c r="A103" s="30" t="s">
        <v>261</v>
      </c>
      <c r="B103" s="30" t="s">
        <v>262</v>
      </c>
      <c r="C103" s="18" t="s">
        <v>645</v>
      </c>
      <c r="D103" s="18" t="s">
        <v>646</v>
      </c>
      <c r="E103" s="30" t="s">
        <v>647</v>
      </c>
      <c r="F103" s="48">
        <v>1979</v>
      </c>
      <c r="G103" s="49">
        <v>92812</v>
      </c>
      <c r="H103" s="49">
        <f t="shared" ref="H103:I103" si="106">F103-F102</f>
        <v>1</v>
      </c>
      <c r="I103" s="49">
        <f t="shared" si="106"/>
        <v>1899</v>
      </c>
      <c r="J103" s="71">
        <f t="shared" si="102"/>
        <v>2.0888101811622099E-2</v>
      </c>
      <c r="K103" s="65">
        <f t="shared" si="103"/>
        <v>2.0888101811622099E-2</v>
      </c>
      <c r="L103" s="38" t="s">
        <v>612</v>
      </c>
    </row>
    <row r="104" spans="1:31" ht="13">
      <c r="A104" s="30" t="s">
        <v>261</v>
      </c>
      <c r="B104" s="30" t="s">
        <v>262</v>
      </c>
      <c r="C104" s="18" t="s">
        <v>645</v>
      </c>
      <c r="D104" s="18" t="s">
        <v>646</v>
      </c>
      <c r="E104" s="30" t="s">
        <v>647</v>
      </c>
      <c r="F104" s="48">
        <v>1980</v>
      </c>
      <c r="G104" s="49">
        <v>94333</v>
      </c>
      <c r="H104" s="49">
        <f t="shared" ref="H104:I104" si="107">F104-F103</f>
        <v>1</v>
      </c>
      <c r="I104" s="49">
        <f t="shared" si="107"/>
        <v>1521</v>
      </c>
      <c r="J104" s="71">
        <f t="shared" si="102"/>
        <v>1.6387967073223292E-2</v>
      </c>
      <c r="K104" s="65">
        <f t="shared" si="103"/>
        <v>1.6387967073223292E-2</v>
      </c>
      <c r="L104" s="38" t="s">
        <v>612</v>
      </c>
    </row>
    <row r="105" spans="1:31" ht="13">
      <c r="A105" s="30" t="s">
        <v>261</v>
      </c>
      <c r="B105" s="30" t="s">
        <v>262</v>
      </c>
      <c r="C105" s="18" t="s">
        <v>645</v>
      </c>
      <c r="D105" s="18" t="s">
        <v>646</v>
      </c>
      <c r="E105" s="30" t="s">
        <v>647</v>
      </c>
      <c r="F105" s="48">
        <v>1981</v>
      </c>
      <c r="G105" s="49">
        <v>96997</v>
      </c>
      <c r="H105" s="49">
        <f t="shared" ref="H105:I105" si="108">F105-F104</f>
        <v>1</v>
      </c>
      <c r="I105" s="49">
        <f t="shared" si="108"/>
        <v>2664</v>
      </c>
      <c r="J105" s="71">
        <f t="shared" si="102"/>
        <v>2.8240382474849734E-2</v>
      </c>
      <c r="K105" s="65">
        <f t="shared" si="103"/>
        <v>2.8240382474849734E-2</v>
      </c>
      <c r="L105" s="38" t="s">
        <v>612</v>
      </c>
    </row>
    <row r="106" spans="1:31" ht="13">
      <c r="A106" s="30" t="s">
        <v>261</v>
      </c>
      <c r="B106" s="30" t="s">
        <v>262</v>
      </c>
      <c r="C106" s="18" t="s">
        <v>645</v>
      </c>
      <c r="D106" s="18" t="s">
        <v>646</v>
      </c>
      <c r="E106" s="30" t="s">
        <v>647</v>
      </c>
      <c r="F106" s="48">
        <v>1982</v>
      </c>
      <c r="G106" s="49">
        <v>104780</v>
      </c>
      <c r="H106" s="49">
        <f t="shared" ref="H106:I106" si="109">F106-F105</f>
        <v>1</v>
      </c>
      <c r="I106" s="49">
        <f t="shared" si="109"/>
        <v>7783</v>
      </c>
      <c r="J106" s="71">
        <f t="shared" si="102"/>
        <v>8.0239595039021824E-2</v>
      </c>
      <c r="K106" s="65">
        <f t="shared" si="103"/>
        <v>8.0239595039021824E-2</v>
      </c>
      <c r="L106" s="38" t="s">
        <v>612</v>
      </c>
    </row>
    <row r="107" spans="1:31" ht="13">
      <c r="A107" s="30" t="s">
        <v>261</v>
      </c>
      <c r="B107" s="30" t="s">
        <v>262</v>
      </c>
      <c r="C107" s="18" t="s">
        <v>645</v>
      </c>
      <c r="D107" s="18" t="s">
        <v>646</v>
      </c>
      <c r="E107" s="30" t="s">
        <v>647</v>
      </c>
      <c r="F107" s="48">
        <v>1983</v>
      </c>
      <c r="G107" s="49">
        <v>96807</v>
      </c>
      <c r="H107" s="49">
        <f t="shared" ref="H107:I107" si="110">F107-F106</f>
        <v>1</v>
      </c>
      <c r="I107" s="49">
        <f t="shared" si="110"/>
        <v>-7973</v>
      </c>
      <c r="J107" s="71">
        <f t="shared" si="102"/>
        <v>-7.6092765794999045E-2</v>
      </c>
      <c r="K107" s="65">
        <f t="shared" si="103"/>
        <v>-7.6092765794999045E-2</v>
      </c>
      <c r="L107" s="38" t="s">
        <v>612</v>
      </c>
    </row>
    <row r="108" spans="1:31" ht="13">
      <c r="A108" s="30" t="s">
        <v>261</v>
      </c>
      <c r="B108" s="30" t="s">
        <v>262</v>
      </c>
      <c r="C108" s="18" t="s">
        <v>645</v>
      </c>
      <c r="D108" s="18" t="s">
        <v>646</v>
      </c>
      <c r="E108" s="30" t="s">
        <v>647</v>
      </c>
      <c r="F108" s="48">
        <v>1984</v>
      </c>
      <c r="G108" s="49">
        <v>93011</v>
      </c>
      <c r="H108" s="49">
        <f t="shared" ref="H108:I108" si="111">F108-F107</f>
        <v>1</v>
      </c>
      <c r="I108" s="49">
        <f t="shared" si="111"/>
        <v>-3796</v>
      </c>
      <c r="J108" s="71">
        <f t="shared" si="102"/>
        <v>-3.9212040451620231E-2</v>
      </c>
      <c r="K108" s="65">
        <f t="shared" si="103"/>
        <v>-3.9212040451620231E-2</v>
      </c>
      <c r="L108" s="38" t="s">
        <v>612</v>
      </c>
    </row>
    <row r="109" spans="1:31" ht="13">
      <c r="A109" s="30" t="s">
        <v>261</v>
      </c>
      <c r="B109" s="30" t="s">
        <v>262</v>
      </c>
      <c r="C109" s="18" t="s">
        <v>645</v>
      </c>
      <c r="D109" s="18" t="s">
        <v>646</v>
      </c>
      <c r="E109" s="30" t="s">
        <v>647</v>
      </c>
      <c r="F109" s="48">
        <v>1985</v>
      </c>
      <c r="G109" s="49">
        <v>93012</v>
      </c>
      <c r="H109" s="49">
        <f t="shared" ref="H109:I109" si="112">F109-F108</f>
        <v>1</v>
      </c>
      <c r="I109" s="49">
        <f t="shared" si="112"/>
        <v>1</v>
      </c>
      <c r="J109" s="71">
        <f t="shared" si="102"/>
        <v>1.075141649912376E-5</v>
      </c>
      <c r="K109" s="65">
        <f t="shared" si="103"/>
        <v>1.075141649912376E-5</v>
      </c>
      <c r="L109" s="38" t="s">
        <v>612</v>
      </c>
    </row>
    <row r="110" spans="1:31" ht="13">
      <c r="A110" s="30" t="s">
        <v>261</v>
      </c>
      <c r="B110" s="30" t="s">
        <v>262</v>
      </c>
      <c r="C110" s="18" t="s">
        <v>645</v>
      </c>
      <c r="D110" s="18" t="s">
        <v>646</v>
      </c>
      <c r="E110" s="30" t="s">
        <v>647</v>
      </c>
      <c r="F110" s="48">
        <v>1986</v>
      </c>
      <c r="G110" s="49">
        <v>96676</v>
      </c>
      <c r="H110" s="49">
        <f t="shared" ref="H110:I110" si="113">F110-F109</f>
        <v>1</v>
      </c>
      <c r="I110" s="49">
        <f t="shared" si="113"/>
        <v>3664</v>
      </c>
      <c r="J110" s="71">
        <f t="shared" si="102"/>
        <v>3.9392766524749497E-2</v>
      </c>
      <c r="K110" s="65">
        <f t="shared" si="103"/>
        <v>3.9392766524749497E-2</v>
      </c>
      <c r="L110" s="38" t="s">
        <v>612</v>
      </c>
    </row>
    <row r="111" spans="1:31" ht="13">
      <c r="A111" s="30" t="s">
        <v>261</v>
      </c>
      <c r="B111" s="30" t="s">
        <v>262</v>
      </c>
      <c r="C111" s="18" t="s">
        <v>645</v>
      </c>
      <c r="D111" s="18" t="s">
        <v>646</v>
      </c>
      <c r="E111" s="30" t="s">
        <v>647</v>
      </c>
      <c r="F111" s="48">
        <v>1987</v>
      </c>
      <c r="G111" s="49">
        <v>101844</v>
      </c>
      <c r="H111" s="49">
        <f t="shared" ref="H111:I111" si="114">F111-F110</f>
        <v>1</v>
      </c>
      <c r="I111" s="49">
        <f t="shared" si="114"/>
        <v>5168</v>
      </c>
      <c r="J111" s="71">
        <f t="shared" si="102"/>
        <v>5.3456907608920516E-2</v>
      </c>
      <c r="K111" s="65">
        <f t="shared" si="103"/>
        <v>5.3456907608920516E-2</v>
      </c>
      <c r="L111" s="38" t="s">
        <v>612</v>
      </c>
    </row>
    <row r="112" spans="1:31" ht="13">
      <c r="A112" s="30" t="s">
        <v>261</v>
      </c>
      <c r="B112" s="30" t="s">
        <v>262</v>
      </c>
      <c r="C112" s="18" t="s">
        <v>645</v>
      </c>
      <c r="D112" s="18" t="s">
        <v>646</v>
      </c>
      <c r="E112" s="30" t="s">
        <v>647</v>
      </c>
      <c r="F112" s="48">
        <v>1988</v>
      </c>
      <c r="G112" s="49">
        <v>106850</v>
      </c>
      <c r="H112" s="49">
        <f t="shared" ref="H112:I112" si="115">F112-F111</f>
        <v>1</v>
      </c>
      <c r="I112" s="49">
        <f t="shared" si="115"/>
        <v>5006</v>
      </c>
      <c r="J112" s="71">
        <f t="shared" si="102"/>
        <v>4.9153607478103767E-2</v>
      </c>
      <c r="K112" s="65">
        <f t="shared" si="103"/>
        <v>4.9153607478103767E-2</v>
      </c>
      <c r="L112" s="38" t="s">
        <v>612</v>
      </c>
    </row>
    <row r="113" spans="1:12" ht="13">
      <c r="A113" s="30" t="s">
        <v>261</v>
      </c>
      <c r="B113" s="30" t="s">
        <v>262</v>
      </c>
      <c r="C113" s="18" t="s">
        <v>645</v>
      </c>
      <c r="D113" s="18" t="s">
        <v>646</v>
      </c>
      <c r="E113" s="30" t="s">
        <v>647</v>
      </c>
      <c r="F113" s="48">
        <v>1989</v>
      </c>
      <c r="G113" s="49">
        <v>116183</v>
      </c>
      <c r="H113" s="49">
        <f t="shared" ref="H113:I113" si="116">F113-F112</f>
        <v>1</v>
      </c>
      <c r="I113" s="49">
        <f t="shared" si="116"/>
        <v>9333</v>
      </c>
      <c r="J113" s="71">
        <f t="shared" si="102"/>
        <v>8.7346747777257844E-2</v>
      </c>
      <c r="K113" s="65">
        <f t="shared" si="103"/>
        <v>8.7346747777257844E-2</v>
      </c>
      <c r="L113" s="38" t="s">
        <v>612</v>
      </c>
    </row>
    <row r="114" spans="1:12" ht="13">
      <c r="A114" s="30" t="s">
        <v>261</v>
      </c>
      <c r="B114" s="30" t="s">
        <v>262</v>
      </c>
      <c r="C114" s="18" t="s">
        <v>645</v>
      </c>
      <c r="D114" s="18" t="s">
        <v>646</v>
      </c>
      <c r="E114" s="30" t="s">
        <v>647</v>
      </c>
      <c r="F114" s="48">
        <v>1990</v>
      </c>
      <c r="G114" s="49">
        <v>126321</v>
      </c>
      <c r="H114" s="49">
        <f t="shared" ref="H114:I114" si="117">F114-F113</f>
        <v>1</v>
      </c>
      <c r="I114" s="49">
        <f t="shared" si="117"/>
        <v>10138</v>
      </c>
      <c r="J114" s="71">
        <f t="shared" si="102"/>
        <v>8.7258893297642512E-2</v>
      </c>
      <c r="K114" s="65">
        <f t="shared" si="103"/>
        <v>8.7258893297642512E-2</v>
      </c>
      <c r="L114" s="38" t="s">
        <v>612</v>
      </c>
    </row>
    <row r="115" spans="1:12" ht="13">
      <c r="A115" s="30" t="s">
        <v>261</v>
      </c>
      <c r="B115" s="30" t="s">
        <v>262</v>
      </c>
      <c r="C115" s="18" t="s">
        <v>645</v>
      </c>
      <c r="D115" s="18" t="s">
        <v>646</v>
      </c>
      <c r="E115" s="30" t="s">
        <v>647</v>
      </c>
      <c r="F115" s="48">
        <v>1991</v>
      </c>
      <c r="G115" s="49">
        <v>139223</v>
      </c>
      <c r="H115" s="49">
        <f t="shared" ref="H115:I115" si="118">F115-F114</f>
        <v>1</v>
      </c>
      <c r="I115" s="49">
        <f t="shared" si="118"/>
        <v>12902</v>
      </c>
      <c r="J115" s="71">
        <f t="shared" si="102"/>
        <v>0.10213662019775017</v>
      </c>
      <c r="K115" s="65">
        <f t="shared" si="103"/>
        <v>0.10213662019775017</v>
      </c>
      <c r="L115" s="38" t="s">
        <v>612</v>
      </c>
    </row>
    <row r="116" spans="1:12" ht="13">
      <c r="A116" s="30" t="s">
        <v>261</v>
      </c>
      <c r="B116" s="30" t="s">
        <v>262</v>
      </c>
      <c r="C116" s="18" t="s">
        <v>645</v>
      </c>
      <c r="D116" s="18" t="s">
        <v>646</v>
      </c>
      <c r="E116" s="30" t="s">
        <v>647</v>
      </c>
      <c r="F116" s="48">
        <v>1992</v>
      </c>
      <c r="G116" s="49">
        <v>140338</v>
      </c>
      <c r="H116" s="49">
        <f t="shared" ref="H116:I116" si="119">F116-F115</f>
        <v>1</v>
      </c>
      <c r="I116" s="49">
        <f t="shared" si="119"/>
        <v>1115</v>
      </c>
      <c r="J116" s="71">
        <f t="shared" si="102"/>
        <v>8.0087341890348572E-3</v>
      </c>
      <c r="K116" s="65">
        <f t="shared" si="103"/>
        <v>8.0087341890348572E-3</v>
      </c>
      <c r="L116" s="38" t="s">
        <v>612</v>
      </c>
    </row>
    <row r="117" spans="1:12" ht="13">
      <c r="A117" s="30" t="s">
        <v>261</v>
      </c>
      <c r="B117" s="30" t="s">
        <v>262</v>
      </c>
      <c r="C117" s="18" t="s">
        <v>645</v>
      </c>
      <c r="D117" s="18" t="s">
        <v>646</v>
      </c>
      <c r="E117" s="30" t="s">
        <v>647</v>
      </c>
      <c r="F117" s="48">
        <v>1993</v>
      </c>
      <c r="G117" s="49">
        <v>139859</v>
      </c>
      <c r="H117" s="49">
        <f t="shared" ref="H117:I117" si="120">F117-F116</f>
        <v>1</v>
      </c>
      <c r="I117" s="49">
        <f t="shared" si="120"/>
        <v>-479</v>
      </c>
      <c r="J117" s="71">
        <f t="shared" si="102"/>
        <v>-3.4131881600136813E-3</v>
      </c>
      <c r="K117" s="65">
        <f t="shared" si="103"/>
        <v>-3.4131881600136813E-3</v>
      </c>
      <c r="L117" s="38" t="s">
        <v>612</v>
      </c>
    </row>
    <row r="118" spans="1:12" ht="13">
      <c r="A118" s="30" t="s">
        <v>261</v>
      </c>
      <c r="B118" s="30" t="s">
        <v>262</v>
      </c>
      <c r="C118" s="18" t="s">
        <v>645</v>
      </c>
      <c r="D118" s="18" t="s">
        <v>646</v>
      </c>
      <c r="E118" s="30" t="s">
        <v>647</v>
      </c>
      <c r="F118" s="48">
        <v>1994</v>
      </c>
      <c r="G118" s="49">
        <v>154128</v>
      </c>
      <c r="H118" s="49">
        <f t="shared" ref="H118:I118" si="121">F118-F117</f>
        <v>1</v>
      </c>
      <c r="I118" s="49">
        <f t="shared" si="121"/>
        <v>14269</v>
      </c>
      <c r="J118" s="71">
        <f t="shared" si="102"/>
        <v>0.1020241814970792</v>
      </c>
      <c r="K118" s="65">
        <f t="shared" si="103"/>
        <v>0.1020241814970792</v>
      </c>
      <c r="L118" s="38" t="s">
        <v>612</v>
      </c>
    </row>
    <row r="119" spans="1:12" ht="13">
      <c r="A119" s="30" t="s">
        <v>261</v>
      </c>
      <c r="B119" s="30" t="s">
        <v>262</v>
      </c>
      <c r="C119" s="18" t="s">
        <v>645</v>
      </c>
      <c r="D119" s="18" t="s">
        <v>646</v>
      </c>
      <c r="E119" s="30" t="s">
        <v>647</v>
      </c>
      <c r="F119" s="48">
        <v>1995</v>
      </c>
      <c r="G119" s="49">
        <v>169098</v>
      </c>
      <c r="H119" s="49">
        <f t="shared" ref="H119:I119" si="122">F119-F118</f>
        <v>1</v>
      </c>
      <c r="I119" s="49">
        <f t="shared" si="122"/>
        <v>14970</v>
      </c>
      <c r="J119" s="71">
        <f t="shared" si="102"/>
        <v>9.7127063220180623E-2</v>
      </c>
      <c r="K119" s="65">
        <f t="shared" si="103"/>
        <v>9.7127063220180623E-2</v>
      </c>
      <c r="L119" s="38" t="s">
        <v>612</v>
      </c>
    </row>
    <row r="120" spans="1:12" ht="13">
      <c r="A120" s="30" t="s">
        <v>261</v>
      </c>
      <c r="B120" s="30" t="s">
        <v>262</v>
      </c>
      <c r="C120" s="18" t="s">
        <v>645</v>
      </c>
      <c r="D120" s="18" t="s">
        <v>646</v>
      </c>
      <c r="E120" s="30" t="s">
        <v>647</v>
      </c>
      <c r="F120" s="48">
        <v>1996</v>
      </c>
      <c r="G120" s="49">
        <v>183101</v>
      </c>
      <c r="H120" s="49">
        <f t="shared" ref="H120:I120" si="123">F120-F119</f>
        <v>1</v>
      </c>
      <c r="I120" s="49">
        <f t="shared" si="123"/>
        <v>14003</v>
      </c>
      <c r="J120" s="71">
        <f t="shared" si="102"/>
        <v>8.2809968184129917E-2</v>
      </c>
      <c r="K120" s="65">
        <f t="shared" si="103"/>
        <v>8.2809968184129917E-2</v>
      </c>
      <c r="L120" s="38" t="s">
        <v>612</v>
      </c>
    </row>
    <row r="121" spans="1:12" ht="13">
      <c r="A121" s="30" t="s">
        <v>261</v>
      </c>
      <c r="B121" s="30" t="s">
        <v>262</v>
      </c>
      <c r="C121" s="18" t="s">
        <v>645</v>
      </c>
      <c r="D121" s="18" t="s">
        <v>646</v>
      </c>
      <c r="E121" s="30" t="s">
        <v>647</v>
      </c>
      <c r="F121" s="48">
        <v>1997</v>
      </c>
      <c r="G121" s="49">
        <v>191799</v>
      </c>
      <c r="H121" s="49">
        <f t="shared" ref="H121:I121" si="124">F121-F120</f>
        <v>1</v>
      </c>
      <c r="I121" s="49">
        <f t="shared" si="124"/>
        <v>8698</v>
      </c>
      <c r="J121" s="71">
        <f t="shared" si="102"/>
        <v>4.7503836680302128E-2</v>
      </c>
      <c r="K121" s="65">
        <f t="shared" si="103"/>
        <v>4.7503836680302128E-2</v>
      </c>
      <c r="L121" s="38" t="s">
        <v>612</v>
      </c>
    </row>
    <row r="122" spans="1:12" ht="13">
      <c r="A122" s="30" t="s">
        <v>261</v>
      </c>
      <c r="B122" s="30" t="s">
        <v>262</v>
      </c>
      <c r="C122" s="18" t="s">
        <v>645</v>
      </c>
      <c r="D122" s="18" t="s">
        <v>646</v>
      </c>
      <c r="E122" s="30" t="s">
        <v>647</v>
      </c>
      <c r="F122" s="48">
        <v>1998</v>
      </c>
      <c r="G122" s="49">
        <v>145911</v>
      </c>
      <c r="H122" s="49">
        <f t="shared" ref="H122:I122" si="125">F122-F121</f>
        <v>1</v>
      </c>
      <c r="I122" s="49">
        <f t="shared" si="125"/>
        <v>-45888</v>
      </c>
      <c r="J122" s="71">
        <f t="shared" si="102"/>
        <v>-0.23925046533089328</v>
      </c>
      <c r="K122" s="65">
        <f t="shared" si="103"/>
        <v>-0.23925046533089328</v>
      </c>
      <c r="L122" s="38" t="s">
        <v>612</v>
      </c>
    </row>
    <row r="123" spans="1:12" ht="13">
      <c r="A123" s="30" t="s">
        <v>261</v>
      </c>
      <c r="B123" s="30" t="s">
        <v>262</v>
      </c>
      <c r="C123" s="18" t="s">
        <v>645</v>
      </c>
      <c r="D123" s="18" t="s">
        <v>646</v>
      </c>
      <c r="E123" s="30" t="s">
        <v>647</v>
      </c>
      <c r="F123" s="48">
        <v>1999</v>
      </c>
      <c r="G123" s="49">
        <v>167358</v>
      </c>
      <c r="H123" s="49">
        <f t="shared" ref="H123:I123" si="126">F123-F122</f>
        <v>1</v>
      </c>
      <c r="I123" s="49">
        <f t="shared" si="126"/>
        <v>21447</v>
      </c>
      <c r="J123" s="71">
        <f t="shared" si="102"/>
        <v>0.14698686185414397</v>
      </c>
      <c r="K123" s="65">
        <f t="shared" si="103"/>
        <v>0.14698686185414397</v>
      </c>
      <c r="L123" s="38" t="s">
        <v>612</v>
      </c>
    </row>
    <row r="124" spans="1:12" ht="13">
      <c r="A124" s="30" t="s">
        <v>261</v>
      </c>
      <c r="B124" s="30" t="s">
        <v>262</v>
      </c>
      <c r="C124" s="18" t="s">
        <v>645</v>
      </c>
      <c r="D124" s="18" t="s">
        <v>646</v>
      </c>
      <c r="E124" s="30" t="s">
        <v>647</v>
      </c>
      <c r="F124" s="48">
        <v>2000</v>
      </c>
      <c r="G124" s="49">
        <v>191632</v>
      </c>
      <c r="H124" s="49">
        <f t="shared" ref="H124:I124" si="127">F124-F123</f>
        <v>1</v>
      </c>
      <c r="I124" s="49">
        <f t="shared" si="127"/>
        <v>24274</v>
      </c>
      <c r="J124" s="71">
        <f t="shared" si="102"/>
        <v>0.14504236427299561</v>
      </c>
      <c r="K124" s="65">
        <f t="shared" si="103"/>
        <v>0.14504236427299561</v>
      </c>
      <c r="L124" s="38" t="s">
        <v>612</v>
      </c>
    </row>
    <row r="125" spans="1:12" ht="13">
      <c r="A125" s="30" t="s">
        <v>261</v>
      </c>
      <c r="B125" s="30" t="s">
        <v>262</v>
      </c>
      <c r="C125" s="18" t="s">
        <v>645</v>
      </c>
      <c r="D125" s="18" t="s">
        <v>646</v>
      </c>
      <c r="E125" s="30" t="s">
        <v>647</v>
      </c>
      <c r="F125" s="48">
        <v>2001</v>
      </c>
      <c r="G125" s="49">
        <v>195805</v>
      </c>
      <c r="H125" s="49">
        <f t="shared" ref="H125:I125" si="128">F125-F124</f>
        <v>1</v>
      </c>
      <c r="I125" s="49">
        <f t="shared" si="128"/>
        <v>4173</v>
      </c>
      <c r="J125" s="71">
        <f t="shared" si="102"/>
        <v>2.1776112549052349E-2</v>
      </c>
      <c r="K125" s="65">
        <f t="shared" si="103"/>
        <v>2.1776112549052349E-2</v>
      </c>
      <c r="L125" s="38" t="s">
        <v>612</v>
      </c>
    </row>
    <row r="126" spans="1:12" ht="13">
      <c r="A126" s="30" t="s">
        <v>261</v>
      </c>
      <c r="B126" s="30" t="s">
        <v>262</v>
      </c>
      <c r="C126" s="18" t="s">
        <v>645</v>
      </c>
      <c r="D126" s="18" t="s">
        <v>646</v>
      </c>
      <c r="E126" s="30" t="s">
        <v>647</v>
      </c>
      <c r="F126" s="48">
        <v>2002</v>
      </c>
      <c r="G126" s="49">
        <v>200865</v>
      </c>
      <c r="H126" s="49">
        <f t="shared" ref="H126:I126" si="129">F126-F125</f>
        <v>1</v>
      </c>
      <c r="I126" s="49">
        <f t="shared" si="129"/>
        <v>5060</v>
      </c>
      <c r="J126" s="71">
        <f t="shared" si="102"/>
        <v>2.5842036720206327E-2</v>
      </c>
      <c r="K126" s="65">
        <f t="shared" si="103"/>
        <v>2.5842036720206327E-2</v>
      </c>
      <c r="L126" s="38" t="s">
        <v>612</v>
      </c>
    </row>
    <row r="127" spans="1:12" ht="13">
      <c r="A127" s="30" t="s">
        <v>261</v>
      </c>
      <c r="B127" s="30" t="s">
        <v>262</v>
      </c>
      <c r="C127" s="18" t="s">
        <v>645</v>
      </c>
      <c r="D127" s="18" t="s">
        <v>646</v>
      </c>
      <c r="E127" s="30" t="s">
        <v>647</v>
      </c>
      <c r="F127" s="48">
        <v>2003</v>
      </c>
      <c r="G127" s="49">
        <v>192075</v>
      </c>
      <c r="H127" s="49">
        <f t="shared" ref="H127:I127" si="130">F127-F126</f>
        <v>1</v>
      </c>
      <c r="I127" s="49">
        <f t="shared" si="130"/>
        <v>-8790</v>
      </c>
      <c r="J127" s="71">
        <f t="shared" si="102"/>
        <v>-4.3760734821895304E-2</v>
      </c>
      <c r="K127" s="65">
        <f t="shared" si="103"/>
        <v>-4.3760734821895304E-2</v>
      </c>
      <c r="L127" s="38" t="s">
        <v>612</v>
      </c>
    </row>
    <row r="128" spans="1:12" ht="13">
      <c r="A128" s="30" t="s">
        <v>261</v>
      </c>
      <c r="B128" s="30" t="s">
        <v>262</v>
      </c>
      <c r="C128" s="18" t="s">
        <v>645</v>
      </c>
      <c r="D128" s="18" t="s">
        <v>646</v>
      </c>
      <c r="E128" s="30" t="s">
        <v>647</v>
      </c>
      <c r="F128" s="48">
        <v>2004</v>
      </c>
      <c r="G128" s="49">
        <v>200327</v>
      </c>
      <c r="H128" s="49">
        <f t="shared" ref="H128:I128" si="131">F128-F127</f>
        <v>1</v>
      </c>
      <c r="I128" s="49">
        <f t="shared" si="131"/>
        <v>8252</v>
      </c>
      <c r="J128" s="71">
        <f t="shared" si="102"/>
        <v>4.2962384485227122E-2</v>
      </c>
      <c r="K128" s="65">
        <f t="shared" si="103"/>
        <v>4.2962384485227122E-2</v>
      </c>
      <c r="L128" s="38" t="s">
        <v>612</v>
      </c>
    </row>
    <row r="129" spans="1:31" ht="13">
      <c r="A129" s="30" t="s">
        <v>261</v>
      </c>
      <c r="B129" s="30" t="s">
        <v>262</v>
      </c>
      <c r="C129" s="18" t="s">
        <v>645</v>
      </c>
      <c r="D129" s="18" t="s">
        <v>646</v>
      </c>
      <c r="E129" s="30" t="s">
        <v>647</v>
      </c>
      <c r="F129" s="48">
        <v>2005</v>
      </c>
      <c r="G129" s="49">
        <v>215248</v>
      </c>
      <c r="H129" s="49">
        <f t="shared" ref="H129:I129" si="132">F129-F128</f>
        <v>1</v>
      </c>
      <c r="I129" s="49">
        <f t="shared" si="132"/>
        <v>14921</v>
      </c>
      <c r="J129" s="71">
        <f t="shared" si="102"/>
        <v>7.4483219935405617E-2</v>
      </c>
      <c r="K129" s="65">
        <f t="shared" si="103"/>
        <v>7.4483219935405617E-2</v>
      </c>
      <c r="L129" s="38" t="s">
        <v>612</v>
      </c>
    </row>
    <row r="130" spans="1:31" ht="13">
      <c r="A130" s="30" t="s">
        <v>261</v>
      </c>
      <c r="B130" s="30" t="s">
        <v>262</v>
      </c>
      <c r="C130" s="18" t="s">
        <v>645</v>
      </c>
      <c r="D130" s="18" t="s">
        <v>646</v>
      </c>
      <c r="E130" s="30" t="s">
        <v>647</v>
      </c>
      <c r="F130" s="48">
        <v>2006</v>
      </c>
      <c r="G130" s="49">
        <v>242193</v>
      </c>
      <c r="H130" s="49">
        <f t="shared" ref="H130:I130" si="133">F130-F129</f>
        <v>1</v>
      </c>
      <c r="I130" s="49">
        <f t="shared" si="133"/>
        <v>26945</v>
      </c>
      <c r="J130" s="71">
        <f t="shared" si="102"/>
        <v>0.12518118635248643</v>
      </c>
      <c r="K130" s="65">
        <f t="shared" si="103"/>
        <v>0.12518118635248643</v>
      </c>
      <c r="L130" s="38" t="s">
        <v>612</v>
      </c>
    </row>
    <row r="131" spans="1:31" ht="13">
      <c r="A131" s="30" t="s">
        <v>261</v>
      </c>
      <c r="B131" s="30" t="s">
        <v>262</v>
      </c>
      <c r="C131" s="18" t="s">
        <v>645</v>
      </c>
      <c r="D131" s="18" t="s">
        <v>646</v>
      </c>
      <c r="E131" s="30" t="s">
        <v>647</v>
      </c>
      <c r="F131" s="48">
        <v>2007</v>
      </c>
      <c r="G131" s="49">
        <v>259004</v>
      </c>
      <c r="H131" s="49">
        <f t="shared" ref="H131:I131" si="134">F131-F130</f>
        <v>1</v>
      </c>
      <c r="I131" s="49">
        <f t="shared" si="134"/>
        <v>16811</v>
      </c>
      <c r="J131" s="71">
        <f t="shared" si="102"/>
        <v>6.9411584975618612E-2</v>
      </c>
      <c r="K131" s="65">
        <f t="shared" si="103"/>
        <v>6.9411584975618612E-2</v>
      </c>
      <c r="L131" s="38" t="s">
        <v>612</v>
      </c>
    </row>
    <row r="132" spans="1:31" ht="13">
      <c r="A132" s="30" t="s">
        <v>261</v>
      </c>
      <c r="B132" s="30" t="s">
        <v>262</v>
      </c>
      <c r="C132" s="18" t="s">
        <v>645</v>
      </c>
      <c r="D132" s="18" t="s">
        <v>646</v>
      </c>
      <c r="E132" s="30" t="s">
        <v>647</v>
      </c>
      <c r="F132" s="48">
        <v>2008</v>
      </c>
      <c r="G132" s="49">
        <v>281450</v>
      </c>
      <c r="H132" s="49">
        <f t="shared" ref="H132:I132" si="135">F132-F131</f>
        <v>1</v>
      </c>
      <c r="I132" s="49">
        <f t="shared" si="135"/>
        <v>22446</v>
      </c>
      <c r="J132" s="71">
        <f t="shared" si="102"/>
        <v>8.6662754243177709E-2</v>
      </c>
      <c r="K132" s="65">
        <f t="shared" si="103"/>
        <v>8.6662754243177709E-2</v>
      </c>
      <c r="L132" s="38" t="s">
        <v>612</v>
      </c>
    </row>
    <row r="133" spans="1:31" ht="13">
      <c r="A133" s="30" t="s">
        <v>261</v>
      </c>
      <c r="B133" s="30" t="s">
        <v>262</v>
      </c>
      <c r="C133" s="18" t="s">
        <v>645</v>
      </c>
      <c r="D133" s="18" t="s">
        <v>646</v>
      </c>
      <c r="E133" s="30" t="s">
        <v>647</v>
      </c>
      <c r="F133" s="48">
        <v>2009</v>
      </c>
      <c r="G133" s="49">
        <v>276155</v>
      </c>
      <c r="H133" s="49">
        <f t="shared" ref="H133:I133" si="136">F133-F132</f>
        <v>1</v>
      </c>
      <c r="I133" s="49">
        <f t="shared" si="136"/>
        <v>-5295</v>
      </c>
      <c r="J133" s="71">
        <f t="shared" si="102"/>
        <v>-1.8813288328299874E-2</v>
      </c>
      <c r="K133" s="65">
        <f t="shared" si="103"/>
        <v>-1.8813288328299874E-2</v>
      </c>
      <c r="L133" s="38" t="s">
        <v>612</v>
      </c>
    </row>
    <row r="134" spans="1:31" ht="13">
      <c r="A134" s="30" t="s">
        <v>261</v>
      </c>
      <c r="B134" s="30" t="s">
        <v>262</v>
      </c>
      <c r="C134" s="18" t="s">
        <v>645</v>
      </c>
      <c r="D134" s="18" t="s">
        <v>646</v>
      </c>
      <c r="E134" s="30" t="s">
        <v>647</v>
      </c>
      <c r="F134" s="48">
        <v>2010</v>
      </c>
      <c r="G134" s="49">
        <v>246331</v>
      </c>
      <c r="H134" s="49">
        <f t="shared" ref="H134:I134" si="137">F134-F133</f>
        <v>1</v>
      </c>
      <c r="I134" s="49">
        <f t="shared" si="137"/>
        <v>-29824</v>
      </c>
      <c r="J134" s="71">
        <f t="shared" si="102"/>
        <v>-0.10799732034545817</v>
      </c>
      <c r="K134" s="65">
        <f t="shared" si="103"/>
        <v>-0.10799732034545817</v>
      </c>
      <c r="L134" s="38" t="s">
        <v>612</v>
      </c>
    </row>
    <row r="135" spans="1:31" ht="13">
      <c r="A135" s="30" t="s">
        <v>261</v>
      </c>
      <c r="B135" s="30" t="s">
        <v>262</v>
      </c>
      <c r="C135" s="18" t="s">
        <v>645</v>
      </c>
      <c r="D135" s="18" t="s">
        <v>646</v>
      </c>
      <c r="E135" s="30" t="s">
        <v>647</v>
      </c>
      <c r="F135" s="48">
        <v>2011</v>
      </c>
      <c r="G135" s="49">
        <v>275489</v>
      </c>
      <c r="H135" s="49">
        <f t="shared" ref="H135:I135" si="138">F135-F134</f>
        <v>1</v>
      </c>
      <c r="I135" s="49">
        <f t="shared" si="138"/>
        <v>29158</v>
      </c>
      <c r="J135" s="71">
        <f t="shared" si="102"/>
        <v>0.11836918617632372</v>
      </c>
      <c r="K135" s="65">
        <f t="shared" si="103"/>
        <v>0.11836918617632372</v>
      </c>
      <c r="L135" s="38" t="s">
        <v>612</v>
      </c>
    </row>
    <row r="136" spans="1:31" ht="13">
      <c r="A136" s="30" t="s">
        <v>261</v>
      </c>
      <c r="B136" s="30" t="s">
        <v>262</v>
      </c>
      <c r="C136" s="18" t="s">
        <v>645</v>
      </c>
      <c r="D136" s="18" t="s">
        <v>646</v>
      </c>
      <c r="E136" s="30" t="s">
        <v>647</v>
      </c>
      <c r="F136" s="48">
        <v>2012</v>
      </c>
      <c r="G136" s="49">
        <v>306220</v>
      </c>
      <c r="H136" s="49">
        <f t="shared" ref="H136:I136" si="139">F136-F135</f>
        <v>1</v>
      </c>
      <c r="I136" s="49">
        <f t="shared" si="139"/>
        <v>30731</v>
      </c>
      <c r="J136" s="71">
        <f t="shared" si="102"/>
        <v>0.11155073342311309</v>
      </c>
      <c r="K136" s="65">
        <f t="shared" si="103"/>
        <v>0.11155073342311309</v>
      </c>
      <c r="L136" s="38" t="s">
        <v>612</v>
      </c>
    </row>
    <row r="137" spans="1:31" ht="13">
      <c r="A137" s="30" t="s">
        <v>261</v>
      </c>
      <c r="B137" s="30" t="s">
        <v>262</v>
      </c>
      <c r="C137" s="18" t="s">
        <v>645</v>
      </c>
      <c r="D137" s="18" t="s">
        <v>646</v>
      </c>
      <c r="E137" s="30" t="s">
        <v>647</v>
      </c>
      <c r="F137" s="48">
        <v>2013</v>
      </c>
      <c r="G137" s="49">
        <v>253662</v>
      </c>
      <c r="H137" s="49">
        <f t="shared" ref="H137:I137" si="140">F137-F136</f>
        <v>1</v>
      </c>
      <c r="I137" s="49">
        <f t="shared" si="140"/>
        <v>-52558</v>
      </c>
      <c r="J137" s="71">
        <f t="shared" si="102"/>
        <v>-0.17163477238586636</v>
      </c>
      <c r="K137" s="65">
        <f t="shared" si="103"/>
        <v>-0.17163477238586636</v>
      </c>
      <c r="L137" s="38" t="s">
        <v>612</v>
      </c>
    </row>
    <row r="138" spans="1:31" ht="13">
      <c r="A138" s="30" t="s">
        <v>261</v>
      </c>
      <c r="B138" s="30" t="s">
        <v>262</v>
      </c>
      <c r="C138" s="18" t="s">
        <v>645</v>
      </c>
      <c r="D138" s="18" t="s">
        <v>646</v>
      </c>
      <c r="E138" s="30" t="s">
        <v>647</v>
      </c>
      <c r="F138" s="48">
        <v>2014</v>
      </c>
      <c r="G138" s="49">
        <v>257606</v>
      </c>
      <c r="H138" s="49">
        <f t="shared" ref="H138:I138" si="141">F138-F137</f>
        <v>1</v>
      </c>
      <c r="I138" s="49">
        <f t="shared" si="141"/>
        <v>3944</v>
      </c>
      <c r="J138" s="71">
        <f t="shared" si="102"/>
        <v>1.5548249245058385E-2</v>
      </c>
      <c r="K138" s="65">
        <f t="shared" si="103"/>
        <v>1.5548249245058385E-2</v>
      </c>
      <c r="L138" s="38" t="s">
        <v>612</v>
      </c>
    </row>
    <row r="139" spans="1:31" ht="13">
      <c r="A139" s="30" t="s">
        <v>261</v>
      </c>
      <c r="B139" s="30" t="s">
        <v>262</v>
      </c>
      <c r="C139" s="30" t="s">
        <v>645</v>
      </c>
      <c r="D139" s="30" t="s">
        <v>689</v>
      </c>
      <c r="E139" s="30" t="s">
        <v>690</v>
      </c>
      <c r="F139" s="48">
        <v>1975</v>
      </c>
      <c r="G139" s="49">
        <v>12499</v>
      </c>
      <c r="H139" s="49" t="s">
        <v>402</v>
      </c>
      <c r="I139" s="49" t="s">
        <v>402</v>
      </c>
      <c r="J139" s="71" t="s">
        <v>402</v>
      </c>
      <c r="K139" s="65" t="s">
        <v>402</v>
      </c>
      <c r="L139" s="50" t="s">
        <v>612</v>
      </c>
      <c r="M139" s="30"/>
      <c r="N139" s="30"/>
      <c r="O139" s="30"/>
      <c r="P139" s="30"/>
      <c r="Q139" s="30"/>
      <c r="R139" s="30"/>
      <c r="S139" s="30"/>
      <c r="T139" s="30"/>
      <c r="U139" s="30"/>
      <c r="V139" s="30"/>
      <c r="W139" s="30"/>
      <c r="X139" s="30"/>
      <c r="Y139" s="30"/>
      <c r="Z139" s="30"/>
      <c r="AA139" s="30"/>
      <c r="AB139" s="30"/>
      <c r="AC139" s="30"/>
      <c r="AD139" s="30"/>
      <c r="AE139" s="30"/>
    </row>
    <row r="140" spans="1:31" ht="13">
      <c r="A140" s="30" t="s">
        <v>261</v>
      </c>
      <c r="B140" s="30" t="s">
        <v>262</v>
      </c>
      <c r="C140" s="30" t="s">
        <v>645</v>
      </c>
      <c r="D140" s="30" t="s">
        <v>689</v>
      </c>
      <c r="E140" s="30" t="s">
        <v>690</v>
      </c>
      <c r="F140" s="48">
        <v>1976</v>
      </c>
      <c r="G140" s="49">
        <v>14749</v>
      </c>
      <c r="H140" s="49">
        <f t="shared" ref="H140:I140" si="142">F140-F139</f>
        <v>1</v>
      </c>
      <c r="I140" s="49">
        <f t="shared" si="142"/>
        <v>2250</v>
      </c>
      <c r="J140" s="71">
        <f t="shared" ref="J140:J178" si="143">I140/G139</f>
        <v>0.18001440115209216</v>
      </c>
      <c r="K140" s="65">
        <f t="shared" ref="K140:K178" si="144">J140/H140</f>
        <v>0.18001440115209216</v>
      </c>
      <c r="L140" s="50" t="s">
        <v>612</v>
      </c>
      <c r="M140" s="30"/>
      <c r="N140" s="30"/>
      <c r="O140" s="30"/>
      <c r="P140" s="30"/>
      <c r="Q140" s="30"/>
      <c r="R140" s="30"/>
      <c r="S140" s="30"/>
      <c r="T140" s="30"/>
      <c r="U140" s="30"/>
      <c r="V140" s="30"/>
      <c r="W140" s="30"/>
      <c r="X140" s="30"/>
      <c r="Y140" s="30"/>
      <c r="Z140" s="30"/>
      <c r="AA140" s="30"/>
      <c r="AB140" s="30"/>
      <c r="AC140" s="30"/>
      <c r="AD140" s="30"/>
      <c r="AE140" s="30"/>
    </row>
    <row r="141" spans="1:31" ht="13">
      <c r="A141" s="30" t="s">
        <v>261</v>
      </c>
      <c r="B141" s="30" t="s">
        <v>262</v>
      </c>
      <c r="C141" s="30" t="s">
        <v>645</v>
      </c>
      <c r="D141" s="30" t="s">
        <v>689</v>
      </c>
      <c r="E141" s="30" t="s">
        <v>690</v>
      </c>
      <c r="F141" s="48">
        <v>1977</v>
      </c>
      <c r="G141" s="49">
        <v>11712</v>
      </c>
      <c r="H141" s="49">
        <f t="shared" ref="H141:I141" si="145">F141-F140</f>
        <v>1</v>
      </c>
      <c r="I141" s="49">
        <f t="shared" si="145"/>
        <v>-3037</v>
      </c>
      <c r="J141" s="71">
        <f t="shared" si="143"/>
        <v>-0.20591226523832123</v>
      </c>
      <c r="K141" s="65">
        <f t="shared" si="144"/>
        <v>-0.20591226523832123</v>
      </c>
      <c r="L141" s="50" t="s">
        <v>612</v>
      </c>
      <c r="M141" s="30"/>
      <c r="N141" s="30"/>
      <c r="O141" s="30"/>
      <c r="P141" s="30"/>
      <c r="Q141" s="30"/>
      <c r="R141" s="30"/>
      <c r="S141" s="30"/>
      <c r="T141" s="30"/>
      <c r="U141" s="30"/>
      <c r="V141" s="30"/>
      <c r="W141" s="30"/>
      <c r="X141" s="30"/>
      <c r="Y141" s="30"/>
      <c r="Z141" s="30"/>
      <c r="AA141" s="30"/>
      <c r="AB141" s="30"/>
      <c r="AC141" s="30"/>
      <c r="AD141" s="30"/>
      <c r="AE141" s="30"/>
    </row>
    <row r="142" spans="1:31" ht="13">
      <c r="A142" s="30" t="s">
        <v>261</v>
      </c>
      <c r="B142" s="30" t="s">
        <v>262</v>
      </c>
      <c r="C142" s="30" t="s">
        <v>645</v>
      </c>
      <c r="D142" s="30" t="s">
        <v>689</v>
      </c>
      <c r="E142" s="30" t="s">
        <v>690</v>
      </c>
      <c r="F142" s="48">
        <v>1978</v>
      </c>
      <c r="G142" s="49">
        <v>13449</v>
      </c>
      <c r="H142" s="49">
        <f t="shared" ref="H142:I142" si="146">F142-F141</f>
        <v>1</v>
      </c>
      <c r="I142" s="49">
        <f t="shared" si="146"/>
        <v>1737</v>
      </c>
      <c r="J142" s="71">
        <f t="shared" si="143"/>
        <v>0.14830942622950818</v>
      </c>
      <c r="K142" s="65">
        <f t="shared" si="144"/>
        <v>0.14830942622950818</v>
      </c>
      <c r="L142" s="50" t="s">
        <v>612</v>
      </c>
      <c r="M142" s="30"/>
      <c r="N142" s="30"/>
      <c r="O142" s="30"/>
      <c r="P142" s="30"/>
      <c r="Q142" s="30"/>
      <c r="R142" s="30"/>
      <c r="S142" s="30"/>
      <c r="T142" s="30"/>
      <c r="U142" s="30"/>
      <c r="V142" s="30"/>
      <c r="W142" s="30"/>
      <c r="X142" s="30"/>
      <c r="Y142" s="30"/>
      <c r="Z142" s="30"/>
      <c r="AA142" s="30"/>
      <c r="AB142" s="30"/>
      <c r="AC142" s="30"/>
      <c r="AD142" s="30"/>
      <c r="AE142" s="30"/>
    </row>
    <row r="143" spans="1:31" ht="13">
      <c r="A143" s="30" t="s">
        <v>261</v>
      </c>
      <c r="B143" s="30" t="s">
        <v>262</v>
      </c>
      <c r="C143" s="30" t="s">
        <v>645</v>
      </c>
      <c r="D143" s="30" t="s">
        <v>689</v>
      </c>
      <c r="E143" s="30" t="s">
        <v>690</v>
      </c>
      <c r="F143" s="48">
        <v>1979</v>
      </c>
      <c r="G143" s="49">
        <v>14145</v>
      </c>
      <c r="H143" s="49">
        <f t="shared" ref="H143:I143" si="147">F143-F142</f>
        <v>1</v>
      </c>
      <c r="I143" s="49">
        <f t="shared" si="147"/>
        <v>696</v>
      </c>
      <c r="J143" s="71">
        <f t="shared" si="143"/>
        <v>5.1751059558331473E-2</v>
      </c>
      <c r="K143" s="65">
        <f t="shared" si="144"/>
        <v>5.1751059558331473E-2</v>
      </c>
      <c r="L143" s="50" t="s">
        <v>612</v>
      </c>
      <c r="M143" s="30"/>
      <c r="N143" s="30"/>
      <c r="O143" s="30"/>
      <c r="P143" s="30"/>
      <c r="Q143" s="30"/>
      <c r="R143" s="30"/>
      <c r="S143" s="30"/>
      <c r="T143" s="30"/>
      <c r="U143" s="30"/>
      <c r="V143" s="30"/>
      <c r="W143" s="30"/>
      <c r="X143" s="30"/>
      <c r="Y143" s="30"/>
      <c r="Z143" s="30"/>
      <c r="AA143" s="30"/>
      <c r="AB143" s="30"/>
      <c r="AC143" s="30"/>
      <c r="AD143" s="30"/>
      <c r="AE143" s="30"/>
    </row>
    <row r="144" spans="1:31" ht="13">
      <c r="A144" s="30" t="s">
        <v>261</v>
      </c>
      <c r="B144" s="30" t="s">
        <v>262</v>
      </c>
      <c r="C144" s="30" t="s">
        <v>645</v>
      </c>
      <c r="D144" s="30" t="s">
        <v>689</v>
      </c>
      <c r="E144" s="30" t="s">
        <v>690</v>
      </c>
      <c r="F144" s="48">
        <v>1980</v>
      </c>
      <c r="G144" s="49">
        <v>14878</v>
      </c>
      <c r="H144" s="49">
        <f t="shared" ref="H144:I144" si="148">F144-F143</f>
        <v>1</v>
      </c>
      <c r="I144" s="49">
        <f t="shared" si="148"/>
        <v>733</v>
      </c>
      <c r="J144" s="71">
        <f t="shared" si="143"/>
        <v>5.1820431247790739E-2</v>
      </c>
      <c r="K144" s="65">
        <f t="shared" si="144"/>
        <v>5.1820431247790739E-2</v>
      </c>
      <c r="L144" s="50" t="s">
        <v>612</v>
      </c>
      <c r="M144" s="30"/>
      <c r="N144" s="30"/>
      <c r="O144" s="30"/>
      <c r="P144" s="30"/>
      <c r="Q144" s="30"/>
      <c r="R144" s="30"/>
      <c r="S144" s="30"/>
      <c r="T144" s="30"/>
      <c r="U144" s="30"/>
      <c r="V144" s="30"/>
      <c r="W144" s="30"/>
      <c r="X144" s="30"/>
      <c r="Y144" s="30"/>
      <c r="Z144" s="30"/>
      <c r="AA144" s="30"/>
      <c r="AB144" s="30"/>
      <c r="AC144" s="30"/>
      <c r="AD144" s="30"/>
      <c r="AE144" s="30"/>
    </row>
    <row r="145" spans="1:31" ht="13">
      <c r="A145" s="30" t="s">
        <v>261</v>
      </c>
      <c r="B145" s="30" t="s">
        <v>262</v>
      </c>
      <c r="C145" s="30" t="s">
        <v>645</v>
      </c>
      <c r="D145" s="30" t="s">
        <v>689</v>
      </c>
      <c r="E145" s="30" t="s">
        <v>690</v>
      </c>
      <c r="F145" s="48">
        <v>1981</v>
      </c>
      <c r="G145" s="49">
        <v>16701</v>
      </c>
      <c r="H145" s="49">
        <f t="shared" ref="H145:I145" si="149">F145-F144</f>
        <v>1</v>
      </c>
      <c r="I145" s="49">
        <f t="shared" si="149"/>
        <v>1823</v>
      </c>
      <c r="J145" s="71">
        <f t="shared" si="143"/>
        <v>0.12252990993413093</v>
      </c>
      <c r="K145" s="65">
        <f t="shared" si="144"/>
        <v>0.12252990993413093</v>
      </c>
      <c r="L145" s="50" t="s">
        <v>612</v>
      </c>
      <c r="M145" s="30"/>
      <c r="N145" s="30"/>
      <c r="O145" s="30"/>
      <c r="P145" s="30"/>
      <c r="Q145" s="30"/>
      <c r="R145" s="30"/>
      <c r="S145" s="30"/>
      <c r="T145" s="30"/>
      <c r="U145" s="30"/>
      <c r="V145" s="30"/>
      <c r="W145" s="30"/>
      <c r="X145" s="30"/>
      <c r="Y145" s="30"/>
      <c r="Z145" s="30"/>
      <c r="AA145" s="30"/>
      <c r="AB145" s="30"/>
      <c r="AC145" s="30"/>
      <c r="AD145" s="30"/>
      <c r="AE145" s="30"/>
    </row>
    <row r="146" spans="1:31" ht="13">
      <c r="A146" s="30" t="s">
        <v>261</v>
      </c>
      <c r="B146" s="30" t="s">
        <v>262</v>
      </c>
      <c r="C146" s="30" t="s">
        <v>645</v>
      </c>
      <c r="D146" s="30" t="s">
        <v>689</v>
      </c>
      <c r="E146" s="30" t="s">
        <v>690</v>
      </c>
      <c r="F146" s="48">
        <v>1982</v>
      </c>
      <c r="G146" s="49">
        <v>20540</v>
      </c>
      <c r="H146" s="49">
        <f t="shared" ref="H146:I146" si="150">F146-F145</f>
        <v>1</v>
      </c>
      <c r="I146" s="49">
        <f t="shared" si="150"/>
        <v>3839</v>
      </c>
      <c r="J146" s="71">
        <f t="shared" si="143"/>
        <v>0.22986647506137356</v>
      </c>
      <c r="K146" s="65">
        <f t="shared" si="144"/>
        <v>0.22986647506137356</v>
      </c>
      <c r="L146" s="50" t="s">
        <v>612</v>
      </c>
      <c r="M146" s="30"/>
      <c r="N146" s="30"/>
      <c r="O146" s="30"/>
      <c r="P146" s="30"/>
      <c r="Q146" s="30"/>
      <c r="R146" s="30"/>
      <c r="S146" s="30"/>
      <c r="T146" s="30"/>
      <c r="U146" s="30"/>
      <c r="V146" s="30"/>
      <c r="W146" s="30"/>
      <c r="X146" s="30"/>
      <c r="Y146" s="30"/>
      <c r="Z146" s="30"/>
      <c r="AA146" s="30"/>
      <c r="AB146" s="30"/>
      <c r="AC146" s="30"/>
      <c r="AD146" s="30"/>
      <c r="AE146" s="30"/>
    </row>
    <row r="147" spans="1:31" ht="13">
      <c r="A147" s="30" t="s">
        <v>261</v>
      </c>
      <c r="B147" s="30" t="s">
        <v>262</v>
      </c>
      <c r="C147" s="30" t="s">
        <v>645</v>
      </c>
      <c r="D147" s="30" t="s">
        <v>689</v>
      </c>
      <c r="E147" s="30" t="s">
        <v>690</v>
      </c>
      <c r="F147" s="48">
        <v>1983</v>
      </c>
      <c r="G147" s="49">
        <v>11595</v>
      </c>
      <c r="H147" s="49">
        <f t="shared" ref="H147:I147" si="151">F147-F146</f>
        <v>1</v>
      </c>
      <c r="I147" s="49">
        <f t="shared" si="151"/>
        <v>-8945</v>
      </c>
      <c r="J147" s="71">
        <f t="shared" si="143"/>
        <v>-0.43549172346640702</v>
      </c>
      <c r="K147" s="65">
        <f t="shared" si="144"/>
        <v>-0.43549172346640702</v>
      </c>
      <c r="L147" s="50" t="s">
        <v>612</v>
      </c>
      <c r="M147" s="30"/>
      <c r="N147" s="30"/>
      <c r="O147" s="30"/>
      <c r="P147" s="30"/>
      <c r="Q147" s="30"/>
      <c r="R147" s="30"/>
      <c r="S147" s="30"/>
      <c r="T147" s="30"/>
      <c r="U147" s="30"/>
      <c r="V147" s="30"/>
      <c r="W147" s="30"/>
      <c r="X147" s="30"/>
      <c r="Y147" s="30"/>
      <c r="Z147" s="30"/>
      <c r="AA147" s="30"/>
      <c r="AB147" s="30"/>
      <c r="AC147" s="30"/>
      <c r="AD147" s="30"/>
      <c r="AE147" s="30"/>
    </row>
    <row r="148" spans="1:31" ht="13">
      <c r="A148" s="30" t="s">
        <v>261</v>
      </c>
      <c r="B148" s="30" t="s">
        <v>262</v>
      </c>
      <c r="C148" s="30" t="s">
        <v>645</v>
      </c>
      <c r="D148" s="30" t="s">
        <v>689</v>
      </c>
      <c r="E148" s="30" t="s">
        <v>690</v>
      </c>
      <c r="F148" s="48">
        <v>1984</v>
      </c>
      <c r="G148" s="49">
        <v>13550</v>
      </c>
      <c r="H148" s="49">
        <f t="shared" ref="H148:I148" si="152">F148-F147</f>
        <v>1</v>
      </c>
      <c r="I148" s="49">
        <f t="shared" si="152"/>
        <v>1955</v>
      </c>
      <c r="J148" s="71">
        <f t="shared" si="143"/>
        <v>0.16860715825786976</v>
      </c>
      <c r="K148" s="65">
        <f t="shared" si="144"/>
        <v>0.16860715825786976</v>
      </c>
      <c r="L148" s="50" t="s">
        <v>612</v>
      </c>
      <c r="M148" s="30"/>
      <c r="N148" s="30"/>
      <c r="O148" s="30"/>
      <c r="P148" s="30"/>
      <c r="Q148" s="30"/>
      <c r="R148" s="30"/>
      <c r="S148" s="30"/>
      <c r="T148" s="30"/>
      <c r="U148" s="30"/>
      <c r="V148" s="30"/>
      <c r="W148" s="30"/>
      <c r="X148" s="30"/>
      <c r="Y148" s="30"/>
      <c r="Z148" s="30"/>
      <c r="AA148" s="30"/>
      <c r="AB148" s="30"/>
      <c r="AC148" s="30"/>
      <c r="AD148" s="30"/>
      <c r="AE148" s="30"/>
    </row>
    <row r="149" spans="1:31" ht="13">
      <c r="A149" s="30" t="s">
        <v>261</v>
      </c>
      <c r="B149" s="30" t="s">
        <v>262</v>
      </c>
      <c r="C149" s="30" t="s">
        <v>645</v>
      </c>
      <c r="D149" s="30" t="s">
        <v>689</v>
      </c>
      <c r="E149" s="30" t="s">
        <v>690</v>
      </c>
      <c r="F149" s="48">
        <v>1985</v>
      </c>
      <c r="G149" s="49">
        <v>15224</v>
      </c>
      <c r="H149" s="49">
        <f t="shared" ref="H149:I149" si="153">F149-F148</f>
        <v>1</v>
      </c>
      <c r="I149" s="49">
        <f t="shared" si="153"/>
        <v>1674</v>
      </c>
      <c r="J149" s="71">
        <f t="shared" si="143"/>
        <v>0.12354243542435424</v>
      </c>
      <c r="K149" s="65">
        <f t="shared" si="144"/>
        <v>0.12354243542435424</v>
      </c>
      <c r="L149" s="50" t="s">
        <v>612</v>
      </c>
      <c r="M149" s="30"/>
      <c r="N149" s="30"/>
      <c r="O149" s="30"/>
      <c r="P149" s="30"/>
      <c r="Q149" s="30"/>
      <c r="R149" s="30"/>
      <c r="S149" s="30"/>
      <c r="T149" s="30"/>
      <c r="U149" s="30"/>
      <c r="V149" s="30"/>
      <c r="W149" s="30"/>
      <c r="X149" s="30"/>
      <c r="Y149" s="30"/>
      <c r="Z149" s="30"/>
      <c r="AA149" s="30"/>
      <c r="AB149" s="30"/>
      <c r="AC149" s="30"/>
      <c r="AD149" s="30"/>
      <c r="AE149" s="30"/>
    </row>
    <row r="150" spans="1:31" ht="13">
      <c r="A150" s="30" t="s">
        <v>261</v>
      </c>
      <c r="B150" s="30" t="s">
        <v>262</v>
      </c>
      <c r="C150" s="30" t="s">
        <v>645</v>
      </c>
      <c r="D150" s="30" t="s">
        <v>689</v>
      </c>
      <c r="E150" s="30" t="s">
        <v>690</v>
      </c>
      <c r="F150" s="48">
        <v>1986</v>
      </c>
      <c r="G150" s="49">
        <v>17896</v>
      </c>
      <c r="H150" s="49">
        <f t="shared" ref="H150:I150" si="154">F150-F149</f>
        <v>1</v>
      </c>
      <c r="I150" s="49">
        <f t="shared" si="154"/>
        <v>2672</v>
      </c>
      <c r="J150" s="71">
        <f t="shared" si="143"/>
        <v>0.17551234892275355</v>
      </c>
      <c r="K150" s="65">
        <f t="shared" si="144"/>
        <v>0.17551234892275355</v>
      </c>
      <c r="L150" s="50" t="s">
        <v>612</v>
      </c>
      <c r="M150" s="30"/>
      <c r="N150" s="30"/>
      <c r="O150" s="30"/>
      <c r="P150" s="30"/>
      <c r="Q150" s="30"/>
      <c r="R150" s="30"/>
      <c r="S150" s="30"/>
      <c r="T150" s="30"/>
      <c r="U150" s="30"/>
      <c r="V150" s="30"/>
      <c r="W150" s="30"/>
      <c r="X150" s="30"/>
      <c r="Y150" s="30"/>
      <c r="Z150" s="30"/>
      <c r="AA150" s="30"/>
      <c r="AB150" s="30"/>
      <c r="AC150" s="30"/>
      <c r="AD150" s="30"/>
      <c r="AE150" s="30"/>
    </row>
    <row r="151" spans="1:31" ht="13">
      <c r="A151" s="30" t="s">
        <v>261</v>
      </c>
      <c r="B151" s="30" t="s">
        <v>262</v>
      </c>
      <c r="C151" s="30" t="s">
        <v>645</v>
      </c>
      <c r="D151" s="30" t="s">
        <v>689</v>
      </c>
      <c r="E151" s="30" t="s">
        <v>690</v>
      </c>
      <c r="F151" s="48">
        <v>1987</v>
      </c>
      <c r="G151" s="49">
        <v>19796</v>
      </c>
      <c r="H151" s="49">
        <f t="shared" ref="H151:I151" si="155">F151-F150</f>
        <v>1</v>
      </c>
      <c r="I151" s="49">
        <f t="shared" si="155"/>
        <v>1900</v>
      </c>
      <c r="J151" s="71">
        <f t="shared" si="143"/>
        <v>0.10616897630755476</v>
      </c>
      <c r="K151" s="65">
        <f t="shared" si="144"/>
        <v>0.10616897630755476</v>
      </c>
      <c r="L151" s="50" t="s">
        <v>612</v>
      </c>
      <c r="M151" s="30"/>
      <c r="N151" s="30"/>
      <c r="O151" s="30"/>
      <c r="P151" s="30"/>
      <c r="Q151" s="30"/>
      <c r="R151" s="30"/>
      <c r="S151" s="30"/>
      <c r="T151" s="30"/>
      <c r="U151" s="30"/>
      <c r="V151" s="30"/>
      <c r="W151" s="30"/>
      <c r="X151" s="30"/>
      <c r="Y151" s="30"/>
      <c r="Z151" s="30"/>
      <c r="AA151" s="30"/>
      <c r="AB151" s="30"/>
      <c r="AC151" s="30"/>
      <c r="AD151" s="30"/>
      <c r="AE151" s="30"/>
    </row>
    <row r="152" spans="1:31" ht="13">
      <c r="A152" s="30" t="s">
        <v>261</v>
      </c>
      <c r="B152" s="30" t="s">
        <v>262</v>
      </c>
      <c r="C152" s="30" t="s">
        <v>645</v>
      </c>
      <c r="D152" s="30" t="s">
        <v>689</v>
      </c>
      <c r="E152" s="30" t="s">
        <v>690</v>
      </c>
      <c r="F152" s="48">
        <v>1988</v>
      </c>
      <c r="G152" s="49">
        <v>19452</v>
      </c>
      <c r="H152" s="49">
        <f t="shared" ref="H152:I152" si="156">F152-F151</f>
        <v>1</v>
      </c>
      <c r="I152" s="49">
        <f t="shared" si="156"/>
        <v>-344</v>
      </c>
      <c r="J152" s="71">
        <f t="shared" si="143"/>
        <v>-1.7377247928874521E-2</v>
      </c>
      <c r="K152" s="65">
        <f t="shared" si="144"/>
        <v>-1.7377247928874521E-2</v>
      </c>
      <c r="L152" s="50" t="s">
        <v>612</v>
      </c>
      <c r="M152" s="30"/>
      <c r="N152" s="30"/>
      <c r="O152" s="30"/>
      <c r="P152" s="30"/>
      <c r="Q152" s="30"/>
      <c r="R152" s="30"/>
      <c r="S152" s="30"/>
      <c r="T152" s="30"/>
      <c r="U152" s="30"/>
      <c r="V152" s="30"/>
      <c r="W152" s="30"/>
      <c r="X152" s="30"/>
      <c r="Y152" s="30"/>
      <c r="Z152" s="30"/>
      <c r="AA152" s="30"/>
      <c r="AB152" s="30"/>
      <c r="AC152" s="30"/>
      <c r="AD152" s="30"/>
      <c r="AE152" s="30"/>
    </row>
    <row r="153" spans="1:31" ht="13">
      <c r="A153" s="30" t="s">
        <v>261</v>
      </c>
      <c r="B153" s="30" t="s">
        <v>262</v>
      </c>
      <c r="C153" s="30" t="s">
        <v>645</v>
      </c>
      <c r="D153" s="30" t="s">
        <v>689</v>
      </c>
      <c r="E153" s="30" t="s">
        <v>690</v>
      </c>
      <c r="F153" s="48">
        <v>1989</v>
      </c>
      <c r="G153" s="49">
        <v>23757</v>
      </c>
      <c r="H153" s="49">
        <f t="shared" ref="H153:I153" si="157">F153-F152</f>
        <v>1</v>
      </c>
      <c r="I153" s="49">
        <f t="shared" si="157"/>
        <v>4305</v>
      </c>
      <c r="J153" s="71">
        <f t="shared" si="143"/>
        <v>0.22131400370141888</v>
      </c>
      <c r="K153" s="65">
        <f t="shared" si="144"/>
        <v>0.22131400370141888</v>
      </c>
      <c r="L153" s="50" t="s">
        <v>612</v>
      </c>
      <c r="M153" s="30"/>
      <c r="N153" s="30"/>
      <c r="O153" s="30"/>
      <c r="P153" s="30"/>
      <c r="Q153" s="30"/>
      <c r="R153" s="30"/>
      <c r="S153" s="30"/>
      <c r="T153" s="30"/>
      <c r="U153" s="30"/>
      <c r="V153" s="30"/>
      <c r="W153" s="30"/>
      <c r="X153" s="30"/>
      <c r="Y153" s="30"/>
      <c r="Z153" s="30"/>
      <c r="AA153" s="30"/>
      <c r="AB153" s="30"/>
      <c r="AC153" s="30"/>
      <c r="AD153" s="30"/>
      <c r="AE153" s="30"/>
    </row>
    <row r="154" spans="1:31" ht="13">
      <c r="A154" s="30" t="s">
        <v>261</v>
      </c>
      <c r="B154" s="30" t="s">
        <v>262</v>
      </c>
      <c r="C154" s="30" t="s">
        <v>645</v>
      </c>
      <c r="D154" s="30" t="s">
        <v>689</v>
      </c>
      <c r="E154" s="30" t="s">
        <v>690</v>
      </c>
      <c r="F154" s="48">
        <v>1990</v>
      </c>
      <c r="G154" s="49">
        <v>25422</v>
      </c>
      <c r="H154" s="49">
        <f t="shared" ref="H154:I154" si="158">F154-F153</f>
        <v>1</v>
      </c>
      <c r="I154" s="49">
        <f t="shared" si="158"/>
        <v>1665</v>
      </c>
      <c r="J154" s="71">
        <f t="shared" si="143"/>
        <v>7.0084606642252814E-2</v>
      </c>
      <c r="K154" s="65">
        <f t="shared" si="144"/>
        <v>7.0084606642252814E-2</v>
      </c>
      <c r="L154" s="50" t="s">
        <v>612</v>
      </c>
      <c r="M154" s="30"/>
      <c r="N154" s="30"/>
      <c r="O154" s="30"/>
      <c r="P154" s="30"/>
      <c r="Q154" s="30"/>
      <c r="R154" s="30"/>
      <c r="S154" s="30"/>
      <c r="T154" s="30"/>
      <c r="U154" s="30"/>
      <c r="V154" s="30"/>
      <c r="W154" s="30"/>
      <c r="X154" s="30"/>
      <c r="Y154" s="30"/>
      <c r="Z154" s="30"/>
      <c r="AA154" s="30"/>
      <c r="AB154" s="30"/>
      <c r="AC154" s="30"/>
      <c r="AD154" s="30"/>
      <c r="AE154" s="30"/>
    </row>
    <row r="155" spans="1:31" ht="13">
      <c r="A155" s="30" t="s">
        <v>261</v>
      </c>
      <c r="B155" s="30" t="s">
        <v>262</v>
      </c>
      <c r="C155" s="30" t="s">
        <v>645</v>
      </c>
      <c r="D155" s="30" t="s">
        <v>689</v>
      </c>
      <c r="E155" s="30" t="s">
        <v>690</v>
      </c>
      <c r="F155" s="48">
        <v>1991</v>
      </c>
      <c r="G155" s="49">
        <v>30747</v>
      </c>
      <c r="H155" s="49">
        <f t="shared" ref="H155:I155" si="159">F155-F154</f>
        <v>1</v>
      </c>
      <c r="I155" s="49">
        <f t="shared" si="159"/>
        <v>5325</v>
      </c>
      <c r="J155" s="71">
        <f t="shared" si="143"/>
        <v>0.20946424356856266</v>
      </c>
      <c r="K155" s="65">
        <f t="shared" si="144"/>
        <v>0.20946424356856266</v>
      </c>
      <c r="L155" s="50" t="s">
        <v>612</v>
      </c>
      <c r="M155" s="30"/>
      <c r="N155" s="30"/>
      <c r="O155" s="30"/>
      <c r="P155" s="30"/>
      <c r="Q155" s="30"/>
      <c r="R155" s="30"/>
      <c r="S155" s="30"/>
      <c r="T155" s="30"/>
      <c r="U155" s="30"/>
      <c r="V155" s="30"/>
      <c r="W155" s="30"/>
      <c r="X155" s="30"/>
      <c r="Y155" s="30"/>
      <c r="Z155" s="30"/>
      <c r="AA155" s="30"/>
      <c r="AB155" s="30"/>
      <c r="AC155" s="30"/>
      <c r="AD155" s="30"/>
      <c r="AE155" s="30"/>
    </row>
    <row r="156" spans="1:31" ht="13">
      <c r="A156" s="30" t="s">
        <v>261</v>
      </c>
      <c r="B156" s="30" t="s">
        <v>262</v>
      </c>
      <c r="C156" s="30" t="s">
        <v>645</v>
      </c>
      <c r="D156" s="30" t="s">
        <v>689</v>
      </c>
      <c r="E156" s="30" t="s">
        <v>690</v>
      </c>
      <c r="F156" s="48">
        <v>1992</v>
      </c>
      <c r="G156" s="49">
        <v>22364</v>
      </c>
      <c r="H156" s="49">
        <f t="shared" ref="H156:I156" si="160">F156-F155</f>
        <v>1</v>
      </c>
      <c r="I156" s="49">
        <f t="shared" si="160"/>
        <v>-8383</v>
      </c>
      <c r="J156" s="71">
        <f t="shared" si="143"/>
        <v>-0.27264448564087551</v>
      </c>
      <c r="K156" s="65">
        <f t="shared" si="144"/>
        <v>-0.27264448564087551</v>
      </c>
      <c r="L156" s="50" t="s">
        <v>612</v>
      </c>
      <c r="M156" s="30"/>
      <c r="N156" s="30"/>
      <c r="O156" s="30"/>
      <c r="P156" s="30"/>
      <c r="Q156" s="30"/>
      <c r="R156" s="30"/>
      <c r="S156" s="30"/>
      <c r="T156" s="30"/>
      <c r="U156" s="30"/>
      <c r="V156" s="30"/>
      <c r="W156" s="30"/>
      <c r="X156" s="30"/>
      <c r="Y156" s="30"/>
      <c r="Z156" s="30"/>
      <c r="AA156" s="30"/>
      <c r="AB156" s="30"/>
      <c r="AC156" s="30"/>
      <c r="AD156" s="30"/>
      <c r="AE156" s="30"/>
    </row>
    <row r="157" spans="1:31" ht="13">
      <c r="A157" s="30" t="s">
        <v>261</v>
      </c>
      <c r="B157" s="30" t="s">
        <v>262</v>
      </c>
      <c r="C157" s="30" t="s">
        <v>645</v>
      </c>
      <c r="D157" s="30" t="s">
        <v>689</v>
      </c>
      <c r="E157" s="30" t="s">
        <v>690</v>
      </c>
      <c r="F157" s="48">
        <v>1993</v>
      </c>
      <c r="G157" s="49">
        <v>24274</v>
      </c>
      <c r="H157" s="49">
        <f t="shared" ref="H157:I157" si="161">F157-F156</f>
        <v>1</v>
      </c>
      <c r="I157" s="49">
        <f t="shared" si="161"/>
        <v>1910</v>
      </c>
      <c r="J157" s="71">
        <f t="shared" si="143"/>
        <v>8.5405115363977824E-2</v>
      </c>
      <c r="K157" s="65">
        <f t="shared" si="144"/>
        <v>8.5405115363977824E-2</v>
      </c>
      <c r="L157" s="50" t="s">
        <v>612</v>
      </c>
      <c r="M157" s="30"/>
      <c r="N157" s="30"/>
      <c r="O157" s="30"/>
      <c r="P157" s="30"/>
      <c r="Q157" s="30"/>
      <c r="R157" s="30"/>
      <c r="S157" s="30"/>
      <c r="T157" s="30"/>
      <c r="U157" s="30"/>
      <c r="V157" s="30"/>
      <c r="W157" s="30"/>
      <c r="X157" s="30"/>
      <c r="Y157" s="30"/>
      <c r="Z157" s="30"/>
      <c r="AA157" s="30"/>
      <c r="AB157" s="30"/>
      <c r="AC157" s="30"/>
      <c r="AD157" s="30"/>
      <c r="AE157" s="30"/>
    </row>
    <row r="158" spans="1:31" ht="13">
      <c r="A158" s="30" t="s">
        <v>261</v>
      </c>
      <c r="B158" s="30" t="s">
        <v>262</v>
      </c>
      <c r="C158" s="30" t="s">
        <v>645</v>
      </c>
      <c r="D158" s="30" t="s">
        <v>689</v>
      </c>
      <c r="E158" s="30" t="s">
        <v>690</v>
      </c>
      <c r="F158" s="48">
        <v>1994</v>
      </c>
      <c r="G158" s="49">
        <v>36184</v>
      </c>
      <c r="H158" s="49">
        <f t="shared" ref="H158:I158" si="162">F158-F157</f>
        <v>1</v>
      </c>
      <c r="I158" s="49">
        <f t="shared" si="162"/>
        <v>11910</v>
      </c>
      <c r="J158" s="71">
        <f t="shared" si="143"/>
        <v>0.49064843041937878</v>
      </c>
      <c r="K158" s="65">
        <f t="shared" si="144"/>
        <v>0.49064843041937878</v>
      </c>
      <c r="L158" s="50" t="s">
        <v>612</v>
      </c>
      <c r="M158" s="30"/>
      <c r="N158" s="30"/>
      <c r="O158" s="30"/>
      <c r="P158" s="30"/>
      <c r="Q158" s="30"/>
      <c r="R158" s="30"/>
      <c r="S158" s="30"/>
      <c r="T158" s="30"/>
      <c r="U158" s="30"/>
      <c r="V158" s="30"/>
      <c r="W158" s="30"/>
      <c r="X158" s="30"/>
      <c r="Y158" s="30"/>
      <c r="Z158" s="30"/>
      <c r="AA158" s="30"/>
      <c r="AB158" s="30"/>
      <c r="AC158" s="30"/>
      <c r="AD158" s="30"/>
      <c r="AE158" s="30"/>
    </row>
    <row r="159" spans="1:31" ht="13">
      <c r="A159" s="30" t="s">
        <v>261</v>
      </c>
      <c r="B159" s="30" t="s">
        <v>262</v>
      </c>
      <c r="C159" s="30" t="s">
        <v>645</v>
      </c>
      <c r="D159" s="30" t="s">
        <v>689</v>
      </c>
      <c r="E159" s="30" t="s">
        <v>690</v>
      </c>
      <c r="F159" s="48">
        <v>1995</v>
      </c>
      <c r="G159" s="49">
        <v>36073</v>
      </c>
      <c r="H159" s="49">
        <f t="shared" ref="H159:I159" si="163">F159-F158</f>
        <v>1</v>
      </c>
      <c r="I159" s="49">
        <f t="shared" si="163"/>
        <v>-111</v>
      </c>
      <c r="J159" s="71">
        <f t="shared" si="143"/>
        <v>-3.0676542118063233E-3</v>
      </c>
      <c r="K159" s="65">
        <f t="shared" si="144"/>
        <v>-3.0676542118063233E-3</v>
      </c>
      <c r="L159" s="50" t="s">
        <v>612</v>
      </c>
      <c r="M159" s="30"/>
      <c r="N159" s="30"/>
      <c r="O159" s="30"/>
      <c r="P159" s="30"/>
      <c r="Q159" s="30"/>
      <c r="R159" s="30"/>
      <c r="S159" s="30"/>
      <c r="T159" s="30"/>
      <c r="U159" s="30"/>
      <c r="V159" s="30"/>
      <c r="W159" s="30"/>
      <c r="X159" s="30"/>
      <c r="Y159" s="30"/>
      <c r="Z159" s="30"/>
      <c r="AA159" s="30"/>
      <c r="AB159" s="30"/>
      <c r="AC159" s="30"/>
      <c r="AD159" s="30"/>
      <c r="AE159" s="30"/>
    </row>
    <row r="160" spans="1:31" ht="13">
      <c r="A160" s="30" t="s">
        <v>261</v>
      </c>
      <c r="B160" s="30" t="s">
        <v>262</v>
      </c>
      <c r="C160" s="30" t="s">
        <v>645</v>
      </c>
      <c r="D160" s="30" t="s">
        <v>689</v>
      </c>
      <c r="E160" s="30" t="s">
        <v>690</v>
      </c>
      <c r="F160" s="48">
        <v>1996</v>
      </c>
      <c r="G160" s="49">
        <v>41044</v>
      </c>
      <c r="H160" s="49">
        <f t="shared" ref="H160:I160" si="164">F160-F159</f>
        <v>1</v>
      </c>
      <c r="I160" s="49">
        <f t="shared" si="164"/>
        <v>4971</v>
      </c>
      <c r="J160" s="71">
        <f t="shared" si="143"/>
        <v>0.13780389765198348</v>
      </c>
      <c r="K160" s="65">
        <f t="shared" si="144"/>
        <v>0.13780389765198348</v>
      </c>
      <c r="L160" s="50" t="s">
        <v>612</v>
      </c>
      <c r="M160" s="30"/>
      <c r="N160" s="30"/>
      <c r="O160" s="30"/>
      <c r="P160" s="30"/>
      <c r="Q160" s="30"/>
      <c r="R160" s="30"/>
      <c r="S160" s="30"/>
      <c r="T160" s="30"/>
      <c r="U160" s="30"/>
      <c r="V160" s="30"/>
      <c r="W160" s="30"/>
      <c r="X160" s="30"/>
      <c r="Y160" s="30"/>
      <c r="Z160" s="30"/>
      <c r="AA160" s="30"/>
      <c r="AB160" s="30"/>
      <c r="AC160" s="30"/>
      <c r="AD160" s="30"/>
      <c r="AE160" s="30"/>
    </row>
    <row r="161" spans="1:31" ht="13">
      <c r="A161" s="30" t="s">
        <v>261</v>
      </c>
      <c r="B161" s="30" t="s">
        <v>262</v>
      </c>
      <c r="C161" s="30" t="s">
        <v>645</v>
      </c>
      <c r="D161" s="30" t="s">
        <v>689</v>
      </c>
      <c r="E161" s="30" t="s">
        <v>690</v>
      </c>
      <c r="F161" s="48">
        <v>1997</v>
      </c>
      <c r="G161" s="49">
        <v>39245</v>
      </c>
      <c r="H161" s="49">
        <f t="shared" ref="H161:I161" si="165">F161-F160</f>
        <v>1</v>
      </c>
      <c r="I161" s="49">
        <f t="shared" si="165"/>
        <v>-1799</v>
      </c>
      <c r="J161" s="71">
        <f t="shared" si="143"/>
        <v>-4.3831010622746323E-2</v>
      </c>
      <c r="K161" s="65">
        <f t="shared" si="144"/>
        <v>-4.3831010622746323E-2</v>
      </c>
      <c r="L161" s="50" t="s">
        <v>612</v>
      </c>
      <c r="M161" s="30"/>
      <c r="N161" s="30"/>
      <c r="O161" s="30"/>
      <c r="P161" s="30"/>
      <c r="Q161" s="30"/>
      <c r="R161" s="30"/>
      <c r="S161" s="30"/>
      <c r="T161" s="30"/>
      <c r="U161" s="30"/>
      <c r="V161" s="30"/>
      <c r="W161" s="30"/>
      <c r="X161" s="30"/>
      <c r="Y161" s="30"/>
      <c r="Z161" s="30"/>
      <c r="AA161" s="30"/>
      <c r="AB161" s="30"/>
      <c r="AC161" s="30"/>
      <c r="AD161" s="30"/>
      <c r="AE161" s="30"/>
    </row>
    <row r="162" spans="1:31" ht="13">
      <c r="A162" s="30" t="s">
        <v>261</v>
      </c>
      <c r="B162" s="30" t="s">
        <v>262</v>
      </c>
      <c r="C162" s="30" t="s">
        <v>645</v>
      </c>
      <c r="D162" s="30" t="s">
        <v>689</v>
      </c>
      <c r="E162" s="30" t="s">
        <v>690</v>
      </c>
      <c r="F162" s="48">
        <v>1998</v>
      </c>
      <c r="G162" s="49">
        <v>14506</v>
      </c>
      <c r="H162" s="49">
        <f t="shared" ref="H162:I162" si="166">F162-F161</f>
        <v>1</v>
      </c>
      <c r="I162" s="49">
        <f t="shared" si="166"/>
        <v>-24739</v>
      </c>
      <c r="J162" s="71">
        <f t="shared" si="143"/>
        <v>-0.6303732959612689</v>
      </c>
      <c r="K162" s="65">
        <f t="shared" si="144"/>
        <v>-0.6303732959612689</v>
      </c>
      <c r="L162" s="50" t="s">
        <v>612</v>
      </c>
      <c r="M162" s="30"/>
      <c r="N162" s="30"/>
      <c r="O162" s="30"/>
      <c r="P162" s="30"/>
      <c r="Q162" s="30"/>
      <c r="R162" s="30"/>
      <c r="S162" s="30"/>
      <c r="T162" s="30"/>
      <c r="U162" s="30"/>
      <c r="V162" s="30"/>
      <c r="W162" s="30"/>
      <c r="X162" s="30"/>
      <c r="Y162" s="30"/>
      <c r="Z162" s="30"/>
      <c r="AA162" s="30"/>
      <c r="AB162" s="30"/>
      <c r="AC162" s="30"/>
      <c r="AD162" s="30"/>
      <c r="AE162" s="30"/>
    </row>
    <row r="163" spans="1:31" ht="13">
      <c r="A163" s="30" t="s">
        <v>261</v>
      </c>
      <c r="B163" s="30" t="s">
        <v>262</v>
      </c>
      <c r="C163" s="30" t="s">
        <v>645</v>
      </c>
      <c r="D163" s="30" t="s">
        <v>689</v>
      </c>
      <c r="E163" s="30" t="s">
        <v>690</v>
      </c>
      <c r="F163" s="48">
        <v>1999</v>
      </c>
      <c r="G163" s="49">
        <v>41695</v>
      </c>
      <c r="H163" s="49">
        <f t="shared" ref="H163:I163" si="167">F163-F162</f>
        <v>1</v>
      </c>
      <c r="I163" s="49">
        <f t="shared" si="167"/>
        <v>27189</v>
      </c>
      <c r="J163" s="71">
        <f t="shared" si="143"/>
        <v>1.8743278643320005</v>
      </c>
      <c r="K163" s="65">
        <f t="shared" si="144"/>
        <v>1.8743278643320005</v>
      </c>
      <c r="L163" s="50" t="s">
        <v>612</v>
      </c>
      <c r="M163" s="30"/>
      <c r="N163" s="30"/>
      <c r="O163" s="30"/>
      <c r="P163" s="30"/>
      <c r="Q163" s="30"/>
      <c r="R163" s="30"/>
      <c r="S163" s="30"/>
      <c r="T163" s="30"/>
      <c r="U163" s="30"/>
      <c r="V163" s="30"/>
      <c r="W163" s="30"/>
      <c r="X163" s="30"/>
      <c r="Y163" s="30"/>
      <c r="Z163" s="30"/>
      <c r="AA163" s="30"/>
      <c r="AB163" s="30"/>
      <c r="AC163" s="30"/>
      <c r="AD163" s="30"/>
      <c r="AE163" s="30"/>
    </row>
    <row r="164" spans="1:31" ht="13">
      <c r="A164" s="30" t="s">
        <v>261</v>
      </c>
      <c r="B164" s="30" t="s">
        <v>262</v>
      </c>
      <c r="C164" s="30" t="s">
        <v>645</v>
      </c>
      <c r="D164" s="30" t="s">
        <v>689</v>
      </c>
      <c r="E164" s="30" t="s">
        <v>690</v>
      </c>
      <c r="F164" s="48">
        <v>2000</v>
      </c>
      <c r="G164" s="49">
        <v>49372</v>
      </c>
      <c r="H164" s="49">
        <f t="shared" ref="H164:I164" si="168">F164-F163</f>
        <v>1</v>
      </c>
      <c r="I164" s="49">
        <f t="shared" si="168"/>
        <v>7677</v>
      </c>
      <c r="J164" s="71">
        <f t="shared" si="143"/>
        <v>0.18412279649838109</v>
      </c>
      <c r="K164" s="65">
        <f t="shared" si="144"/>
        <v>0.18412279649838109</v>
      </c>
      <c r="L164" s="50" t="s">
        <v>612</v>
      </c>
      <c r="M164" s="30"/>
      <c r="N164" s="30"/>
      <c r="O164" s="30"/>
      <c r="P164" s="30"/>
      <c r="Q164" s="30"/>
      <c r="R164" s="30"/>
      <c r="S164" s="30"/>
      <c r="T164" s="30"/>
      <c r="U164" s="30"/>
      <c r="V164" s="30"/>
      <c r="W164" s="30"/>
      <c r="X164" s="30"/>
      <c r="Y164" s="30"/>
      <c r="Z164" s="30"/>
      <c r="AA164" s="30"/>
      <c r="AB164" s="30"/>
      <c r="AC164" s="30"/>
      <c r="AD164" s="30"/>
      <c r="AE164" s="30"/>
    </row>
    <row r="165" spans="1:31" ht="13">
      <c r="A165" s="30" t="s">
        <v>261</v>
      </c>
      <c r="B165" s="30" t="s">
        <v>262</v>
      </c>
      <c r="C165" s="30" t="s">
        <v>645</v>
      </c>
      <c r="D165" s="30" t="s">
        <v>689</v>
      </c>
      <c r="E165" s="30" t="s">
        <v>690</v>
      </c>
      <c r="F165" s="48">
        <v>2001</v>
      </c>
      <c r="G165" s="49">
        <v>49078</v>
      </c>
      <c r="H165" s="49">
        <f t="shared" ref="H165:I165" si="169">F165-F164</f>
        <v>1</v>
      </c>
      <c r="I165" s="49">
        <f t="shared" si="169"/>
        <v>-294</v>
      </c>
      <c r="J165" s="71">
        <f t="shared" si="143"/>
        <v>-5.9547921899052092E-3</v>
      </c>
      <c r="K165" s="65">
        <f t="shared" si="144"/>
        <v>-5.9547921899052092E-3</v>
      </c>
      <c r="L165" s="50" t="s">
        <v>612</v>
      </c>
      <c r="M165" s="30"/>
      <c r="N165" s="30"/>
      <c r="O165" s="30"/>
      <c r="P165" s="30"/>
      <c r="Q165" s="30"/>
      <c r="R165" s="30"/>
      <c r="S165" s="30"/>
      <c r="T165" s="30"/>
      <c r="U165" s="30"/>
      <c r="V165" s="30"/>
      <c r="W165" s="30"/>
      <c r="X165" s="30"/>
      <c r="Y165" s="30"/>
      <c r="Z165" s="30"/>
      <c r="AA165" s="30"/>
      <c r="AB165" s="30"/>
      <c r="AC165" s="30"/>
      <c r="AD165" s="30"/>
      <c r="AE165" s="30"/>
    </row>
    <row r="166" spans="1:31" ht="13">
      <c r="A166" s="30" t="s">
        <v>261</v>
      </c>
      <c r="B166" s="30" t="s">
        <v>262</v>
      </c>
      <c r="C166" s="30" t="s">
        <v>645</v>
      </c>
      <c r="D166" s="30" t="s">
        <v>689</v>
      </c>
      <c r="E166" s="30" t="s">
        <v>690</v>
      </c>
      <c r="F166" s="48">
        <v>2002</v>
      </c>
      <c r="G166" s="49">
        <v>45658</v>
      </c>
      <c r="H166" s="49">
        <f t="shared" ref="H166:I166" si="170">F166-F165</f>
        <v>1</v>
      </c>
      <c r="I166" s="49">
        <f t="shared" si="170"/>
        <v>-3420</v>
      </c>
      <c r="J166" s="71">
        <f t="shared" si="143"/>
        <v>-6.9684991238436772E-2</v>
      </c>
      <c r="K166" s="65">
        <f t="shared" si="144"/>
        <v>-6.9684991238436772E-2</v>
      </c>
      <c r="L166" s="50" t="s">
        <v>612</v>
      </c>
      <c r="M166" s="30"/>
      <c r="N166" s="30"/>
      <c r="O166" s="30"/>
      <c r="P166" s="30"/>
      <c r="Q166" s="30"/>
      <c r="R166" s="30"/>
      <c r="S166" s="30"/>
      <c r="T166" s="30"/>
      <c r="U166" s="30"/>
      <c r="V166" s="30"/>
      <c r="W166" s="30"/>
      <c r="X166" s="30"/>
      <c r="Y166" s="30"/>
      <c r="Z166" s="30"/>
      <c r="AA166" s="30"/>
      <c r="AB166" s="30"/>
      <c r="AC166" s="30"/>
      <c r="AD166" s="30"/>
      <c r="AE166" s="30"/>
    </row>
    <row r="167" spans="1:31" ht="13">
      <c r="A167" s="30" t="s">
        <v>261</v>
      </c>
      <c r="B167" s="30" t="s">
        <v>262</v>
      </c>
      <c r="C167" s="30" t="s">
        <v>645</v>
      </c>
      <c r="D167" s="30" t="s">
        <v>689</v>
      </c>
      <c r="E167" s="30" t="s">
        <v>690</v>
      </c>
      <c r="F167" s="48">
        <v>2003</v>
      </c>
      <c r="G167" s="49">
        <v>36659</v>
      </c>
      <c r="H167" s="49">
        <f t="shared" ref="H167:I167" si="171">F167-F166</f>
        <v>1</v>
      </c>
      <c r="I167" s="49">
        <f t="shared" si="171"/>
        <v>-8999</v>
      </c>
      <c r="J167" s="71">
        <f t="shared" si="143"/>
        <v>-0.1970957992027684</v>
      </c>
      <c r="K167" s="65">
        <f t="shared" si="144"/>
        <v>-0.1970957992027684</v>
      </c>
      <c r="L167" s="50" t="s">
        <v>612</v>
      </c>
      <c r="M167" s="30"/>
      <c r="N167" s="30"/>
      <c r="O167" s="30"/>
      <c r="P167" s="30"/>
      <c r="Q167" s="30"/>
      <c r="R167" s="30"/>
      <c r="S167" s="30"/>
      <c r="T167" s="30"/>
      <c r="U167" s="30"/>
      <c r="V167" s="30"/>
      <c r="W167" s="30"/>
      <c r="X167" s="30"/>
      <c r="Y167" s="30"/>
      <c r="Z167" s="30"/>
      <c r="AA167" s="30"/>
      <c r="AB167" s="30"/>
      <c r="AC167" s="30"/>
      <c r="AD167" s="30"/>
      <c r="AE167" s="30"/>
    </row>
    <row r="168" spans="1:31" ht="13">
      <c r="A168" s="30" t="s">
        <v>261</v>
      </c>
      <c r="B168" s="30" t="s">
        <v>262</v>
      </c>
      <c r="C168" s="30" t="s">
        <v>645</v>
      </c>
      <c r="D168" s="30" t="s">
        <v>689</v>
      </c>
      <c r="E168" s="30" t="s">
        <v>690</v>
      </c>
      <c r="F168" s="48">
        <v>2004</v>
      </c>
      <c r="G168" s="49">
        <v>43490</v>
      </c>
      <c r="H168" s="49">
        <f t="shared" ref="H168:I168" si="172">F168-F167</f>
        <v>1</v>
      </c>
      <c r="I168" s="49">
        <f t="shared" si="172"/>
        <v>6831</v>
      </c>
      <c r="J168" s="71">
        <f t="shared" si="143"/>
        <v>0.18633896178291826</v>
      </c>
      <c r="K168" s="65">
        <f t="shared" si="144"/>
        <v>0.18633896178291826</v>
      </c>
      <c r="L168" s="50" t="s">
        <v>612</v>
      </c>
      <c r="M168" s="30"/>
      <c r="N168" s="30"/>
      <c r="O168" s="30"/>
      <c r="P168" s="30"/>
      <c r="Q168" s="30"/>
      <c r="R168" s="30"/>
      <c r="S168" s="30"/>
      <c r="T168" s="30"/>
      <c r="U168" s="30"/>
      <c r="V168" s="30"/>
      <c r="W168" s="30"/>
      <c r="X168" s="30"/>
      <c r="Y168" s="30"/>
      <c r="Z168" s="30"/>
      <c r="AA168" s="30"/>
      <c r="AB168" s="30"/>
      <c r="AC168" s="30"/>
      <c r="AD168" s="30"/>
      <c r="AE168" s="30"/>
    </row>
    <row r="169" spans="1:31" ht="13">
      <c r="A169" s="30" t="s">
        <v>261</v>
      </c>
      <c r="B169" s="30" t="s">
        <v>262</v>
      </c>
      <c r="C169" s="30" t="s">
        <v>645</v>
      </c>
      <c r="D169" s="30" t="s">
        <v>689</v>
      </c>
      <c r="E169" s="30" t="s">
        <v>690</v>
      </c>
      <c r="F169" s="48">
        <v>2005</v>
      </c>
      <c r="G169" s="49">
        <v>48331</v>
      </c>
      <c r="H169" s="49">
        <f t="shared" ref="H169:I169" si="173">F169-F168</f>
        <v>1</v>
      </c>
      <c r="I169" s="49">
        <f t="shared" si="173"/>
        <v>4841</v>
      </c>
      <c r="J169" s="71">
        <f t="shared" si="143"/>
        <v>0.11131294550471373</v>
      </c>
      <c r="K169" s="65">
        <f t="shared" si="144"/>
        <v>0.11131294550471373</v>
      </c>
      <c r="L169" s="50" t="s">
        <v>612</v>
      </c>
      <c r="M169" s="30"/>
      <c r="N169" s="30"/>
      <c r="O169" s="30"/>
      <c r="P169" s="30"/>
      <c r="Q169" s="30"/>
      <c r="R169" s="30"/>
      <c r="S169" s="30"/>
      <c r="T169" s="30"/>
      <c r="U169" s="30"/>
      <c r="V169" s="30"/>
      <c r="W169" s="30"/>
      <c r="X169" s="30"/>
      <c r="Y169" s="30"/>
      <c r="Z169" s="30"/>
      <c r="AA169" s="30"/>
      <c r="AB169" s="30"/>
      <c r="AC169" s="30"/>
      <c r="AD169" s="30"/>
      <c r="AE169" s="30"/>
    </row>
    <row r="170" spans="1:31" ht="13">
      <c r="A170" s="30" t="s">
        <v>261</v>
      </c>
      <c r="B170" s="30" t="s">
        <v>262</v>
      </c>
      <c r="C170" s="30" t="s">
        <v>645</v>
      </c>
      <c r="D170" s="30" t="s">
        <v>689</v>
      </c>
      <c r="E170" s="30" t="s">
        <v>690</v>
      </c>
      <c r="F170" s="48">
        <v>2006</v>
      </c>
      <c r="G170" s="49">
        <v>56144</v>
      </c>
      <c r="H170" s="49">
        <f t="shared" ref="H170:I170" si="174">F170-F169</f>
        <v>1</v>
      </c>
      <c r="I170" s="49">
        <f t="shared" si="174"/>
        <v>7813</v>
      </c>
      <c r="J170" s="71">
        <f t="shared" si="143"/>
        <v>0.16165607994868716</v>
      </c>
      <c r="K170" s="65">
        <f t="shared" si="144"/>
        <v>0.16165607994868716</v>
      </c>
      <c r="L170" s="50" t="s">
        <v>612</v>
      </c>
      <c r="M170" s="30"/>
      <c r="N170" s="30"/>
      <c r="O170" s="30"/>
      <c r="P170" s="30"/>
      <c r="Q170" s="30"/>
      <c r="R170" s="30"/>
      <c r="S170" s="30"/>
      <c r="T170" s="30"/>
      <c r="U170" s="30"/>
      <c r="V170" s="30"/>
      <c r="W170" s="30"/>
      <c r="X170" s="30"/>
      <c r="Y170" s="30"/>
      <c r="Z170" s="30"/>
      <c r="AA170" s="30"/>
      <c r="AB170" s="30"/>
      <c r="AC170" s="30"/>
      <c r="AD170" s="30"/>
      <c r="AE170" s="30"/>
    </row>
    <row r="171" spans="1:31" ht="13">
      <c r="A171" s="30" t="s">
        <v>261</v>
      </c>
      <c r="B171" s="30" t="s">
        <v>262</v>
      </c>
      <c r="C171" s="30" t="s">
        <v>645</v>
      </c>
      <c r="D171" s="30" t="s">
        <v>689</v>
      </c>
      <c r="E171" s="30" t="s">
        <v>690</v>
      </c>
      <c r="F171" s="48">
        <v>2007</v>
      </c>
      <c r="G171" s="49">
        <v>54088</v>
      </c>
      <c r="H171" s="49">
        <f t="shared" ref="H171:I171" si="175">F171-F170</f>
        <v>1</v>
      </c>
      <c r="I171" s="49">
        <f t="shared" si="175"/>
        <v>-2056</v>
      </c>
      <c r="J171" s="71">
        <f t="shared" si="143"/>
        <v>-3.6620119692220003E-2</v>
      </c>
      <c r="K171" s="65">
        <f t="shared" si="144"/>
        <v>-3.6620119692220003E-2</v>
      </c>
      <c r="L171" s="50" t="s">
        <v>612</v>
      </c>
      <c r="M171" s="30"/>
      <c r="N171" s="30"/>
      <c r="O171" s="30"/>
      <c r="P171" s="30"/>
      <c r="Q171" s="30"/>
      <c r="R171" s="30"/>
      <c r="S171" s="30"/>
      <c r="T171" s="30"/>
      <c r="U171" s="30"/>
      <c r="V171" s="30"/>
      <c r="W171" s="30"/>
      <c r="X171" s="30"/>
      <c r="Y171" s="30"/>
      <c r="Z171" s="30"/>
      <c r="AA171" s="30"/>
      <c r="AB171" s="30"/>
      <c r="AC171" s="30"/>
      <c r="AD171" s="30"/>
      <c r="AE171" s="30"/>
    </row>
    <row r="172" spans="1:31" ht="13">
      <c r="A172" s="30" t="s">
        <v>261</v>
      </c>
      <c r="B172" s="30" t="s">
        <v>262</v>
      </c>
      <c r="C172" s="30" t="s">
        <v>645</v>
      </c>
      <c r="D172" s="30" t="s">
        <v>689</v>
      </c>
      <c r="E172" s="30" t="s">
        <v>690</v>
      </c>
      <c r="F172" s="48">
        <v>2008</v>
      </c>
      <c r="G172" s="49">
        <v>59774</v>
      </c>
      <c r="H172" s="49">
        <f t="shared" ref="H172:I172" si="176">F172-F171</f>
        <v>1</v>
      </c>
      <c r="I172" s="49">
        <f t="shared" si="176"/>
        <v>5686</v>
      </c>
      <c r="J172" s="71">
        <f t="shared" si="143"/>
        <v>0.1051249815116107</v>
      </c>
      <c r="K172" s="65">
        <f t="shared" si="144"/>
        <v>0.1051249815116107</v>
      </c>
      <c r="L172" s="50" t="s">
        <v>612</v>
      </c>
      <c r="M172" s="30"/>
      <c r="N172" s="30"/>
      <c r="O172" s="30"/>
      <c r="P172" s="30"/>
      <c r="Q172" s="30"/>
      <c r="R172" s="30"/>
      <c r="S172" s="30"/>
      <c r="T172" s="30"/>
      <c r="U172" s="30"/>
      <c r="V172" s="30"/>
      <c r="W172" s="30"/>
      <c r="X172" s="30"/>
      <c r="Y172" s="30"/>
      <c r="Z172" s="30"/>
      <c r="AA172" s="30"/>
      <c r="AB172" s="30"/>
      <c r="AC172" s="30"/>
      <c r="AD172" s="30"/>
      <c r="AE172" s="30"/>
    </row>
    <row r="173" spans="1:31" ht="13">
      <c r="A173" s="30" t="s">
        <v>261</v>
      </c>
      <c r="B173" s="30" t="s">
        <v>262</v>
      </c>
      <c r="C173" s="30" t="s">
        <v>645</v>
      </c>
      <c r="D173" s="30" t="s">
        <v>689</v>
      </c>
      <c r="E173" s="30" t="s">
        <v>690</v>
      </c>
      <c r="F173" s="48">
        <v>2009</v>
      </c>
      <c r="G173" s="49">
        <v>35914</v>
      </c>
      <c r="H173" s="49">
        <f t="shared" ref="H173:I173" si="177">F173-F172</f>
        <v>1</v>
      </c>
      <c r="I173" s="49">
        <f t="shared" si="177"/>
        <v>-23860</v>
      </c>
      <c r="J173" s="71">
        <f t="shared" si="143"/>
        <v>-0.399170207782648</v>
      </c>
      <c r="K173" s="65">
        <f t="shared" si="144"/>
        <v>-0.399170207782648</v>
      </c>
      <c r="L173" s="50" t="s">
        <v>612</v>
      </c>
      <c r="M173" s="30"/>
      <c r="N173" s="30"/>
      <c r="O173" s="30"/>
      <c r="P173" s="30"/>
      <c r="Q173" s="30"/>
      <c r="R173" s="30"/>
      <c r="S173" s="30"/>
      <c r="T173" s="30"/>
      <c r="U173" s="30"/>
      <c r="V173" s="30"/>
      <c r="W173" s="30"/>
      <c r="X173" s="30"/>
      <c r="Y173" s="30"/>
      <c r="Z173" s="30"/>
      <c r="AA173" s="30"/>
      <c r="AB173" s="30"/>
      <c r="AC173" s="30"/>
      <c r="AD173" s="30"/>
      <c r="AE173" s="30"/>
    </row>
    <row r="174" spans="1:31" ht="13">
      <c r="A174" s="30" t="s">
        <v>261</v>
      </c>
      <c r="B174" s="30" t="s">
        <v>262</v>
      </c>
      <c r="C174" s="30" t="s">
        <v>645</v>
      </c>
      <c r="D174" s="30" t="s">
        <v>689</v>
      </c>
      <c r="E174" s="30" t="s">
        <v>690</v>
      </c>
      <c r="F174" s="48">
        <v>2010</v>
      </c>
      <c r="G174" s="49">
        <v>33873</v>
      </c>
      <c r="H174" s="49">
        <f t="shared" ref="H174:I174" si="178">F174-F173</f>
        <v>1</v>
      </c>
      <c r="I174" s="49">
        <f t="shared" si="178"/>
        <v>-2041</v>
      </c>
      <c r="J174" s="71">
        <f t="shared" si="143"/>
        <v>-5.6830205490894917E-2</v>
      </c>
      <c r="K174" s="65">
        <f t="shared" si="144"/>
        <v>-5.6830205490894917E-2</v>
      </c>
      <c r="L174" s="50" t="s">
        <v>612</v>
      </c>
      <c r="M174" s="30"/>
      <c r="N174" s="30"/>
      <c r="O174" s="30"/>
      <c r="P174" s="30"/>
      <c r="Q174" s="30"/>
      <c r="R174" s="30"/>
      <c r="S174" s="30"/>
      <c r="T174" s="30"/>
      <c r="U174" s="30"/>
      <c r="V174" s="30"/>
      <c r="W174" s="30"/>
      <c r="X174" s="30"/>
      <c r="Y174" s="30"/>
      <c r="Z174" s="30"/>
      <c r="AA174" s="30"/>
      <c r="AB174" s="30"/>
      <c r="AC174" s="30"/>
      <c r="AD174" s="30"/>
      <c r="AE174" s="30"/>
    </row>
    <row r="175" spans="1:31" ht="13">
      <c r="A175" s="30" t="s">
        <v>261</v>
      </c>
      <c r="B175" s="30" t="s">
        <v>262</v>
      </c>
      <c r="C175" s="30" t="s">
        <v>645</v>
      </c>
      <c r="D175" s="30" t="s">
        <v>689</v>
      </c>
      <c r="E175" s="30" t="s">
        <v>690</v>
      </c>
      <c r="F175" s="48">
        <v>2011</v>
      </c>
      <c r="G175" s="49">
        <v>62109</v>
      </c>
      <c r="H175" s="49">
        <f t="shared" ref="H175:I175" si="179">F175-F174</f>
        <v>1</v>
      </c>
      <c r="I175" s="49">
        <f t="shared" si="179"/>
        <v>28236</v>
      </c>
      <c r="J175" s="71">
        <f t="shared" si="143"/>
        <v>0.83358427065804619</v>
      </c>
      <c r="K175" s="65">
        <f t="shared" si="144"/>
        <v>0.83358427065804619</v>
      </c>
      <c r="L175" s="50" t="s">
        <v>612</v>
      </c>
      <c r="M175" s="30"/>
      <c r="N175" s="30"/>
      <c r="O175" s="30"/>
      <c r="P175" s="30"/>
      <c r="Q175" s="30"/>
      <c r="R175" s="30"/>
      <c r="S175" s="30"/>
      <c r="T175" s="30"/>
      <c r="U175" s="30"/>
      <c r="V175" s="30"/>
      <c r="W175" s="30"/>
      <c r="X175" s="30"/>
      <c r="Y175" s="30"/>
      <c r="Z175" s="30"/>
      <c r="AA175" s="30"/>
      <c r="AB175" s="30"/>
      <c r="AC175" s="30"/>
      <c r="AD175" s="30"/>
      <c r="AE175" s="30"/>
    </row>
    <row r="176" spans="1:31" ht="13">
      <c r="A176" s="30" t="s">
        <v>261</v>
      </c>
      <c r="B176" s="30" t="s">
        <v>262</v>
      </c>
      <c r="C176" s="30" t="s">
        <v>645</v>
      </c>
      <c r="D176" s="30" t="s">
        <v>689</v>
      </c>
      <c r="E176" s="30" t="s">
        <v>690</v>
      </c>
      <c r="F176" s="48">
        <v>2012</v>
      </c>
      <c r="G176" s="49">
        <v>67396</v>
      </c>
      <c r="H176" s="49">
        <f t="shared" ref="H176:I176" si="180">F176-F175</f>
        <v>1</v>
      </c>
      <c r="I176" s="49">
        <f t="shared" si="180"/>
        <v>5287</v>
      </c>
      <c r="J176" s="71">
        <f t="shared" si="143"/>
        <v>8.5124539116714165E-2</v>
      </c>
      <c r="K176" s="65">
        <f t="shared" si="144"/>
        <v>8.5124539116714165E-2</v>
      </c>
      <c r="L176" s="50" t="s">
        <v>612</v>
      </c>
      <c r="M176" s="30"/>
      <c r="N176" s="30"/>
      <c r="O176" s="30"/>
      <c r="P176" s="30"/>
      <c r="Q176" s="30"/>
      <c r="R176" s="30"/>
      <c r="S176" s="30"/>
      <c r="T176" s="30"/>
      <c r="U176" s="30"/>
      <c r="V176" s="30"/>
      <c r="W176" s="30"/>
      <c r="X176" s="30"/>
      <c r="Y176" s="30"/>
      <c r="Z176" s="30"/>
      <c r="AA176" s="30"/>
      <c r="AB176" s="30"/>
      <c r="AC176" s="30"/>
      <c r="AD176" s="30"/>
      <c r="AE176" s="30"/>
    </row>
    <row r="177" spans="1:31" ht="13">
      <c r="A177" s="30" t="s">
        <v>261</v>
      </c>
      <c r="B177" s="30" t="s">
        <v>262</v>
      </c>
      <c r="C177" s="30" t="s">
        <v>645</v>
      </c>
      <c r="D177" s="30" t="s">
        <v>689</v>
      </c>
      <c r="E177" s="30" t="s">
        <v>690</v>
      </c>
      <c r="F177" s="48">
        <v>2013</v>
      </c>
      <c r="G177" s="49">
        <v>42913</v>
      </c>
      <c r="H177" s="49">
        <f t="shared" ref="H177:I177" si="181">F177-F176</f>
        <v>1</v>
      </c>
      <c r="I177" s="49">
        <f t="shared" si="181"/>
        <v>-24483</v>
      </c>
      <c r="J177" s="71">
        <f t="shared" si="143"/>
        <v>-0.36327081725918453</v>
      </c>
      <c r="K177" s="65">
        <f t="shared" si="144"/>
        <v>-0.36327081725918453</v>
      </c>
      <c r="L177" s="50" t="s">
        <v>612</v>
      </c>
      <c r="M177" s="30"/>
      <c r="N177" s="30"/>
      <c r="O177" s="30"/>
      <c r="P177" s="30"/>
      <c r="Q177" s="30"/>
      <c r="R177" s="30"/>
      <c r="S177" s="30"/>
      <c r="T177" s="30"/>
      <c r="U177" s="30"/>
      <c r="V177" s="30"/>
      <c r="W177" s="30"/>
      <c r="X177" s="30"/>
      <c r="Y177" s="30"/>
      <c r="Z177" s="30"/>
      <c r="AA177" s="30"/>
      <c r="AB177" s="30"/>
      <c r="AC177" s="30"/>
      <c r="AD177" s="30"/>
      <c r="AE177" s="30"/>
    </row>
    <row r="178" spans="1:31" ht="13">
      <c r="A178" s="30" t="s">
        <v>261</v>
      </c>
      <c r="B178" s="30" t="s">
        <v>262</v>
      </c>
      <c r="C178" s="30" t="s">
        <v>645</v>
      </c>
      <c r="D178" s="30" t="s">
        <v>689</v>
      </c>
      <c r="E178" s="30" t="s">
        <v>690</v>
      </c>
      <c r="F178" s="48">
        <v>2014</v>
      </c>
      <c r="G178" s="49">
        <v>47691</v>
      </c>
      <c r="H178" s="49">
        <f t="shared" ref="H178:I178" si="182">F178-F177</f>
        <v>1</v>
      </c>
      <c r="I178" s="49">
        <f t="shared" si="182"/>
        <v>4778</v>
      </c>
      <c r="J178" s="71">
        <f t="shared" si="143"/>
        <v>0.11134155151119707</v>
      </c>
      <c r="K178" s="65">
        <f t="shared" si="144"/>
        <v>0.11134155151119707</v>
      </c>
      <c r="L178" s="50" t="s">
        <v>612</v>
      </c>
      <c r="M178" s="30"/>
      <c r="N178" s="30"/>
      <c r="O178" s="30"/>
      <c r="P178" s="30"/>
      <c r="Q178" s="30"/>
      <c r="R178" s="30"/>
      <c r="S178" s="30"/>
      <c r="T178" s="30"/>
      <c r="U178" s="30"/>
      <c r="V178" s="30"/>
      <c r="W178" s="30"/>
      <c r="X178" s="30"/>
      <c r="Y178" s="30"/>
      <c r="Z178" s="30"/>
      <c r="AA178" s="30"/>
      <c r="AB178" s="30"/>
      <c r="AC178" s="30"/>
      <c r="AD178" s="30"/>
      <c r="AE178" s="30"/>
    </row>
    <row r="179" spans="1:31" ht="13">
      <c r="A179" s="18" t="s">
        <v>371</v>
      </c>
      <c r="B179" s="18" t="s">
        <v>691</v>
      </c>
      <c r="C179" s="18" t="s">
        <v>692</v>
      </c>
      <c r="D179" s="18" t="s">
        <v>610</v>
      </c>
      <c r="E179" s="27" t="s">
        <v>611</v>
      </c>
      <c r="F179" s="37">
        <v>1990.96875</v>
      </c>
      <c r="G179" s="37">
        <v>4860</v>
      </c>
      <c r="H179" s="37" t="s">
        <v>402</v>
      </c>
      <c r="I179" s="37" t="s">
        <v>402</v>
      </c>
      <c r="J179" s="65" t="s">
        <v>402</v>
      </c>
      <c r="K179" s="65" t="s">
        <v>402</v>
      </c>
      <c r="L179" s="38" t="s">
        <v>612</v>
      </c>
    </row>
    <row r="180" spans="1:31" ht="13">
      <c r="A180" s="18" t="s">
        <v>371</v>
      </c>
      <c r="B180" s="18" t="s">
        <v>691</v>
      </c>
      <c r="C180" s="18" t="s">
        <v>692</v>
      </c>
      <c r="D180" s="18" t="s">
        <v>610</v>
      </c>
      <c r="E180" s="27" t="s">
        <v>611</v>
      </c>
      <c r="F180" s="37">
        <v>1993.03125</v>
      </c>
      <c r="G180" s="37">
        <v>4812</v>
      </c>
      <c r="H180" s="37">
        <f t="shared" ref="H180:I180" si="183">F180-F179</f>
        <v>2.0625</v>
      </c>
      <c r="I180" s="37">
        <f t="shared" si="183"/>
        <v>-48</v>
      </c>
      <c r="J180" s="65">
        <f t="shared" ref="J180:J186" si="184">I180/G179</f>
        <v>-9.876543209876543E-3</v>
      </c>
      <c r="K180" s="65">
        <f t="shared" ref="K180:K186" si="185">J180/H180</f>
        <v>-4.7886270108492331E-3</v>
      </c>
      <c r="L180" s="38" t="s">
        <v>612</v>
      </c>
    </row>
    <row r="181" spans="1:31" ht="13">
      <c r="A181" s="18" t="s">
        <v>371</v>
      </c>
      <c r="B181" s="18" t="s">
        <v>691</v>
      </c>
      <c r="C181" s="18" t="s">
        <v>692</v>
      </c>
      <c r="D181" s="18" t="s">
        <v>610</v>
      </c>
      <c r="E181" s="27" t="s">
        <v>611</v>
      </c>
      <c r="F181" s="37">
        <v>1996.03125</v>
      </c>
      <c r="G181" s="37">
        <v>2680</v>
      </c>
      <c r="H181" s="37">
        <f t="shared" ref="H181:I181" si="186">F181-F180</f>
        <v>3</v>
      </c>
      <c r="I181" s="37">
        <f t="shared" si="186"/>
        <v>-2132</v>
      </c>
      <c r="J181" s="65">
        <f t="shared" si="184"/>
        <v>-0.44305901911886947</v>
      </c>
      <c r="K181" s="65">
        <f t="shared" si="185"/>
        <v>-0.14768633970628983</v>
      </c>
      <c r="L181" s="38" t="s">
        <v>612</v>
      </c>
    </row>
    <row r="182" spans="1:31" ht="13">
      <c r="A182" s="18" t="s">
        <v>371</v>
      </c>
      <c r="B182" s="18" t="s">
        <v>691</v>
      </c>
      <c r="C182" s="18" t="s">
        <v>692</v>
      </c>
      <c r="D182" s="18" t="s">
        <v>610</v>
      </c>
      <c r="E182" s="27" t="s">
        <v>611</v>
      </c>
      <c r="F182" s="37">
        <v>2000.96875</v>
      </c>
      <c r="G182" s="37">
        <v>2422</v>
      </c>
      <c r="H182" s="37">
        <f t="shared" ref="H182:I182" si="187">F182-F181</f>
        <v>4.9375</v>
      </c>
      <c r="I182" s="37">
        <f t="shared" si="187"/>
        <v>-258</v>
      </c>
      <c r="J182" s="65">
        <f t="shared" si="184"/>
        <v>-9.6268656716417905E-2</v>
      </c>
      <c r="K182" s="65">
        <f t="shared" si="185"/>
        <v>-1.9497449461552994E-2</v>
      </c>
      <c r="L182" s="38" t="s">
        <v>612</v>
      </c>
    </row>
    <row r="183" spans="1:31" ht="13">
      <c r="A183" s="18" t="s">
        <v>371</v>
      </c>
      <c r="B183" s="18" t="s">
        <v>691</v>
      </c>
      <c r="C183" s="18" t="s">
        <v>692</v>
      </c>
      <c r="D183" s="18" t="s">
        <v>610</v>
      </c>
      <c r="E183" s="27" t="s">
        <v>611</v>
      </c>
      <c r="F183" s="37">
        <v>2005.03125</v>
      </c>
      <c r="G183" s="37">
        <v>2246</v>
      </c>
      <c r="H183" s="37">
        <f t="shared" ref="H183:I183" si="188">F183-F182</f>
        <v>4.0625</v>
      </c>
      <c r="I183" s="37">
        <f t="shared" si="188"/>
        <v>-176</v>
      </c>
      <c r="J183" s="65">
        <f t="shared" si="184"/>
        <v>-7.2667217175887699E-2</v>
      </c>
      <c r="K183" s="65">
        <f t="shared" si="185"/>
        <v>-1.7887314997141586E-2</v>
      </c>
      <c r="L183" s="38" t="s">
        <v>612</v>
      </c>
    </row>
    <row r="184" spans="1:31" ht="13">
      <c r="A184" s="18" t="s">
        <v>371</v>
      </c>
      <c r="B184" s="18" t="s">
        <v>691</v>
      </c>
      <c r="C184" s="18" t="s">
        <v>692</v>
      </c>
      <c r="D184" s="18" t="s">
        <v>610</v>
      </c>
      <c r="E184" s="27" t="s">
        <v>611</v>
      </c>
      <c r="F184" s="37">
        <v>2008.0625</v>
      </c>
      <c r="G184" s="37">
        <v>3314</v>
      </c>
      <c r="H184" s="37">
        <f t="shared" ref="H184:I184" si="189">F184-F183</f>
        <v>3.03125</v>
      </c>
      <c r="I184" s="37">
        <f t="shared" si="189"/>
        <v>1068</v>
      </c>
      <c r="J184" s="65">
        <f t="shared" si="184"/>
        <v>0.47551202137132681</v>
      </c>
      <c r="K184" s="65">
        <f t="shared" si="185"/>
        <v>0.15686994519466452</v>
      </c>
      <c r="L184" s="38" t="s">
        <v>612</v>
      </c>
    </row>
    <row r="185" spans="1:31" ht="13">
      <c r="A185" s="18" t="s">
        <v>371</v>
      </c>
      <c r="B185" s="18" t="s">
        <v>691</v>
      </c>
      <c r="C185" s="18" t="s">
        <v>692</v>
      </c>
      <c r="D185" s="18" t="s">
        <v>610</v>
      </c>
      <c r="E185" s="27" t="s">
        <v>611</v>
      </c>
      <c r="F185" s="37">
        <v>2014.03125</v>
      </c>
      <c r="G185" s="37">
        <v>3274</v>
      </c>
      <c r="H185" s="37">
        <f t="shared" ref="H185:I185" si="190">F185-F184</f>
        <v>5.96875</v>
      </c>
      <c r="I185" s="37">
        <f t="shared" si="190"/>
        <v>-40</v>
      </c>
      <c r="J185" s="65">
        <f t="shared" si="184"/>
        <v>-1.2070006035003017E-2</v>
      </c>
      <c r="K185" s="65">
        <f t="shared" si="185"/>
        <v>-2.022199963979563E-3</v>
      </c>
      <c r="L185" s="38" t="s">
        <v>612</v>
      </c>
    </row>
    <row r="186" spans="1:31" ht="13">
      <c r="A186" s="18" t="s">
        <v>371</v>
      </c>
      <c r="B186" s="18" t="s">
        <v>691</v>
      </c>
      <c r="C186" s="18" t="s">
        <v>692</v>
      </c>
      <c r="D186" s="18" t="s">
        <v>695</v>
      </c>
      <c r="E186" s="27" t="s">
        <v>611</v>
      </c>
      <c r="F186" s="36">
        <v>2016</v>
      </c>
      <c r="G186" s="37">
        <v>5454</v>
      </c>
      <c r="H186" s="37">
        <f t="shared" ref="H186:I186" si="191">F186-F185</f>
        <v>1.96875</v>
      </c>
      <c r="I186" s="37">
        <f t="shared" si="191"/>
        <v>2180</v>
      </c>
      <c r="J186" s="65">
        <f t="shared" si="184"/>
        <v>0.66585216860109953</v>
      </c>
      <c r="K186" s="65">
        <f t="shared" si="185"/>
        <v>0.33821062532119339</v>
      </c>
      <c r="L186" s="38" t="s">
        <v>612</v>
      </c>
    </row>
    <row r="187" spans="1:31" ht="16">
      <c r="A187" s="18" t="s">
        <v>371</v>
      </c>
      <c r="B187" s="18" t="s">
        <v>575</v>
      </c>
      <c r="C187" s="18" t="s">
        <v>698</v>
      </c>
      <c r="D187" s="18" t="s">
        <v>636</v>
      </c>
      <c r="E187" s="27" t="s">
        <v>611</v>
      </c>
      <c r="F187" s="18">
        <v>1991</v>
      </c>
      <c r="G187" s="51">
        <v>25323</v>
      </c>
      <c r="H187" s="51" t="s">
        <v>402</v>
      </c>
      <c r="I187" s="51" t="s">
        <v>402</v>
      </c>
      <c r="J187" s="72" t="s">
        <v>402</v>
      </c>
      <c r="K187" s="65" t="s">
        <v>402</v>
      </c>
      <c r="L187" s="41" t="s">
        <v>637</v>
      </c>
    </row>
    <row r="188" spans="1:31" ht="16">
      <c r="A188" s="18" t="s">
        <v>371</v>
      </c>
      <c r="B188" s="18" t="s">
        <v>575</v>
      </c>
      <c r="C188" s="18" t="s">
        <v>698</v>
      </c>
      <c r="D188" s="18" t="s">
        <v>636</v>
      </c>
      <c r="E188" s="27" t="s">
        <v>611</v>
      </c>
      <c r="F188" s="18">
        <v>1993</v>
      </c>
      <c r="G188" s="51">
        <v>8269</v>
      </c>
      <c r="H188" s="51">
        <f t="shared" ref="H188:I188" si="192">F188-F187</f>
        <v>2</v>
      </c>
      <c r="I188" s="51">
        <f t="shared" si="192"/>
        <v>-17054</v>
      </c>
      <c r="J188" s="72">
        <f t="shared" ref="J188:J193" si="193">I188/G187</f>
        <v>-0.67345891087153975</v>
      </c>
      <c r="K188" s="65">
        <f t="shared" ref="K188:K193" si="194">J188/H188</f>
        <v>-0.33672945543576988</v>
      </c>
      <c r="L188" s="41" t="s">
        <v>637</v>
      </c>
    </row>
    <row r="189" spans="1:31" ht="16">
      <c r="A189" s="18" t="s">
        <v>371</v>
      </c>
      <c r="B189" s="18" t="s">
        <v>575</v>
      </c>
      <c r="C189" s="18" t="s">
        <v>698</v>
      </c>
      <c r="D189" s="18" t="s">
        <v>636</v>
      </c>
      <c r="E189" s="27" t="s">
        <v>611</v>
      </c>
      <c r="F189" s="18">
        <v>1996</v>
      </c>
      <c r="G189" s="51">
        <v>56848</v>
      </c>
      <c r="H189" s="51">
        <f t="shared" ref="H189:I189" si="195">F189-F188</f>
        <v>3</v>
      </c>
      <c r="I189" s="51">
        <f t="shared" si="195"/>
        <v>48579</v>
      </c>
      <c r="J189" s="72">
        <f t="shared" si="193"/>
        <v>5.874833716289757</v>
      </c>
      <c r="K189" s="65">
        <f t="shared" si="194"/>
        <v>1.9582779054299191</v>
      </c>
      <c r="L189" s="41" t="s">
        <v>637</v>
      </c>
    </row>
    <row r="190" spans="1:31" ht="16">
      <c r="A190" s="18" t="s">
        <v>371</v>
      </c>
      <c r="B190" s="18" t="s">
        <v>575</v>
      </c>
      <c r="C190" s="18" t="s">
        <v>698</v>
      </c>
      <c r="D190" s="18" t="s">
        <v>636</v>
      </c>
      <c r="E190" s="27" t="s">
        <v>611</v>
      </c>
      <c r="F190" s="18">
        <v>2001</v>
      </c>
      <c r="G190" s="51">
        <v>27390</v>
      </c>
      <c r="H190" s="51">
        <f t="shared" ref="H190:I190" si="196">F190-F189</f>
        <v>5</v>
      </c>
      <c r="I190" s="51">
        <f t="shared" si="196"/>
        <v>-29458</v>
      </c>
      <c r="J190" s="72">
        <f t="shared" si="193"/>
        <v>-0.51818885448916407</v>
      </c>
      <c r="K190" s="65">
        <f t="shared" si="194"/>
        <v>-0.10363777089783281</v>
      </c>
      <c r="L190" s="41" t="s">
        <v>637</v>
      </c>
    </row>
    <row r="191" spans="1:31" ht="16">
      <c r="A191" s="18" t="s">
        <v>371</v>
      </c>
      <c r="B191" s="18" t="s">
        <v>575</v>
      </c>
      <c r="C191" s="18" t="s">
        <v>698</v>
      </c>
      <c r="D191" s="18" t="s">
        <v>636</v>
      </c>
      <c r="E191" s="27" t="s">
        <v>611</v>
      </c>
      <c r="F191" s="18">
        <v>2005</v>
      </c>
      <c r="G191" s="51">
        <v>45995</v>
      </c>
      <c r="H191" s="51">
        <f t="shared" ref="H191:I191" si="197">F191-F190</f>
        <v>4</v>
      </c>
      <c r="I191" s="51">
        <f t="shared" si="197"/>
        <v>18605</v>
      </c>
      <c r="J191" s="72">
        <f t="shared" si="193"/>
        <v>0.6792625045637094</v>
      </c>
      <c r="K191" s="65">
        <f t="shared" si="194"/>
        <v>0.16981562614092735</v>
      </c>
      <c r="L191" s="41" t="s">
        <v>637</v>
      </c>
    </row>
    <row r="192" spans="1:31" ht="16">
      <c r="A192" s="18" t="s">
        <v>371</v>
      </c>
      <c r="B192" s="18" t="s">
        <v>575</v>
      </c>
      <c r="C192" s="18" t="s">
        <v>698</v>
      </c>
      <c r="D192" s="18" t="s">
        <v>636</v>
      </c>
      <c r="E192" s="27" t="s">
        <v>611</v>
      </c>
      <c r="F192" s="18">
        <v>2008</v>
      </c>
      <c r="G192" s="51">
        <v>29974</v>
      </c>
      <c r="H192" s="51">
        <f t="shared" ref="H192:I192" si="198">F192-F191</f>
        <v>3</v>
      </c>
      <c r="I192" s="51">
        <f t="shared" si="198"/>
        <v>-16021</v>
      </c>
      <c r="J192" s="72">
        <f t="shared" si="193"/>
        <v>-0.34832046961626262</v>
      </c>
      <c r="K192" s="65">
        <f t="shared" si="194"/>
        <v>-0.11610682320542087</v>
      </c>
      <c r="L192" s="41" t="s">
        <v>637</v>
      </c>
    </row>
    <row r="193" spans="1:12" ht="16">
      <c r="A193" s="18" t="s">
        <v>371</v>
      </c>
      <c r="B193" s="18" t="s">
        <v>575</v>
      </c>
      <c r="C193" s="18" t="s">
        <v>698</v>
      </c>
      <c r="D193" s="18" t="s">
        <v>636</v>
      </c>
      <c r="E193" s="27" t="s">
        <v>611</v>
      </c>
      <c r="F193" s="18">
        <v>2014</v>
      </c>
      <c r="G193" s="51">
        <v>21705</v>
      </c>
      <c r="H193" s="51">
        <f t="shared" ref="H193:I193" si="199">F193-F192</f>
        <v>6</v>
      </c>
      <c r="I193" s="51">
        <f t="shared" si="199"/>
        <v>-8269</v>
      </c>
      <c r="J193" s="72">
        <f t="shared" si="193"/>
        <v>-0.27587242276639756</v>
      </c>
      <c r="K193" s="65">
        <f t="shared" si="194"/>
        <v>-4.5978737127732927E-2</v>
      </c>
      <c r="L193" s="41" t="s">
        <v>637</v>
      </c>
    </row>
    <row r="194" spans="1:12" ht="16">
      <c r="A194" s="18" t="s">
        <v>371</v>
      </c>
      <c r="B194" s="18" t="s">
        <v>575</v>
      </c>
      <c r="C194" s="18" t="s">
        <v>698</v>
      </c>
      <c r="D194" s="18" t="s">
        <v>700</v>
      </c>
      <c r="E194" s="27" t="s">
        <v>611</v>
      </c>
      <c r="F194" s="18">
        <v>1996</v>
      </c>
      <c r="G194" s="51">
        <v>50129</v>
      </c>
      <c r="H194" s="51" t="s">
        <v>402</v>
      </c>
      <c r="I194" s="51" t="s">
        <v>402</v>
      </c>
      <c r="J194" s="72" t="s">
        <v>402</v>
      </c>
      <c r="K194" s="65" t="s">
        <v>402</v>
      </c>
      <c r="L194" s="41" t="s">
        <v>637</v>
      </c>
    </row>
    <row r="195" spans="1:12" ht="16">
      <c r="A195" s="18" t="s">
        <v>371</v>
      </c>
      <c r="B195" s="18" t="s">
        <v>575</v>
      </c>
      <c r="C195" s="18" t="s">
        <v>698</v>
      </c>
      <c r="D195" s="18" t="s">
        <v>700</v>
      </c>
      <c r="E195" s="27" t="s">
        <v>611</v>
      </c>
      <c r="F195" s="18">
        <v>2002</v>
      </c>
      <c r="G195" s="51">
        <v>48062</v>
      </c>
      <c r="H195" s="51">
        <f t="shared" ref="H195:I195" si="200">F195-F194</f>
        <v>6</v>
      </c>
      <c r="I195" s="51">
        <f t="shared" si="200"/>
        <v>-2067</v>
      </c>
      <c r="J195" s="72">
        <f t="shared" ref="J195:J197" si="201">I195/G194</f>
        <v>-4.1233617267449979E-2</v>
      </c>
      <c r="K195" s="65">
        <f t="shared" ref="K195:K197" si="202">J195/H195</f>
        <v>-6.8722695445749965E-3</v>
      </c>
      <c r="L195" s="41" t="s">
        <v>637</v>
      </c>
    </row>
    <row r="196" spans="1:12" ht="16">
      <c r="A196" s="18" t="s">
        <v>371</v>
      </c>
      <c r="B196" s="18" t="s">
        <v>575</v>
      </c>
      <c r="C196" s="18" t="s">
        <v>698</v>
      </c>
      <c r="D196" s="18" t="s">
        <v>700</v>
      </c>
      <c r="E196" s="27" t="s">
        <v>611</v>
      </c>
      <c r="F196" s="18">
        <v>2006</v>
      </c>
      <c r="G196" s="51">
        <v>49096</v>
      </c>
      <c r="H196" s="51">
        <f t="shared" ref="H196:I196" si="203">F196-F195</f>
        <v>4</v>
      </c>
      <c r="I196" s="51">
        <f t="shared" si="203"/>
        <v>1034</v>
      </c>
      <c r="J196" s="72">
        <f t="shared" si="201"/>
        <v>2.1513877907702549E-2</v>
      </c>
      <c r="K196" s="65">
        <f t="shared" si="202"/>
        <v>5.3784694769256373E-3</v>
      </c>
      <c r="L196" s="41" t="s">
        <v>637</v>
      </c>
    </row>
    <row r="197" spans="1:12" ht="16">
      <c r="A197" s="18" t="s">
        <v>371</v>
      </c>
      <c r="B197" s="18" t="s">
        <v>575</v>
      </c>
      <c r="C197" s="18" t="s">
        <v>698</v>
      </c>
      <c r="D197" s="18" t="s">
        <v>700</v>
      </c>
      <c r="E197" s="27" t="s">
        <v>611</v>
      </c>
      <c r="F197" s="18">
        <v>2009</v>
      </c>
      <c r="G197" s="51">
        <v>39793</v>
      </c>
      <c r="H197" s="51">
        <f t="shared" ref="H197:I197" si="204">F197-F196</f>
        <v>3</v>
      </c>
      <c r="I197" s="51">
        <f t="shared" si="204"/>
        <v>-9303</v>
      </c>
      <c r="J197" s="72">
        <f t="shared" si="201"/>
        <v>-0.18948590516539027</v>
      </c>
      <c r="K197" s="65">
        <f t="shared" si="202"/>
        <v>-6.3161968388463427E-2</v>
      </c>
      <c r="L197" s="41" t="s">
        <v>637</v>
      </c>
    </row>
    <row r="198" spans="1:12" ht="13">
      <c r="A198" s="18" t="s">
        <v>371</v>
      </c>
      <c r="B198" s="18" t="s">
        <v>575</v>
      </c>
      <c r="C198" s="18" t="s">
        <v>698</v>
      </c>
      <c r="D198" s="18" t="s">
        <v>621</v>
      </c>
      <c r="E198" s="18" t="s">
        <v>622</v>
      </c>
      <c r="F198" s="18">
        <v>1996</v>
      </c>
      <c r="G198" s="40">
        <v>49811</v>
      </c>
      <c r="H198" s="40" t="s">
        <v>402</v>
      </c>
      <c r="I198" s="40" t="s">
        <v>402</v>
      </c>
      <c r="J198" s="66" t="s">
        <v>402</v>
      </c>
      <c r="K198" s="65" t="s">
        <v>402</v>
      </c>
      <c r="L198" s="41" t="s">
        <v>623</v>
      </c>
    </row>
    <row r="199" spans="1:12" ht="13">
      <c r="A199" s="18" t="s">
        <v>371</v>
      </c>
      <c r="B199" s="18" t="s">
        <v>575</v>
      </c>
      <c r="C199" s="18" t="s">
        <v>698</v>
      </c>
      <c r="D199" s="18" t="s">
        <v>621</v>
      </c>
      <c r="E199" s="18" t="s">
        <v>622</v>
      </c>
      <c r="F199" s="18">
        <v>2001</v>
      </c>
      <c r="G199" s="40">
        <v>44418</v>
      </c>
      <c r="H199" s="40">
        <f t="shared" ref="H199:I199" si="205">F199-F198</f>
        <v>5</v>
      </c>
      <c r="I199" s="40">
        <f t="shared" si="205"/>
        <v>-5393</v>
      </c>
      <c r="J199" s="66">
        <f t="shared" ref="J199:J203" si="206">I199/G198</f>
        <v>-0.10826925779446307</v>
      </c>
      <c r="K199" s="65">
        <f t="shared" ref="K199:K203" si="207">J199/H199</f>
        <v>-2.1653851558892614E-2</v>
      </c>
      <c r="L199" s="41" t="s">
        <v>623</v>
      </c>
    </row>
    <row r="200" spans="1:12" ht="13">
      <c r="A200" s="18" t="s">
        <v>371</v>
      </c>
      <c r="B200" s="18" t="s">
        <v>575</v>
      </c>
      <c r="C200" s="18" t="s">
        <v>698</v>
      </c>
      <c r="D200" s="18" t="s">
        <v>621</v>
      </c>
      <c r="E200" s="18" t="s">
        <v>622</v>
      </c>
      <c r="F200" s="18">
        <v>2005</v>
      </c>
      <c r="G200" s="40">
        <v>36373</v>
      </c>
      <c r="H200" s="40">
        <f t="shared" ref="H200:I200" si="208">F200-F199</f>
        <v>4</v>
      </c>
      <c r="I200" s="40">
        <f t="shared" si="208"/>
        <v>-8045</v>
      </c>
      <c r="J200" s="66">
        <f t="shared" si="206"/>
        <v>-0.18112026655860236</v>
      </c>
      <c r="K200" s="65">
        <f t="shared" si="207"/>
        <v>-4.528006663965059E-2</v>
      </c>
      <c r="L200" s="41" t="s">
        <v>623</v>
      </c>
    </row>
    <row r="201" spans="1:12" ht="13">
      <c r="A201" s="18" t="s">
        <v>371</v>
      </c>
      <c r="B201" s="18" t="s">
        <v>575</v>
      </c>
      <c r="C201" s="18" t="s">
        <v>698</v>
      </c>
      <c r="D201" s="18" t="s">
        <v>621</v>
      </c>
      <c r="E201" s="18" t="s">
        <v>622</v>
      </c>
      <c r="F201" s="18">
        <v>2008</v>
      </c>
      <c r="G201" s="40">
        <v>34654</v>
      </c>
      <c r="H201" s="40">
        <f t="shared" ref="H201:I201" si="209">F201-F200</f>
        <v>3</v>
      </c>
      <c r="I201" s="40">
        <f t="shared" si="209"/>
        <v>-1719</v>
      </c>
      <c r="J201" s="66">
        <f t="shared" si="206"/>
        <v>-4.7260330464905284E-2</v>
      </c>
      <c r="K201" s="65">
        <f t="shared" si="207"/>
        <v>-1.5753443488301763E-2</v>
      </c>
      <c r="L201" s="41" t="s">
        <v>623</v>
      </c>
    </row>
    <row r="202" spans="1:12" ht="13">
      <c r="A202" s="18" t="s">
        <v>371</v>
      </c>
      <c r="B202" s="18" t="s">
        <v>575</v>
      </c>
      <c r="C202" s="18" t="s">
        <v>698</v>
      </c>
      <c r="D202" s="18" t="s">
        <v>621</v>
      </c>
      <c r="E202" s="18" t="s">
        <v>622</v>
      </c>
      <c r="F202" s="18">
        <v>2014</v>
      </c>
      <c r="G202" s="40">
        <v>21219</v>
      </c>
      <c r="H202" s="40">
        <f t="shared" ref="H202:I202" si="210">F202-F201</f>
        <v>6</v>
      </c>
      <c r="I202" s="40">
        <f t="shared" si="210"/>
        <v>-13435</v>
      </c>
      <c r="J202" s="66">
        <f t="shared" si="206"/>
        <v>-0.38768973278697988</v>
      </c>
      <c r="K202" s="65">
        <f t="shared" si="207"/>
        <v>-6.4614955464496651E-2</v>
      </c>
      <c r="L202" s="41" t="s">
        <v>623</v>
      </c>
    </row>
    <row r="203" spans="1:12" ht="13">
      <c r="A203" s="18" t="s">
        <v>371</v>
      </c>
      <c r="B203" s="18" t="s">
        <v>575</v>
      </c>
      <c r="C203" s="18" t="s">
        <v>698</v>
      </c>
      <c r="D203" s="18" t="s">
        <v>621</v>
      </c>
      <c r="E203" s="18" t="s">
        <v>622</v>
      </c>
      <c r="F203" s="18">
        <v>2018</v>
      </c>
      <c r="G203" s="40">
        <v>16498</v>
      </c>
      <c r="H203" s="40">
        <f t="shared" ref="H203:I203" si="211">F203-F202</f>
        <v>4</v>
      </c>
      <c r="I203" s="40">
        <f t="shared" si="211"/>
        <v>-4721</v>
      </c>
      <c r="J203" s="66">
        <f t="shared" si="206"/>
        <v>-0.2224892784768368</v>
      </c>
      <c r="K203" s="65">
        <f t="shared" si="207"/>
        <v>-5.5622319619209201E-2</v>
      </c>
      <c r="L203" s="41" t="s">
        <v>623</v>
      </c>
    </row>
    <row r="204" spans="1:12" ht="13">
      <c r="A204" s="18" t="s">
        <v>376</v>
      </c>
      <c r="B204" s="18" t="s">
        <v>319</v>
      </c>
      <c r="C204" s="18" t="s">
        <v>701</v>
      </c>
      <c r="D204" s="18" t="s">
        <v>702</v>
      </c>
      <c r="E204" s="18" t="s">
        <v>611</v>
      </c>
      <c r="F204" s="18">
        <v>2002</v>
      </c>
      <c r="G204" s="40">
        <v>613</v>
      </c>
      <c r="H204" s="40" t="s">
        <v>402</v>
      </c>
      <c r="I204" s="40" t="s">
        <v>402</v>
      </c>
      <c r="J204" s="66" t="s">
        <v>402</v>
      </c>
      <c r="K204" s="65" t="s">
        <v>402</v>
      </c>
      <c r="L204" s="38" t="s">
        <v>612</v>
      </c>
    </row>
    <row r="205" spans="1:12" ht="13">
      <c r="A205" s="18" t="s">
        <v>376</v>
      </c>
      <c r="B205" s="18" t="s">
        <v>319</v>
      </c>
      <c r="C205" s="18" t="s">
        <v>701</v>
      </c>
      <c r="D205" s="18" t="s">
        <v>702</v>
      </c>
      <c r="E205" s="18" t="s">
        <v>611</v>
      </c>
      <c r="F205" s="18">
        <v>2010</v>
      </c>
      <c r="G205" s="40">
        <v>2489</v>
      </c>
      <c r="H205" s="40">
        <f t="shared" ref="H205:I205" si="212">F205-F204</f>
        <v>8</v>
      </c>
      <c r="I205" s="40">
        <f t="shared" si="212"/>
        <v>1876</v>
      </c>
      <c r="J205" s="66">
        <f t="shared" ref="J205:J206" si="213">I205/G204</f>
        <v>3.060358890701468</v>
      </c>
      <c r="K205" s="65">
        <f t="shared" ref="K205:K206" si="214">J205/H205</f>
        <v>0.38254486133768351</v>
      </c>
      <c r="L205" s="38" t="s">
        <v>612</v>
      </c>
    </row>
    <row r="206" spans="1:12" ht="13">
      <c r="A206" s="18" t="s">
        <v>376</v>
      </c>
      <c r="B206" s="18" t="s">
        <v>319</v>
      </c>
      <c r="C206" s="18" t="s">
        <v>701</v>
      </c>
      <c r="D206" s="18" t="s">
        <v>702</v>
      </c>
      <c r="E206" s="18" t="s">
        <v>611</v>
      </c>
      <c r="F206" s="18">
        <v>2017</v>
      </c>
      <c r="G206" s="40">
        <v>5106</v>
      </c>
      <c r="H206" s="40">
        <f t="shared" ref="H206:I206" si="215">F206-F205</f>
        <v>7</v>
      </c>
      <c r="I206" s="40">
        <f t="shared" si="215"/>
        <v>2617</v>
      </c>
      <c r="J206" s="66">
        <f t="shared" si="213"/>
        <v>1.051426275612696</v>
      </c>
      <c r="K206" s="65">
        <f t="shared" si="214"/>
        <v>0.15020375365895658</v>
      </c>
      <c r="L206" s="38" t="s">
        <v>612</v>
      </c>
    </row>
    <row r="207" spans="1:12" ht="13">
      <c r="A207" s="18" t="s">
        <v>376</v>
      </c>
      <c r="B207" s="18" t="s">
        <v>319</v>
      </c>
      <c r="C207" s="18" t="s">
        <v>701</v>
      </c>
      <c r="D207" s="18" t="s">
        <v>704</v>
      </c>
      <c r="E207" s="18" t="s">
        <v>611</v>
      </c>
      <c r="F207" s="18">
        <v>2002</v>
      </c>
      <c r="G207" s="40">
        <v>2122</v>
      </c>
      <c r="H207" s="40" t="s">
        <v>402</v>
      </c>
      <c r="I207" s="40" t="s">
        <v>402</v>
      </c>
      <c r="J207" s="66" t="s">
        <v>402</v>
      </c>
      <c r="K207" s="65" t="s">
        <v>402</v>
      </c>
      <c r="L207" s="38" t="s">
        <v>612</v>
      </c>
    </row>
    <row r="208" spans="1:12" ht="13">
      <c r="A208" s="18" t="s">
        <v>376</v>
      </c>
      <c r="B208" s="18" t="s">
        <v>319</v>
      </c>
      <c r="C208" s="18" t="s">
        <v>701</v>
      </c>
      <c r="D208" s="18" t="s">
        <v>704</v>
      </c>
      <c r="E208" s="18" t="s">
        <v>611</v>
      </c>
      <c r="F208" s="18">
        <v>2010</v>
      </c>
      <c r="G208" s="40">
        <v>2144</v>
      </c>
      <c r="H208" s="40">
        <f t="shared" ref="H208:I208" si="216">F208-F207</f>
        <v>8</v>
      </c>
      <c r="I208" s="40">
        <f t="shared" si="216"/>
        <v>22</v>
      </c>
      <c r="J208" s="66">
        <f t="shared" ref="J208:J209" si="217">I208/G207</f>
        <v>1.0367577756833177E-2</v>
      </c>
      <c r="K208" s="65">
        <f t="shared" ref="K208:K209" si="218">J208/H208</f>
        <v>1.2959472196041471E-3</v>
      </c>
      <c r="L208" s="38" t="s">
        <v>612</v>
      </c>
    </row>
    <row r="209" spans="1:12" ht="13">
      <c r="A209" s="18" t="s">
        <v>376</v>
      </c>
      <c r="B209" s="18" t="s">
        <v>319</v>
      </c>
      <c r="C209" s="18" t="s">
        <v>701</v>
      </c>
      <c r="D209" s="18" t="s">
        <v>704</v>
      </c>
      <c r="E209" s="18" t="s">
        <v>611</v>
      </c>
      <c r="F209" s="18">
        <v>2017</v>
      </c>
      <c r="G209" s="40">
        <v>2086</v>
      </c>
      <c r="H209" s="40">
        <f t="shared" ref="H209:I209" si="219">F209-F208</f>
        <v>7</v>
      </c>
      <c r="I209" s="40">
        <f t="shared" si="219"/>
        <v>-58</v>
      </c>
      <c r="J209" s="66">
        <f t="shared" si="217"/>
        <v>-2.7052238805970148E-2</v>
      </c>
      <c r="K209" s="65">
        <f t="shared" si="218"/>
        <v>-3.8646055437100211E-3</v>
      </c>
      <c r="L209" s="38" t="s">
        <v>612</v>
      </c>
    </row>
    <row r="210" spans="1:12" ht="13">
      <c r="A210" s="18" t="s">
        <v>371</v>
      </c>
      <c r="B210" s="18" t="s">
        <v>279</v>
      </c>
      <c r="C210" s="18" t="s">
        <v>705</v>
      </c>
      <c r="D210" s="18" t="s">
        <v>706</v>
      </c>
      <c r="E210" s="18" t="s">
        <v>611</v>
      </c>
      <c r="F210" s="37">
        <v>1991</v>
      </c>
      <c r="G210" s="37">
        <v>1381</v>
      </c>
      <c r="H210" s="37" t="s">
        <v>402</v>
      </c>
      <c r="I210" s="37" t="s">
        <v>402</v>
      </c>
      <c r="J210" s="66" t="s">
        <v>402</v>
      </c>
      <c r="K210" s="65" t="s">
        <v>402</v>
      </c>
      <c r="L210" s="38" t="s">
        <v>612</v>
      </c>
    </row>
    <row r="211" spans="1:12" ht="13">
      <c r="A211" s="18" t="s">
        <v>371</v>
      </c>
      <c r="B211" s="18" t="s">
        <v>279</v>
      </c>
      <c r="C211" s="18" t="s">
        <v>705</v>
      </c>
      <c r="D211" s="18" t="s">
        <v>706</v>
      </c>
      <c r="E211" s="18" t="s">
        <v>611</v>
      </c>
      <c r="F211" s="37">
        <v>1993</v>
      </c>
      <c r="G211" s="37">
        <v>2779</v>
      </c>
      <c r="H211" s="37">
        <f t="shared" ref="H211:I211" si="220">F211-F210</f>
        <v>2</v>
      </c>
      <c r="I211" s="37">
        <f t="shared" si="220"/>
        <v>1398</v>
      </c>
      <c r="J211" s="65">
        <f t="shared" ref="J211:J216" si="221">I211/G210</f>
        <v>1.0123099203475743</v>
      </c>
      <c r="K211" s="65">
        <f t="shared" ref="K211:K216" si="222">J211/H211</f>
        <v>0.50615496017378714</v>
      </c>
      <c r="L211" s="38" t="s">
        <v>612</v>
      </c>
    </row>
    <row r="212" spans="1:12" ht="13">
      <c r="A212" s="18" t="s">
        <v>371</v>
      </c>
      <c r="B212" s="18" t="s">
        <v>279</v>
      </c>
      <c r="C212" s="18" t="s">
        <v>705</v>
      </c>
      <c r="D212" s="18" t="s">
        <v>706</v>
      </c>
      <c r="E212" s="18" t="s">
        <v>611</v>
      </c>
      <c r="F212" s="37">
        <v>1995.5038022813701</v>
      </c>
      <c r="G212" s="37">
        <v>3680</v>
      </c>
      <c r="H212" s="37">
        <f t="shared" ref="H212:I212" si="223">F212-F211</f>
        <v>2.5038022813700991</v>
      </c>
      <c r="I212" s="37">
        <f t="shared" si="223"/>
        <v>901</v>
      </c>
      <c r="J212" s="65">
        <f t="shared" si="221"/>
        <v>0.32421734436847788</v>
      </c>
      <c r="K212" s="65">
        <f t="shared" si="222"/>
        <v>0.12948999478947026</v>
      </c>
      <c r="L212" s="38" t="s">
        <v>612</v>
      </c>
    </row>
    <row r="213" spans="1:12" ht="13">
      <c r="A213" s="18" t="s">
        <v>371</v>
      </c>
      <c r="B213" s="18" t="s">
        <v>279</v>
      </c>
      <c r="C213" s="18" t="s">
        <v>705</v>
      </c>
      <c r="D213" s="18" t="s">
        <v>706</v>
      </c>
      <c r="E213" s="18" t="s">
        <v>611</v>
      </c>
      <c r="F213" s="37">
        <v>2000.5323193916399</v>
      </c>
      <c r="G213" s="37">
        <v>3491</v>
      </c>
      <c r="H213" s="37">
        <f t="shared" ref="H213:I213" si="224">F213-F212</f>
        <v>5.0285171102698314</v>
      </c>
      <c r="I213" s="37">
        <f t="shared" si="224"/>
        <v>-189</v>
      </c>
      <c r="J213" s="65">
        <f t="shared" si="221"/>
        <v>-5.1358695652173915E-2</v>
      </c>
      <c r="K213" s="65">
        <f t="shared" si="222"/>
        <v>-1.0213487301710305E-2</v>
      </c>
      <c r="L213" s="38" t="s">
        <v>612</v>
      </c>
    </row>
    <row r="214" spans="1:12" ht="13">
      <c r="A214" s="18" t="s">
        <v>371</v>
      </c>
      <c r="B214" s="18" t="s">
        <v>279</v>
      </c>
      <c r="C214" s="18" t="s">
        <v>705</v>
      </c>
      <c r="D214" s="18" t="s">
        <v>706</v>
      </c>
      <c r="E214" s="18" t="s">
        <v>611</v>
      </c>
      <c r="F214" s="37">
        <v>2005</v>
      </c>
      <c r="G214" s="37">
        <v>6801</v>
      </c>
      <c r="H214" s="37">
        <f t="shared" ref="H214:I214" si="225">F214-F213</f>
        <v>4.4676806083600695</v>
      </c>
      <c r="I214" s="37">
        <f t="shared" si="225"/>
        <v>3310</v>
      </c>
      <c r="J214" s="65">
        <f t="shared" si="221"/>
        <v>0.94815239186479516</v>
      </c>
      <c r="K214" s="65">
        <f t="shared" si="222"/>
        <v>0.21222474813678074</v>
      </c>
      <c r="L214" s="38" t="s">
        <v>612</v>
      </c>
    </row>
    <row r="215" spans="1:12" ht="13">
      <c r="A215" s="18" t="s">
        <v>371</v>
      </c>
      <c r="B215" s="18" t="s">
        <v>279</v>
      </c>
      <c r="C215" s="18" t="s">
        <v>705</v>
      </c>
      <c r="D215" s="18" t="s">
        <v>706</v>
      </c>
      <c r="E215" s="18" t="s">
        <v>611</v>
      </c>
      <c r="F215" s="37">
        <v>2008</v>
      </c>
      <c r="G215" s="37">
        <v>7624</v>
      </c>
      <c r="H215" s="37">
        <f t="shared" ref="H215:I215" si="226">F215-F214</f>
        <v>3</v>
      </c>
      <c r="I215" s="37">
        <f t="shared" si="226"/>
        <v>823</v>
      </c>
      <c r="J215" s="65">
        <f t="shared" si="221"/>
        <v>0.12101161593883253</v>
      </c>
      <c r="K215" s="65">
        <f t="shared" si="222"/>
        <v>4.0337205312944178E-2</v>
      </c>
      <c r="L215" s="38" t="s">
        <v>612</v>
      </c>
    </row>
    <row r="216" spans="1:12" ht="13">
      <c r="A216" s="18" t="s">
        <v>371</v>
      </c>
      <c r="B216" s="18" t="s">
        <v>279</v>
      </c>
      <c r="C216" s="18" t="s">
        <v>705</v>
      </c>
      <c r="D216" s="18" t="s">
        <v>706</v>
      </c>
      <c r="E216" s="18" t="s">
        <v>611</v>
      </c>
      <c r="F216" s="37">
        <v>2014</v>
      </c>
      <c r="G216" s="37">
        <v>8127</v>
      </c>
      <c r="H216" s="37">
        <f t="shared" ref="H216:I216" si="227">F216-F215</f>
        <v>6</v>
      </c>
      <c r="I216" s="37">
        <f t="shared" si="227"/>
        <v>503</v>
      </c>
      <c r="J216" s="65">
        <f t="shared" si="221"/>
        <v>6.5975865687303251E-2</v>
      </c>
      <c r="K216" s="65">
        <f t="shared" si="222"/>
        <v>1.0995977614550541E-2</v>
      </c>
      <c r="L216" s="38" t="s">
        <v>612</v>
      </c>
    </row>
    <row r="217" spans="1:12" ht="13">
      <c r="A217" s="18" t="s">
        <v>371</v>
      </c>
      <c r="B217" s="18" t="s">
        <v>279</v>
      </c>
      <c r="C217" s="18" t="s">
        <v>705</v>
      </c>
      <c r="D217" s="18" t="s">
        <v>708</v>
      </c>
      <c r="E217" s="18" t="s">
        <v>611</v>
      </c>
      <c r="F217" s="37">
        <v>1991.48098859316</v>
      </c>
      <c r="G217" s="37">
        <v>1486.6136176551299</v>
      </c>
      <c r="H217" s="37" t="s">
        <v>402</v>
      </c>
      <c r="I217" s="37" t="s">
        <v>402</v>
      </c>
      <c r="J217" s="65" t="s">
        <v>402</v>
      </c>
      <c r="K217" s="65" t="s">
        <v>402</v>
      </c>
      <c r="L217" s="38" t="s">
        <v>637</v>
      </c>
    </row>
    <row r="218" spans="1:12" ht="13">
      <c r="A218" s="18" t="s">
        <v>371</v>
      </c>
      <c r="B218" s="18" t="s">
        <v>279</v>
      </c>
      <c r="C218" s="18" t="s">
        <v>705</v>
      </c>
      <c r="D218" s="18" t="s">
        <v>708</v>
      </c>
      <c r="E218" s="18" t="s">
        <v>611</v>
      </c>
      <c r="F218" s="37">
        <v>1993.44866920152</v>
      </c>
      <c r="G218" s="37">
        <v>3080.1418995727299</v>
      </c>
      <c r="H218" s="37">
        <f t="shared" ref="H218:I218" si="228">F218-F217</f>
        <v>1.9676806083600695</v>
      </c>
      <c r="I218" s="37">
        <f t="shared" si="228"/>
        <v>1593.5282819176</v>
      </c>
      <c r="J218" s="65">
        <f t="shared" ref="J218:J223" si="229">I218/G217</f>
        <v>1.0719182597231345</v>
      </c>
      <c r="K218" s="65">
        <f t="shared" ref="K218:K223" si="230">J218/H218</f>
        <v>0.5447623233002773</v>
      </c>
      <c r="L218" s="38" t="s">
        <v>637</v>
      </c>
    </row>
    <row r="219" spans="1:12" ht="13">
      <c r="A219" s="18" t="s">
        <v>371</v>
      </c>
      <c r="B219" s="18" t="s">
        <v>279</v>
      </c>
      <c r="C219" s="18" t="s">
        <v>705</v>
      </c>
      <c r="D219" s="18" t="s">
        <v>708</v>
      </c>
      <c r="E219" s="18" t="s">
        <v>611</v>
      </c>
      <c r="F219" s="37">
        <v>1996.46577946768</v>
      </c>
      <c r="G219" s="37">
        <v>4671.3182548704499</v>
      </c>
      <c r="H219" s="37">
        <f t="shared" ref="H219:I219" si="231">F219-F218</f>
        <v>3.0171102661599889</v>
      </c>
      <c r="I219" s="37">
        <f t="shared" si="231"/>
        <v>1591.17635529772</v>
      </c>
      <c r="J219" s="65">
        <f t="shared" si="229"/>
        <v>0.51659189971684238</v>
      </c>
      <c r="K219" s="65">
        <f t="shared" si="230"/>
        <v>0.17122075567172823</v>
      </c>
      <c r="L219" s="38" t="s">
        <v>637</v>
      </c>
    </row>
    <row r="220" spans="1:12" ht="13">
      <c r="A220" s="18" t="s">
        <v>371</v>
      </c>
      <c r="B220" s="18" t="s">
        <v>279</v>
      </c>
      <c r="C220" s="18" t="s">
        <v>705</v>
      </c>
      <c r="D220" s="18" t="s">
        <v>708</v>
      </c>
      <c r="E220" s="18" t="s">
        <v>611</v>
      </c>
      <c r="F220" s="37">
        <v>2001.4505703422101</v>
      </c>
      <c r="G220" s="37">
        <v>5072.5177374465902</v>
      </c>
      <c r="H220" s="37">
        <f t="shared" ref="H220:I220" si="232">F220-F219</f>
        <v>4.9847908745300629</v>
      </c>
      <c r="I220" s="37">
        <f t="shared" si="232"/>
        <v>401.19948257614033</v>
      </c>
      <c r="J220" s="65">
        <f t="shared" si="229"/>
        <v>8.5885709490642878E-2</v>
      </c>
      <c r="K220" s="65">
        <f t="shared" si="230"/>
        <v>1.7229551179263801E-2</v>
      </c>
      <c r="L220" s="38" t="s">
        <v>637</v>
      </c>
    </row>
    <row r="221" spans="1:12" ht="13">
      <c r="A221" s="18" t="s">
        <v>371</v>
      </c>
      <c r="B221" s="18" t="s">
        <v>279</v>
      </c>
      <c r="C221" s="18" t="s">
        <v>705</v>
      </c>
      <c r="D221" s="18" t="s">
        <v>708</v>
      </c>
      <c r="E221" s="18" t="s">
        <v>611</v>
      </c>
      <c r="F221" s="37">
        <v>2005.47338403042</v>
      </c>
      <c r="G221" s="37">
        <v>8207.8319156442303</v>
      </c>
      <c r="H221" s="37">
        <f t="shared" ref="H221:I221" si="233">F221-F220</f>
        <v>4.0228136882099079</v>
      </c>
      <c r="I221" s="37">
        <f t="shared" si="233"/>
        <v>3135.3141781976401</v>
      </c>
      <c r="J221" s="65">
        <f t="shared" si="229"/>
        <v>0.61809821877052684</v>
      </c>
      <c r="K221" s="65">
        <f t="shared" si="230"/>
        <v>0.15364823396670188</v>
      </c>
      <c r="L221" s="38" t="s">
        <v>637</v>
      </c>
    </row>
    <row r="222" spans="1:12" ht="13">
      <c r="A222" s="18" t="s">
        <v>371</v>
      </c>
      <c r="B222" s="18" t="s">
        <v>279</v>
      </c>
      <c r="C222" s="18" t="s">
        <v>705</v>
      </c>
      <c r="D222" s="18" t="s">
        <v>708</v>
      </c>
      <c r="E222" s="18" t="s">
        <v>611</v>
      </c>
      <c r="F222" s="37">
        <v>2008.44676806084</v>
      </c>
      <c r="G222" s="37">
        <v>7221.78668025558</v>
      </c>
      <c r="H222" s="37">
        <f t="shared" ref="H222:I222" si="234">F222-F221</f>
        <v>2.973384030419993</v>
      </c>
      <c r="I222" s="37">
        <f t="shared" si="234"/>
        <v>-986.04523538865033</v>
      </c>
      <c r="J222" s="65">
        <f t="shared" si="229"/>
        <v>-0.12013467691866786</v>
      </c>
      <c r="K222" s="65">
        <f t="shared" si="230"/>
        <v>-4.0403350421472042E-2</v>
      </c>
      <c r="L222" s="38" t="s">
        <v>637</v>
      </c>
    </row>
    <row r="223" spans="1:12" ht="13">
      <c r="A223" s="18" t="s">
        <v>371</v>
      </c>
      <c r="B223" s="18" t="s">
        <v>279</v>
      </c>
      <c r="C223" s="18" t="s">
        <v>705</v>
      </c>
      <c r="D223" s="18" t="s">
        <v>708</v>
      </c>
      <c r="E223" s="18" t="s">
        <v>611</v>
      </c>
      <c r="F223" s="37">
        <v>2014.48098859316</v>
      </c>
      <c r="G223" s="37">
        <v>9785.5826898200794</v>
      </c>
      <c r="H223" s="37">
        <f t="shared" ref="H223:I223" si="235">F223-F222</f>
        <v>6.0342205323199778</v>
      </c>
      <c r="I223" s="37">
        <f t="shared" si="235"/>
        <v>2563.7960095644994</v>
      </c>
      <c r="J223" s="65">
        <f t="shared" si="229"/>
        <v>0.35500854886422184</v>
      </c>
      <c r="K223" s="65">
        <f t="shared" si="230"/>
        <v>5.8832544644789715E-2</v>
      </c>
      <c r="L223" s="38" t="s">
        <v>637</v>
      </c>
    </row>
    <row r="224" spans="1:12" ht="13">
      <c r="A224" s="18" t="s">
        <v>371</v>
      </c>
      <c r="B224" s="18" t="s">
        <v>579</v>
      </c>
      <c r="C224" s="18" t="s">
        <v>705</v>
      </c>
      <c r="D224" s="18" t="s">
        <v>621</v>
      </c>
      <c r="E224" s="18" t="s">
        <v>622</v>
      </c>
      <c r="F224" s="18">
        <v>1996</v>
      </c>
      <c r="G224" s="40">
        <v>3804</v>
      </c>
      <c r="H224" s="40" t="s">
        <v>402</v>
      </c>
      <c r="I224" s="40" t="s">
        <v>402</v>
      </c>
      <c r="J224" s="66" t="s">
        <v>402</v>
      </c>
      <c r="K224" s="65" t="s">
        <v>402</v>
      </c>
      <c r="L224" s="41" t="s">
        <v>623</v>
      </c>
    </row>
    <row r="225" spans="1:31" ht="13">
      <c r="A225" s="18" t="s">
        <v>371</v>
      </c>
      <c r="B225" s="18" t="s">
        <v>579</v>
      </c>
      <c r="C225" s="18" t="s">
        <v>705</v>
      </c>
      <c r="D225" s="18" t="s">
        <v>621</v>
      </c>
      <c r="E225" s="18" t="s">
        <v>622</v>
      </c>
      <c r="F225" s="18">
        <v>2001</v>
      </c>
      <c r="G225" s="40">
        <v>5733</v>
      </c>
      <c r="H225" s="40">
        <f t="shared" ref="H225:I225" si="236">F225-F224</f>
        <v>5</v>
      </c>
      <c r="I225" s="40">
        <f t="shared" si="236"/>
        <v>1929</v>
      </c>
      <c r="J225" s="66">
        <f t="shared" ref="J225:J229" si="237">I225/G224</f>
        <v>0.50709779179810721</v>
      </c>
      <c r="K225" s="65">
        <f t="shared" ref="K225:K229" si="238">J225/H225</f>
        <v>0.10141955835962144</v>
      </c>
      <c r="L225" s="41" t="s">
        <v>623</v>
      </c>
    </row>
    <row r="226" spans="1:31" ht="13">
      <c r="A226" s="18" t="s">
        <v>371</v>
      </c>
      <c r="B226" s="18" t="s">
        <v>579</v>
      </c>
      <c r="C226" s="18" t="s">
        <v>705</v>
      </c>
      <c r="D226" s="18" t="s">
        <v>621</v>
      </c>
      <c r="E226" s="18" t="s">
        <v>622</v>
      </c>
      <c r="F226" s="18">
        <v>2005</v>
      </c>
      <c r="G226" s="40">
        <v>7319</v>
      </c>
      <c r="H226" s="40">
        <f t="shared" ref="H226:I226" si="239">F226-F225</f>
        <v>4</v>
      </c>
      <c r="I226" s="40">
        <f t="shared" si="239"/>
        <v>1586</v>
      </c>
      <c r="J226" s="66">
        <f t="shared" si="237"/>
        <v>0.27664399092970521</v>
      </c>
      <c r="K226" s="65">
        <f t="shared" si="238"/>
        <v>6.9160997732426302E-2</v>
      </c>
      <c r="L226" s="41" t="s">
        <v>623</v>
      </c>
    </row>
    <row r="227" spans="1:31" ht="13">
      <c r="A227" s="18" t="s">
        <v>371</v>
      </c>
      <c r="B227" s="18" t="s">
        <v>579</v>
      </c>
      <c r="C227" s="18" t="s">
        <v>705</v>
      </c>
      <c r="D227" s="18" t="s">
        <v>621</v>
      </c>
      <c r="E227" s="18" t="s">
        <v>622</v>
      </c>
      <c r="F227" s="18">
        <v>2008</v>
      </c>
      <c r="G227" s="40">
        <v>7606</v>
      </c>
      <c r="H227" s="40">
        <f t="shared" ref="H227:I227" si="240">F227-F226</f>
        <v>3</v>
      </c>
      <c r="I227" s="40">
        <f t="shared" si="240"/>
        <v>287</v>
      </c>
      <c r="J227" s="66">
        <f t="shared" si="237"/>
        <v>3.9213007241426422E-2</v>
      </c>
      <c r="K227" s="65">
        <f t="shared" si="238"/>
        <v>1.3071002413808807E-2</v>
      </c>
      <c r="L227" s="41" t="s">
        <v>623</v>
      </c>
    </row>
    <row r="228" spans="1:31" ht="13">
      <c r="A228" s="18" t="s">
        <v>371</v>
      </c>
      <c r="B228" s="18" t="s">
        <v>579</v>
      </c>
      <c r="C228" s="18" t="s">
        <v>705</v>
      </c>
      <c r="D228" s="18" t="s">
        <v>621</v>
      </c>
      <c r="E228" s="18" t="s">
        <v>622</v>
      </c>
      <c r="F228" s="18">
        <v>2014</v>
      </c>
      <c r="G228" s="40">
        <v>10139</v>
      </c>
      <c r="H228" s="40">
        <f t="shared" ref="H228:I228" si="241">F228-F227</f>
        <v>6</v>
      </c>
      <c r="I228" s="40">
        <f t="shared" si="241"/>
        <v>2533</v>
      </c>
      <c r="J228" s="66">
        <f t="shared" si="237"/>
        <v>0.3330265579805417</v>
      </c>
      <c r="K228" s="65">
        <f t="shared" si="238"/>
        <v>5.5504426330090284E-2</v>
      </c>
      <c r="L228" s="41" t="s">
        <v>623</v>
      </c>
    </row>
    <row r="229" spans="1:31" ht="13">
      <c r="A229" s="18" t="s">
        <v>371</v>
      </c>
      <c r="B229" s="18" t="s">
        <v>579</v>
      </c>
      <c r="C229" s="18" t="s">
        <v>705</v>
      </c>
      <c r="D229" s="18" t="s">
        <v>621</v>
      </c>
      <c r="E229" s="18" t="s">
        <v>622</v>
      </c>
      <c r="F229" s="18">
        <v>2018</v>
      </c>
      <c r="G229" s="40">
        <v>11065</v>
      </c>
      <c r="H229" s="40">
        <f t="shared" ref="H229:I229" si="242">F229-F228</f>
        <v>4</v>
      </c>
      <c r="I229" s="40">
        <f t="shared" si="242"/>
        <v>926</v>
      </c>
      <c r="J229" s="66">
        <f t="shared" si="237"/>
        <v>9.1330505967057898E-2</v>
      </c>
      <c r="K229" s="65">
        <f t="shared" si="238"/>
        <v>2.2832626491764475E-2</v>
      </c>
      <c r="L229" s="41" t="s">
        <v>623</v>
      </c>
    </row>
    <row r="230" spans="1:31" ht="13">
      <c r="A230" s="27" t="s">
        <v>634</v>
      </c>
      <c r="B230" s="27" t="s">
        <v>288</v>
      </c>
      <c r="C230" s="18" t="s">
        <v>709</v>
      </c>
      <c r="D230" s="27" t="s">
        <v>710</v>
      </c>
      <c r="E230" s="27" t="s">
        <v>611</v>
      </c>
      <c r="F230" s="37">
        <v>1966.9269776876299</v>
      </c>
      <c r="G230" s="37">
        <v>13426</v>
      </c>
      <c r="H230" s="37" t="s">
        <v>402</v>
      </c>
      <c r="I230" s="37" t="s">
        <v>402</v>
      </c>
      <c r="J230" s="65" t="s">
        <v>402</v>
      </c>
      <c r="K230" s="65" t="s">
        <v>402</v>
      </c>
      <c r="L230" s="38" t="s">
        <v>623</v>
      </c>
      <c r="M230" s="27"/>
      <c r="N230" s="27"/>
      <c r="O230" s="27"/>
      <c r="P230" s="27"/>
      <c r="Q230" s="27"/>
      <c r="R230" s="27"/>
      <c r="S230" s="27"/>
      <c r="T230" s="27"/>
      <c r="U230" s="27"/>
      <c r="V230" s="27"/>
      <c r="W230" s="27"/>
      <c r="X230" s="27"/>
      <c r="Y230" s="27"/>
      <c r="Z230" s="27"/>
      <c r="AA230" s="27"/>
      <c r="AB230" s="27"/>
      <c r="AC230" s="27"/>
      <c r="AD230" s="27"/>
      <c r="AE230" s="27"/>
    </row>
    <row r="231" spans="1:31" ht="13">
      <c r="A231" s="27" t="s">
        <v>634</v>
      </c>
      <c r="B231" s="27" t="s">
        <v>288</v>
      </c>
      <c r="C231" s="18" t="s">
        <v>709</v>
      </c>
      <c r="D231" s="27" t="s">
        <v>710</v>
      </c>
      <c r="E231" s="27" t="s">
        <v>611</v>
      </c>
      <c r="F231" s="37">
        <v>1967.9411764705901</v>
      </c>
      <c r="G231" s="37">
        <v>14548</v>
      </c>
      <c r="H231" s="37">
        <f t="shared" ref="H231:I231" si="243">F231-F230</f>
        <v>1.0141987829601931</v>
      </c>
      <c r="I231" s="37">
        <f t="shared" si="243"/>
        <v>1122</v>
      </c>
      <c r="J231" s="65">
        <f t="shared" ref="J231:J257" si="244">I231/G230</f>
        <v>8.3569194100998057E-2</v>
      </c>
      <c r="K231" s="65">
        <f t="shared" ref="K231:K257" si="245">J231/H231</f>
        <v>8.2399225383687047E-2</v>
      </c>
      <c r="L231" s="38" t="s">
        <v>623</v>
      </c>
    </row>
    <row r="232" spans="1:31" ht="13">
      <c r="A232" s="27" t="s">
        <v>634</v>
      </c>
      <c r="B232" s="27" t="s">
        <v>288</v>
      </c>
      <c r="C232" s="18" t="s">
        <v>709</v>
      </c>
      <c r="D232" s="27" t="s">
        <v>710</v>
      </c>
      <c r="E232" s="27" t="s">
        <v>611</v>
      </c>
      <c r="F232" s="37">
        <v>1968.8539553752501</v>
      </c>
      <c r="G232" s="37">
        <v>14553</v>
      </c>
      <c r="H232" s="37">
        <f t="shared" ref="H232:I232" si="246">F232-F231</f>
        <v>0.9127789046599446</v>
      </c>
      <c r="I232" s="37">
        <f t="shared" si="246"/>
        <v>5</v>
      </c>
      <c r="J232" s="65">
        <f t="shared" si="244"/>
        <v>3.4368985427550179E-4</v>
      </c>
      <c r="K232" s="65">
        <f t="shared" si="245"/>
        <v>3.7653132924182038E-4</v>
      </c>
      <c r="L232" s="38" t="s">
        <v>623</v>
      </c>
    </row>
    <row r="233" spans="1:31" ht="13">
      <c r="A233" s="27" t="s">
        <v>634</v>
      </c>
      <c r="B233" s="27" t="s">
        <v>288</v>
      </c>
      <c r="C233" s="18" t="s">
        <v>709</v>
      </c>
      <c r="D233" s="27" t="s">
        <v>710</v>
      </c>
      <c r="E233" s="27" t="s">
        <v>611</v>
      </c>
      <c r="F233" s="37">
        <v>1969.96957403651</v>
      </c>
      <c r="G233" s="37">
        <v>12771</v>
      </c>
      <c r="H233" s="37">
        <f t="shared" ref="H233:I233" si="247">F233-F232</f>
        <v>1.1156186612599868</v>
      </c>
      <c r="I233" s="37">
        <f t="shared" si="247"/>
        <v>-1782</v>
      </c>
      <c r="J233" s="65">
        <f t="shared" si="244"/>
        <v>-0.12244897959183673</v>
      </c>
      <c r="K233" s="65">
        <f t="shared" si="245"/>
        <v>-0.10975881261572129</v>
      </c>
      <c r="L233" s="38" t="s">
        <v>623</v>
      </c>
    </row>
    <row r="234" spans="1:31" ht="13">
      <c r="A234" s="27" t="s">
        <v>634</v>
      </c>
      <c r="B234" s="27" t="s">
        <v>288</v>
      </c>
      <c r="C234" s="18" t="s">
        <v>709</v>
      </c>
      <c r="D234" s="27" t="s">
        <v>710</v>
      </c>
      <c r="E234" s="27" t="s">
        <v>611</v>
      </c>
      <c r="F234" s="37">
        <v>1970.88235294118</v>
      </c>
      <c r="G234" s="37">
        <v>11079</v>
      </c>
      <c r="H234" s="37">
        <f t="shared" ref="H234:I234" si="248">F234-F233</f>
        <v>0.91277890466994904</v>
      </c>
      <c r="I234" s="37">
        <f t="shared" si="248"/>
        <v>-1692</v>
      </c>
      <c r="J234" s="65">
        <f t="shared" si="244"/>
        <v>-0.13248766737138831</v>
      </c>
      <c r="K234" s="65">
        <f t="shared" si="245"/>
        <v>-0.145147600030584</v>
      </c>
      <c r="L234" s="38" t="s">
        <v>623</v>
      </c>
    </row>
    <row r="235" spans="1:31" ht="13">
      <c r="A235" s="27" t="s">
        <v>634</v>
      </c>
      <c r="B235" s="27" t="s">
        <v>288</v>
      </c>
      <c r="C235" s="18" t="s">
        <v>709</v>
      </c>
      <c r="D235" s="27" t="s">
        <v>710</v>
      </c>
      <c r="E235" s="27" t="s">
        <v>611</v>
      </c>
      <c r="F235" s="37">
        <v>1971.89655172414</v>
      </c>
      <c r="G235" s="37">
        <v>17365</v>
      </c>
      <c r="H235" s="37">
        <f t="shared" ref="H235:I235" si="249">F235-F234</f>
        <v>1.0141987829599657</v>
      </c>
      <c r="I235" s="37">
        <f t="shared" si="249"/>
        <v>6286</v>
      </c>
      <c r="J235" s="65">
        <f t="shared" si="244"/>
        <v>0.56737972741222131</v>
      </c>
      <c r="K235" s="65">
        <f t="shared" si="245"/>
        <v>0.55943641122927468</v>
      </c>
      <c r="L235" s="38" t="s">
        <v>623</v>
      </c>
    </row>
    <row r="236" spans="1:31" ht="13">
      <c r="A236" s="27" t="s">
        <v>634</v>
      </c>
      <c r="B236" s="27" t="s">
        <v>288</v>
      </c>
      <c r="C236" s="18" t="s">
        <v>709</v>
      </c>
      <c r="D236" s="27" t="s">
        <v>710</v>
      </c>
      <c r="E236" s="27" t="s">
        <v>611</v>
      </c>
      <c r="F236" s="37">
        <v>1972.9107505070999</v>
      </c>
      <c r="G236" s="37">
        <v>17375</v>
      </c>
      <c r="H236" s="37">
        <f t="shared" ref="H236:I236" si="250">F236-F235</f>
        <v>1.0141987829599657</v>
      </c>
      <c r="I236" s="37">
        <f t="shared" si="250"/>
        <v>10</v>
      </c>
      <c r="J236" s="65">
        <f t="shared" si="244"/>
        <v>5.7587100489490354E-4</v>
      </c>
      <c r="K236" s="65">
        <f t="shared" si="245"/>
        <v>5.6780881082721174E-4</v>
      </c>
      <c r="L236" s="38" t="s">
        <v>623</v>
      </c>
    </row>
    <row r="237" spans="1:31" ht="13">
      <c r="A237" s="27" t="s">
        <v>634</v>
      </c>
      <c r="B237" s="27" t="s">
        <v>288</v>
      </c>
      <c r="C237" s="18" t="s">
        <v>709</v>
      </c>
      <c r="D237" s="27" t="s">
        <v>710</v>
      </c>
      <c r="E237" s="27" t="s">
        <v>611</v>
      </c>
      <c r="F237" s="37">
        <v>1973.9249492900601</v>
      </c>
      <c r="G237" s="37">
        <v>15290</v>
      </c>
      <c r="H237" s="37">
        <f t="shared" ref="H237:I237" si="251">F237-F236</f>
        <v>1.0141987829601931</v>
      </c>
      <c r="I237" s="37">
        <f t="shared" si="251"/>
        <v>-2085</v>
      </c>
      <c r="J237" s="65">
        <f t="shared" si="244"/>
        <v>-0.12</v>
      </c>
      <c r="K237" s="65">
        <f t="shared" si="245"/>
        <v>-0.11832000000014785</v>
      </c>
      <c r="L237" s="38" t="s">
        <v>623</v>
      </c>
      <c r="M237" s="30"/>
      <c r="N237" s="30"/>
      <c r="O237" s="30"/>
      <c r="P237" s="30"/>
      <c r="Q237" s="30"/>
      <c r="R237" s="30"/>
      <c r="S237" s="30"/>
      <c r="T237" s="30"/>
      <c r="U237" s="30"/>
      <c r="V237" s="30"/>
      <c r="W237" s="30"/>
      <c r="X237" s="30"/>
      <c r="Y237" s="30"/>
      <c r="Z237" s="30"/>
      <c r="AA237" s="30"/>
      <c r="AB237" s="30"/>
      <c r="AC237" s="30"/>
      <c r="AD237" s="30"/>
      <c r="AE237" s="30"/>
    </row>
    <row r="238" spans="1:31" ht="13">
      <c r="A238" s="27" t="s">
        <v>634</v>
      </c>
      <c r="B238" s="27" t="s">
        <v>288</v>
      </c>
      <c r="C238" s="18" t="s">
        <v>709</v>
      </c>
      <c r="D238" s="27" t="s">
        <v>710</v>
      </c>
      <c r="E238" s="27" t="s">
        <v>611</v>
      </c>
      <c r="F238" s="37">
        <v>1974.8377281947301</v>
      </c>
      <c r="G238" s="37">
        <v>17564</v>
      </c>
      <c r="H238" s="37">
        <f t="shared" ref="H238:I238" si="252">F238-F237</f>
        <v>0.91277890466994904</v>
      </c>
      <c r="I238" s="37">
        <f t="shared" si="252"/>
        <v>2274</v>
      </c>
      <c r="J238" s="65">
        <f t="shared" si="244"/>
        <v>0.14872465663832571</v>
      </c>
      <c r="K238" s="65">
        <f t="shared" si="245"/>
        <v>0.16293612382738284</v>
      </c>
      <c r="L238" s="38" t="s">
        <v>623</v>
      </c>
      <c r="M238" s="30"/>
      <c r="N238" s="30"/>
      <c r="O238" s="30"/>
      <c r="P238" s="30"/>
      <c r="Q238" s="30"/>
      <c r="R238" s="30"/>
      <c r="S238" s="30"/>
      <c r="T238" s="30"/>
      <c r="U238" s="30"/>
      <c r="V238" s="30"/>
      <c r="W238" s="30"/>
      <c r="X238" s="30"/>
      <c r="Y238" s="30"/>
      <c r="Z238" s="30"/>
      <c r="AA238" s="30"/>
      <c r="AB238" s="30"/>
      <c r="AC238" s="30"/>
      <c r="AD238" s="30"/>
      <c r="AE238" s="30"/>
    </row>
    <row r="239" spans="1:31" ht="13">
      <c r="A239" s="27" t="s">
        <v>634</v>
      </c>
      <c r="B239" s="27" t="s">
        <v>288</v>
      </c>
      <c r="C239" s="18" t="s">
        <v>709</v>
      </c>
      <c r="D239" s="27" t="s">
        <v>710</v>
      </c>
      <c r="E239" s="27" t="s">
        <v>611</v>
      </c>
      <c r="F239" s="37">
        <v>1975.95334685598</v>
      </c>
      <c r="G239" s="37">
        <v>18377</v>
      </c>
      <c r="H239" s="37">
        <f t="shared" ref="H239:I239" si="253">F239-F238</f>
        <v>1.1156186612499823</v>
      </c>
      <c r="I239" s="37">
        <f t="shared" si="253"/>
        <v>813</v>
      </c>
      <c r="J239" s="65">
        <f t="shared" si="244"/>
        <v>4.6287861534957869E-2</v>
      </c>
      <c r="K239" s="65">
        <f t="shared" si="245"/>
        <v>4.1490755885254874E-2</v>
      </c>
      <c r="L239" s="38" t="s">
        <v>623</v>
      </c>
      <c r="M239" s="30"/>
      <c r="N239" s="30"/>
      <c r="O239" s="30"/>
      <c r="P239" s="30"/>
      <c r="Q239" s="30"/>
      <c r="R239" s="30"/>
      <c r="S239" s="30"/>
      <c r="T239" s="30"/>
      <c r="U239" s="30"/>
      <c r="V239" s="30"/>
      <c r="W239" s="30"/>
      <c r="X239" s="30"/>
      <c r="Y239" s="30"/>
      <c r="Z239" s="30"/>
      <c r="AA239" s="30"/>
      <c r="AB239" s="30"/>
      <c r="AC239" s="30"/>
      <c r="AD239" s="30"/>
      <c r="AE239" s="30"/>
    </row>
    <row r="240" spans="1:31" ht="13">
      <c r="A240" s="27" t="s">
        <v>634</v>
      </c>
      <c r="B240" s="27" t="s">
        <v>288</v>
      </c>
      <c r="C240" s="18" t="s">
        <v>709</v>
      </c>
      <c r="D240" s="27" t="s">
        <v>710</v>
      </c>
      <c r="E240" s="27" t="s">
        <v>611</v>
      </c>
      <c r="F240" s="37">
        <v>1976.96754563895</v>
      </c>
      <c r="G240" s="37">
        <v>19538</v>
      </c>
      <c r="H240" s="37">
        <f t="shared" ref="H240:I240" si="254">F240-F239</f>
        <v>1.0141987829699701</v>
      </c>
      <c r="I240" s="37">
        <f t="shared" si="254"/>
        <v>1161</v>
      </c>
      <c r="J240" s="65">
        <f t="shared" si="244"/>
        <v>6.3176797083310657E-2</v>
      </c>
      <c r="K240" s="65">
        <f t="shared" si="245"/>
        <v>6.2292321923621642E-2</v>
      </c>
      <c r="L240" s="38" t="s">
        <v>623</v>
      </c>
      <c r="M240" s="30"/>
      <c r="N240" s="30"/>
      <c r="O240" s="30"/>
      <c r="P240" s="30"/>
      <c r="Q240" s="30"/>
      <c r="R240" s="30"/>
      <c r="S240" s="30"/>
      <c r="T240" s="30"/>
      <c r="U240" s="30"/>
      <c r="V240" s="30"/>
      <c r="W240" s="30"/>
      <c r="X240" s="30"/>
      <c r="Y240" s="30"/>
      <c r="Z240" s="30"/>
      <c r="AA240" s="30"/>
      <c r="AB240" s="30"/>
      <c r="AC240" s="30"/>
      <c r="AD240" s="30"/>
      <c r="AE240" s="30"/>
    </row>
    <row r="241" spans="1:31" ht="13">
      <c r="A241" s="27" t="s">
        <v>634</v>
      </c>
      <c r="B241" s="27" t="s">
        <v>288</v>
      </c>
      <c r="C241" s="18" t="s">
        <v>709</v>
      </c>
      <c r="D241" s="27" t="s">
        <v>710</v>
      </c>
      <c r="E241" s="27" t="s">
        <v>611</v>
      </c>
      <c r="F241" s="37">
        <v>1977.88032454361</v>
      </c>
      <c r="G241" s="37">
        <v>15384</v>
      </c>
      <c r="H241" s="37">
        <f t="shared" ref="H241:I241" si="255">F241-F240</f>
        <v>0.9127789046599446</v>
      </c>
      <c r="I241" s="37">
        <f t="shared" si="255"/>
        <v>-4154</v>
      </c>
      <c r="J241" s="65">
        <f t="shared" si="244"/>
        <v>-0.21261132152728018</v>
      </c>
      <c r="K241" s="65">
        <f t="shared" si="245"/>
        <v>-0.23292751447459059</v>
      </c>
      <c r="L241" s="38" t="s">
        <v>623</v>
      </c>
      <c r="M241" s="30"/>
      <c r="N241" s="30"/>
      <c r="O241" s="30"/>
      <c r="P241" s="30"/>
      <c r="Q241" s="30"/>
      <c r="R241" s="30"/>
      <c r="S241" s="30"/>
      <c r="T241" s="30"/>
      <c r="U241" s="30"/>
      <c r="V241" s="30"/>
      <c r="W241" s="30"/>
      <c r="X241" s="30"/>
      <c r="Y241" s="30"/>
      <c r="Z241" s="30"/>
      <c r="AA241" s="30"/>
      <c r="AB241" s="30"/>
      <c r="AC241" s="30"/>
      <c r="AD241" s="30"/>
      <c r="AE241" s="30"/>
    </row>
    <row r="242" spans="1:31" ht="13">
      <c r="A242" s="27" t="s">
        <v>634</v>
      </c>
      <c r="B242" s="27" t="s">
        <v>288</v>
      </c>
      <c r="C242" s="18" t="s">
        <v>709</v>
      </c>
      <c r="D242" s="27" t="s">
        <v>710</v>
      </c>
      <c r="E242" s="27" t="s">
        <v>611</v>
      </c>
      <c r="F242" s="37">
        <v>1978.8945233265699</v>
      </c>
      <c r="G242" s="37">
        <v>19763</v>
      </c>
      <c r="H242" s="37">
        <f t="shared" ref="H242:I242" si="256">F242-F241</f>
        <v>1.0141987829599657</v>
      </c>
      <c r="I242" s="37">
        <f t="shared" si="256"/>
        <v>4379</v>
      </c>
      <c r="J242" s="65">
        <f t="shared" si="244"/>
        <v>0.28464638585543423</v>
      </c>
      <c r="K242" s="65">
        <f t="shared" si="245"/>
        <v>0.28066133645387181</v>
      </c>
      <c r="L242" s="38" t="s">
        <v>623</v>
      </c>
      <c r="M242" s="30"/>
      <c r="N242" s="30"/>
      <c r="O242" s="30"/>
      <c r="P242" s="30"/>
      <c r="Q242" s="30"/>
      <c r="R242" s="30"/>
      <c r="S242" s="30"/>
      <c r="T242" s="30"/>
      <c r="U242" s="30"/>
      <c r="V242" s="30"/>
      <c r="W242" s="30"/>
      <c r="X242" s="30"/>
      <c r="Y242" s="30"/>
      <c r="Z242" s="30"/>
      <c r="AA242" s="30"/>
      <c r="AB242" s="30"/>
      <c r="AC242" s="30"/>
      <c r="AD242" s="30"/>
      <c r="AE242" s="30"/>
    </row>
    <row r="243" spans="1:31" ht="13">
      <c r="A243" s="27" t="s">
        <v>634</v>
      </c>
      <c r="B243" s="27" t="s">
        <v>288</v>
      </c>
      <c r="C243" s="18" t="s">
        <v>709</v>
      </c>
      <c r="D243" s="27" t="s">
        <v>710</v>
      </c>
      <c r="E243" s="27" t="s">
        <v>611</v>
      </c>
      <c r="F243" s="37">
        <v>1983.96551724138</v>
      </c>
      <c r="G243" s="37">
        <v>23499</v>
      </c>
      <c r="H243" s="37">
        <f t="shared" ref="H243:I243" si="257">F243-F242</f>
        <v>5.0709939148100602</v>
      </c>
      <c r="I243" s="37">
        <f t="shared" si="257"/>
        <v>3736</v>
      </c>
      <c r="J243" s="65">
        <f t="shared" si="244"/>
        <v>0.1890401254870212</v>
      </c>
      <c r="K243" s="65">
        <f t="shared" si="245"/>
        <v>3.7278712746020307E-2</v>
      </c>
      <c r="L243" s="38" t="s">
        <v>623</v>
      </c>
      <c r="M243" s="30"/>
      <c r="N243" s="30"/>
      <c r="O243" s="30"/>
      <c r="P243" s="30"/>
      <c r="Q243" s="30"/>
      <c r="R243" s="30"/>
      <c r="S243" s="30"/>
      <c r="T243" s="30"/>
      <c r="U243" s="30"/>
      <c r="V243" s="30"/>
      <c r="W243" s="30"/>
      <c r="X243" s="30"/>
      <c r="Y243" s="30"/>
      <c r="Z243" s="30"/>
      <c r="AA243" s="30"/>
      <c r="AB243" s="30"/>
      <c r="AC243" s="30"/>
      <c r="AD243" s="30"/>
      <c r="AE243" s="30"/>
    </row>
    <row r="244" spans="1:31" ht="13">
      <c r="A244" s="27" t="s">
        <v>634</v>
      </c>
      <c r="B244" s="27" t="s">
        <v>288</v>
      </c>
      <c r="C244" s="18" t="s">
        <v>709</v>
      </c>
      <c r="D244" s="27" t="s">
        <v>710</v>
      </c>
      <c r="E244" s="27" t="s">
        <v>611</v>
      </c>
      <c r="F244" s="37">
        <v>1984.97971602434</v>
      </c>
      <c r="G244" s="37">
        <v>22921</v>
      </c>
      <c r="H244" s="37">
        <f t="shared" ref="H244:I244" si="258">F244-F243</f>
        <v>1.0141987829599657</v>
      </c>
      <c r="I244" s="37">
        <f t="shared" si="258"/>
        <v>-578</v>
      </c>
      <c r="J244" s="65">
        <f t="shared" si="244"/>
        <v>-2.4596791352823524E-2</v>
      </c>
      <c r="K244" s="65">
        <f t="shared" si="245"/>
        <v>-2.425243627391974E-2</v>
      </c>
      <c r="L244" s="38" t="s">
        <v>623</v>
      </c>
      <c r="M244" s="30"/>
      <c r="N244" s="30"/>
      <c r="O244" s="30"/>
      <c r="P244" s="30"/>
      <c r="Q244" s="30"/>
      <c r="R244" s="30"/>
      <c r="S244" s="30"/>
      <c r="T244" s="30"/>
      <c r="U244" s="30"/>
      <c r="V244" s="30"/>
      <c r="W244" s="30"/>
      <c r="X244" s="30"/>
      <c r="Y244" s="30"/>
      <c r="Z244" s="30"/>
      <c r="AA244" s="30"/>
      <c r="AB244" s="30"/>
      <c r="AC244" s="30"/>
      <c r="AD244" s="30"/>
      <c r="AE244" s="30"/>
    </row>
    <row r="245" spans="1:31" ht="13">
      <c r="A245" s="27" t="s">
        <v>634</v>
      </c>
      <c r="B245" s="27" t="s">
        <v>288</v>
      </c>
      <c r="C245" s="18" t="s">
        <v>709</v>
      </c>
      <c r="D245" s="27" t="s">
        <v>710</v>
      </c>
      <c r="E245" s="27" t="s">
        <v>611</v>
      </c>
      <c r="F245" s="37">
        <v>1987.0081135902601</v>
      </c>
      <c r="G245" s="37">
        <v>26916</v>
      </c>
      <c r="H245" s="37">
        <f t="shared" ref="H245:I245" si="259">F245-F244</f>
        <v>2.0283975659201587</v>
      </c>
      <c r="I245" s="37">
        <f t="shared" si="259"/>
        <v>3995</v>
      </c>
      <c r="J245" s="65">
        <f t="shared" si="244"/>
        <v>0.17429431525675146</v>
      </c>
      <c r="K245" s="65">
        <f t="shared" si="245"/>
        <v>8.5927097421695478E-2</v>
      </c>
      <c r="L245" s="38" t="s">
        <v>623</v>
      </c>
      <c r="M245" s="30"/>
      <c r="N245" s="30"/>
      <c r="O245" s="30"/>
      <c r="P245" s="30"/>
      <c r="Q245" s="30"/>
      <c r="R245" s="30"/>
      <c r="S245" s="30"/>
      <c r="T245" s="30"/>
      <c r="U245" s="30"/>
      <c r="V245" s="30"/>
      <c r="W245" s="30"/>
      <c r="X245" s="30"/>
      <c r="Y245" s="30"/>
      <c r="Z245" s="30"/>
      <c r="AA245" s="30"/>
      <c r="AB245" s="30"/>
      <c r="AC245" s="30"/>
      <c r="AD245" s="30"/>
      <c r="AE245" s="30"/>
    </row>
    <row r="246" spans="1:31" ht="13">
      <c r="A246" s="27" t="s">
        <v>634</v>
      </c>
      <c r="B246" s="27" t="s">
        <v>288</v>
      </c>
      <c r="C246" s="18" t="s">
        <v>709</v>
      </c>
      <c r="D246" s="27" t="s">
        <v>710</v>
      </c>
      <c r="E246" s="27" t="s">
        <v>611</v>
      </c>
      <c r="F246" s="37">
        <v>1991.8762677484799</v>
      </c>
      <c r="G246" s="37">
        <v>15762</v>
      </c>
      <c r="H246" s="37">
        <f t="shared" ref="H246:I246" si="260">F246-F245</f>
        <v>4.8681541582197951</v>
      </c>
      <c r="I246" s="37">
        <f t="shared" si="260"/>
        <v>-11154</v>
      </c>
      <c r="J246" s="65">
        <f t="shared" si="244"/>
        <v>-0.41440035666518055</v>
      </c>
      <c r="K246" s="65">
        <f t="shared" si="245"/>
        <v>-8.5124739931555504E-2</v>
      </c>
      <c r="L246" s="38" t="s">
        <v>623</v>
      </c>
      <c r="M246" s="30"/>
      <c r="N246" s="30"/>
      <c r="O246" s="30"/>
      <c r="P246" s="30"/>
      <c r="Q246" s="30"/>
      <c r="R246" s="30"/>
      <c r="S246" s="30"/>
      <c r="T246" s="30"/>
      <c r="U246" s="30"/>
      <c r="V246" s="30"/>
      <c r="W246" s="30"/>
      <c r="X246" s="30"/>
      <c r="Y246" s="30"/>
      <c r="Z246" s="30"/>
      <c r="AA246" s="30"/>
      <c r="AB246" s="30"/>
      <c r="AC246" s="30"/>
      <c r="AD246" s="30"/>
      <c r="AE246" s="30"/>
    </row>
    <row r="247" spans="1:31" ht="13">
      <c r="A247" s="27" t="s">
        <v>634</v>
      </c>
      <c r="B247" s="27" t="s">
        <v>288</v>
      </c>
      <c r="C247" s="18" t="s">
        <v>709</v>
      </c>
      <c r="D247" s="27" t="s">
        <v>710</v>
      </c>
      <c r="E247" s="27" t="s">
        <v>611</v>
      </c>
      <c r="F247" s="37">
        <v>1992.9918864097399</v>
      </c>
      <c r="G247" s="37">
        <v>20103</v>
      </c>
      <c r="H247" s="37">
        <f t="shared" ref="H247:I247" si="261">F247-F246</f>
        <v>1.1156186612599868</v>
      </c>
      <c r="I247" s="37">
        <f t="shared" si="261"/>
        <v>4341</v>
      </c>
      <c r="J247" s="65">
        <f t="shared" si="244"/>
        <v>0.27540921202893032</v>
      </c>
      <c r="K247" s="65">
        <f t="shared" si="245"/>
        <v>0.24686680278176901</v>
      </c>
      <c r="L247" s="38" t="s">
        <v>623</v>
      </c>
      <c r="M247" s="30"/>
      <c r="N247" s="30"/>
      <c r="O247" s="30"/>
      <c r="P247" s="30"/>
      <c r="Q247" s="30"/>
      <c r="R247" s="30"/>
      <c r="S247" s="30"/>
      <c r="T247" s="30"/>
      <c r="U247" s="30"/>
      <c r="V247" s="30"/>
      <c r="W247" s="30"/>
      <c r="X247" s="30"/>
      <c r="Y247" s="30"/>
      <c r="Z247" s="30"/>
      <c r="AA247" s="30"/>
      <c r="AB247" s="30"/>
      <c r="AC247" s="30"/>
      <c r="AD247" s="30"/>
      <c r="AE247" s="30"/>
    </row>
    <row r="248" spans="1:31" ht="13">
      <c r="A248" s="27" t="s">
        <v>634</v>
      </c>
      <c r="B248" s="27" t="s">
        <v>288</v>
      </c>
      <c r="C248" s="18" t="s">
        <v>709</v>
      </c>
      <c r="D248" s="27" t="s">
        <v>710</v>
      </c>
      <c r="E248" s="27" t="s">
        <v>611</v>
      </c>
      <c r="F248" s="37">
        <v>1994.81744421907</v>
      </c>
      <c r="G248" s="37">
        <v>20944</v>
      </c>
      <c r="H248" s="37">
        <f t="shared" ref="H248:I248" si="262">F248-F247</f>
        <v>1.825557809330121</v>
      </c>
      <c r="I248" s="37">
        <f t="shared" si="262"/>
        <v>841</v>
      </c>
      <c r="J248" s="65">
        <f t="shared" si="244"/>
        <v>4.1834552056906928E-2</v>
      </c>
      <c r="K248" s="65">
        <f t="shared" si="245"/>
        <v>2.2916037960067612E-2</v>
      </c>
      <c r="L248" s="38" t="s">
        <v>623</v>
      </c>
      <c r="M248" s="30"/>
      <c r="N248" s="30"/>
      <c r="O248" s="30"/>
      <c r="P248" s="30"/>
      <c r="Q248" s="30"/>
      <c r="R248" s="30"/>
      <c r="S248" s="30"/>
      <c r="T248" s="30"/>
      <c r="U248" s="30"/>
      <c r="V248" s="30"/>
      <c r="W248" s="30"/>
      <c r="X248" s="30"/>
      <c r="Y248" s="30"/>
      <c r="Z248" s="30"/>
      <c r="AA248" s="30"/>
      <c r="AB248" s="30"/>
      <c r="AC248" s="30"/>
      <c r="AD248" s="30"/>
      <c r="AE248" s="30"/>
    </row>
    <row r="249" spans="1:31" ht="13">
      <c r="A249" s="27" t="s">
        <v>634</v>
      </c>
      <c r="B249" s="27" t="s">
        <v>288</v>
      </c>
      <c r="C249" s="18" t="s">
        <v>709</v>
      </c>
      <c r="D249" s="27" t="s">
        <v>710</v>
      </c>
      <c r="E249" s="27" t="s">
        <v>611</v>
      </c>
      <c r="F249" s="37">
        <v>1996.94726166329</v>
      </c>
      <c r="G249" s="37">
        <v>21135</v>
      </c>
      <c r="H249" s="37">
        <f t="shared" ref="H249:I249" si="263">F249-F248</f>
        <v>2.1298174442199524</v>
      </c>
      <c r="I249" s="37">
        <f t="shared" si="263"/>
        <v>191</v>
      </c>
      <c r="J249" s="65">
        <f t="shared" si="244"/>
        <v>9.1195569136745605E-3</v>
      </c>
      <c r="K249" s="65">
        <f t="shared" si="245"/>
        <v>4.2818491032758947E-3</v>
      </c>
      <c r="L249" s="38" t="s">
        <v>623</v>
      </c>
      <c r="M249" s="30"/>
      <c r="N249" s="30"/>
      <c r="O249" s="30"/>
      <c r="P249" s="30"/>
      <c r="Q249" s="30"/>
      <c r="R249" s="30"/>
      <c r="S249" s="30"/>
      <c r="T249" s="30"/>
      <c r="U249" s="30"/>
      <c r="V249" s="30"/>
      <c r="W249" s="30"/>
      <c r="X249" s="30"/>
      <c r="Y249" s="30"/>
      <c r="Z249" s="30"/>
      <c r="AA249" s="30"/>
      <c r="AB249" s="30"/>
      <c r="AC249" s="30"/>
      <c r="AD249" s="30"/>
      <c r="AE249" s="30"/>
    </row>
    <row r="250" spans="1:31" ht="13">
      <c r="A250" s="27" t="s">
        <v>634</v>
      </c>
      <c r="B250" s="27" t="s">
        <v>288</v>
      </c>
      <c r="C250" s="18" t="s">
        <v>709</v>
      </c>
      <c r="D250" s="27" t="s">
        <v>710</v>
      </c>
      <c r="E250" s="27" t="s">
        <v>611</v>
      </c>
      <c r="F250" s="37">
        <v>1999.8884381338701</v>
      </c>
      <c r="G250" s="37">
        <v>16369</v>
      </c>
      <c r="H250" s="37">
        <f t="shared" ref="H250:I250" si="264">F250-F249</f>
        <v>2.9411764705801033</v>
      </c>
      <c r="I250" s="37">
        <f t="shared" si="264"/>
        <v>-4766</v>
      </c>
      <c r="J250" s="65">
        <f t="shared" si="244"/>
        <v>-0.22550272060563048</v>
      </c>
      <c r="K250" s="65">
        <f t="shared" si="245"/>
        <v>-7.667092500612635E-2</v>
      </c>
      <c r="L250" s="38" t="s">
        <v>623</v>
      </c>
      <c r="M250" s="30"/>
      <c r="N250" s="30"/>
      <c r="O250" s="30"/>
      <c r="P250" s="30"/>
      <c r="Q250" s="30"/>
      <c r="R250" s="30"/>
      <c r="S250" s="30"/>
      <c r="T250" s="30"/>
      <c r="U250" s="30"/>
      <c r="V250" s="30"/>
      <c r="W250" s="30"/>
      <c r="X250" s="30"/>
      <c r="Y250" s="30"/>
      <c r="Z250" s="30"/>
      <c r="AA250" s="30"/>
      <c r="AB250" s="30"/>
      <c r="AC250" s="30"/>
      <c r="AD250" s="30"/>
      <c r="AE250" s="30"/>
    </row>
    <row r="251" spans="1:31" ht="13">
      <c r="A251" s="27" t="s">
        <v>634</v>
      </c>
      <c r="B251" s="27" t="s">
        <v>288</v>
      </c>
      <c r="C251" s="18" t="s">
        <v>709</v>
      </c>
      <c r="D251" s="27" t="s">
        <v>710</v>
      </c>
      <c r="E251" s="27" t="s">
        <v>611</v>
      </c>
      <c r="F251" s="37">
        <v>2000.90263691684</v>
      </c>
      <c r="G251" s="37">
        <v>16033</v>
      </c>
      <c r="H251" s="37">
        <f t="shared" ref="H251:I251" si="265">F251-F250</f>
        <v>1.0141987829699701</v>
      </c>
      <c r="I251" s="37">
        <f t="shared" si="265"/>
        <v>-336</v>
      </c>
      <c r="J251" s="65">
        <f t="shared" si="244"/>
        <v>-2.0526605168305945E-2</v>
      </c>
      <c r="K251" s="65">
        <f t="shared" si="245"/>
        <v>-2.0239232695779843E-2</v>
      </c>
      <c r="L251" s="38" t="s">
        <v>623</v>
      </c>
    </row>
    <row r="252" spans="1:31" ht="13">
      <c r="A252" s="27" t="s">
        <v>634</v>
      </c>
      <c r="B252" s="27" t="s">
        <v>288</v>
      </c>
      <c r="C252" s="18" t="s">
        <v>709</v>
      </c>
      <c r="D252" s="27" t="s">
        <v>710</v>
      </c>
      <c r="E252" s="27" t="s">
        <v>611</v>
      </c>
      <c r="F252" s="37">
        <v>2005.8722109533501</v>
      </c>
      <c r="G252" s="37">
        <v>19126</v>
      </c>
      <c r="H252" s="37">
        <f t="shared" ref="H252:I252" si="266">F252-F251</f>
        <v>4.9695740365100392</v>
      </c>
      <c r="I252" s="37">
        <f t="shared" si="266"/>
        <v>3093</v>
      </c>
      <c r="J252" s="65">
        <f t="shared" si="244"/>
        <v>0.19291461360943055</v>
      </c>
      <c r="K252" s="65">
        <f t="shared" si="245"/>
        <v>3.881914469774312E-2</v>
      </c>
      <c r="L252" s="38" t="s">
        <v>623</v>
      </c>
    </row>
    <row r="253" spans="1:31" ht="13">
      <c r="A253" s="27" t="s">
        <v>634</v>
      </c>
      <c r="B253" s="27" t="s">
        <v>288</v>
      </c>
      <c r="C253" s="18" t="s">
        <v>709</v>
      </c>
      <c r="D253" s="27" t="s">
        <v>710</v>
      </c>
      <c r="E253" s="27" t="s">
        <v>611</v>
      </c>
      <c r="F253" s="37">
        <v>2007</v>
      </c>
      <c r="G253" s="37">
        <v>17820</v>
      </c>
      <c r="H253" s="37">
        <f t="shared" ref="H253:I253" si="267">F253-F252</f>
        <v>1.127789046649923</v>
      </c>
      <c r="I253" s="37">
        <f t="shared" si="267"/>
        <v>-1306</v>
      </c>
      <c r="J253" s="65">
        <f t="shared" si="244"/>
        <v>-6.8284011293527139E-2</v>
      </c>
      <c r="K253" s="65">
        <f t="shared" si="245"/>
        <v>-6.0546794186699684E-2</v>
      </c>
      <c r="L253" s="38" t="s">
        <v>623</v>
      </c>
    </row>
    <row r="254" spans="1:31" ht="13">
      <c r="A254" s="27" t="s">
        <v>634</v>
      </c>
      <c r="B254" s="27" t="s">
        <v>288</v>
      </c>
      <c r="C254" s="18" t="s">
        <v>709</v>
      </c>
      <c r="D254" s="27" t="s">
        <v>710</v>
      </c>
      <c r="E254" s="27" t="s">
        <v>611</v>
      </c>
      <c r="F254" s="37">
        <v>2009</v>
      </c>
      <c r="G254" s="37">
        <v>21210</v>
      </c>
      <c r="H254" s="37">
        <f t="shared" ref="H254:I254" si="268">F254-F253</f>
        <v>2</v>
      </c>
      <c r="I254" s="37">
        <f t="shared" si="268"/>
        <v>3390</v>
      </c>
      <c r="J254" s="65">
        <f t="shared" si="244"/>
        <v>0.19023569023569023</v>
      </c>
      <c r="K254" s="65">
        <f t="shared" si="245"/>
        <v>9.5117845117845115E-2</v>
      </c>
      <c r="L254" s="38" t="s">
        <v>623</v>
      </c>
    </row>
    <row r="255" spans="1:31" ht="13">
      <c r="A255" s="27" t="s">
        <v>634</v>
      </c>
      <c r="B255" s="27" t="s">
        <v>288</v>
      </c>
      <c r="C255" s="18" t="s">
        <v>709</v>
      </c>
      <c r="D255" s="27" t="s">
        <v>710</v>
      </c>
      <c r="E255" s="27" t="s">
        <v>611</v>
      </c>
      <c r="F255" s="37">
        <v>2010</v>
      </c>
      <c r="G255" s="37">
        <v>20990</v>
      </c>
      <c r="H255" s="37">
        <f t="shared" ref="H255:I255" si="269">F255-F254</f>
        <v>1</v>
      </c>
      <c r="I255" s="37">
        <f t="shared" si="269"/>
        <v>-220</v>
      </c>
      <c r="J255" s="65">
        <f t="shared" si="244"/>
        <v>-1.0372465818010372E-2</v>
      </c>
      <c r="K255" s="65">
        <f t="shared" si="245"/>
        <v>-1.0372465818010372E-2</v>
      </c>
      <c r="L255" s="38" t="s">
        <v>623</v>
      </c>
    </row>
    <row r="256" spans="1:31" ht="13">
      <c r="A256" s="27" t="s">
        <v>634</v>
      </c>
      <c r="B256" s="27" t="s">
        <v>288</v>
      </c>
      <c r="C256" s="18" t="s">
        <v>709</v>
      </c>
      <c r="D256" s="27" t="s">
        <v>710</v>
      </c>
      <c r="E256" s="27" t="s">
        <v>611</v>
      </c>
      <c r="F256" s="37">
        <v>2014</v>
      </c>
      <c r="G256" s="37">
        <v>28790</v>
      </c>
      <c r="H256" s="37">
        <f t="shared" ref="H256:I256" si="270">F256-F255</f>
        <v>4</v>
      </c>
      <c r="I256" s="37">
        <f t="shared" si="270"/>
        <v>7800</v>
      </c>
      <c r="J256" s="65">
        <f t="shared" si="244"/>
        <v>0.37160552644116246</v>
      </c>
      <c r="K256" s="65">
        <f t="shared" si="245"/>
        <v>9.2901381610290615E-2</v>
      </c>
      <c r="L256" s="38" t="s">
        <v>623</v>
      </c>
    </row>
    <row r="257" spans="1:12" ht="13">
      <c r="A257" s="27" t="s">
        <v>634</v>
      </c>
      <c r="B257" s="27" t="s">
        <v>288</v>
      </c>
      <c r="C257" s="18" t="s">
        <v>709</v>
      </c>
      <c r="D257" s="27" t="s">
        <v>710</v>
      </c>
      <c r="E257" s="27" t="s">
        <v>611</v>
      </c>
      <c r="F257" s="37">
        <v>2015</v>
      </c>
      <c r="G257" s="37">
        <v>26960</v>
      </c>
      <c r="H257" s="37">
        <f t="shared" ref="H257:I257" si="271">F257-F256</f>
        <v>1</v>
      </c>
      <c r="I257" s="37">
        <f t="shared" si="271"/>
        <v>-1830</v>
      </c>
      <c r="J257" s="65">
        <f t="shared" si="244"/>
        <v>-6.3563737408822513E-2</v>
      </c>
      <c r="K257" s="65">
        <f t="shared" si="245"/>
        <v>-6.3563737408822513E-2</v>
      </c>
      <c r="L257" s="38" t="s">
        <v>623</v>
      </c>
    </row>
    <row r="258" spans="1:12" ht="13">
      <c r="A258" s="27" t="s">
        <v>363</v>
      </c>
      <c r="B258" s="27" t="s">
        <v>364</v>
      </c>
      <c r="C258" s="18" t="s">
        <v>711</v>
      </c>
      <c r="D258" s="18" t="s">
        <v>712</v>
      </c>
      <c r="E258" s="18" t="s">
        <v>622</v>
      </c>
      <c r="F258" s="18">
        <v>1986</v>
      </c>
      <c r="G258" s="40">
        <v>5014</v>
      </c>
      <c r="H258" s="40" t="s">
        <v>402</v>
      </c>
      <c r="I258" s="40" t="s">
        <v>402</v>
      </c>
      <c r="J258" s="66" t="s">
        <v>402</v>
      </c>
      <c r="K258" s="65" t="s">
        <v>402</v>
      </c>
      <c r="L258" s="38" t="s">
        <v>637</v>
      </c>
    </row>
    <row r="259" spans="1:12" ht="13">
      <c r="A259" s="27" t="s">
        <v>363</v>
      </c>
      <c r="B259" s="27" t="s">
        <v>364</v>
      </c>
      <c r="C259" s="18" t="s">
        <v>711</v>
      </c>
      <c r="D259" s="18" t="s">
        <v>712</v>
      </c>
      <c r="E259" s="18" t="s">
        <v>622</v>
      </c>
      <c r="F259" s="18">
        <v>1987</v>
      </c>
      <c r="G259" s="40">
        <v>3320</v>
      </c>
      <c r="H259" s="40">
        <f t="shared" ref="H259:I259" si="272">F259-F258</f>
        <v>1</v>
      </c>
      <c r="I259" s="40">
        <f t="shared" si="272"/>
        <v>-1694</v>
      </c>
      <c r="J259" s="66">
        <f t="shared" ref="J259:J289" si="273">I259/G258</f>
        <v>-0.33785400877542882</v>
      </c>
      <c r="K259" s="65">
        <f t="shared" ref="K259:K289" si="274">J259/H259</f>
        <v>-0.33785400877542882</v>
      </c>
      <c r="L259" s="38" t="s">
        <v>637</v>
      </c>
    </row>
    <row r="260" spans="1:12" ht="13">
      <c r="A260" s="27" t="s">
        <v>363</v>
      </c>
      <c r="B260" s="27" t="s">
        <v>364</v>
      </c>
      <c r="C260" s="18" t="s">
        <v>711</v>
      </c>
      <c r="D260" s="18" t="s">
        <v>712</v>
      </c>
      <c r="E260" s="18" t="s">
        <v>622</v>
      </c>
      <c r="F260" s="18">
        <v>1988</v>
      </c>
      <c r="G260" s="40">
        <v>3930</v>
      </c>
      <c r="H260" s="40">
        <f t="shared" ref="H260:I260" si="275">F260-F259</f>
        <v>1</v>
      </c>
      <c r="I260" s="40">
        <f t="shared" si="275"/>
        <v>610</v>
      </c>
      <c r="J260" s="66">
        <f t="shared" si="273"/>
        <v>0.18373493975903615</v>
      </c>
      <c r="K260" s="65">
        <f t="shared" si="274"/>
        <v>0.18373493975903615</v>
      </c>
      <c r="L260" s="38" t="s">
        <v>637</v>
      </c>
    </row>
    <row r="261" spans="1:12" ht="13">
      <c r="A261" s="27" t="s">
        <v>363</v>
      </c>
      <c r="B261" s="27" t="s">
        <v>364</v>
      </c>
      <c r="C261" s="18" t="s">
        <v>711</v>
      </c>
      <c r="D261" s="18" t="s">
        <v>712</v>
      </c>
      <c r="E261" s="18" t="s">
        <v>622</v>
      </c>
      <c r="F261" s="18">
        <v>1989</v>
      </c>
      <c r="G261" s="40">
        <v>3930</v>
      </c>
      <c r="H261" s="40">
        <f t="shared" ref="H261:I261" si="276">F261-F260</f>
        <v>1</v>
      </c>
      <c r="I261" s="40">
        <f t="shared" si="276"/>
        <v>0</v>
      </c>
      <c r="J261" s="66">
        <f t="shared" si="273"/>
        <v>0</v>
      </c>
      <c r="K261" s="65">
        <f t="shared" si="274"/>
        <v>0</v>
      </c>
      <c r="L261" s="38" t="s">
        <v>637</v>
      </c>
    </row>
    <row r="262" spans="1:12" ht="13">
      <c r="A262" s="27" t="s">
        <v>363</v>
      </c>
      <c r="B262" s="27" t="s">
        <v>364</v>
      </c>
      <c r="C262" s="18" t="s">
        <v>711</v>
      </c>
      <c r="D262" s="18" t="s">
        <v>712</v>
      </c>
      <c r="E262" s="18" t="s">
        <v>622</v>
      </c>
      <c r="F262" s="18">
        <v>1990</v>
      </c>
      <c r="G262" s="40">
        <v>3930</v>
      </c>
      <c r="H262" s="40">
        <f t="shared" ref="H262:I262" si="277">F262-F261</f>
        <v>1</v>
      </c>
      <c r="I262" s="40">
        <f t="shared" si="277"/>
        <v>0</v>
      </c>
      <c r="J262" s="66">
        <f t="shared" si="273"/>
        <v>0</v>
      </c>
      <c r="K262" s="65">
        <f t="shared" si="274"/>
        <v>0</v>
      </c>
      <c r="L262" s="38" t="s">
        <v>637</v>
      </c>
    </row>
    <row r="263" spans="1:12" ht="13">
      <c r="A263" s="27" t="s">
        <v>363</v>
      </c>
      <c r="B263" s="27" t="s">
        <v>364</v>
      </c>
      <c r="C263" s="18" t="s">
        <v>711</v>
      </c>
      <c r="D263" s="18" t="s">
        <v>712</v>
      </c>
      <c r="E263" s="18" t="s">
        <v>622</v>
      </c>
      <c r="F263" s="18">
        <v>1991</v>
      </c>
      <c r="G263" s="40">
        <v>3455</v>
      </c>
      <c r="H263" s="40">
        <f t="shared" ref="H263:I263" si="278">F263-F262</f>
        <v>1</v>
      </c>
      <c r="I263" s="40">
        <f t="shared" si="278"/>
        <v>-475</v>
      </c>
      <c r="J263" s="66">
        <f t="shared" si="273"/>
        <v>-0.12086513994910941</v>
      </c>
      <c r="K263" s="65">
        <f t="shared" si="274"/>
        <v>-0.12086513994910941</v>
      </c>
      <c r="L263" s="38" t="s">
        <v>637</v>
      </c>
    </row>
    <row r="264" spans="1:12" ht="13">
      <c r="A264" s="27" t="s">
        <v>363</v>
      </c>
      <c r="B264" s="27" t="s">
        <v>364</v>
      </c>
      <c r="C264" s="18" t="s">
        <v>711</v>
      </c>
      <c r="D264" s="18" t="s">
        <v>712</v>
      </c>
      <c r="E264" s="18" t="s">
        <v>622</v>
      </c>
      <c r="F264" s="18">
        <v>1992</v>
      </c>
      <c r="G264" s="40">
        <v>4065</v>
      </c>
      <c r="H264" s="40">
        <f t="shared" ref="H264:I264" si="279">F264-F263</f>
        <v>1</v>
      </c>
      <c r="I264" s="40">
        <f t="shared" si="279"/>
        <v>610</v>
      </c>
      <c r="J264" s="66">
        <f t="shared" si="273"/>
        <v>0.17655571635311143</v>
      </c>
      <c r="K264" s="65">
        <f t="shared" si="274"/>
        <v>0.17655571635311143</v>
      </c>
      <c r="L264" s="38" t="s">
        <v>637</v>
      </c>
    </row>
    <row r="265" spans="1:12" ht="13">
      <c r="A265" s="27" t="s">
        <v>363</v>
      </c>
      <c r="B265" s="27" t="s">
        <v>364</v>
      </c>
      <c r="C265" s="18" t="s">
        <v>711</v>
      </c>
      <c r="D265" s="18" t="s">
        <v>712</v>
      </c>
      <c r="E265" s="18" t="s">
        <v>622</v>
      </c>
      <c r="F265" s="18">
        <v>1993</v>
      </c>
      <c r="G265" s="40">
        <v>4201</v>
      </c>
      <c r="H265" s="40">
        <f t="shared" ref="H265:I265" si="280">F265-F264</f>
        <v>1</v>
      </c>
      <c r="I265" s="40">
        <f t="shared" si="280"/>
        <v>136</v>
      </c>
      <c r="J265" s="66">
        <f t="shared" si="273"/>
        <v>3.3456334563345631E-2</v>
      </c>
      <c r="K265" s="65">
        <f t="shared" si="274"/>
        <v>3.3456334563345631E-2</v>
      </c>
      <c r="L265" s="38" t="s">
        <v>637</v>
      </c>
    </row>
    <row r="266" spans="1:12" ht="13">
      <c r="A266" s="27" t="s">
        <v>363</v>
      </c>
      <c r="B266" s="27" t="s">
        <v>364</v>
      </c>
      <c r="C266" s="18" t="s">
        <v>711</v>
      </c>
      <c r="D266" s="18" t="s">
        <v>712</v>
      </c>
      <c r="E266" s="18" t="s">
        <v>622</v>
      </c>
      <c r="F266" s="18">
        <v>1994</v>
      </c>
      <c r="G266" s="40">
        <v>4743</v>
      </c>
      <c r="H266" s="40">
        <f t="shared" ref="H266:I266" si="281">F266-F265</f>
        <v>1</v>
      </c>
      <c r="I266" s="40">
        <f t="shared" si="281"/>
        <v>542</v>
      </c>
      <c r="J266" s="66">
        <f t="shared" si="273"/>
        <v>0.12901690073791955</v>
      </c>
      <c r="K266" s="65">
        <f t="shared" si="274"/>
        <v>0.12901690073791955</v>
      </c>
      <c r="L266" s="38" t="s">
        <v>637</v>
      </c>
    </row>
    <row r="267" spans="1:12" ht="13">
      <c r="A267" s="27" t="s">
        <v>363</v>
      </c>
      <c r="B267" s="27" t="s">
        <v>364</v>
      </c>
      <c r="C267" s="18" t="s">
        <v>711</v>
      </c>
      <c r="D267" s="18" t="s">
        <v>712</v>
      </c>
      <c r="E267" s="18" t="s">
        <v>622</v>
      </c>
      <c r="F267" s="18">
        <v>1995</v>
      </c>
      <c r="G267" s="40">
        <v>5149</v>
      </c>
      <c r="H267" s="40">
        <f t="shared" ref="H267:I267" si="282">F267-F266</f>
        <v>1</v>
      </c>
      <c r="I267" s="40">
        <f t="shared" si="282"/>
        <v>406</v>
      </c>
      <c r="J267" s="66">
        <f t="shared" si="273"/>
        <v>8.5599831330381612E-2</v>
      </c>
      <c r="K267" s="65">
        <f t="shared" si="274"/>
        <v>8.5599831330381612E-2</v>
      </c>
      <c r="L267" s="38" t="s">
        <v>637</v>
      </c>
    </row>
    <row r="268" spans="1:12" ht="13">
      <c r="A268" s="27" t="s">
        <v>363</v>
      </c>
      <c r="B268" s="27" t="s">
        <v>364</v>
      </c>
      <c r="C268" s="18" t="s">
        <v>711</v>
      </c>
      <c r="D268" s="18" t="s">
        <v>712</v>
      </c>
      <c r="E268" s="18" t="s">
        <v>622</v>
      </c>
      <c r="F268" s="18">
        <v>1996</v>
      </c>
      <c r="G268" s="40">
        <v>6233</v>
      </c>
      <c r="H268" s="40">
        <f t="shared" ref="H268:I268" si="283">F268-F267</f>
        <v>1</v>
      </c>
      <c r="I268" s="40">
        <f t="shared" si="283"/>
        <v>1084</v>
      </c>
      <c r="J268" s="66">
        <f t="shared" si="273"/>
        <v>0.21052631578947367</v>
      </c>
      <c r="K268" s="65">
        <f t="shared" si="274"/>
        <v>0.21052631578947367</v>
      </c>
      <c r="L268" s="38" t="s">
        <v>637</v>
      </c>
    </row>
    <row r="269" spans="1:12" ht="13">
      <c r="A269" s="27" t="s">
        <v>363</v>
      </c>
      <c r="B269" s="27" t="s">
        <v>364</v>
      </c>
      <c r="C269" s="18" t="s">
        <v>711</v>
      </c>
      <c r="D269" s="18" t="s">
        <v>712</v>
      </c>
      <c r="E269" s="18" t="s">
        <v>622</v>
      </c>
      <c r="F269" s="18">
        <v>1997</v>
      </c>
      <c r="G269" s="40">
        <v>7859</v>
      </c>
      <c r="H269" s="40">
        <f t="shared" ref="H269:I269" si="284">F269-F268</f>
        <v>1</v>
      </c>
      <c r="I269" s="40">
        <f t="shared" si="284"/>
        <v>1626</v>
      </c>
      <c r="J269" s="66">
        <f t="shared" si="273"/>
        <v>0.2608695652173913</v>
      </c>
      <c r="K269" s="65">
        <f t="shared" si="274"/>
        <v>0.2608695652173913</v>
      </c>
      <c r="L269" s="38" t="s">
        <v>637</v>
      </c>
    </row>
    <row r="270" spans="1:12" ht="13">
      <c r="A270" s="27" t="s">
        <v>363</v>
      </c>
      <c r="B270" s="27" t="s">
        <v>364</v>
      </c>
      <c r="C270" s="18" t="s">
        <v>711</v>
      </c>
      <c r="D270" s="18" t="s">
        <v>712</v>
      </c>
      <c r="E270" s="18" t="s">
        <v>622</v>
      </c>
      <c r="F270" s="18">
        <v>1998</v>
      </c>
      <c r="G270" s="40">
        <v>8333</v>
      </c>
      <c r="H270" s="40">
        <f t="shared" ref="H270:I270" si="285">F270-F269</f>
        <v>1</v>
      </c>
      <c r="I270" s="40">
        <f t="shared" si="285"/>
        <v>474</v>
      </c>
      <c r="J270" s="66">
        <f t="shared" si="273"/>
        <v>6.0313016923272678E-2</v>
      </c>
      <c r="K270" s="65">
        <f t="shared" si="274"/>
        <v>6.0313016923272678E-2</v>
      </c>
      <c r="L270" s="38" t="s">
        <v>637</v>
      </c>
    </row>
    <row r="271" spans="1:12" ht="13">
      <c r="A271" s="27" t="s">
        <v>363</v>
      </c>
      <c r="B271" s="27" t="s">
        <v>364</v>
      </c>
      <c r="C271" s="18" t="s">
        <v>711</v>
      </c>
      <c r="D271" s="18" t="s">
        <v>712</v>
      </c>
      <c r="E271" s="18" t="s">
        <v>622</v>
      </c>
      <c r="F271" s="18">
        <v>1999</v>
      </c>
      <c r="G271" s="40">
        <v>9011</v>
      </c>
      <c r="H271" s="40">
        <f t="shared" ref="H271:I271" si="286">F271-F270</f>
        <v>1</v>
      </c>
      <c r="I271" s="40">
        <f t="shared" si="286"/>
        <v>678</v>
      </c>
      <c r="J271" s="66">
        <f t="shared" si="273"/>
        <v>8.13632545301812E-2</v>
      </c>
      <c r="K271" s="65">
        <f t="shared" si="274"/>
        <v>8.13632545301812E-2</v>
      </c>
      <c r="L271" s="38" t="s">
        <v>637</v>
      </c>
    </row>
    <row r="272" spans="1:12" ht="13">
      <c r="A272" s="27" t="s">
        <v>363</v>
      </c>
      <c r="B272" s="27" t="s">
        <v>364</v>
      </c>
      <c r="C272" s="18" t="s">
        <v>711</v>
      </c>
      <c r="D272" s="18" t="s">
        <v>712</v>
      </c>
      <c r="E272" s="18" t="s">
        <v>622</v>
      </c>
      <c r="F272" s="18">
        <v>2000</v>
      </c>
      <c r="G272" s="40">
        <v>9146</v>
      </c>
      <c r="H272" s="40">
        <f t="shared" ref="H272:I272" si="287">F272-F271</f>
        <v>1</v>
      </c>
      <c r="I272" s="40">
        <f t="shared" si="287"/>
        <v>135</v>
      </c>
      <c r="J272" s="66">
        <f t="shared" si="273"/>
        <v>1.4981689046720675E-2</v>
      </c>
      <c r="K272" s="65">
        <f t="shared" si="274"/>
        <v>1.4981689046720675E-2</v>
      </c>
      <c r="L272" s="38" t="s">
        <v>637</v>
      </c>
    </row>
    <row r="273" spans="1:12" ht="13">
      <c r="A273" s="27" t="s">
        <v>363</v>
      </c>
      <c r="B273" s="27" t="s">
        <v>364</v>
      </c>
      <c r="C273" s="18" t="s">
        <v>711</v>
      </c>
      <c r="D273" s="18" t="s">
        <v>712</v>
      </c>
      <c r="E273" s="18" t="s">
        <v>622</v>
      </c>
      <c r="F273" s="18">
        <v>2001</v>
      </c>
      <c r="G273" s="40">
        <v>8672</v>
      </c>
      <c r="H273" s="40">
        <f t="shared" ref="H273:I273" si="288">F273-F272</f>
        <v>1</v>
      </c>
      <c r="I273" s="40">
        <f t="shared" si="288"/>
        <v>-474</v>
      </c>
      <c r="J273" s="66">
        <f t="shared" si="273"/>
        <v>-5.18259348349005E-2</v>
      </c>
      <c r="K273" s="65">
        <f t="shared" si="274"/>
        <v>-5.18259348349005E-2</v>
      </c>
      <c r="L273" s="38" t="s">
        <v>637</v>
      </c>
    </row>
    <row r="274" spans="1:12" ht="13">
      <c r="A274" s="27" t="s">
        <v>363</v>
      </c>
      <c r="B274" s="27" t="s">
        <v>364</v>
      </c>
      <c r="C274" s="18" t="s">
        <v>711</v>
      </c>
      <c r="D274" s="18" t="s">
        <v>712</v>
      </c>
      <c r="E274" s="18" t="s">
        <v>622</v>
      </c>
      <c r="F274" s="18">
        <v>2002</v>
      </c>
      <c r="G274" s="40">
        <v>11247</v>
      </c>
      <c r="H274" s="40">
        <f t="shared" ref="H274:I274" si="289">F274-F273</f>
        <v>1</v>
      </c>
      <c r="I274" s="40">
        <f t="shared" si="289"/>
        <v>2575</v>
      </c>
      <c r="J274" s="66">
        <f t="shared" si="273"/>
        <v>0.29693265682656828</v>
      </c>
      <c r="K274" s="65">
        <f t="shared" si="274"/>
        <v>0.29693265682656828</v>
      </c>
      <c r="L274" s="38" t="s">
        <v>637</v>
      </c>
    </row>
    <row r="275" spans="1:12" ht="13">
      <c r="A275" s="27" t="s">
        <v>363</v>
      </c>
      <c r="B275" s="27" t="s">
        <v>364</v>
      </c>
      <c r="C275" s="18" t="s">
        <v>711</v>
      </c>
      <c r="D275" s="18" t="s">
        <v>712</v>
      </c>
      <c r="E275" s="18" t="s">
        <v>622</v>
      </c>
      <c r="F275" s="18">
        <v>2003</v>
      </c>
      <c r="G275" s="40">
        <v>11721</v>
      </c>
      <c r="H275" s="40">
        <f t="shared" ref="H275:I275" si="290">F275-F274</f>
        <v>1</v>
      </c>
      <c r="I275" s="40">
        <f t="shared" si="290"/>
        <v>474</v>
      </c>
      <c r="J275" s="66">
        <f t="shared" si="273"/>
        <v>4.2144571885836223E-2</v>
      </c>
      <c r="K275" s="65">
        <f t="shared" si="274"/>
        <v>4.2144571885836223E-2</v>
      </c>
      <c r="L275" s="38" t="s">
        <v>637</v>
      </c>
    </row>
    <row r="276" spans="1:12" ht="13">
      <c r="A276" s="27" t="s">
        <v>363</v>
      </c>
      <c r="B276" s="27" t="s">
        <v>364</v>
      </c>
      <c r="C276" s="18" t="s">
        <v>711</v>
      </c>
      <c r="D276" s="18" t="s">
        <v>712</v>
      </c>
      <c r="E276" s="18" t="s">
        <v>622</v>
      </c>
      <c r="F276" s="18">
        <v>2004</v>
      </c>
      <c r="G276" s="40">
        <v>13076</v>
      </c>
      <c r="H276" s="40">
        <f t="shared" ref="H276:I276" si="291">F276-F275</f>
        <v>1</v>
      </c>
      <c r="I276" s="40">
        <f t="shared" si="291"/>
        <v>1355</v>
      </c>
      <c r="J276" s="66">
        <f t="shared" si="273"/>
        <v>0.11560447060830988</v>
      </c>
      <c r="K276" s="65">
        <f t="shared" si="274"/>
        <v>0.11560447060830988</v>
      </c>
      <c r="L276" s="38" t="s">
        <v>637</v>
      </c>
    </row>
    <row r="277" spans="1:12" ht="13">
      <c r="A277" s="27" t="s">
        <v>363</v>
      </c>
      <c r="B277" s="27" t="s">
        <v>364</v>
      </c>
      <c r="C277" s="18" t="s">
        <v>711</v>
      </c>
      <c r="D277" s="18" t="s">
        <v>712</v>
      </c>
      <c r="E277" s="18" t="s">
        <v>622</v>
      </c>
      <c r="F277" s="18">
        <v>2005</v>
      </c>
      <c r="G277" s="40">
        <v>14363</v>
      </c>
      <c r="H277" s="40">
        <f t="shared" ref="H277:I277" si="292">F277-F276</f>
        <v>1</v>
      </c>
      <c r="I277" s="40">
        <f t="shared" si="292"/>
        <v>1287</v>
      </c>
      <c r="J277" s="66">
        <f t="shared" si="273"/>
        <v>9.842459467727134E-2</v>
      </c>
      <c r="K277" s="65">
        <f t="shared" si="274"/>
        <v>9.842459467727134E-2</v>
      </c>
      <c r="L277" s="38" t="s">
        <v>637</v>
      </c>
    </row>
    <row r="278" spans="1:12" ht="13">
      <c r="A278" s="27" t="s">
        <v>363</v>
      </c>
      <c r="B278" s="27" t="s">
        <v>364</v>
      </c>
      <c r="C278" s="18" t="s">
        <v>711</v>
      </c>
      <c r="D278" s="18" t="s">
        <v>712</v>
      </c>
      <c r="E278" s="18" t="s">
        <v>622</v>
      </c>
      <c r="F278" s="18">
        <v>2006</v>
      </c>
      <c r="G278" s="40">
        <v>10434</v>
      </c>
      <c r="H278" s="40">
        <f t="shared" ref="H278:I278" si="293">F278-F277</f>
        <v>1</v>
      </c>
      <c r="I278" s="40">
        <f t="shared" si="293"/>
        <v>-3929</v>
      </c>
      <c r="J278" s="66">
        <f t="shared" si="273"/>
        <v>-0.27355009399150593</v>
      </c>
      <c r="K278" s="65">
        <f t="shared" si="274"/>
        <v>-0.27355009399150593</v>
      </c>
      <c r="L278" s="38" t="s">
        <v>637</v>
      </c>
    </row>
    <row r="279" spans="1:12" ht="13">
      <c r="A279" s="27" t="s">
        <v>363</v>
      </c>
      <c r="B279" s="27" t="s">
        <v>364</v>
      </c>
      <c r="C279" s="18" t="s">
        <v>711</v>
      </c>
      <c r="D279" s="18" t="s">
        <v>712</v>
      </c>
      <c r="E279" s="18" t="s">
        <v>622</v>
      </c>
      <c r="F279" s="18">
        <v>2007</v>
      </c>
      <c r="G279" s="40">
        <v>7995</v>
      </c>
      <c r="H279" s="40">
        <f t="shared" ref="H279:I279" si="294">F279-F278</f>
        <v>1</v>
      </c>
      <c r="I279" s="40">
        <f t="shared" si="294"/>
        <v>-2439</v>
      </c>
      <c r="J279" s="66">
        <f t="shared" si="273"/>
        <v>-0.23375503162737205</v>
      </c>
      <c r="K279" s="65">
        <f t="shared" si="274"/>
        <v>-0.23375503162737205</v>
      </c>
      <c r="L279" s="38" t="s">
        <v>637</v>
      </c>
    </row>
    <row r="280" spans="1:12" ht="13">
      <c r="A280" s="27" t="s">
        <v>363</v>
      </c>
      <c r="B280" s="27" t="s">
        <v>364</v>
      </c>
      <c r="C280" s="18" t="s">
        <v>711</v>
      </c>
      <c r="D280" s="18" t="s">
        <v>712</v>
      </c>
      <c r="E280" s="18" t="s">
        <v>622</v>
      </c>
      <c r="F280" s="18">
        <v>2008</v>
      </c>
      <c r="G280" s="40">
        <v>8875</v>
      </c>
      <c r="H280" s="40">
        <f t="shared" ref="H280:I280" si="295">F280-F279</f>
        <v>1</v>
      </c>
      <c r="I280" s="40">
        <f t="shared" si="295"/>
        <v>880</v>
      </c>
      <c r="J280" s="66">
        <f t="shared" si="273"/>
        <v>0.11006879299562226</v>
      </c>
      <c r="K280" s="65">
        <f t="shared" si="274"/>
        <v>0.11006879299562226</v>
      </c>
      <c r="L280" s="38" t="s">
        <v>637</v>
      </c>
    </row>
    <row r="281" spans="1:12" ht="13">
      <c r="A281" s="27" t="s">
        <v>363</v>
      </c>
      <c r="B281" s="27" t="s">
        <v>364</v>
      </c>
      <c r="C281" s="18" t="s">
        <v>711</v>
      </c>
      <c r="D281" s="18" t="s">
        <v>712</v>
      </c>
      <c r="E281" s="18" t="s">
        <v>622</v>
      </c>
      <c r="F281" s="18">
        <v>2009</v>
      </c>
      <c r="G281" s="40">
        <v>8875</v>
      </c>
      <c r="H281" s="40">
        <f t="shared" ref="H281:I281" si="296">F281-F280</f>
        <v>1</v>
      </c>
      <c r="I281" s="40">
        <f t="shared" si="296"/>
        <v>0</v>
      </c>
      <c r="J281" s="66">
        <f t="shared" si="273"/>
        <v>0</v>
      </c>
      <c r="K281" s="65">
        <f t="shared" si="274"/>
        <v>0</v>
      </c>
      <c r="L281" s="38" t="s">
        <v>637</v>
      </c>
    </row>
    <row r="282" spans="1:12" ht="13">
      <c r="A282" s="27" t="s">
        <v>363</v>
      </c>
      <c r="B282" s="27" t="s">
        <v>364</v>
      </c>
      <c r="C282" s="18" t="s">
        <v>711</v>
      </c>
      <c r="D282" s="18" t="s">
        <v>712</v>
      </c>
      <c r="E282" s="18" t="s">
        <v>622</v>
      </c>
      <c r="F282" s="18">
        <v>2010</v>
      </c>
      <c r="G282" s="40">
        <v>8333</v>
      </c>
      <c r="H282" s="40">
        <f t="shared" ref="H282:I282" si="297">F282-F281</f>
        <v>1</v>
      </c>
      <c r="I282" s="40">
        <f t="shared" si="297"/>
        <v>-542</v>
      </c>
      <c r="J282" s="66">
        <f t="shared" si="273"/>
        <v>-6.107042253521127E-2</v>
      </c>
      <c r="K282" s="65">
        <f t="shared" si="274"/>
        <v>-6.107042253521127E-2</v>
      </c>
      <c r="L282" s="38" t="s">
        <v>637</v>
      </c>
    </row>
    <row r="283" spans="1:12" ht="13">
      <c r="A283" s="27" t="s">
        <v>363</v>
      </c>
      <c r="B283" s="27" t="s">
        <v>364</v>
      </c>
      <c r="C283" s="18" t="s">
        <v>711</v>
      </c>
      <c r="D283" s="18" t="s">
        <v>712</v>
      </c>
      <c r="E283" s="18" t="s">
        <v>622</v>
      </c>
      <c r="F283" s="18">
        <v>2011</v>
      </c>
      <c r="G283" s="40">
        <v>8198</v>
      </c>
      <c r="H283" s="40">
        <f t="shared" ref="H283:I283" si="298">F283-F282</f>
        <v>1</v>
      </c>
      <c r="I283" s="40">
        <f t="shared" si="298"/>
        <v>-135</v>
      </c>
      <c r="J283" s="66">
        <f t="shared" si="273"/>
        <v>-1.6200648025921038E-2</v>
      </c>
      <c r="K283" s="65">
        <f t="shared" si="274"/>
        <v>-1.6200648025921038E-2</v>
      </c>
      <c r="L283" s="38" t="s">
        <v>637</v>
      </c>
    </row>
    <row r="284" spans="1:12" ht="13">
      <c r="A284" s="27" t="s">
        <v>363</v>
      </c>
      <c r="B284" s="27" t="s">
        <v>364</v>
      </c>
      <c r="C284" s="18" t="s">
        <v>711</v>
      </c>
      <c r="D284" s="18" t="s">
        <v>712</v>
      </c>
      <c r="E284" s="18" t="s">
        <v>622</v>
      </c>
      <c r="F284" s="18">
        <v>2012</v>
      </c>
      <c r="G284" s="40">
        <v>7249</v>
      </c>
      <c r="H284" s="40">
        <f t="shared" ref="H284:I284" si="299">F284-F283</f>
        <v>1</v>
      </c>
      <c r="I284" s="40">
        <f t="shared" si="299"/>
        <v>-949</v>
      </c>
      <c r="J284" s="66">
        <f t="shared" si="273"/>
        <v>-0.11575994144913393</v>
      </c>
      <c r="K284" s="65">
        <f t="shared" si="274"/>
        <v>-0.11575994144913393</v>
      </c>
      <c r="L284" s="38" t="s">
        <v>637</v>
      </c>
    </row>
    <row r="285" spans="1:12" ht="13">
      <c r="A285" s="27" t="s">
        <v>363</v>
      </c>
      <c r="B285" s="27" t="s">
        <v>364</v>
      </c>
      <c r="C285" s="18" t="s">
        <v>711</v>
      </c>
      <c r="D285" s="18" t="s">
        <v>712</v>
      </c>
      <c r="E285" s="18" t="s">
        <v>622</v>
      </c>
      <c r="F285" s="18">
        <v>2013</v>
      </c>
      <c r="G285" s="40">
        <v>6843</v>
      </c>
      <c r="H285" s="40">
        <f t="shared" ref="H285:I285" si="300">F285-F284</f>
        <v>1</v>
      </c>
      <c r="I285" s="40">
        <f t="shared" si="300"/>
        <v>-406</v>
      </c>
      <c r="J285" s="66">
        <f t="shared" si="273"/>
        <v>-5.6007725203476341E-2</v>
      </c>
      <c r="K285" s="65">
        <f t="shared" si="274"/>
        <v>-5.6007725203476341E-2</v>
      </c>
      <c r="L285" s="38" t="s">
        <v>637</v>
      </c>
    </row>
    <row r="286" spans="1:12" ht="13">
      <c r="A286" s="27" t="s">
        <v>363</v>
      </c>
      <c r="B286" s="27" t="s">
        <v>364</v>
      </c>
      <c r="C286" s="18" t="s">
        <v>711</v>
      </c>
      <c r="D286" s="18" t="s">
        <v>712</v>
      </c>
      <c r="E286" s="18" t="s">
        <v>622</v>
      </c>
      <c r="F286" s="18">
        <v>2014</v>
      </c>
      <c r="G286" s="40">
        <v>7859</v>
      </c>
      <c r="H286" s="40">
        <f t="shared" ref="H286:I286" si="301">F286-F285</f>
        <v>1</v>
      </c>
      <c r="I286" s="40">
        <f t="shared" si="301"/>
        <v>1016</v>
      </c>
      <c r="J286" s="66">
        <f t="shared" si="273"/>
        <v>0.14847289200642994</v>
      </c>
      <c r="K286" s="65">
        <f t="shared" si="274"/>
        <v>0.14847289200642994</v>
      </c>
      <c r="L286" s="38" t="s">
        <v>637</v>
      </c>
    </row>
    <row r="287" spans="1:12" ht="13">
      <c r="A287" s="27" t="s">
        <v>363</v>
      </c>
      <c r="B287" s="27" t="s">
        <v>364</v>
      </c>
      <c r="C287" s="18" t="s">
        <v>711</v>
      </c>
      <c r="D287" s="18" t="s">
        <v>712</v>
      </c>
      <c r="E287" s="18" t="s">
        <v>622</v>
      </c>
      <c r="F287" s="18">
        <v>2015</v>
      </c>
      <c r="G287" s="40">
        <v>7791</v>
      </c>
      <c r="H287" s="40">
        <f t="shared" ref="H287:I287" si="302">F287-F286</f>
        <v>1</v>
      </c>
      <c r="I287" s="40">
        <f t="shared" si="302"/>
        <v>-68</v>
      </c>
      <c r="J287" s="66">
        <f t="shared" si="273"/>
        <v>-8.65250031810663E-3</v>
      </c>
      <c r="K287" s="65">
        <f t="shared" si="274"/>
        <v>-8.65250031810663E-3</v>
      </c>
      <c r="L287" s="38" t="s">
        <v>637</v>
      </c>
    </row>
    <row r="288" spans="1:12" ht="13">
      <c r="A288" s="27" t="s">
        <v>363</v>
      </c>
      <c r="B288" s="27" t="s">
        <v>364</v>
      </c>
      <c r="C288" s="18" t="s">
        <v>711</v>
      </c>
      <c r="D288" s="18" t="s">
        <v>712</v>
      </c>
      <c r="E288" s="18" t="s">
        <v>622</v>
      </c>
      <c r="F288" s="18">
        <v>2016</v>
      </c>
      <c r="G288" s="40">
        <v>7791</v>
      </c>
      <c r="H288" s="40">
        <f t="shared" ref="H288:I288" si="303">F288-F287</f>
        <v>1</v>
      </c>
      <c r="I288" s="40">
        <f t="shared" si="303"/>
        <v>0</v>
      </c>
      <c r="J288" s="66">
        <f t="shared" si="273"/>
        <v>0</v>
      </c>
      <c r="K288" s="65">
        <f t="shared" si="274"/>
        <v>0</v>
      </c>
      <c r="L288" s="38" t="s">
        <v>637</v>
      </c>
    </row>
    <row r="289" spans="1:12" ht="13">
      <c r="A289" s="27" t="s">
        <v>363</v>
      </c>
      <c r="B289" s="27" t="s">
        <v>364</v>
      </c>
      <c r="C289" s="18" t="s">
        <v>711</v>
      </c>
      <c r="D289" s="18" t="s">
        <v>712</v>
      </c>
      <c r="E289" s="18" t="s">
        <v>622</v>
      </c>
      <c r="F289" s="18">
        <v>2017</v>
      </c>
      <c r="G289" s="40">
        <v>7995</v>
      </c>
      <c r="H289" s="40">
        <f t="shared" ref="H289:I289" si="304">F289-F288</f>
        <v>1</v>
      </c>
      <c r="I289" s="40">
        <f t="shared" si="304"/>
        <v>204</v>
      </c>
      <c r="J289" s="66">
        <f t="shared" si="273"/>
        <v>2.6184058529072005E-2</v>
      </c>
      <c r="K289" s="65">
        <f t="shared" si="274"/>
        <v>2.6184058529072005E-2</v>
      </c>
      <c r="L289" s="38" t="s">
        <v>637</v>
      </c>
    </row>
    <row r="290" spans="1:12" ht="13">
      <c r="A290" s="18" t="s">
        <v>713</v>
      </c>
      <c r="B290" s="18" t="s">
        <v>355</v>
      </c>
      <c r="C290" s="18" t="s">
        <v>714</v>
      </c>
      <c r="D290" s="18" t="s">
        <v>715</v>
      </c>
      <c r="E290" s="18" t="s">
        <v>611</v>
      </c>
      <c r="F290" s="18">
        <v>1986</v>
      </c>
      <c r="G290" s="40">
        <v>1980</v>
      </c>
      <c r="H290" s="40" t="s">
        <v>402</v>
      </c>
      <c r="I290" s="40" t="s">
        <v>402</v>
      </c>
      <c r="J290" s="66" t="s">
        <v>402</v>
      </c>
      <c r="K290" s="65" t="s">
        <v>402</v>
      </c>
      <c r="L290" s="38" t="s">
        <v>637</v>
      </c>
    </row>
    <row r="291" spans="1:12" ht="13">
      <c r="A291" s="18" t="s">
        <v>713</v>
      </c>
      <c r="B291" s="18" t="s">
        <v>355</v>
      </c>
      <c r="C291" s="18" t="s">
        <v>714</v>
      </c>
      <c r="D291" s="18" t="s">
        <v>715</v>
      </c>
      <c r="E291" s="18" t="s">
        <v>611</v>
      </c>
      <c r="F291" s="18">
        <v>1987</v>
      </c>
      <c r="G291" s="40">
        <v>1377</v>
      </c>
      <c r="H291" s="40">
        <f t="shared" ref="H291:I291" si="305">F291-F290</f>
        <v>1</v>
      </c>
      <c r="I291" s="40">
        <f t="shared" si="305"/>
        <v>-603</v>
      </c>
      <c r="J291" s="66">
        <f t="shared" ref="J291:J315" si="306">I291/G290</f>
        <v>-0.30454545454545456</v>
      </c>
      <c r="K291" s="65">
        <f t="shared" ref="K291:K315" si="307">J291/H291</f>
        <v>-0.30454545454545456</v>
      </c>
      <c r="L291" s="38" t="s">
        <v>637</v>
      </c>
    </row>
    <row r="292" spans="1:12" ht="13">
      <c r="A292" s="18" t="s">
        <v>713</v>
      </c>
      <c r="B292" s="18" t="s">
        <v>355</v>
      </c>
      <c r="C292" s="18" t="s">
        <v>714</v>
      </c>
      <c r="D292" s="18" t="s">
        <v>715</v>
      </c>
      <c r="E292" s="18" t="s">
        <v>611</v>
      </c>
      <c r="F292" s="18">
        <v>1988</v>
      </c>
      <c r="G292" s="40">
        <v>1025</v>
      </c>
      <c r="H292" s="40">
        <f t="shared" ref="H292:I292" si="308">F292-F291</f>
        <v>1</v>
      </c>
      <c r="I292" s="40">
        <f t="shared" si="308"/>
        <v>-352</v>
      </c>
      <c r="J292" s="66">
        <f t="shared" si="306"/>
        <v>-0.25562817719680464</v>
      </c>
      <c r="K292" s="65">
        <f t="shared" si="307"/>
        <v>-0.25562817719680464</v>
      </c>
      <c r="L292" s="38" t="s">
        <v>637</v>
      </c>
    </row>
    <row r="293" spans="1:12" ht="13">
      <c r="A293" s="18" t="s">
        <v>713</v>
      </c>
      <c r="B293" s="18" t="s">
        <v>355</v>
      </c>
      <c r="C293" s="18" t="s">
        <v>714</v>
      </c>
      <c r="D293" s="18" t="s">
        <v>715</v>
      </c>
      <c r="E293" s="18" t="s">
        <v>611</v>
      </c>
      <c r="F293" s="18">
        <v>1989</v>
      </c>
      <c r="G293" s="40">
        <v>748</v>
      </c>
      <c r="H293" s="40">
        <f t="shared" ref="H293:I293" si="309">F293-F292</f>
        <v>1</v>
      </c>
      <c r="I293" s="40">
        <f t="shared" si="309"/>
        <v>-277</v>
      </c>
      <c r="J293" s="66">
        <f t="shared" si="306"/>
        <v>-0.27024390243902441</v>
      </c>
      <c r="K293" s="65">
        <f t="shared" si="307"/>
        <v>-0.27024390243902441</v>
      </c>
      <c r="L293" s="38" t="s">
        <v>637</v>
      </c>
    </row>
    <row r="294" spans="1:12" ht="13">
      <c r="A294" s="18" t="s">
        <v>713</v>
      </c>
      <c r="B294" s="18" t="s">
        <v>355</v>
      </c>
      <c r="C294" s="18" t="s">
        <v>714</v>
      </c>
      <c r="D294" s="18" t="s">
        <v>715</v>
      </c>
      <c r="E294" s="18" t="s">
        <v>611</v>
      </c>
      <c r="F294" s="18">
        <v>1990</v>
      </c>
      <c r="G294" s="40">
        <v>547</v>
      </c>
      <c r="H294" s="40">
        <f t="shared" ref="H294:I294" si="310">F294-F293</f>
        <v>1</v>
      </c>
      <c r="I294" s="40">
        <f t="shared" si="310"/>
        <v>-201</v>
      </c>
      <c r="J294" s="66">
        <f t="shared" si="306"/>
        <v>-0.26871657754010697</v>
      </c>
      <c r="K294" s="65">
        <f t="shared" si="307"/>
        <v>-0.26871657754010697</v>
      </c>
      <c r="L294" s="38" t="s">
        <v>637</v>
      </c>
    </row>
    <row r="295" spans="1:12" ht="13">
      <c r="A295" s="18" t="s">
        <v>713</v>
      </c>
      <c r="B295" s="18" t="s">
        <v>355</v>
      </c>
      <c r="C295" s="18" t="s">
        <v>714</v>
      </c>
      <c r="D295" s="18" t="s">
        <v>715</v>
      </c>
      <c r="E295" s="18" t="s">
        <v>611</v>
      </c>
      <c r="F295" s="18">
        <v>1991</v>
      </c>
      <c r="G295" s="40">
        <v>571</v>
      </c>
      <c r="H295" s="40">
        <f t="shared" ref="H295:I295" si="311">F295-F294</f>
        <v>1</v>
      </c>
      <c r="I295" s="40">
        <f t="shared" si="311"/>
        <v>24</v>
      </c>
      <c r="J295" s="66">
        <f t="shared" si="306"/>
        <v>4.3875685557586835E-2</v>
      </c>
      <c r="K295" s="65">
        <f t="shared" si="307"/>
        <v>4.3875685557586835E-2</v>
      </c>
      <c r="L295" s="38" t="s">
        <v>637</v>
      </c>
    </row>
    <row r="296" spans="1:12" ht="13">
      <c r="A296" s="18" t="s">
        <v>713</v>
      </c>
      <c r="B296" s="18" t="s">
        <v>355</v>
      </c>
      <c r="C296" s="18" t="s">
        <v>714</v>
      </c>
      <c r="D296" s="18" t="s">
        <v>715</v>
      </c>
      <c r="E296" s="18" t="s">
        <v>611</v>
      </c>
      <c r="F296" s="18">
        <v>1992</v>
      </c>
      <c r="G296" s="40">
        <v>620</v>
      </c>
      <c r="H296" s="40">
        <f t="shared" ref="H296:I296" si="312">F296-F295</f>
        <v>1</v>
      </c>
      <c r="I296" s="40">
        <f t="shared" si="312"/>
        <v>49</v>
      </c>
      <c r="J296" s="66">
        <f t="shared" si="306"/>
        <v>8.5814360770577927E-2</v>
      </c>
      <c r="K296" s="65">
        <f t="shared" si="307"/>
        <v>8.5814360770577927E-2</v>
      </c>
      <c r="L296" s="38" t="s">
        <v>637</v>
      </c>
    </row>
    <row r="297" spans="1:12" ht="13">
      <c r="A297" s="18" t="s">
        <v>713</v>
      </c>
      <c r="B297" s="18" t="s">
        <v>355</v>
      </c>
      <c r="C297" s="18" t="s">
        <v>714</v>
      </c>
      <c r="D297" s="18" t="s">
        <v>715</v>
      </c>
      <c r="E297" s="18" t="s">
        <v>611</v>
      </c>
      <c r="F297" s="18">
        <v>1993</v>
      </c>
      <c r="G297" s="40">
        <v>669</v>
      </c>
      <c r="H297" s="40">
        <f t="shared" ref="H297:I297" si="313">F297-F296</f>
        <v>1</v>
      </c>
      <c r="I297" s="40">
        <f t="shared" si="313"/>
        <v>49</v>
      </c>
      <c r="J297" s="66">
        <f t="shared" si="306"/>
        <v>7.9032258064516123E-2</v>
      </c>
      <c r="K297" s="65">
        <f t="shared" si="307"/>
        <v>7.9032258064516123E-2</v>
      </c>
      <c r="L297" s="38" t="s">
        <v>637</v>
      </c>
    </row>
    <row r="298" spans="1:12" ht="13">
      <c r="A298" s="18" t="s">
        <v>713</v>
      </c>
      <c r="B298" s="18" t="s">
        <v>355</v>
      </c>
      <c r="C298" s="18" t="s">
        <v>714</v>
      </c>
      <c r="D298" s="18" t="s">
        <v>715</v>
      </c>
      <c r="E298" s="18" t="s">
        <v>611</v>
      </c>
      <c r="F298" s="18">
        <v>1994</v>
      </c>
      <c r="G298" s="40">
        <v>768</v>
      </c>
      <c r="H298" s="40">
        <f t="shared" ref="H298:I298" si="314">F298-F297</f>
        <v>1</v>
      </c>
      <c r="I298" s="40">
        <f t="shared" si="314"/>
        <v>99</v>
      </c>
      <c r="J298" s="66">
        <f t="shared" si="306"/>
        <v>0.14798206278026907</v>
      </c>
      <c r="K298" s="65">
        <f t="shared" si="307"/>
        <v>0.14798206278026907</v>
      </c>
      <c r="L298" s="38" t="s">
        <v>637</v>
      </c>
    </row>
    <row r="299" spans="1:12" ht="13">
      <c r="A299" s="18" t="s">
        <v>713</v>
      </c>
      <c r="B299" s="18" t="s">
        <v>355</v>
      </c>
      <c r="C299" s="18" t="s">
        <v>714</v>
      </c>
      <c r="D299" s="18" t="s">
        <v>715</v>
      </c>
      <c r="E299" s="18" t="s">
        <v>611</v>
      </c>
      <c r="F299" s="18">
        <v>1995</v>
      </c>
      <c r="G299" s="40">
        <v>893</v>
      </c>
      <c r="H299" s="40">
        <f t="shared" ref="H299:I299" si="315">F299-F298</f>
        <v>1</v>
      </c>
      <c r="I299" s="40">
        <f t="shared" si="315"/>
        <v>125</v>
      </c>
      <c r="J299" s="66">
        <f t="shared" si="306"/>
        <v>0.16276041666666666</v>
      </c>
      <c r="K299" s="65">
        <f t="shared" si="307"/>
        <v>0.16276041666666666</v>
      </c>
      <c r="L299" s="38" t="s">
        <v>637</v>
      </c>
    </row>
    <row r="300" spans="1:12" ht="13">
      <c r="A300" s="18" t="s">
        <v>713</v>
      </c>
      <c r="B300" s="18" t="s">
        <v>355</v>
      </c>
      <c r="C300" s="18" t="s">
        <v>714</v>
      </c>
      <c r="D300" s="18" t="s">
        <v>715</v>
      </c>
      <c r="E300" s="18" t="s">
        <v>611</v>
      </c>
      <c r="F300" s="18">
        <v>1996</v>
      </c>
      <c r="G300" s="40">
        <v>1017</v>
      </c>
      <c r="H300" s="40">
        <f t="shared" ref="H300:I300" si="316">F300-F299</f>
        <v>1</v>
      </c>
      <c r="I300" s="40">
        <f t="shared" si="316"/>
        <v>124</v>
      </c>
      <c r="J300" s="66">
        <f t="shared" si="306"/>
        <v>0.13885778275475924</v>
      </c>
      <c r="K300" s="65">
        <f t="shared" si="307"/>
        <v>0.13885778275475924</v>
      </c>
      <c r="L300" s="38" t="s">
        <v>637</v>
      </c>
    </row>
    <row r="301" spans="1:12" ht="13">
      <c r="A301" s="18" t="s">
        <v>713</v>
      </c>
      <c r="B301" s="18" t="s">
        <v>355</v>
      </c>
      <c r="C301" s="18" t="s">
        <v>714</v>
      </c>
      <c r="D301" s="18" t="s">
        <v>715</v>
      </c>
      <c r="E301" s="18" t="s">
        <v>611</v>
      </c>
      <c r="F301" s="18">
        <v>1997</v>
      </c>
      <c r="G301" s="40">
        <v>1167</v>
      </c>
      <c r="H301" s="40">
        <f t="shared" ref="H301:I301" si="317">F301-F300</f>
        <v>1</v>
      </c>
      <c r="I301" s="40">
        <f t="shared" si="317"/>
        <v>150</v>
      </c>
      <c r="J301" s="66">
        <f t="shared" si="306"/>
        <v>0.14749262536873156</v>
      </c>
      <c r="K301" s="65">
        <f t="shared" si="307"/>
        <v>0.14749262536873156</v>
      </c>
      <c r="L301" s="38" t="s">
        <v>637</v>
      </c>
    </row>
    <row r="302" spans="1:12" ht="13">
      <c r="A302" s="18" t="s">
        <v>713</v>
      </c>
      <c r="B302" s="18" t="s">
        <v>355</v>
      </c>
      <c r="C302" s="18" t="s">
        <v>714</v>
      </c>
      <c r="D302" s="18" t="s">
        <v>715</v>
      </c>
      <c r="E302" s="18" t="s">
        <v>611</v>
      </c>
      <c r="F302" s="18">
        <v>1998</v>
      </c>
      <c r="G302" s="40">
        <v>1266</v>
      </c>
      <c r="H302" s="40">
        <f t="shared" ref="H302:I302" si="318">F302-F301</f>
        <v>1</v>
      </c>
      <c r="I302" s="40">
        <f t="shared" si="318"/>
        <v>99</v>
      </c>
      <c r="J302" s="66">
        <f t="shared" si="306"/>
        <v>8.4832904884318772E-2</v>
      </c>
      <c r="K302" s="65">
        <f t="shared" si="307"/>
        <v>8.4832904884318772E-2</v>
      </c>
      <c r="L302" s="38" t="s">
        <v>637</v>
      </c>
    </row>
    <row r="303" spans="1:12" ht="13">
      <c r="A303" s="18" t="s">
        <v>713</v>
      </c>
      <c r="B303" s="18" t="s">
        <v>355</v>
      </c>
      <c r="C303" s="18" t="s">
        <v>714</v>
      </c>
      <c r="D303" s="18" t="s">
        <v>715</v>
      </c>
      <c r="E303" s="18" t="s">
        <v>611</v>
      </c>
      <c r="F303" s="18">
        <v>1999</v>
      </c>
      <c r="G303" s="40">
        <v>1441</v>
      </c>
      <c r="H303" s="40">
        <f t="shared" ref="H303:I303" si="319">F303-F302</f>
        <v>1</v>
      </c>
      <c r="I303" s="40">
        <f t="shared" si="319"/>
        <v>175</v>
      </c>
      <c r="J303" s="66">
        <f t="shared" si="306"/>
        <v>0.1382306477093207</v>
      </c>
      <c r="K303" s="65">
        <f t="shared" si="307"/>
        <v>0.1382306477093207</v>
      </c>
      <c r="L303" s="38" t="s">
        <v>637</v>
      </c>
    </row>
    <row r="304" spans="1:12" ht="13">
      <c r="A304" s="18" t="s">
        <v>713</v>
      </c>
      <c r="B304" s="18" t="s">
        <v>355</v>
      </c>
      <c r="C304" s="18" t="s">
        <v>714</v>
      </c>
      <c r="D304" s="18" t="s">
        <v>715</v>
      </c>
      <c r="E304" s="18" t="s">
        <v>611</v>
      </c>
      <c r="F304" s="18">
        <v>2000</v>
      </c>
      <c r="G304" s="40">
        <v>1590</v>
      </c>
      <c r="H304" s="40">
        <f t="shared" ref="H304:I304" si="320">F304-F303</f>
        <v>1</v>
      </c>
      <c r="I304" s="40">
        <f t="shared" si="320"/>
        <v>149</v>
      </c>
      <c r="J304" s="66">
        <f t="shared" si="306"/>
        <v>0.10340041637751561</v>
      </c>
      <c r="K304" s="65">
        <f t="shared" si="307"/>
        <v>0.10340041637751561</v>
      </c>
      <c r="L304" s="38" t="s">
        <v>637</v>
      </c>
    </row>
    <row r="305" spans="1:12" ht="13">
      <c r="A305" s="18" t="s">
        <v>713</v>
      </c>
      <c r="B305" s="18" t="s">
        <v>355</v>
      </c>
      <c r="C305" s="18" t="s">
        <v>714</v>
      </c>
      <c r="D305" s="18" t="s">
        <v>715</v>
      </c>
      <c r="E305" s="18" t="s">
        <v>611</v>
      </c>
      <c r="F305" s="18">
        <v>2001</v>
      </c>
      <c r="G305" s="40">
        <v>1765</v>
      </c>
      <c r="H305" s="40">
        <f t="shared" ref="H305:I305" si="321">F305-F304</f>
        <v>1</v>
      </c>
      <c r="I305" s="40">
        <f t="shared" si="321"/>
        <v>175</v>
      </c>
      <c r="J305" s="66">
        <f t="shared" si="306"/>
        <v>0.11006289308176101</v>
      </c>
      <c r="K305" s="65">
        <f t="shared" si="307"/>
        <v>0.11006289308176101</v>
      </c>
      <c r="L305" s="38" t="s">
        <v>637</v>
      </c>
    </row>
    <row r="306" spans="1:12" ht="13">
      <c r="A306" s="18" t="s">
        <v>713</v>
      </c>
      <c r="B306" s="18" t="s">
        <v>355</v>
      </c>
      <c r="C306" s="18" t="s">
        <v>714</v>
      </c>
      <c r="D306" s="18" t="s">
        <v>715</v>
      </c>
      <c r="E306" s="18" t="s">
        <v>611</v>
      </c>
      <c r="F306" s="18">
        <v>2002</v>
      </c>
      <c r="G306" s="40">
        <v>1964</v>
      </c>
      <c r="H306" s="40">
        <f t="shared" ref="H306:I306" si="322">F306-F305</f>
        <v>1</v>
      </c>
      <c r="I306" s="40">
        <f t="shared" si="322"/>
        <v>199</v>
      </c>
      <c r="J306" s="66">
        <f t="shared" si="306"/>
        <v>0.11274787535410764</v>
      </c>
      <c r="K306" s="65">
        <f t="shared" si="307"/>
        <v>0.11274787535410764</v>
      </c>
      <c r="L306" s="38" t="s">
        <v>637</v>
      </c>
    </row>
    <row r="307" spans="1:12" ht="13">
      <c r="A307" s="18" t="s">
        <v>713</v>
      </c>
      <c r="B307" s="18" t="s">
        <v>355</v>
      </c>
      <c r="C307" s="18" t="s">
        <v>714</v>
      </c>
      <c r="D307" s="18" t="s">
        <v>715</v>
      </c>
      <c r="E307" s="18" t="s">
        <v>611</v>
      </c>
      <c r="F307" s="18">
        <v>2003</v>
      </c>
      <c r="G307" s="40">
        <v>2089</v>
      </c>
      <c r="H307" s="40">
        <f t="shared" ref="H307:I307" si="323">F307-F306</f>
        <v>1</v>
      </c>
      <c r="I307" s="40">
        <f t="shared" si="323"/>
        <v>125</v>
      </c>
      <c r="J307" s="66">
        <f t="shared" si="306"/>
        <v>6.3645621181262726E-2</v>
      </c>
      <c r="K307" s="65">
        <f t="shared" si="307"/>
        <v>6.3645621181262726E-2</v>
      </c>
      <c r="L307" s="38" t="s">
        <v>637</v>
      </c>
    </row>
    <row r="308" spans="1:12" ht="13">
      <c r="A308" s="18" t="s">
        <v>713</v>
      </c>
      <c r="B308" s="18" t="s">
        <v>355</v>
      </c>
      <c r="C308" s="18" t="s">
        <v>714</v>
      </c>
      <c r="D308" s="18" t="s">
        <v>715</v>
      </c>
      <c r="E308" s="18" t="s">
        <v>611</v>
      </c>
      <c r="F308" s="18">
        <v>2004</v>
      </c>
      <c r="G308" s="40">
        <v>2238</v>
      </c>
      <c r="H308" s="40">
        <f t="shared" ref="H308:I308" si="324">F308-F307</f>
        <v>1</v>
      </c>
      <c r="I308" s="40">
        <f t="shared" si="324"/>
        <v>149</v>
      </c>
      <c r="J308" s="66">
        <f t="shared" si="306"/>
        <v>7.1325993298228821E-2</v>
      </c>
      <c r="K308" s="65">
        <f t="shared" si="307"/>
        <v>7.1325993298228821E-2</v>
      </c>
      <c r="L308" s="38" t="s">
        <v>637</v>
      </c>
    </row>
    <row r="309" spans="1:12" ht="13">
      <c r="A309" s="18" t="s">
        <v>713</v>
      </c>
      <c r="B309" s="18" t="s">
        <v>355</v>
      </c>
      <c r="C309" s="18" t="s">
        <v>714</v>
      </c>
      <c r="D309" s="18" t="s">
        <v>715</v>
      </c>
      <c r="E309" s="18" t="s">
        <v>611</v>
      </c>
      <c r="F309" s="18">
        <v>2005</v>
      </c>
      <c r="G309" s="40">
        <v>2413</v>
      </c>
      <c r="H309" s="40">
        <f t="shared" ref="H309:I309" si="325">F309-F308</f>
        <v>1</v>
      </c>
      <c r="I309" s="40">
        <f t="shared" si="325"/>
        <v>175</v>
      </c>
      <c r="J309" s="66">
        <f t="shared" si="306"/>
        <v>7.8194816800714925E-2</v>
      </c>
      <c r="K309" s="65">
        <f t="shared" si="307"/>
        <v>7.8194816800714925E-2</v>
      </c>
      <c r="L309" s="38" t="s">
        <v>637</v>
      </c>
    </row>
    <row r="310" spans="1:12" ht="13">
      <c r="A310" s="18" t="s">
        <v>713</v>
      </c>
      <c r="B310" s="18" t="s">
        <v>355</v>
      </c>
      <c r="C310" s="18" t="s">
        <v>714</v>
      </c>
      <c r="D310" s="18" t="s">
        <v>715</v>
      </c>
      <c r="E310" s="18" t="s">
        <v>611</v>
      </c>
      <c r="F310" s="18">
        <v>2006</v>
      </c>
      <c r="G310" s="40">
        <v>2587</v>
      </c>
      <c r="H310" s="40">
        <f t="shared" ref="H310:I310" si="326">F310-F309</f>
        <v>1</v>
      </c>
      <c r="I310" s="40">
        <f t="shared" si="326"/>
        <v>174</v>
      </c>
      <c r="J310" s="66">
        <f t="shared" si="306"/>
        <v>7.2109407376709483E-2</v>
      </c>
      <c r="K310" s="65">
        <f t="shared" si="307"/>
        <v>7.2109407376709483E-2</v>
      </c>
      <c r="L310" s="38" t="s">
        <v>637</v>
      </c>
    </row>
    <row r="311" spans="1:12" ht="13">
      <c r="A311" s="18" t="s">
        <v>713</v>
      </c>
      <c r="B311" s="18" t="s">
        <v>355</v>
      </c>
      <c r="C311" s="18" t="s">
        <v>714</v>
      </c>
      <c r="D311" s="18" t="s">
        <v>715</v>
      </c>
      <c r="E311" s="18" t="s">
        <v>611</v>
      </c>
      <c r="F311" s="18">
        <v>2007</v>
      </c>
      <c r="G311" s="40">
        <v>2837</v>
      </c>
      <c r="H311" s="40">
        <f t="shared" ref="H311:I311" si="327">F311-F310</f>
        <v>1</v>
      </c>
      <c r="I311" s="40">
        <f t="shared" si="327"/>
        <v>250</v>
      </c>
      <c r="J311" s="66">
        <f t="shared" si="306"/>
        <v>9.663703131039815E-2</v>
      </c>
      <c r="K311" s="65">
        <f t="shared" si="307"/>
        <v>9.663703131039815E-2</v>
      </c>
      <c r="L311" s="38" t="s">
        <v>637</v>
      </c>
    </row>
    <row r="312" spans="1:12" ht="13">
      <c r="A312" s="18" t="s">
        <v>713</v>
      </c>
      <c r="B312" s="18" t="s">
        <v>355</v>
      </c>
      <c r="C312" s="18" t="s">
        <v>714</v>
      </c>
      <c r="D312" s="18" t="s">
        <v>715</v>
      </c>
      <c r="E312" s="18" t="s">
        <v>611</v>
      </c>
      <c r="F312" s="18">
        <v>2008</v>
      </c>
      <c r="G312" s="40">
        <v>3087</v>
      </c>
      <c r="H312" s="40">
        <f t="shared" ref="H312:I312" si="328">F312-F311</f>
        <v>1</v>
      </c>
      <c r="I312" s="40">
        <f t="shared" si="328"/>
        <v>250</v>
      </c>
      <c r="J312" s="66">
        <f t="shared" si="306"/>
        <v>8.8121254846669023E-2</v>
      </c>
      <c r="K312" s="65">
        <f t="shared" si="307"/>
        <v>8.8121254846669023E-2</v>
      </c>
      <c r="L312" s="38" t="s">
        <v>637</v>
      </c>
    </row>
    <row r="313" spans="1:12" ht="13">
      <c r="A313" s="18" t="s">
        <v>713</v>
      </c>
      <c r="B313" s="18" t="s">
        <v>355</v>
      </c>
      <c r="C313" s="18" t="s">
        <v>714</v>
      </c>
      <c r="D313" s="18" t="s">
        <v>715</v>
      </c>
      <c r="E313" s="18" t="s">
        <v>611</v>
      </c>
      <c r="F313" s="18">
        <v>2009</v>
      </c>
      <c r="G313" s="40">
        <v>3437</v>
      </c>
      <c r="H313" s="40">
        <f t="shared" ref="H313:I313" si="329">F313-F312</f>
        <v>1</v>
      </c>
      <c r="I313" s="40">
        <f t="shared" si="329"/>
        <v>350</v>
      </c>
      <c r="J313" s="66">
        <f t="shared" si="306"/>
        <v>0.11337868480725624</v>
      </c>
      <c r="K313" s="65">
        <f t="shared" si="307"/>
        <v>0.11337868480725624</v>
      </c>
      <c r="L313" s="38" t="s">
        <v>637</v>
      </c>
    </row>
    <row r="314" spans="1:12" ht="13">
      <c r="A314" s="18" t="s">
        <v>713</v>
      </c>
      <c r="B314" s="18" t="s">
        <v>355</v>
      </c>
      <c r="C314" s="18" t="s">
        <v>714</v>
      </c>
      <c r="D314" s="18" t="s">
        <v>715</v>
      </c>
      <c r="E314" s="18" t="s">
        <v>611</v>
      </c>
      <c r="F314" s="18">
        <v>2010</v>
      </c>
      <c r="G314" s="40">
        <v>3737</v>
      </c>
      <c r="H314" s="40">
        <f t="shared" ref="H314:I314" si="330">F314-F313</f>
        <v>1</v>
      </c>
      <c r="I314" s="40">
        <f t="shared" si="330"/>
        <v>300</v>
      </c>
      <c r="J314" s="66">
        <f t="shared" si="306"/>
        <v>8.7285423334303169E-2</v>
      </c>
      <c r="K314" s="65">
        <f t="shared" si="307"/>
        <v>8.7285423334303169E-2</v>
      </c>
      <c r="L314" s="38" t="s">
        <v>637</v>
      </c>
    </row>
    <row r="315" spans="1:12" ht="13">
      <c r="A315" s="18" t="s">
        <v>713</v>
      </c>
      <c r="B315" s="18" t="s">
        <v>355</v>
      </c>
      <c r="C315" s="18" t="s">
        <v>714</v>
      </c>
      <c r="D315" s="18" t="s">
        <v>715</v>
      </c>
      <c r="E315" s="18" t="s">
        <v>611</v>
      </c>
      <c r="F315" s="18">
        <v>2011</v>
      </c>
      <c r="G315" s="40">
        <v>4087</v>
      </c>
      <c r="H315" s="40">
        <f t="shared" ref="H315:I315" si="331">F315-F314</f>
        <v>1</v>
      </c>
      <c r="I315" s="40">
        <f t="shared" si="331"/>
        <v>350</v>
      </c>
      <c r="J315" s="66">
        <f t="shared" si="306"/>
        <v>9.3658014450093655E-2</v>
      </c>
      <c r="K315" s="65">
        <f t="shared" si="307"/>
        <v>9.3658014450093655E-2</v>
      </c>
      <c r="L315" s="38" t="s">
        <v>637</v>
      </c>
    </row>
    <row r="316" spans="1:12" ht="13">
      <c r="A316" s="18" t="s">
        <v>359</v>
      </c>
      <c r="B316" s="18" t="s">
        <v>355</v>
      </c>
      <c r="C316" s="18" t="s">
        <v>717</v>
      </c>
      <c r="D316" s="18" t="s">
        <v>715</v>
      </c>
      <c r="E316" s="18" t="s">
        <v>622</v>
      </c>
      <c r="F316" s="18">
        <v>1986</v>
      </c>
      <c r="G316" s="40">
        <v>1573</v>
      </c>
      <c r="H316" s="40" t="s">
        <v>402</v>
      </c>
      <c r="I316" s="40" t="s">
        <v>402</v>
      </c>
      <c r="J316" s="66" t="s">
        <v>402</v>
      </c>
      <c r="K316" s="65" t="s">
        <v>402</v>
      </c>
      <c r="L316" s="38" t="s">
        <v>637</v>
      </c>
    </row>
    <row r="317" spans="1:12" ht="13">
      <c r="A317" s="18" t="s">
        <v>359</v>
      </c>
      <c r="B317" s="18" t="s">
        <v>355</v>
      </c>
      <c r="C317" s="18" t="s">
        <v>717</v>
      </c>
      <c r="D317" s="18" t="s">
        <v>715</v>
      </c>
      <c r="E317" s="18" t="s">
        <v>622</v>
      </c>
      <c r="F317" s="18">
        <v>1987</v>
      </c>
      <c r="G317" s="40">
        <v>1527</v>
      </c>
      <c r="H317" s="40">
        <f t="shared" ref="H317:I317" si="332">F317-F316</f>
        <v>1</v>
      </c>
      <c r="I317" s="40">
        <f t="shared" si="332"/>
        <v>-46</v>
      </c>
      <c r="J317" s="66">
        <f t="shared" ref="J317:J343" si="333">I317/G316</f>
        <v>-2.9243483788938335E-2</v>
      </c>
      <c r="K317" s="65">
        <f t="shared" ref="K317:K343" si="334">J317/H317</f>
        <v>-2.9243483788938335E-2</v>
      </c>
      <c r="L317" s="38" t="s">
        <v>637</v>
      </c>
    </row>
    <row r="318" spans="1:12" ht="13">
      <c r="A318" s="18" t="s">
        <v>359</v>
      </c>
      <c r="B318" s="18" t="s">
        <v>355</v>
      </c>
      <c r="C318" s="18" t="s">
        <v>717</v>
      </c>
      <c r="D318" s="18" t="s">
        <v>715</v>
      </c>
      <c r="E318" s="18" t="s">
        <v>622</v>
      </c>
      <c r="F318" s="18">
        <v>1988</v>
      </c>
      <c r="G318" s="40">
        <v>1548</v>
      </c>
      <c r="H318" s="40">
        <f t="shared" ref="H318:I318" si="335">F318-F317</f>
        <v>1</v>
      </c>
      <c r="I318" s="40">
        <f t="shared" si="335"/>
        <v>21</v>
      </c>
      <c r="J318" s="66">
        <f t="shared" si="333"/>
        <v>1.37524557956778E-2</v>
      </c>
      <c r="K318" s="65">
        <f t="shared" si="334"/>
        <v>1.37524557956778E-2</v>
      </c>
      <c r="L318" s="38" t="s">
        <v>637</v>
      </c>
    </row>
    <row r="319" spans="1:12" ht="13">
      <c r="A319" s="18" t="s">
        <v>359</v>
      </c>
      <c r="B319" s="18" t="s">
        <v>355</v>
      </c>
      <c r="C319" s="18" t="s">
        <v>717</v>
      </c>
      <c r="D319" s="18" t="s">
        <v>715</v>
      </c>
      <c r="E319" s="18" t="s">
        <v>622</v>
      </c>
      <c r="F319" s="18">
        <v>1989</v>
      </c>
      <c r="G319" s="40">
        <v>1662</v>
      </c>
      <c r="H319" s="40">
        <f t="shared" ref="H319:I319" si="336">F319-F318</f>
        <v>1</v>
      </c>
      <c r="I319" s="40">
        <f t="shared" si="336"/>
        <v>114</v>
      </c>
      <c r="J319" s="66">
        <f t="shared" si="333"/>
        <v>7.3643410852713184E-2</v>
      </c>
      <c r="K319" s="65">
        <f t="shared" si="334"/>
        <v>7.3643410852713184E-2</v>
      </c>
      <c r="L319" s="38" t="s">
        <v>637</v>
      </c>
    </row>
    <row r="320" spans="1:12" ht="13">
      <c r="A320" s="18" t="s">
        <v>359</v>
      </c>
      <c r="B320" s="18" t="s">
        <v>355</v>
      </c>
      <c r="C320" s="18" t="s">
        <v>717</v>
      </c>
      <c r="D320" s="18" t="s">
        <v>715</v>
      </c>
      <c r="E320" s="18" t="s">
        <v>622</v>
      </c>
      <c r="F320" s="18">
        <v>1990</v>
      </c>
      <c r="G320" s="40">
        <v>1729</v>
      </c>
      <c r="H320" s="40">
        <f t="shared" ref="H320:I320" si="337">F320-F319</f>
        <v>1</v>
      </c>
      <c r="I320" s="40">
        <f t="shared" si="337"/>
        <v>67</v>
      </c>
      <c r="J320" s="66">
        <f t="shared" si="333"/>
        <v>4.0312876052948254E-2</v>
      </c>
      <c r="K320" s="65">
        <f t="shared" si="334"/>
        <v>4.0312876052948254E-2</v>
      </c>
      <c r="L320" s="38" t="s">
        <v>637</v>
      </c>
    </row>
    <row r="321" spans="1:12" ht="13">
      <c r="A321" s="18" t="s">
        <v>359</v>
      </c>
      <c r="B321" s="18" t="s">
        <v>355</v>
      </c>
      <c r="C321" s="18" t="s">
        <v>717</v>
      </c>
      <c r="D321" s="18" t="s">
        <v>715</v>
      </c>
      <c r="E321" s="18" t="s">
        <v>622</v>
      </c>
      <c r="F321" s="18">
        <v>1991</v>
      </c>
      <c r="G321" s="40">
        <v>1751</v>
      </c>
      <c r="H321" s="40">
        <f t="shared" ref="H321:I321" si="338">F321-F320</f>
        <v>1</v>
      </c>
      <c r="I321" s="40">
        <f t="shared" si="338"/>
        <v>22</v>
      </c>
      <c r="J321" s="66">
        <f t="shared" si="333"/>
        <v>1.2724117987275883E-2</v>
      </c>
      <c r="K321" s="65">
        <f t="shared" si="334"/>
        <v>1.2724117987275883E-2</v>
      </c>
      <c r="L321" s="38" t="s">
        <v>637</v>
      </c>
    </row>
    <row r="322" spans="1:12" ht="13">
      <c r="A322" s="18" t="s">
        <v>359</v>
      </c>
      <c r="B322" s="18" t="s">
        <v>355</v>
      </c>
      <c r="C322" s="18" t="s">
        <v>717</v>
      </c>
      <c r="D322" s="18" t="s">
        <v>715</v>
      </c>
      <c r="E322" s="18" t="s">
        <v>622</v>
      </c>
      <c r="F322" s="18">
        <v>1992</v>
      </c>
      <c r="G322" s="40">
        <v>1727</v>
      </c>
      <c r="H322" s="40">
        <f t="shared" ref="H322:I322" si="339">F322-F321</f>
        <v>1</v>
      </c>
      <c r="I322" s="40">
        <f t="shared" si="339"/>
        <v>-24</v>
      </c>
      <c r="J322" s="66">
        <f t="shared" si="333"/>
        <v>-1.3706453455168474E-2</v>
      </c>
      <c r="K322" s="65">
        <f t="shared" si="334"/>
        <v>-1.3706453455168474E-2</v>
      </c>
      <c r="L322" s="38" t="s">
        <v>637</v>
      </c>
    </row>
    <row r="323" spans="1:12" ht="13">
      <c r="A323" s="18" t="s">
        <v>359</v>
      </c>
      <c r="B323" s="18" t="s">
        <v>355</v>
      </c>
      <c r="C323" s="18" t="s">
        <v>717</v>
      </c>
      <c r="D323" s="18" t="s">
        <v>715</v>
      </c>
      <c r="E323" s="18" t="s">
        <v>622</v>
      </c>
      <c r="F323" s="18">
        <v>1993</v>
      </c>
      <c r="G323" s="40">
        <v>1749</v>
      </c>
      <c r="H323" s="40">
        <f t="shared" ref="H323:I323" si="340">F323-F322</f>
        <v>1</v>
      </c>
      <c r="I323" s="40">
        <f t="shared" si="340"/>
        <v>22</v>
      </c>
      <c r="J323" s="66">
        <f t="shared" si="333"/>
        <v>1.2738853503184714E-2</v>
      </c>
      <c r="K323" s="65">
        <f t="shared" si="334"/>
        <v>1.2738853503184714E-2</v>
      </c>
      <c r="L323" s="38" t="s">
        <v>637</v>
      </c>
    </row>
    <row r="324" spans="1:12" ht="13">
      <c r="A324" s="18" t="s">
        <v>359</v>
      </c>
      <c r="B324" s="18" t="s">
        <v>355</v>
      </c>
      <c r="C324" s="18" t="s">
        <v>717</v>
      </c>
      <c r="D324" s="18" t="s">
        <v>715</v>
      </c>
      <c r="E324" s="18" t="s">
        <v>622</v>
      </c>
      <c r="F324" s="18">
        <v>1994</v>
      </c>
      <c r="G324" s="40">
        <v>1794</v>
      </c>
      <c r="H324" s="40">
        <f t="shared" ref="H324:I324" si="341">F324-F323</f>
        <v>1</v>
      </c>
      <c r="I324" s="40">
        <f t="shared" si="341"/>
        <v>45</v>
      </c>
      <c r="J324" s="66">
        <f t="shared" si="333"/>
        <v>2.5728987993138937E-2</v>
      </c>
      <c r="K324" s="65">
        <f t="shared" si="334"/>
        <v>2.5728987993138937E-2</v>
      </c>
      <c r="L324" s="38" t="s">
        <v>637</v>
      </c>
    </row>
    <row r="325" spans="1:12" ht="13">
      <c r="A325" s="18" t="s">
        <v>359</v>
      </c>
      <c r="B325" s="18" t="s">
        <v>355</v>
      </c>
      <c r="C325" s="18" t="s">
        <v>717</v>
      </c>
      <c r="D325" s="18" t="s">
        <v>715</v>
      </c>
      <c r="E325" s="18" t="s">
        <v>622</v>
      </c>
      <c r="F325" s="18">
        <v>1995</v>
      </c>
      <c r="G325" s="40">
        <v>1884</v>
      </c>
      <c r="H325" s="40">
        <f t="shared" ref="H325:I325" si="342">F325-F324</f>
        <v>1</v>
      </c>
      <c r="I325" s="40">
        <f t="shared" si="342"/>
        <v>90</v>
      </c>
      <c r="J325" s="66">
        <f t="shared" si="333"/>
        <v>5.016722408026756E-2</v>
      </c>
      <c r="K325" s="65">
        <f t="shared" si="334"/>
        <v>5.016722408026756E-2</v>
      </c>
      <c r="L325" s="38" t="s">
        <v>637</v>
      </c>
    </row>
    <row r="326" spans="1:12" ht="13">
      <c r="A326" s="18" t="s">
        <v>359</v>
      </c>
      <c r="B326" s="18" t="s">
        <v>355</v>
      </c>
      <c r="C326" s="18" t="s">
        <v>717</v>
      </c>
      <c r="D326" s="18" t="s">
        <v>715</v>
      </c>
      <c r="E326" s="18" t="s">
        <v>622</v>
      </c>
      <c r="F326" s="18">
        <v>1996</v>
      </c>
      <c r="G326" s="40">
        <v>1906</v>
      </c>
      <c r="H326" s="40">
        <f t="shared" ref="H326:I326" si="343">F326-F325</f>
        <v>1</v>
      </c>
      <c r="I326" s="40">
        <f t="shared" si="343"/>
        <v>22</v>
      </c>
      <c r="J326" s="66">
        <f t="shared" si="333"/>
        <v>1.167728237791932E-2</v>
      </c>
      <c r="K326" s="65">
        <f t="shared" si="334"/>
        <v>1.167728237791932E-2</v>
      </c>
      <c r="L326" s="38" t="s">
        <v>637</v>
      </c>
    </row>
    <row r="327" spans="1:12" ht="13">
      <c r="A327" s="18" t="s">
        <v>359</v>
      </c>
      <c r="B327" s="18" t="s">
        <v>355</v>
      </c>
      <c r="C327" s="18" t="s">
        <v>717</v>
      </c>
      <c r="D327" s="18" t="s">
        <v>715</v>
      </c>
      <c r="E327" s="18" t="s">
        <v>622</v>
      </c>
      <c r="F327" s="18">
        <v>1997</v>
      </c>
      <c r="G327" s="40">
        <v>1950</v>
      </c>
      <c r="H327" s="40">
        <f t="shared" ref="H327:I327" si="344">F327-F326</f>
        <v>1</v>
      </c>
      <c r="I327" s="40">
        <f t="shared" si="344"/>
        <v>44</v>
      </c>
      <c r="J327" s="66">
        <f t="shared" si="333"/>
        <v>2.3084994753410283E-2</v>
      </c>
      <c r="K327" s="65">
        <f t="shared" si="334"/>
        <v>2.3084994753410283E-2</v>
      </c>
      <c r="L327" s="38" t="s">
        <v>637</v>
      </c>
    </row>
    <row r="328" spans="1:12" ht="13">
      <c r="A328" s="18" t="s">
        <v>359</v>
      </c>
      <c r="B328" s="18" t="s">
        <v>355</v>
      </c>
      <c r="C328" s="18" t="s">
        <v>717</v>
      </c>
      <c r="D328" s="18" t="s">
        <v>715</v>
      </c>
      <c r="E328" s="18" t="s">
        <v>622</v>
      </c>
      <c r="F328" s="18">
        <v>1998</v>
      </c>
      <c r="G328" s="40">
        <v>1972</v>
      </c>
      <c r="H328" s="40">
        <f t="shared" ref="H328:I328" si="345">F328-F327</f>
        <v>1</v>
      </c>
      <c r="I328" s="40">
        <f t="shared" si="345"/>
        <v>22</v>
      </c>
      <c r="J328" s="66">
        <f t="shared" si="333"/>
        <v>1.1282051282051283E-2</v>
      </c>
      <c r="K328" s="65">
        <f t="shared" si="334"/>
        <v>1.1282051282051283E-2</v>
      </c>
      <c r="L328" s="38" t="s">
        <v>637</v>
      </c>
    </row>
    <row r="329" spans="1:12" ht="13">
      <c r="A329" s="18" t="s">
        <v>359</v>
      </c>
      <c r="B329" s="18" t="s">
        <v>355</v>
      </c>
      <c r="C329" s="18" t="s">
        <v>717</v>
      </c>
      <c r="D329" s="18" t="s">
        <v>715</v>
      </c>
      <c r="E329" s="18" t="s">
        <v>622</v>
      </c>
      <c r="F329" s="18">
        <v>1999</v>
      </c>
      <c r="G329" s="40">
        <v>1926</v>
      </c>
      <c r="H329" s="40">
        <f t="shared" ref="H329:I329" si="346">F329-F328</f>
        <v>1</v>
      </c>
      <c r="I329" s="40">
        <f t="shared" si="346"/>
        <v>-46</v>
      </c>
      <c r="J329" s="66">
        <f t="shared" si="333"/>
        <v>-2.332657200811359E-2</v>
      </c>
      <c r="K329" s="65">
        <f t="shared" si="334"/>
        <v>-2.332657200811359E-2</v>
      </c>
      <c r="L329" s="38" t="s">
        <v>637</v>
      </c>
    </row>
    <row r="330" spans="1:12" ht="13">
      <c r="A330" s="18" t="s">
        <v>359</v>
      </c>
      <c r="B330" s="18" t="s">
        <v>355</v>
      </c>
      <c r="C330" s="18" t="s">
        <v>717</v>
      </c>
      <c r="D330" s="18" t="s">
        <v>715</v>
      </c>
      <c r="E330" s="18" t="s">
        <v>622</v>
      </c>
      <c r="F330" s="18">
        <v>2000</v>
      </c>
      <c r="G330" s="40">
        <v>1948</v>
      </c>
      <c r="H330" s="40">
        <f t="shared" ref="H330:I330" si="347">F330-F329</f>
        <v>1</v>
      </c>
      <c r="I330" s="40">
        <f t="shared" si="347"/>
        <v>22</v>
      </c>
      <c r="J330" s="66">
        <f t="shared" si="333"/>
        <v>1.142263759086189E-2</v>
      </c>
      <c r="K330" s="65">
        <f t="shared" si="334"/>
        <v>1.142263759086189E-2</v>
      </c>
      <c r="L330" s="38" t="s">
        <v>637</v>
      </c>
    </row>
    <row r="331" spans="1:12" ht="13">
      <c r="A331" s="18" t="s">
        <v>359</v>
      </c>
      <c r="B331" s="18" t="s">
        <v>355</v>
      </c>
      <c r="C331" s="18" t="s">
        <v>717</v>
      </c>
      <c r="D331" s="18" t="s">
        <v>715</v>
      </c>
      <c r="E331" s="18" t="s">
        <v>622</v>
      </c>
      <c r="F331" s="18">
        <v>2001</v>
      </c>
      <c r="G331" s="40">
        <v>2061</v>
      </c>
      <c r="H331" s="40">
        <f t="shared" ref="H331:I331" si="348">F331-F330</f>
        <v>1</v>
      </c>
      <c r="I331" s="40">
        <f t="shared" si="348"/>
        <v>113</v>
      </c>
      <c r="J331" s="66">
        <f t="shared" si="333"/>
        <v>5.8008213552361396E-2</v>
      </c>
      <c r="K331" s="65">
        <f t="shared" si="334"/>
        <v>5.8008213552361396E-2</v>
      </c>
      <c r="L331" s="38" t="s">
        <v>637</v>
      </c>
    </row>
    <row r="332" spans="1:12" ht="13">
      <c r="A332" s="18" t="s">
        <v>359</v>
      </c>
      <c r="B332" s="18" t="s">
        <v>355</v>
      </c>
      <c r="C332" s="18" t="s">
        <v>717</v>
      </c>
      <c r="D332" s="18" t="s">
        <v>715</v>
      </c>
      <c r="E332" s="18" t="s">
        <v>622</v>
      </c>
      <c r="F332" s="18">
        <v>2002</v>
      </c>
      <c r="G332" s="40">
        <v>2151</v>
      </c>
      <c r="H332" s="40">
        <f t="shared" ref="H332:I332" si="349">F332-F331</f>
        <v>1</v>
      </c>
      <c r="I332" s="40">
        <f t="shared" si="349"/>
        <v>90</v>
      </c>
      <c r="J332" s="66">
        <f t="shared" si="333"/>
        <v>4.3668122270742356E-2</v>
      </c>
      <c r="K332" s="65">
        <f t="shared" si="334"/>
        <v>4.3668122270742356E-2</v>
      </c>
      <c r="L332" s="38" t="s">
        <v>637</v>
      </c>
    </row>
    <row r="333" spans="1:12" ht="13">
      <c r="A333" s="18" t="s">
        <v>359</v>
      </c>
      <c r="B333" s="18" t="s">
        <v>355</v>
      </c>
      <c r="C333" s="18" t="s">
        <v>717</v>
      </c>
      <c r="D333" s="18" t="s">
        <v>715</v>
      </c>
      <c r="E333" s="18" t="s">
        <v>622</v>
      </c>
      <c r="F333" s="18">
        <v>2003</v>
      </c>
      <c r="G333" s="40">
        <v>2241</v>
      </c>
      <c r="H333" s="40">
        <f t="shared" ref="H333:I333" si="350">F333-F332</f>
        <v>1</v>
      </c>
      <c r="I333" s="40">
        <f t="shared" si="350"/>
        <v>90</v>
      </c>
      <c r="J333" s="66">
        <f t="shared" si="333"/>
        <v>4.1841004184100417E-2</v>
      </c>
      <c r="K333" s="65">
        <f t="shared" si="334"/>
        <v>4.1841004184100417E-2</v>
      </c>
      <c r="L333" s="38" t="s">
        <v>637</v>
      </c>
    </row>
    <row r="334" spans="1:12" ht="13">
      <c r="A334" s="18" t="s">
        <v>359</v>
      </c>
      <c r="B334" s="18" t="s">
        <v>355</v>
      </c>
      <c r="C334" s="18" t="s">
        <v>717</v>
      </c>
      <c r="D334" s="18" t="s">
        <v>715</v>
      </c>
      <c r="E334" s="18" t="s">
        <v>622</v>
      </c>
      <c r="F334" s="18">
        <v>2004</v>
      </c>
      <c r="G334" s="40">
        <v>2355</v>
      </c>
      <c r="H334" s="40">
        <f t="shared" ref="H334:I334" si="351">F334-F333</f>
        <v>1</v>
      </c>
      <c r="I334" s="40">
        <f t="shared" si="351"/>
        <v>114</v>
      </c>
      <c r="J334" s="66">
        <f t="shared" si="333"/>
        <v>5.0870147255689425E-2</v>
      </c>
      <c r="K334" s="65">
        <f t="shared" si="334"/>
        <v>5.0870147255689425E-2</v>
      </c>
      <c r="L334" s="38" t="s">
        <v>637</v>
      </c>
    </row>
    <row r="335" spans="1:12" ht="13">
      <c r="A335" s="18" t="s">
        <v>359</v>
      </c>
      <c r="B335" s="18" t="s">
        <v>355</v>
      </c>
      <c r="C335" s="18" t="s">
        <v>717</v>
      </c>
      <c r="D335" s="18" t="s">
        <v>715</v>
      </c>
      <c r="E335" s="18" t="s">
        <v>622</v>
      </c>
      <c r="F335" s="18">
        <v>2005</v>
      </c>
      <c r="G335" s="40">
        <v>2422</v>
      </c>
      <c r="H335" s="40">
        <f t="shared" ref="H335:I335" si="352">F335-F334</f>
        <v>1</v>
      </c>
      <c r="I335" s="40">
        <f t="shared" si="352"/>
        <v>67</v>
      </c>
      <c r="J335" s="66">
        <f t="shared" si="333"/>
        <v>2.8450106157112527E-2</v>
      </c>
      <c r="K335" s="65">
        <f t="shared" si="334"/>
        <v>2.8450106157112527E-2</v>
      </c>
      <c r="L335" s="38" t="s">
        <v>637</v>
      </c>
    </row>
    <row r="336" spans="1:12" ht="13">
      <c r="A336" s="18" t="s">
        <v>359</v>
      </c>
      <c r="B336" s="18" t="s">
        <v>355</v>
      </c>
      <c r="C336" s="18" t="s">
        <v>717</v>
      </c>
      <c r="D336" s="18" t="s">
        <v>715</v>
      </c>
      <c r="E336" s="18" t="s">
        <v>622</v>
      </c>
      <c r="F336" s="18">
        <v>2006</v>
      </c>
      <c r="G336" s="40">
        <v>2489</v>
      </c>
      <c r="H336" s="40">
        <f t="shared" ref="H336:I336" si="353">F336-F335</f>
        <v>1</v>
      </c>
      <c r="I336" s="40">
        <f t="shared" si="353"/>
        <v>67</v>
      </c>
      <c r="J336" s="66">
        <f t="shared" si="333"/>
        <v>2.7663088356729974E-2</v>
      </c>
      <c r="K336" s="65">
        <f t="shared" si="334"/>
        <v>2.7663088356729974E-2</v>
      </c>
      <c r="L336" s="38" t="s">
        <v>637</v>
      </c>
    </row>
    <row r="337" spans="1:31" ht="13">
      <c r="A337" s="18" t="s">
        <v>359</v>
      </c>
      <c r="B337" s="18" t="s">
        <v>355</v>
      </c>
      <c r="C337" s="18" t="s">
        <v>717</v>
      </c>
      <c r="D337" s="18" t="s">
        <v>715</v>
      </c>
      <c r="E337" s="18" t="s">
        <v>622</v>
      </c>
      <c r="F337" s="18">
        <v>2007</v>
      </c>
      <c r="G337" s="40">
        <v>2739</v>
      </c>
      <c r="H337" s="40">
        <f t="shared" ref="H337:I337" si="354">F337-F336</f>
        <v>1</v>
      </c>
      <c r="I337" s="40">
        <f t="shared" si="354"/>
        <v>250</v>
      </c>
      <c r="J337" s="66">
        <f t="shared" si="333"/>
        <v>0.1004419445560466</v>
      </c>
      <c r="K337" s="65">
        <f t="shared" si="334"/>
        <v>0.1004419445560466</v>
      </c>
      <c r="L337" s="38" t="s">
        <v>637</v>
      </c>
    </row>
    <row r="338" spans="1:31" ht="13">
      <c r="A338" s="18" t="s">
        <v>359</v>
      </c>
      <c r="B338" s="18" t="s">
        <v>355</v>
      </c>
      <c r="C338" s="18" t="s">
        <v>717</v>
      </c>
      <c r="D338" s="18" t="s">
        <v>715</v>
      </c>
      <c r="E338" s="18" t="s">
        <v>622</v>
      </c>
      <c r="F338" s="18">
        <v>2008</v>
      </c>
      <c r="G338" s="40">
        <v>2716</v>
      </c>
      <c r="H338" s="40">
        <f t="shared" ref="H338:I338" si="355">F338-F337</f>
        <v>1</v>
      </c>
      <c r="I338" s="40">
        <f t="shared" si="355"/>
        <v>-23</v>
      </c>
      <c r="J338" s="66">
        <f t="shared" si="333"/>
        <v>-8.3972252646951438E-3</v>
      </c>
      <c r="K338" s="65">
        <f t="shared" si="334"/>
        <v>-8.3972252646951438E-3</v>
      </c>
      <c r="L338" s="38" t="s">
        <v>637</v>
      </c>
    </row>
    <row r="339" spans="1:31" ht="13">
      <c r="A339" s="18" t="s">
        <v>359</v>
      </c>
      <c r="B339" s="18" t="s">
        <v>355</v>
      </c>
      <c r="C339" s="18" t="s">
        <v>717</v>
      </c>
      <c r="D339" s="18" t="s">
        <v>715</v>
      </c>
      <c r="E339" s="18" t="s">
        <v>622</v>
      </c>
      <c r="F339" s="18">
        <v>2009</v>
      </c>
      <c r="G339" s="40">
        <v>2966</v>
      </c>
      <c r="H339" s="40">
        <f t="shared" ref="H339:I339" si="356">F339-F338</f>
        <v>1</v>
      </c>
      <c r="I339" s="40">
        <f t="shared" si="356"/>
        <v>250</v>
      </c>
      <c r="J339" s="66">
        <f t="shared" si="333"/>
        <v>9.2047128129602362E-2</v>
      </c>
      <c r="K339" s="65">
        <f t="shared" si="334"/>
        <v>9.2047128129602362E-2</v>
      </c>
      <c r="L339" s="38" t="s">
        <v>637</v>
      </c>
    </row>
    <row r="340" spans="1:31" ht="13">
      <c r="A340" s="18" t="s">
        <v>359</v>
      </c>
      <c r="B340" s="18" t="s">
        <v>355</v>
      </c>
      <c r="C340" s="18" t="s">
        <v>717</v>
      </c>
      <c r="D340" s="18" t="s">
        <v>715</v>
      </c>
      <c r="E340" s="18" t="s">
        <v>622</v>
      </c>
      <c r="F340" s="18">
        <v>2010</v>
      </c>
      <c r="G340" s="40">
        <v>3147</v>
      </c>
      <c r="H340" s="40">
        <f t="shared" ref="H340:I340" si="357">F340-F339</f>
        <v>1</v>
      </c>
      <c r="I340" s="40">
        <f t="shared" si="357"/>
        <v>181</v>
      </c>
      <c r="J340" s="66">
        <f t="shared" si="333"/>
        <v>6.1024949426837491E-2</v>
      </c>
      <c r="K340" s="65">
        <f t="shared" si="334"/>
        <v>6.1024949426837491E-2</v>
      </c>
      <c r="L340" s="38" t="s">
        <v>637</v>
      </c>
    </row>
    <row r="341" spans="1:31" ht="13">
      <c r="A341" s="18" t="s">
        <v>359</v>
      </c>
      <c r="B341" s="18" t="s">
        <v>355</v>
      </c>
      <c r="C341" s="18" t="s">
        <v>717</v>
      </c>
      <c r="D341" s="18" t="s">
        <v>715</v>
      </c>
      <c r="E341" s="18" t="s">
        <v>622</v>
      </c>
      <c r="F341" s="18">
        <v>2011</v>
      </c>
      <c r="G341" s="40">
        <v>3260</v>
      </c>
      <c r="H341" s="40">
        <f t="shared" ref="H341:I341" si="358">F341-F340</f>
        <v>1</v>
      </c>
      <c r="I341" s="40">
        <f t="shared" si="358"/>
        <v>113</v>
      </c>
      <c r="J341" s="66">
        <f t="shared" si="333"/>
        <v>3.5907213218938673E-2</v>
      </c>
      <c r="K341" s="65">
        <f t="shared" si="334"/>
        <v>3.5907213218938673E-2</v>
      </c>
      <c r="L341" s="38" t="s">
        <v>637</v>
      </c>
    </row>
    <row r="342" spans="1:31" ht="13">
      <c r="A342" s="18" t="s">
        <v>359</v>
      </c>
      <c r="B342" s="18" t="s">
        <v>355</v>
      </c>
      <c r="C342" s="18" t="s">
        <v>717</v>
      </c>
      <c r="D342" s="18" t="s">
        <v>715</v>
      </c>
      <c r="E342" s="18" t="s">
        <v>622</v>
      </c>
      <c r="F342" s="18">
        <v>2012</v>
      </c>
      <c r="G342" s="40">
        <v>3419</v>
      </c>
      <c r="H342" s="40">
        <f t="shared" ref="H342:I342" si="359">F342-F341</f>
        <v>1</v>
      </c>
      <c r="I342" s="40">
        <f t="shared" si="359"/>
        <v>159</v>
      </c>
      <c r="J342" s="66">
        <f t="shared" si="333"/>
        <v>4.8773006134969328E-2</v>
      </c>
      <c r="K342" s="65">
        <f t="shared" si="334"/>
        <v>4.8773006134969328E-2</v>
      </c>
      <c r="L342" s="38" t="s">
        <v>637</v>
      </c>
    </row>
    <row r="343" spans="1:31" ht="13">
      <c r="A343" s="18" t="s">
        <v>359</v>
      </c>
      <c r="B343" s="18" t="s">
        <v>355</v>
      </c>
      <c r="C343" s="18" t="s">
        <v>717</v>
      </c>
      <c r="D343" s="18" t="s">
        <v>715</v>
      </c>
      <c r="E343" s="18" t="s">
        <v>622</v>
      </c>
      <c r="F343" s="18">
        <v>2013</v>
      </c>
      <c r="G343" s="40">
        <v>3623</v>
      </c>
      <c r="H343" s="40">
        <f t="shared" ref="H343:I343" si="360">F343-F342</f>
        <v>1</v>
      </c>
      <c r="I343" s="40">
        <f t="shared" si="360"/>
        <v>204</v>
      </c>
      <c r="J343" s="66">
        <f t="shared" si="333"/>
        <v>5.9666569172272595E-2</v>
      </c>
      <c r="K343" s="65">
        <f t="shared" si="334"/>
        <v>5.9666569172272595E-2</v>
      </c>
      <c r="L343" s="38" t="s">
        <v>637</v>
      </c>
    </row>
    <row r="344" spans="1:31" ht="13">
      <c r="A344" s="30" t="s">
        <v>367</v>
      </c>
      <c r="B344" s="30" t="s">
        <v>355</v>
      </c>
      <c r="C344" s="18" t="s">
        <v>719</v>
      </c>
      <c r="D344" s="18" t="s">
        <v>715</v>
      </c>
      <c r="E344" s="18" t="s">
        <v>622</v>
      </c>
      <c r="F344" s="30">
        <v>1989</v>
      </c>
      <c r="G344" s="53">
        <v>7786</v>
      </c>
      <c r="H344" s="53" t="s">
        <v>402</v>
      </c>
      <c r="I344" s="53" t="s">
        <v>402</v>
      </c>
      <c r="J344" s="73" t="s">
        <v>402</v>
      </c>
      <c r="K344" s="65" t="s">
        <v>402</v>
      </c>
      <c r="L344" s="38" t="s">
        <v>637</v>
      </c>
      <c r="M344" s="30"/>
      <c r="N344" s="30"/>
      <c r="O344" s="30"/>
      <c r="P344" s="30"/>
      <c r="Q344" s="30"/>
      <c r="R344" s="30"/>
      <c r="S344" s="30"/>
      <c r="T344" s="30"/>
      <c r="U344" s="30"/>
      <c r="V344" s="30"/>
      <c r="W344" s="30"/>
      <c r="X344" s="30"/>
      <c r="Y344" s="30"/>
      <c r="Z344" s="30"/>
      <c r="AA344" s="30"/>
      <c r="AB344" s="30"/>
      <c r="AC344" s="30"/>
      <c r="AD344" s="30"/>
      <c r="AE344" s="30"/>
    </row>
    <row r="345" spans="1:31" ht="13">
      <c r="A345" s="30" t="s">
        <v>367</v>
      </c>
      <c r="B345" s="30" t="s">
        <v>355</v>
      </c>
      <c r="C345" s="18" t="s">
        <v>719</v>
      </c>
      <c r="D345" s="18" t="s">
        <v>715</v>
      </c>
      <c r="E345" s="18" t="s">
        <v>622</v>
      </c>
      <c r="F345" s="18">
        <v>1990</v>
      </c>
      <c r="G345" s="40">
        <v>13969</v>
      </c>
      <c r="H345" s="40">
        <f t="shared" ref="H345:I345" si="361">F345-F344</f>
        <v>1</v>
      </c>
      <c r="I345" s="40">
        <f t="shared" si="361"/>
        <v>6183</v>
      </c>
      <c r="J345" s="66">
        <f t="shared" ref="J345:J371" si="362">I345/G344</f>
        <v>0.79411764705882348</v>
      </c>
      <c r="K345" s="65">
        <f t="shared" ref="K345:K371" si="363">J345/H345</f>
        <v>0.79411764705882348</v>
      </c>
      <c r="L345" s="38" t="s">
        <v>637</v>
      </c>
    </row>
    <row r="346" spans="1:31" ht="13">
      <c r="A346" s="30" t="s">
        <v>367</v>
      </c>
      <c r="B346" s="30" t="s">
        <v>355</v>
      </c>
      <c r="C346" s="18" t="s">
        <v>719</v>
      </c>
      <c r="D346" s="18" t="s">
        <v>715</v>
      </c>
      <c r="E346" s="18" t="s">
        <v>622</v>
      </c>
      <c r="F346" s="18">
        <v>1991</v>
      </c>
      <c r="G346" s="40">
        <v>14656</v>
      </c>
      <c r="H346" s="40">
        <f t="shared" ref="H346:I346" si="364">F346-F345</f>
        <v>1</v>
      </c>
      <c r="I346" s="40">
        <f t="shared" si="364"/>
        <v>687</v>
      </c>
      <c r="J346" s="66">
        <f t="shared" si="362"/>
        <v>4.9180327868852458E-2</v>
      </c>
      <c r="K346" s="65">
        <f t="shared" si="363"/>
        <v>4.9180327868852458E-2</v>
      </c>
      <c r="L346" s="38" t="s">
        <v>637</v>
      </c>
    </row>
    <row r="347" spans="1:31" ht="13">
      <c r="A347" s="30" t="s">
        <v>367</v>
      </c>
      <c r="B347" s="30" t="s">
        <v>355</v>
      </c>
      <c r="C347" s="18" t="s">
        <v>719</v>
      </c>
      <c r="D347" s="18" t="s">
        <v>715</v>
      </c>
      <c r="E347" s="18" t="s">
        <v>622</v>
      </c>
      <c r="F347" s="18">
        <v>1992</v>
      </c>
      <c r="G347" s="40">
        <v>15802</v>
      </c>
      <c r="H347" s="40">
        <f t="shared" ref="H347:I347" si="365">F347-F346</f>
        <v>1</v>
      </c>
      <c r="I347" s="40">
        <f t="shared" si="365"/>
        <v>1146</v>
      </c>
      <c r="J347" s="66">
        <f t="shared" si="362"/>
        <v>7.8193231441048033E-2</v>
      </c>
      <c r="K347" s="65">
        <f t="shared" si="363"/>
        <v>7.8193231441048033E-2</v>
      </c>
      <c r="L347" s="38" t="s">
        <v>637</v>
      </c>
    </row>
    <row r="348" spans="1:31" ht="13">
      <c r="A348" s="30" t="s">
        <v>367</v>
      </c>
      <c r="B348" s="30" t="s">
        <v>355</v>
      </c>
      <c r="C348" s="18" t="s">
        <v>719</v>
      </c>
      <c r="D348" s="18" t="s">
        <v>715</v>
      </c>
      <c r="E348" s="18" t="s">
        <v>622</v>
      </c>
      <c r="F348" s="18">
        <v>1993</v>
      </c>
      <c r="G348" s="40">
        <v>16947</v>
      </c>
      <c r="H348" s="40">
        <f t="shared" ref="H348:I348" si="366">F348-F347</f>
        <v>1</v>
      </c>
      <c r="I348" s="40">
        <f t="shared" si="366"/>
        <v>1145</v>
      </c>
      <c r="J348" s="66">
        <f t="shared" si="362"/>
        <v>7.2459182381976961E-2</v>
      </c>
      <c r="K348" s="65">
        <f t="shared" si="363"/>
        <v>7.2459182381976961E-2</v>
      </c>
      <c r="L348" s="38" t="s">
        <v>637</v>
      </c>
    </row>
    <row r="349" spans="1:31" ht="13">
      <c r="A349" s="30" t="s">
        <v>367</v>
      </c>
      <c r="B349" s="30" t="s">
        <v>355</v>
      </c>
      <c r="C349" s="18" t="s">
        <v>719</v>
      </c>
      <c r="D349" s="18" t="s">
        <v>715</v>
      </c>
      <c r="E349" s="18" t="s">
        <v>622</v>
      </c>
      <c r="F349" s="18">
        <v>1994</v>
      </c>
      <c r="G349" s="40">
        <v>24275</v>
      </c>
      <c r="H349" s="40">
        <f t="shared" ref="H349:I349" si="367">F349-F348</f>
        <v>1</v>
      </c>
      <c r="I349" s="40">
        <f t="shared" si="367"/>
        <v>7328</v>
      </c>
      <c r="J349" s="66">
        <f t="shared" si="362"/>
        <v>0.43240691567829115</v>
      </c>
      <c r="K349" s="65">
        <f t="shared" si="363"/>
        <v>0.43240691567829115</v>
      </c>
      <c r="L349" s="38" t="s">
        <v>637</v>
      </c>
    </row>
    <row r="350" spans="1:31" ht="13">
      <c r="A350" s="30" t="s">
        <v>367</v>
      </c>
      <c r="B350" s="30" t="s">
        <v>355</v>
      </c>
      <c r="C350" s="18" t="s">
        <v>719</v>
      </c>
      <c r="D350" s="18" t="s">
        <v>715</v>
      </c>
      <c r="E350" s="18" t="s">
        <v>622</v>
      </c>
      <c r="F350" s="18">
        <v>1995</v>
      </c>
      <c r="G350" s="40">
        <v>26565</v>
      </c>
      <c r="H350" s="40">
        <f t="shared" ref="H350:I350" si="368">F350-F349</f>
        <v>1</v>
      </c>
      <c r="I350" s="40">
        <f t="shared" si="368"/>
        <v>2290</v>
      </c>
      <c r="J350" s="66">
        <f t="shared" si="362"/>
        <v>9.4335736354273947E-2</v>
      </c>
      <c r="K350" s="65">
        <f t="shared" si="363"/>
        <v>9.4335736354273947E-2</v>
      </c>
      <c r="L350" s="38" t="s">
        <v>637</v>
      </c>
    </row>
    <row r="351" spans="1:31" ht="13">
      <c r="A351" s="30" t="s">
        <v>367</v>
      </c>
      <c r="B351" s="30" t="s">
        <v>355</v>
      </c>
      <c r="C351" s="18" t="s">
        <v>719</v>
      </c>
      <c r="D351" s="18" t="s">
        <v>715</v>
      </c>
      <c r="E351" s="18" t="s">
        <v>622</v>
      </c>
      <c r="F351" s="18">
        <v>1996</v>
      </c>
      <c r="G351" s="40">
        <v>21756</v>
      </c>
      <c r="H351" s="40">
        <f t="shared" ref="H351:I351" si="369">F351-F350</f>
        <v>1</v>
      </c>
      <c r="I351" s="40">
        <f t="shared" si="369"/>
        <v>-4809</v>
      </c>
      <c r="J351" s="66">
        <f t="shared" si="362"/>
        <v>-0.18102766798418973</v>
      </c>
      <c r="K351" s="65">
        <f t="shared" si="363"/>
        <v>-0.18102766798418973</v>
      </c>
      <c r="L351" s="38" t="s">
        <v>637</v>
      </c>
    </row>
    <row r="352" spans="1:31" ht="13">
      <c r="A352" s="30" t="s">
        <v>367</v>
      </c>
      <c r="B352" s="30" t="s">
        <v>355</v>
      </c>
      <c r="C352" s="18" t="s">
        <v>719</v>
      </c>
      <c r="D352" s="18" t="s">
        <v>715</v>
      </c>
      <c r="E352" s="18" t="s">
        <v>622</v>
      </c>
      <c r="F352" s="18">
        <v>1997</v>
      </c>
      <c r="G352" s="40">
        <v>15802</v>
      </c>
      <c r="H352" s="40">
        <f t="shared" ref="H352:I352" si="370">F352-F351</f>
        <v>1</v>
      </c>
      <c r="I352" s="40">
        <f t="shared" si="370"/>
        <v>-5954</v>
      </c>
      <c r="J352" s="66">
        <f t="shared" si="362"/>
        <v>-0.27367163081448798</v>
      </c>
      <c r="K352" s="65">
        <f t="shared" si="363"/>
        <v>-0.27367163081448798</v>
      </c>
      <c r="L352" s="38" t="s">
        <v>637</v>
      </c>
    </row>
    <row r="353" spans="1:12" ht="13">
      <c r="A353" s="30" t="s">
        <v>367</v>
      </c>
      <c r="B353" s="30" t="s">
        <v>355</v>
      </c>
      <c r="C353" s="18" t="s">
        <v>719</v>
      </c>
      <c r="D353" s="18" t="s">
        <v>715</v>
      </c>
      <c r="E353" s="18" t="s">
        <v>622</v>
      </c>
      <c r="F353" s="18">
        <v>1998</v>
      </c>
      <c r="G353" s="40">
        <v>15802</v>
      </c>
      <c r="H353" s="40">
        <f t="shared" ref="H353:I353" si="371">F353-F352</f>
        <v>1</v>
      </c>
      <c r="I353" s="40">
        <f t="shared" si="371"/>
        <v>0</v>
      </c>
      <c r="J353" s="66">
        <f t="shared" si="362"/>
        <v>0</v>
      </c>
      <c r="K353" s="65">
        <f t="shared" si="363"/>
        <v>0</v>
      </c>
      <c r="L353" s="38" t="s">
        <v>637</v>
      </c>
    </row>
    <row r="354" spans="1:12" ht="13">
      <c r="A354" s="30" t="s">
        <v>367</v>
      </c>
      <c r="B354" s="30" t="s">
        <v>355</v>
      </c>
      <c r="C354" s="18" t="s">
        <v>719</v>
      </c>
      <c r="D354" s="18" t="s">
        <v>715</v>
      </c>
      <c r="E354" s="18" t="s">
        <v>622</v>
      </c>
      <c r="F354" s="18">
        <v>1999</v>
      </c>
      <c r="G354" s="40">
        <v>19466</v>
      </c>
      <c r="H354" s="40">
        <f t="shared" ref="H354:I354" si="372">F354-F353</f>
        <v>1</v>
      </c>
      <c r="I354" s="40">
        <f t="shared" si="372"/>
        <v>3664</v>
      </c>
      <c r="J354" s="66">
        <f t="shared" si="362"/>
        <v>0.23186938362232629</v>
      </c>
      <c r="K354" s="65">
        <f t="shared" si="363"/>
        <v>0.23186938362232629</v>
      </c>
      <c r="L354" s="38" t="s">
        <v>637</v>
      </c>
    </row>
    <row r="355" spans="1:12" ht="13">
      <c r="A355" s="30" t="s">
        <v>367</v>
      </c>
      <c r="B355" s="30" t="s">
        <v>355</v>
      </c>
      <c r="C355" s="18" t="s">
        <v>719</v>
      </c>
      <c r="D355" s="18" t="s">
        <v>715</v>
      </c>
      <c r="E355" s="18" t="s">
        <v>622</v>
      </c>
      <c r="F355" s="18">
        <v>2000</v>
      </c>
      <c r="G355" s="40">
        <v>19008</v>
      </c>
      <c r="H355" s="40">
        <f t="shared" ref="H355:I355" si="373">F355-F354</f>
        <v>1</v>
      </c>
      <c r="I355" s="40">
        <f t="shared" si="373"/>
        <v>-458</v>
      </c>
      <c r="J355" s="66">
        <f t="shared" si="362"/>
        <v>-2.3528203020651391E-2</v>
      </c>
      <c r="K355" s="65">
        <f t="shared" si="363"/>
        <v>-2.3528203020651391E-2</v>
      </c>
      <c r="L355" s="38" t="s">
        <v>637</v>
      </c>
    </row>
    <row r="356" spans="1:12" ht="13">
      <c r="A356" s="30" t="s">
        <v>367</v>
      </c>
      <c r="B356" s="30" t="s">
        <v>355</v>
      </c>
      <c r="C356" s="18" t="s">
        <v>719</v>
      </c>
      <c r="D356" s="18" t="s">
        <v>715</v>
      </c>
      <c r="E356" s="18" t="s">
        <v>622</v>
      </c>
      <c r="F356" s="18">
        <v>2001</v>
      </c>
      <c r="G356" s="40">
        <v>20611</v>
      </c>
      <c r="H356" s="40">
        <f t="shared" ref="H356:I356" si="374">F356-F355</f>
        <v>1</v>
      </c>
      <c r="I356" s="40">
        <f t="shared" si="374"/>
        <v>1603</v>
      </c>
      <c r="J356" s="66">
        <f t="shared" si="362"/>
        <v>8.4332912457912454E-2</v>
      </c>
      <c r="K356" s="65">
        <f t="shared" si="363"/>
        <v>8.4332912457912454E-2</v>
      </c>
      <c r="L356" s="38" t="s">
        <v>637</v>
      </c>
    </row>
    <row r="357" spans="1:12" ht="13">
      <c r="A357" s="30" t="s">
        <v>367</v>
      </c>
      <c r="B357" s="30" t="s">
        <v>355</v>
      </c>
      <c r="C357" s="18" t="s">
        <v>719</v>
      </c>
      <c r="D357" s="18" t="s">
        <v>715</v>
      </c>
      <c r="E357" s="18" t="s">
        <v>622</v>
      </c>
      <c r="F357" s="18">
        <v>2002</v>
      </c>
      <c r="G357" s="40">
        <v>18779</v>
      </c>
      <c r="H357" s="40">
        <f t="shared" ref="H357:I357" si="375">F357-F356</f>
        <v>1</v>
      </c>
      <c r="I357" s="40">
        <f t="shared" si="375"/>
        <v>-1832</v>
      </c>
      <c r="J357" s="66">
        <f t="shared" si="362"/>
        <v>-8.8884576197176268E-2</v>
      </c>
      <c r="K357" s="65">
        <f t="shared" si="363"/>
        <v>-8.8884576197176268E-2</v>
      </c>
      <c r="L357" s="38" t="s">
        <v>637</v>
      </c>
    </row>
    <row r="358" spans="1:12" ht="13">
      <c r="A358" s="30" t="s">
        <v>367</v>
      </c>
      <c r="B358" s="30" t="s">
        <v>355</v>
      </c>
      <c r="C358" s="18" t="s">
        <v>719</v>
      </c>
      <c r="D358" s="18" t="s">
        <v>715</v>
      </c>
      <c r="E358" s="18" t="s">
        <v>622</v>
      </c>
      <c r="F358" s="18">
        <v>2003</v>
      </c>
      <c r="G358" s="40">
        <v>19237</v>
      </c>
      <c r="H358" s="40">
        <f t="shared" ref="H358:I358" si="376">F358-F357</f>
        <v>1</v>
      </c>
      <c r="I358" s="40">
        <f t="shared" si="376"/>
        <v>458</v>
      </c>
      <c r="J358" s="66">
        <f t="shared" si="362"/>
        <v>2.4388945098248044E-2</v>
      </c>
      <c r="K358" s="65">
        <f t="shared" si="363"/>
        <v>2.4388945098248044E-2</v>
      </c>
      <c r="L358" s="38" t="s">
        <v>637</v>
      </c>
    </row>
    <row r="359" spans="1:12" ht="13">
      <c r="A359" s="30" t="s">
        <v>367</v>
      </c>
      <c r="B359" s="30" t="s">
        <v>355</v>
      </c>
      <c r="C359" s="18" t="s">
        <v>719</v>
      </c>
      <c r="D359" s="18" t="s">
        <v>715</v>
      </c>
      <c r="E359" s="18" t="s">
        <v>622</v>
      </c>
      <c r="F359" s="18">
        <v>2004</v>
      </c>
      <c r="G359" s="40">
        <v>19466</v>
      </c>
      <c r="H359" s="40">
        <f t="shared" ref="H359:I359" si="377">F359-F358</f>
        <v>1</v>
      </c>
      <c r="I359" s="40">
        <f t="shared" si="377"/>
        <v>229</v>
      </c>
      <c r="J359" s="66">
        <f t="shared" si="362"/>
        <v>1.1904143057649322E-2</v>
      </c>
      <c r="K359" s="65">
        <f t="shared" si="363"/>
        <v>1.1904143057649322E-2</v>
      </c>
      <c r="L359" s="38" t="s">
        <v>637</v>
      </c>
    </row>
    <row r="360" spans="1:12" ht="13">
      <c r="A360" s="30" t="s">
        <v>367</v>
      </c>
      <c r="B360" s="30" t="s">
        <v>355</v>
      </c>
      <c r="C360" s="18" t="s">
        <v>719</v>
      </c>
      <c r="D360" s="18" t="s">
        <v>715</v>
      </c>
      <c r="E360" s="18" t="s">
        <v>622</v>
      </c>
      <c r="F360" s="18">
        <v>2005</v>
      </c>
      <c r="G360" s="40">
        <v>19466</v>
      </c>
      <c r="H360" s="40">
        <f t="shared" ref="H360:I360" si="378">F360-F359</f>
        <v>1</v>
      </c>
      <c r="I360" s="40">
        <f t="shared" si="378"/>
        <v>0</v>
      </c>
      <c r="J360" s="66">
        <f t="shared" si="362"/>
        <v>0</v>
      </c>
      <c r="K360" s="65">
        <f t="shared" si="363"/>
        <v>0</v>
      </c>
      <c r="L360" s="38" t="s">
        <v>637</v>
      </c>
    </row>
    <row r="361" spans="1:12" ht="13">
      <c r="A361" s="30" t="s">
        <v>367</v>
      </c>
      <c r="B361" s="30" t="s">
        <v>355</v>
      </c>
      <c r="C361" s="18" t="s">
        <v>719</v>
      </c>
      <c r="D361" s="18" t="s">
        <v>715</v>
      </c>
      <c r="E361" s="18" t="s">
        <v>622</v>
      </c>
      <c r="F361" s="18">
        <v>2006</v>
      </c>
      <c r="G361" s="40">
        <v>21527</v>
      </c>
      <c r="H361" s="40">
        <f t="shared" ref="H361:I361" si="379">F361-F360</f>
        <v>1</v>
      </c>
      <c r="I361" s="40">
        <f t="shared" si="379"/>
        <v>2061</v>
      </c>
      <c r="J361" s="66">
        <f t="shared" si="362"/>
        <v>0.10587691359293126</v>
      </c>
      <c r="K361" s="65">
        <f t="shared" si="363"/>
        <v>0.10587691359293126</v>
      </c>
      <c r="L361" s="38" t="s">
        <v>637</v>
      </c>
    </row>
    <row r="362" spans="1:12" ht="13">
      <c r="A362" s="30" t="s">
        <v>367</v>
      </c>
      <c r="B362" s="30" t="s">
        <v>355</v>
      </c>
      <c r="C362" s="18" t="s">
        <v>719</v>
      </c>
      <c r="D362" s="18" t="s">
        <v>715</v>
      </c>
      <c r="E362" s="18" t="s">
        <v>622</v>
      </c>
      <c r="F362" s="18">
        <v>2007</v>
      </c>
      <c r="G362" s="40">
        <v>20153</v>
      </c>
      <c r="H362" s="40">
        <f t="shared" ref="H362:I362" si="380">F362-F361</f>
        <v>1</v>
      </c>
      <c r="I362" s="40">
        <f t="shared" si="380"/>
        <v>-1374</v>
      </c>
      <c r="J362" s="66">
        <f t="shared" si="362"/>
        <v>-6.3826822130347932E-2</v>
      </c>
      <c r="K362" s="65">
        <f t="shared" si="363"/>
        <v>-6.3826822130347932E-2</v>
      </c>
      <c r="L362" s="38" t="s">
        <v>637</v>
      </c>
    </row>
    <row r="363" spans="1:12" ht="13">
      <c r="A363" s="30" t="s">
        <v>367</v>
      </c>
      <c r="B363" s="30" t="s">
        <v>355</v>
      </c>
      <c r="C363" s="18" t="s">
        <v>719</v>
      </c>
      <c r="D363" s="18" t="s">
        <v>715</v>
      </c>
      <c r="E363" s="18" t="s">
        <v>622</v>
      </c>
      <c r="F363" s="18">
        <v>2008</v>
      </c>
      <c r="G363" s="40">
        <v>14885</v>
      </c>
      <c r="H363" s="40">
        <f t="shared" ref="H363:I363" si="381">F363-F362</f>
        <v>1</v>
      </c>
      <c r="I363" s="40">
        <f t="shared" si="381"/>
        <v>-5268</v>
      </c>
      <c r="J363" s="66">
        <f t="shared" si="362"/>
        <v>-0.26140028779834268</v>
      </c>
      <c r="K363" s="65">
        <f t="shared" si="363"/>
        <v>-0.26140028779834268</v>
      </c>
      <c r="L363" s="38" t="s">
        <v>637</v>
      </c>
    </row>
    <row r="364" spans="1:12" ht="13">
      <c r="A364" s="30" t="s">
        <v>367</v>
      </c>
      <c r="B364" s="30" t="s">
        <v>355</v>
      </c>
      <c r="C364" s="18" t="s">
        <v>719</v>
      </c>
      <c r="D364" s="18" t="s">
        <v>715</v>
      </c>
      <c r="E364" s="18" t="s">
        <v>622</v>
      </c>
      <c r="F364" s="18">
        <v>2009</v>
      </c>
      <c r="G364" s="40">
        <v>18550</v>
      </c>
      <c r="H364" s="40">
        <f t="shared" ref="H364:I364" si="382">F364-F363</f>
        <v>1</v>
      </c>
      <c r="I364" s="40">
        <f t="shared" si="382"/>
        <v>3665</v>
      </c>
      <c r="J364" s="66">
        <f t="shared" si="362"/>
        <v>0.24622102788041653</v>
      </c>
      <c r="K364" s="65">
        <f t="shared" si="363"/>
        <v>0.24622102788041653</v>
      </c>
      <c r="L364" s="38" t="s">
        <v>637</v>
      </c>
    </row>
    <row r="365" spans="1:12" ht="13">
      <c r="A365" s="30" t="s">
        <v>367</v>
      </c>
      <c r="B365" s="30" t="s">
        <v>355</v>
      </c>
      <c r="C365" s="18" t="s">
        <v>719</v>
      </c>
      <c r="D365" s="18" t="s">
        <v>715</v>
      </c>
      <c r="E365" s="18" t="s">
        <v>622</v>
      </c>
      <c r="F365" s="18">
        <v>2010</v>
      </c>
      <c r="G365" s="40">
        <v>19237</v>
      </c>
      <c r="H365" s="40">
        <f t="shared" ref="H365:I365" si="383">F365-F364</f>
        <v>1</v>
      </c>
      <c r="I365" s="40">
        <f t="shared" si="383"/>
        <v>687</v>
      </c>
      <c r="J365" s="66">
        <f t="shared" si="362"/>
        <v>3.7035040431266847E-2</v>
      </c>
      <c r="K365" s="65">
        <f t="shared" si="363"/>
        <v>3.7035040431266847E-2</v>
      </c>
      <c r="L365" s="38" t="s">
        <v>637</v>
      </c>
    </row>
    <row r="366" spans="1:12" ht="13">
      <c r="A366" s="30" t="s">
        <v>367</v>
      </c>
      <c r="B366" s="30" t="s">
        <v>355</v>
      </c>
      <c r="C366" s="18" t="s">
        <v>719</v>
      </c>
      <c r="D366" s="18" t="s">
        <v>715</v>
      </c>
      <c r="E366" s="18" t="s">
        <v>622</v>
      </c>
      <c r="F366" s="18">
        <v>2011</v>
      </c>
      <c r="G366" s="40">
        <v>22672</v>
      </c>
      <c r="H366" s="40">
        <f t="shared" ref="H366:I366" si="384">F366-F365</f>
        <v>1</v>
      </c>
      <c r="I366" s="40">
        <f t="shared" si="384"/>
        <v>3435</v>
      </c>
      <c r="J366" s="66">
        <f t="shared" si="362"/>
        <v>0.17856214586473981</v>
      </c>
      <c r="K366" s="65">
        <f t="shared" si="363"/>
        <v>0.17856214586473981</v>
      </c>
      <c r="L366" s="38" t="s">
        <v>637</v>
      </c>
    </row>
    <row r="367" spans="1:12" ht="13">
      <c r="A367" s="30" t="s">
        <v>367</v>
      </c>
      <c r="B367" s="30" t="s">
        <v>355</v>
      </c>
      <c r="C367" s="18" t="s">
        <v>719</v>
      </c>
      <c r="D367" s="18" t="s">
        <v>715</v>
      </c>
      <c r="E367" s="18" t="s">
        <v>622</v>
      </c>
      <c r="F367" s="18">
        <v>2012</v>
      </c>
      <c r="G367" s="40">
        <v>18779</v>
      </c>
      <c r="H367" s="40">
        <f t="shared" ref="H367:I367" si="385">F367-F366</f>
        <v>1</v>
      </c>
      <c r="I367" s="40">
        <f t="shared" si="385"/>
        <v>-3893</v>
      </c>
      <c r="J367" s="66">
        <f t="shared" si="362"/>
        <v>-0.17170959774170783</v>
      </c>
      <c r="K367" s="65">
        <f t="shared" si="363"/>
        <v>-0.17170959774170783</v>
      </c>
      <c r="L367" s="38" t="s">
        <v>637</v>
      </c>
    </row>
    <row r="368" spans="1:12" ht="13">
      <c r="A368" s="30" t="s">
        <v>367</v>
      </c>
      <c r="B368" s="30" t="s">
        <v>355</v>
      </c>
      <c r="C368" s="18" t="s">
        <v>719</v>
      </c>
      <c r="D368" s="18" t="s">
        <v>715</v>
      </c>
      <c r="E368" s="18" t="s">
        <v>622</v>
      </c>
      <c r="F368" s="18">
        <v>2013</v>
      </c>
      <c r="G368" s="40">
        <v>15802</v>
      </c>
      <c r="H368" s="40">
        <f t="shared" ref="H368:I368" si="386">F368-F367</f>
        <v>1</v>
      </c>
      <c r="I368" s="40">
        <f t="shared" si="386"/>
        <v>-2977</v>
      </c>
      <c r="J368" s="66">
        <f t="shared" si="362"/>
        <v>-0.15852814313861227</v>
      </c>
      <c r="K368" s="65">
        <f t="shared" si="363"/>
        <v>-0.15852814313861227</v>
      </c>
      <c r="L368" s="38" t="s">
        <v>637</v>
      </c>
    </row>
    <row r="369" spans="1:12" ht="13">
      <c r="A369" s="30" t="s">
        <v>367</v>
      </c>
      <c r="B369" s="30" t="s">
        <v>355</v>
      </c>
      <c r="C369" s="18" t="s">
        <v>719</v>
      </c>
      <c r="D369" s="18" t="s">
        <v>715</v>
      </c>
      <c r="E369" s="18" t="s">
        <v>622</v>
      </c>
      <c r="F369" s="18">
        <v>2014</v>
      </c>
      <c r="G369" s="40">
        <v>13511</v>
      </c>
      <c r="H369" s="40">
        <f t="shared" ref="H369:I369" si="387">F369-F368</f>
        <v>1</v>
      </c>
      <c r="I369" s="40">
        <f t="shared" si="387"/>
        <v>-2291</v>
      </c>
      <c r="J369" s="66">
        <f t="shared" si="362"/>
        <v>-0.14498164789267182</v>
      </c>
      <c r="K369" s="65">
        <f t="shared" si="363"/>
        <v>-0.14498164789267182</v>
      </c>
      <c r="L369" s="38" t="s">
        <v>637</v>
      </c>
    </row>
    <row r="370" spans="1:12" ht="13">
      <c r="A370" s="30" t="s">
        <v>367</v>
      </c>
      <c r="B370" s="30" t="s">
        <v>355</v>
      </c>
      <c r="C370" s="18" t="s">
        <v>719</v>
      </c>
      <c r="D370" s="18" t="s">
        <v>715</v>
      </c>
      <c r="E370" s="18" t="s">
        <v>622</v>
      </c>
      <c r="F370" s="18">
        <v>2015</v>
      </c>
      <c r="G370" s="40">
        <v>12824</v>
      </c>
      <c r="H370" s="40">
        <f t="shared" ref="H370:I370" si="388">F370-F369</f>
        <v>1</v>
      </c>
      <c r="I370" s="40">
        <f t="shared" si="388"/>
        <v>-687</v>
      </c>
      <c r="J370" s="66">
        <f t="shared" si="362"/>
        <v>-5.0847457627118647E-2</v>
      </c>
      <c r="K370" s="65">
        <f t="shared" si="363"/>
        <v>-5.0847457627118647E-2</v>
      </c>
      <c r="L370" s="38" t="s">
        <v>637</v>
      </c>
    </row>
    <row r="371" spans="1:12" ht="13">
      <c r="A371" s="30" t="s">
        <v>367</v>
      </c>
      <c r="B371" s="30" t="s">
        <v>355</v>
      </c>
      <c r="C371" s="18" t="s">
        <v>719</v>
      </c>
      <c r="D371" s="18" t="s">
        <v>715</v>
      </c>
      <c r="E371" s="18" t="s">
        <v>622</v>
      </c>
      <c r="F371" s="18">
        <v>2016</v>
      </c>
      <c r="G371" s="40">
        <v>12137</v>
      </c>
      <c r="H371" s="40">
        <f t="shared" ref="H371:I371" si="389">F371-F370</f>
        <v>1</v>
      </c>
      <c r="I371" s="40">
        <f t="shared" si="389"/>
        <v>-687</v>
      </c>
      <c r="J371" s="66">
        <f t="shared" si="362"/>
        <v>-5.3571428571428568E-2</v>
      </c>
      <c r="K371" s="65">
        <f t="shared" si="363"/>
        <v>-5.3571428571428568E-2</v>
      </c>
      <c r="L371" s="38" t="s">
        <v>637</v>
      </c>
    </row>
    <row r="372" spans="1:12" ht="13">
      <c r="A372" s="18" t="s">
        <v>380</v>
      </c>
      <c r="B372" s="18" t="s">
        <v>381</v>
      </c>
      <c r="C372" s="18" t="s">
        <v>720</v>
      </c>
      <c r="D372" s="33" t="s">
        <v>84</v>
      </c>
      <c r="E372" s="18" t="s">
        <v>611</v>
      </c>
      <c r="F372" s="18">
        <v>1996</v>
      </c>
      <c r="G372" s="40">
        <v>6048</v>
      </c>
      <c r="H372" s="40" t="s">
        <v>402</v>
      </c>
      <c r="I372" s="40" t="s">
        <v>402</v>
      </c>
      <c r="J372" s="66" t="s">
        <v>402</v>
      </c>
      <c r="K372" s="65" t="s">
        <v>402</v>
      </c>
      <c r="L372" s="38" t="s">
        <v>637</v>
      </c>
    </row>
    <row r="373" spans="1:12" ht="13">
      <c r="A373" s="18" t="s">
        <v>380</v>
      </c>
      <c r="B373" s="18" t="s">
        <v>381</v>
      </c>
      <c r="C373" s="18" t="s">
        <v>720</v>
      </c>
      <c r="D373" s="33" t="s">
        <v>84</v>
      </c>
      <c r="E373" s="18" t="s">
        <v>611</v>
      </c>
      <c r="F373" s="18">
        <v>1997</v>
      </c>
      <c r="G373" s="40">
        <v>5892</v>
      </c>
      <c r="H373" s="40">
        <f t="shared" ref="H373:I373" si="390">F373-F372</f>
        <v>1</v>
      </c>
      <c r="I373" s="40">
        <f t="shared" si="390"/>
        <v>-156</v>
      </c>
      <c r="J373" s="66">
        <f t="shared" ref="J373:J394" si="391">I373/G372</f>
        <v>-2.5793650793650792E-2</v>
      </c>
      <c r="K373" s="65">
        <f t="shared" ref="K373:K394" si="392">J373/H373</f>
        <v>-2.5793650793650792E-2</v>
      </c>
      <c r="L373" s="38" t="s">
        <v>637</v>
      </c>
    </row>
    <row r="374" spans="1:12" ht="13">
      <c r="A374" s="18" t="s">
        <v>380</v>
      </c>
      <c r="B374" s="18" t="s">
        <v>381</v>
      </c>
      <c r="C374" s="18" t="s">
        <v>720</v>
      </c>
      <c r="D374" s="33" t="s">
        <v>84</v>
      </c>
      <c r="E374" s="18" t="s">
        <v>611</v>
      </c>
      <c r="F374" s="18">
        <v>1998</v>
      </c>
      <c r="G374" s="40">
        <v>5581</v>
      </c>
      <c r="H374" s="40">
        <f t="shared" ref="H374:I374" si="393">F374-F373</f>
        <v>1</v>
      </c>
      <c r="I374" s="40">
        <f t="shared" si="393"/>
        <v>-311</v>
      </c>
      <c r="J374" s="66">
        <f t="shared" si="391"/>
        <v>-5.2783435166327226E-2</v>
      </c>
      <c r="K374" s="65">
        <f t="shared" si="392"/>
        <v>-5.2783435166327226E-2</v>
      </c>
      <c r="L374" s="38" t="s">
        <v>637</v>
      </c>
    </row>
    <row r="375" spans="1:12" ht="13">
      <c r="A375" s="18" t="s">
        <v>380</v>
      </c>
      <c r="B375" s="18" t="s">
        <v>381</v>
      </c>
      <c r="C375" s="18" t="s">
        <v>720</v>
      </c>
      <c r="D375" s="33" t="s">
        <v>84</v>
      </c>
      <c r="E375" s="18" t="s">
        <v>611</v>
      </c>
      <c r="F375" s="18">
        <v>1999</v>
      </c>
      <c r="G375" s="40">
        <v>5318</v>
      </c>
      <c r="H375" s="40">
        <f t="shared" ref="H375:I375" si="394">F375-F374</f>
        <v>1</v>
      </c>
      <c r="I375" s="40">
        <f t="shared" si="394"/>
        <v>-263</v>
      </c>
      <c r="J375" s="66">
        <f t="shared" si="391"/>
        <v>-4.7124171295466762E-2</v>
      </c>
      <c r="K375" s="65">
        <f t="shared" si="392"/>
        <v>-4.7124171295466762E-2</v>
      </c>
      <c r="L375" s="38" t="s">
        <v>637</v>
      </c>
    </row>
    <row r="376" spans="1:12" ht="13">
      <c r="A376" s="18" t="s">
        <v>380</v>
      </c>
      <c r="B376" s="18" t="s">
        <v>381</v>
      </c>
      <c r="C376" s="18" t="s">
        <v>720</v>
      </c>
      <c r="D376" s="33" t="s">
        <v>84</v>
      </c>
      <c r="E376" s="18" t="s">
        <v>611</v>
      </c>
      <c r="F376" s="18">
        <v>2000</v>
      </c>
      <c r="G376" s="40">
        <v>5502</v>
      </c>
      <c r="H376" s="40">
        <f t="shared" ref="H376:I376" si="395">F376-F375</f>
        <v>1</v>
      </c>
      <c r="I376" s="40">
        <f t="shared" si="395"/>
        <v>184</v>
      </c>
      <c r="J376" s="66">
        <f t="shared" si="391"/>
        <v>3.4599473486273034E-2</v>
      </c>
      <c r="K376" s="65">
        <f t="shared" si="392"/>
        <v>3.4599473486273034E-2</v>
      </c>
      <c r="L376" s="38" t="s">
        <v>637</v>
      </c>
    </row>
    <row r="377" spans="1:12" ht="13">
      <c r="A377" s="18" t="s">
        <v>380</v>
      </c>
      <c r="B377" s="18" t="s">
        <v>381</v>
      </c>
      <c r="C377" s="18" t="s">
        <v>720</v>
      </c>
      <c r="D377" s="33" t="s">
        <v>84</v>
      </c>
      <c r="E377" s="18" t="s">
        <v>611</v>
      </c>
      <c r="F377" s="18">
        <v>2001</v>
      </c>
      <c r="G377" s="40">
        <v>5618</v>
      </c>
      <c r="H377" s="40">
        <f t="shared" ref="H377:I377" si="396">F377-F376</f>
        <v>1</v>
      </c>
      <c r="I377" s="40">
        <f t="shared" si="396"/>
        <v>116</v>
      </c>
      <c r="J377" s="66">
        <f t="shared" si="391"/>
        <v>2.1083242457288258E-2</v>
      </c>
      <c r="K377" s="65">
        <f t="shared" si="392"/>
        <v>2.1083242457288258E-2</v>
      </c>
      <c r="L377" s="38" t="s">
        <v>637</v>
      </c>
    </row>
    <row r="378" spans="1:12" ht="13">
      <c r="A378" s="18" t="s">
        <v>380</v>
      </c>
      <c r="B378" s="18" t="s">
        <v>381</v>
      </c>
      <c r="C378" s="18" t="s">
        <v>720</v>
      </c>
      <c r="D378" s="33" t="s">
        <v>84</v>
      </c>
      <c r="E378" s="18" t="s">
        <v>611</v>
      </c>
      <c r="F378" s="18">
        <v>2002</v>
      </c>
      <c r="G378" s="40">
        <v>5627</v>
      </c>
      <c r="H378" s="40">
        <f t="shared" ref="H378:I378" si="397">F378-F377</f>
        <v>1</v>
      </c>
      <c r="I378" s="40">
        <f t="shared" si="397"/>
        <v>9</v>
      </c>
      <c r="J378" s="66">
        <f t="shared" si="391"/>
        <v>1.601993592025632E-3</v>
      </c>
      <c r="K378" s="65">
        <f t="shared" si="392"/>
        <v>1.601993592025632E-3</v>
      </c>
      <c r="L378" s="38" t="s">
        <v>637</v>
      </c>
    </row>
    <row r="379" spans="1:12" ht="13">
      <c r="A379" s="18" t="s">
        <v>380</v>
      </c>
      <c r="B379" s="18" t="s">
        <v>381</v>
      </c>
      <c r="C379" s="18" t="s">
        <v>720</v>
      </c>
      <c r="D379" s="33" t="s">
        <v>84</v>
      </c>
      <c r="E379" s="18" t="s">
        <v>611</v>
      </c>
      <c r="F379" s="18">
        <v>2003</v>
      </c>
      <c r="G379" s="40">
        <v>5500</v>
      </c>
      <c r="H379" s="40">
        <f t="shared" ref="H379:I379" si="398">F379-F378</f>
        <v>1</v>
      </c>
      <c r="I379" s="40">
        <f t="shared" si="398"/>
        <v>-127</v>
      </c>
      <c r="J379" s="66">
        <f t="shared" si="391"/>
        <v>-2.2569752976719388E-2</v>
      </c>
      <c r="K379" s="65">
        <f t="shared" si="392"/>
        <v>-2.2569752976719388E-2</v>
      </c>
      <c r="L379" s="38" t="s">
        <v>637</v>
      </c>
    </row>
    <row r="380" spans="1:12" ht="13">
      <c r="A380" s="18" t="s">
        <v>380</v>
      </c>
      <c r="B380" s="18" t="s">
        <v>381</v>
      </c>
      <c r="C380" s="18" t="s">
        <v>720</v>
      </c>
      <c r="D380" s="33" t="s">
        <v>84</v>
      </c>
      <c r="E380" s="18" t="s">
        <v>611</v>
      </c>
      <c r="F380" s="18">
        <v>2004</v>
      </c>
      <c r="G380" s="40">
        <v>5033</v>
      </c>
      <c r="H380" s="40">
        <f t="shared" ref="H380:I380" si="399">F380-F379</f>
        <v>1</v>
      </c>
      <c r="I380" s="40">
        <f t="shared" si="399"/>
        <v>-467</v>
      </c>
      <c r="J380" s="66">
        <f t="shared" si="391"/>
        <v>-8.4909090909090906E-2</v>
      </c>
      <c r="K380" s="65">
        <f t="shared" si="392"/>
        <v>-8.4909090909090906E-2</v>
      </c>
      <c r="L380" s="38" t="s">
        <v>637</v>
      </c>
    </row>
    <row r="381" spans="1:12" ht="13">
      <c r="A381" s="18" t="s">
        <v>380</v>
      </c>
      <c r="B381" s="18" t="s">
        <v>381</v>
      </c>
      <c r="C381" s="18" t="s">
        <v>720</v>
      </c>
      <c r="D381" s="33" t="s">
        <v>84</v>
      </c>
      <c r="E381" s="18" t="s">
        <v>611</v>
      </c>
      <c r="F381" s="18">
        <v>2005</v>
      </c>
      <c r="G381" s="40">
        <v>5557</v>
      </c>
      <c r="H381" s="40">
        <f t="shared" ref="H381:I381" si="400">F381-F380</f>
        <v>1</v>
      </c>
      <c r="I381" s="40">
        <f t="shared" si="400"/>
        <v>524</v>
      </c>
      <c r="J381" s="66">
        <f t="shared" si="391"/>
        <v>0.10411285515597059</v>
      </c>
      <c r="K381" s="65">
        <f t="shared" si="392"/>
        <v>0.10411285515597059</v>
      </c>
      <c r="L381" s="38" t="s">
        <v>637</v>
      </c>
    </row>
    <row r="382" spans="1:12" ht="13">
      <c r="A382" s="18" t="s">
        <v>380</v>
      </c>
      <c r="B382" s="18" t="s">
        <v>381</v>
      </c>
      <c r="C382" s="18" t="s">
        <v>720</v>
      </c>
      <c r="D382" s="33" t="s">
        <v>84</v>
      </c>
      <c r="E382" s="18" t="s">
        <v>611</v>
      </c>
      <c r="F382" s="18">
        <v>2006</v>
      </c>
      <c r="G382" s="40">
        <v>5876</v>
      </c>
      <c r="H382" s="40">
        <f t="shared" ref="H382:I382" si="401">F382-F381</f>
        <v>1</v>
      </c>
      <c r="I382" s="40">
        <f t="shared" si="401"/>
        <v>319</v>
      </c>
      <c r="J382" s="66">
        <f t="shared" si="391"/>
        <v>5.7405074680583049E-2</v>
      </c>
      <c r="K382" s="65">
        <f t="shared" si="392"/>
        <v>5.7405074680583049E-2</v>
      </c>
      <c r="L382" s="38" t="s">
        <v>637</v>
      </c>
    </row>
    <row r="383" spans="1:12" ht="13">
      <c r="A383" s="18" t="s">
        <v>380</v>
      </c>
      <c r="B383" s="18" t="s">
        <v>381</v>
      </c>
      <c r="C383" s="18" t="s">
        <v>720</v>
      </c>
      <c r="D383" s="33" t="s">
        <v>84</v>
      </c>
      <c r="E383" s="18" t="s">
        <v>611</v>
      </c>
      <c r="F383" s="18">
        <v>2007</v>
      </c>
      <c r="G383" s="40">
        <v>6094</v>
      </c>
      <c r="H383" s="40">
        <f t="shared" ref="H383:I383" si="402">F383-F382</f>
        <v>1</v>
      </c>
      <c r="I383" s="40">
        <f t="shared" si="402"/>
        <v>218</v>
      </c>
      <c r="J383" s="66">
        <f t="shared" si="391"/>
        <v>3.7100068073519399E-2</v>
      </c>
      <c r="K383" s="65">
        <f t="shared" si="392"/>
        <v>3.7100068073519399E-2</v>
      </c>
      <c r="L383" s="38" t="s">
        <v>637</v>
      </c>
    </row>
    <row r="384" spans="1:12" ht="13">
      <c r="A384" s="18" t="s">
        <v>380</v>
      </c>
      <c r="B384" s="18" t="s">
        <v>381</v>
      </c>
      <c r="C384" s="18" t="s">
        <v>720</v>
      </c>
      <c r="D384" s="33" t="s">
        <v>84</v>
      </c>
      <c r="E384" s="18" t="s">
        <v>611</v>
      </c>
      <c r="F384" s="18">
        <v>2008</v>
      </c>
      <c r="G384" s="40">
        <v>6196</v>
      </c>
      <c r="H384" s="40">
        <f t="shared" ref="H384:I384" si="403">F384-F383</f>
        <v>1</v>
      </c>
      <c r="I384" s="40">
        <f t="shared" si="403"/>
        <v>102</v>
      </c>
      <c r="J384" s="66">
        <f t="shared" si="391"/>
        <v>1.6737774860518542E-2</v>
      </c>
      <c r="K384" s="65">
        <f t="shared" si="392"/>
        <v>1.6737774860518542E-2</v>
      </c>
      <c r="L384" s="38" t="s">
        <v>637</v>
      </c>
    </row>
    <row r="385" spans="1:12" ht="13">
      <c r="A385" s="18" t="s">
        <v>380</v>
      </c>
      <c r="B385" s="18" t="s">
        <v>381</v>
      </c>
      <c r="C385" s="18" t="s">
        <v>720</v>
      </c>
      <c r="D385" s="33" t="s">
        <v>84</v>
      </c>
      <c r="E385" s="18" t="s">
        <v>611</v>
      </c>
      <c r="F385" s="18">
        <v>2009</v>
      </c>
      <c r="G385" s="40">
        <v>6273</v>
      </c>
      <c r="H385" s="40">
        <f t="shared" ref="H385:I385" si="404">F385-F384</f>
        <v>1</v>
      </c>
      <c r="I385" s="40">
        <f t="shared" si="404"/>
        <v>77</v>
      </c>
      <c r="J385" s="66">
        <f t="shared" si="391"/>
        <v>1.2427372498386055E-2</v>
      </c>
      <c r="K385" s="65">
        <f t="shared" si="392"/>
        <v>1.2427372498386055E-2</v>
      </c>
      <c r="L385" s="38" t="s">
        <v>637</v>
      </c>
    </row>
    <row r="386" spans="1:12" ht="13">
      <c r="A386" s="18" t="s">
        <v>380</v>
      </c>
      <c r="B386" s="18" t="s">
        <v>381</v>
      </c>
      <c r="C386" s="18" t="s">
        <v>720</v>
      </c>
      <c r="D386" s="33" t="s">
        <v>84</v>
      </c>
      <c r="E386" s="18" t="s">
        <v>611</v>
      </c>
      <c r="F386" s="18">
        <v>2010</v>
      </c>
      <c r="G386" s="40">
        <v>6233</v>
      </c>
      <c r="H386" s="40">
        <f t="shared" ref="H386:I386" si="405">F386-F385</f>
        <v>1</v>
      </c>
      <c r="I386" s="40">
        <f t="shared" si="405"/>
        <v>-40</v>
      </c>
      <c r="J386" s="66">
        <f t="shared" si="391"/>
        <v>-6.37653435357883E-3</v>
      </c>
      <c r="K386" s="65">
        <f t="shared" si="392"/>
        <v>-6.37653435357883E-3</v>
      </c>
      <c r="L386" s="38" t="s">
        <v>637</v>
      </c>
    </row>
    <row r="387" spans="1:12" ht="13">
      <c r="A387" s="18" t="s">
        <v>380</v>
      </c>
      <c r="B387" s="18" t="s">
        <v>381</v>
      </c>
      <c r="C387" s="18" t="s">
        <v>720</v>
      </c>
      <c r="D387" s="33" t="s">
        <v>84</v>
      </c>
      <c r="E387" s="18" t="s">
        <v>611</v>
      </c>
      <c r="F387" s="18">
        <v>2011</v>
      </c>
      <c r="G387" s="40">
        <v>6281</v>
      </c>
      <c r="H387" s="40">
        <f t="shared" ref="H387:I387" si="406">F387-F386</f>
        <v>1</v>
      </c>
      <c r="I387" s="40">
        <f t="shared" si="406"/>
        <v>48</v>
      </c>
      <c r="J387" s="66">
        <f t="shared" si="391"/>
        <v>7.7009465746831381E-3</v>
      </c>
      <c r="K387" s="65">
        <f t="shared" si="392"/>
        <v>7.7009465746831381E-3</v>
      </c>
      <c r="L387" s="38" t="s">
        <v>637</v>
      </c>
    </row>
    <row r="388" spans="1:12" ht="13">
      <c r="A388" s="18" t="s">
        <v>380</v>
      </c>
      <c r="B388" s="18" t="s">
        <v>381</v>
      </c>
      <c r="C388" s="18" t="s">
        <v>720</v>
      </c>
      <c r="D388" s="33" t="s">
        <v>84</v>
      </c>
      <c r="E388" s="18" t="s">
        <v>611</v>
      </c>
      <c r="F388" s="18">
        <v>2012</v>
      </c>
      <c r="G388" s="40">
        <v>6290</v>
      </c>
      <c r="H388" s="40">
        <f t="shared" ref="H388:I388" si="407">F388-F387</f>
        <v>1</v>
      </c>
      <c r="I388" s="40">
        <f t="shared" si="407"/>
        <v>9</v>
      </c>
      <c r="J388" s="66">
        <f t="shared" si="391"/>
        <v>1.4328928514567743E-3</v>
      </c>
      <c r="K388" s="65">
        <f t="shared" si="392"/>
        <v>1.4328928514567743E-3</v>
      </c>
      <c r="L388" s="38" t="s">
        <v>637</v>
      </c>
    </row>
    <row r="389" spans="1:12" ht="13">
      <c r="A389" s="18" t="s">
        <v>380</v>
      </c>
      <c r="B389" s="18" t="s">
        <v>381</v>
      </c>
      <c r="C389" s="18" t="s">
        <v>720</v>
      </c>
      <c r="D389" s="33" t="s">
        <v>84</v>
      </c>
      <c r="E389" s="18" t="s">
        <v>611</v>
      </c>
      <c r="F389" s="18">
        <v>2013</v>
      </c>
      <c r="G389" s="40">
        <v>6270</v>
      </c>
      <c r="H389" s="40">
        <f t="shared" ref="H389:I389" si="408">F389-F388</f>
        <v>1</v>
      </c>
      <c r="I389" s="40">
        <f t="shared" si="408"/>
        <v>-20</v>
      </c>
      <c r="J389" s="66">
        <f t="shared" si="391"/>
        <v>-3.1796502384737681E-3</v>
      </c>
      <c r="K389" s="65">
        <f t="shared" si="392"/>
        <v>-3.1796502384737681E-3</v>
      </c>
      <c r="L389" s="38" t="s">
        <v>637</v>
      </c>
    </row>
    <row r="390" spans="1:12" ht="13">
      <c r="A390" s="18" t="s">
        <v>380</v>
      </c>
      <c r="B390" s="18" t="s">
        <v>381</v>
      </c>
      <c r="C390" s="18" t="s">
        <v>720</v>
      </c>
      <c r="D390" s="33" t="s">
        <v>84</v>
      </c>
      <c r="E390" s="18" t="s">
        <v>611</v>
      </c>
      <c r="F390" s="18">
        <v>2014</v>
      </c>
      <c r="G390" s="40">
        <v>6182</v>
      </c>
      <c r="H390" s="40">
        <f t="shared" ref="H390:I390" si="409">F390-F389</f>
        <v>1</v>
      </c>
      <c r="I390" s="40">
        <f t="shared" si="409"/>
        <v>-88</v>
      </c>
      <c r="J390" s="66">
        <f t="shared" si="391"/>
        <v>-1.4035087719298246E-2</v>
      </c>
      <c r="K390" s="65">
        <f t="shared" si="392"/>
        <v>-1.4035087719298246E-2</v>
      </c>
      <c r="L390" s="38" t="s">
        <v>637</v>
      </c>
    </row>
    <row r="391" spans="1:12" ht="13">
      <c r="A391" s="18" t="s">
        <v>380</v>
      </c>
      <c r="B391" s="18" t="s">
        <v>381</v>
      </c>
      <c r="C391" s="18" t="s">
        <v>720</v>
      </c>
      <c r="D391" s="33" t="s">
        <v>84</v>
      </c>
      <c r="E391" s="18" t="s">
        <v>611</v>
      </c>
      <c r="F391" s="18">
        <v>2015</v>
      </c>
      <c r="G391" s="40">
        <v>5939</v>
      </c>
      <c r="H391" s="40">
        <f t="shared" ref="H391:I391" si="410">F391-F390</f>
        <v>1</v>
      </c>
      <c r="I391" s="40">
        <f t="shared" si="410"/>
        <v>-243</v>
      </c>
      <c r="J391" s="66">
        <f t="shared" si="391"/>
        <v>-3.9307667421546427E-2</v>
      </c>
      <c r="K391" s="65">
        <f t="shared" si="392"/>
        <v>-3.9307667421546427E-2</v>
      </c>
      <c r="L391" s="38" t="s">
        <v>637</v>
      </c>
    </row>
    <row r="392" spans="1:12" ht="13">
      <c r="A392" s="18" t="s">
        <v>380</v>
      </c>
      <c r="B392" s="18" t="s">
        <v>381</v>
      </c>
      <c r="C392" s="18" t="s">
        <v>720</v>
      </c>
      <c r="D392" s="33" t="s">
        <v>84</v>
      </c>
      <c r="E392" s="18" t="s">
        <v>611</v>
      </c>
      <c r="F392" s="18">
        <v>2016</v>
      </c>
      <c r="G392" s="40">
        <v>5744</v>
      </c>
      <c r="H392" s="40">
        <f t="shared" ref="H392:I392" si="411">F392-F391</f>
        <v>1</v>
      </c>
      <c r="I392" s="40">
        <f t="shared" si="411"/>
        <v>-195</v>
      </c>
      <c r="J392" s="66">
        <f t="shared" si="391"/>
        <v>-3.2833810405792224E-2</v>
      </c>
      <c r="K392" s="65">
        <f t="shared" si="392"/>
        <v>-3.2833810405792224E-2</v>
      </c>
      <c r="L392" s="38" t="s">
        <v>637</v>
      </c>
    </row>
    <row r="393" spans="1:12" ht="13">
      <c r="A393" s="18" t="s">
        <v>380</v>
      </c>
      <c r="B393" s="18" t="s">
        <v>381</v>
      </c>
      <c r="C393" s="18" t="s">
        <v>720</v>
      </c>
      <c r="D393" s="33" t="s">
        <v>84</v>
      </c>
      <c r="E393" s="18" t="s">
        <v>611</v>
      </c>
      <c r="F393" s="18">
        <v>2017</v>
      </c>
      <c r="G393" s="40">
        <v>5442</v>
      </c>
      <c r="H393" s="40">
        <f t="shared" ref="H393:I393" si="412">F393-F392</f>
        <v>1</v>
      </c>
      <c r="I393" s="40">
        <f t="shared" si="412"/>
        <v>-302</v>
      </c>
      <c r="J393" s="66">
        <f t="shared" si="391"/>
        <v>-5.2576601671309189E-2</v>
      </c>
      <c r="K393" s="65">
        <f t="shared" si="392"/>
        <v>-5.2576601671309189E-2</v>
      </c>
      <c r="L393" s="38" t="s">
        <v>637</v>
      </c>
    </row>
    <row r="394" spans="1:12" ht="13">
      <c r="A394" s="18" t="s">
        <v>380</v>
      </c>
      <c r="B394" s="18" t="s">
        <v>381</v>
      </c>
      <c r="C394" s="18" t="s">
        <v>720</v>
      </c>
      <c r="D394" s="33" t="s">
        <v>84</v>
      </c>
      <c r="E394" s="18" t="s">
        <v>611</v>
      </c>
      <c r="F394" s="18">
        <v>2018</v>
      </c>
      <c r="G394" s="40">
        <v>5570</v>
      </c>
      <c r="H394" s="40">
        <f t="shared" ref="H394:I394" si="413">F394-F393</f>
        <v>1</v>
      </c>
      <c r="I394" s="40">
        <f t="shared" si="413"/>
        <v>128</v>
      </c>
      <c r="J394" s="66">
        <f t="shared" si="391"/>
        <v>2.3520764424843809E-2</v>
      </c>
      <c r="K394" s="65">
        <f t="shared" si="392"/>
        <v>2.3520764424843809E-2</v>
      </c>
      <c r="L394" s="38" t="s">
        <v>637</v>
      </c>
    </row>
    <row r="395" spans="1:12" ht="13">
      <c r="A395" s="18" t="s">
        <v>386</v>
      </c>
      <c r="B395" s="18" t="s">
        <v>381</v>
      </c>
      <c r="C395" s="18" t="s">
        <v>721</v>
      </c>
      <c r="D395" s="33" t="s">
        <v>84</v>
      </c>
      <c r="E395" s="18" t="s">
        <v>611</v>
      </c>
      <c r="F395" s="18">
        <v>1996</v>
      </c>
      <c r="G395" s="40">
        <v>36369</v>
      </c>
      <c r="H395" s="40" t="s">
        <v>402</v>
      </c>
      <c r="I395" s="40" t="s">
        <v>402</v>
      </c>
      <c r="J395" s="66" t="s">
        <v>402</v>
      </c>
      <c r="K395" s="65" t="s">
        <v>402</v>
      </c>
      <c r="L395" s="38" t="s">
        <v>637</v>
      </c>
    </row>
    <row r="396" spans="1:12" ht="13">
      <c r="A396" s="18" t="s">
        <v>386</v>
      </c>
      <c r="B396" s="18" t="s">
        <v>381</v>
      </c>
      <c r="C396" s="18" t="s">
        <v>721</v>
      </c>
      <c r="D396" s="33" t="s">
        <v>84</v>
      </c>
      <c r="E396" s="18" t="s">
        <v>611</v>
      </c>
      <c r="F396" s="18">
        <v>1997</v>
      </c>
      <c r="G396" s="40">
        <v>33462</v>
      </c>
      <c r="H396" s="40">
        <f t="shared" ref="H396:I396" si="414">F396-F395</f>
        <v>1</v>
      </c>
      <c r="I396" s="40">
        <f t="shared" si="414"/>
        <v>-2907</v>
      </c>
      <c r="J396" s="66">
        <f t="shared" ref="J396:J417" si="415">I396/G395</f>
        <v>-7.9930710220242521E-2</v>
      </c>
      <c r="K396" s="65">
        <f t="shared" ref="K396:K417" si="416">J396/H396</f>
        <v>-7.9930710220242521E-2</v>
      </c>
      <c r="L396" s="38" t="s">
        <v>637</v>
      </c>
    </row>
    <row r="397" spans="1:12" ht="13">
      <c r="A397" s="18" t="s">
        <v>386</v>
      </c>
      <c r="B397" s="18" t="s">
        <v>381</v>
      </c>
      <c r="C397" s="18" t="s">
        <v>721</v>
      </c>
      <c r="D397" s="33" t="s">
        <v>84</v>
      </c>
      <c r="E397" s="18" t="s">
        <v>611</v>
      </c>
      <c r="F397" s="18">
        <v>1998</v>
      </c>
      <c r="G397" s="40">
        <v>30889</v>
      </c>
      <c r="H397" s="40">
        <f t="shared" ref="H397:I397" si="417">F397-F396</f>
        <v>1</v>
      </c>
      <c r="I397" s="40">
        <f t="shared" si="417"/>
        <v>-2573</v>
      </c>
      <c r="J397" s="66">
        <f t="shared" si="415"/>
        <v>-7.6893192277807665E-2</v>
      </c>
      <c r="K397" s="65">
        <f t="shared" si="416"/>
        <v>-7.6893192277807665E-2</v>
      </c>
      <c r="L397" s="38" t="s">
        <v>637</v>
      </c>
    </row>
    <row r="398" spans="1:12" ht="13">
      <c r="A398" s="18" t="s">
        <v>386</v>
      </c>
      <c r="B398" s="18" t="s">
        <v>381</v>
      </c>
      <c r="C398" s="18" t="s">
        <v>721</v>
      </c>
      <c r="D398" s="33" t="s">
        <v>84</v>
      </c>
      <c r="E398" s="18" t="s">
        <v>611</v>
      </c>
      <c r="F398" s="18">
        <v>1999</v>
      </c>
      <c r="G398" s="40">
        <v>29990</v>
      </c>
      <c r="H398" s="40">
        <f t="shared" ref="H398:I398" si="418">F398-F397</f>
        <v>1</v>
      </c>
      <c r="I398" s="40">
        <f t="shared" si="418"/>
        <v>-899</v>
      </c>
      <c r="J398" s="66">
        <f t="shared" si="415"/>
        <v>-2.910421185535304E-2</v>
      </c>
      <c r="K398" s="65">
        <f t="shared" si="416"/>
        <v>-2.910421185535304E-2</v>
      </c>
      <c r="L398" s="38" t="s">
        <v>637</v>
      </c>
    </row>
    <row r="399" spans="1:12" ht="13">
      <c r="A399" s="18" t="s">
        <v>386</v>
      </c>
      <c r="B399" s="18" t="s">
        <v>381</v>
      </c>
      <c r="C399" s="18" t="s">
        <v>721</v>
      </c>
      <c r="D399" s="33" t="s">
        <v>84</v>
      </c>
      <c r="E399" s="18" t="s">
        <v>611</v>
      </c>
      <c r="F399" s="18">
        <v>2000</v>
      </c>
      <c r="G399" s="40">
        <v>29090</v>
      </c>
      <c r="H399" s="40">
        <f t="shared" ref="H399:I399" si="419">F399-F398</f>
        <v>1</v>
      </c>
      <c r="I399" s="40">
        <f t="shared" si="419"/>
        <v>-900</v>
      </c>
      <c r="J399" s="66">
        <f t="shared" si="415"/>
        <v>-3.0010003334444816E-2</v>
      </c>
      <c r="K399" s="65">
        <f t="shared" si="416"/>
        <v>-3.0010003334444816E-2</v>
      </c>
      <c r="L399" s="38" t="s">
        <v>637</v>
      </c>
    </row>
    <row r="400" spans="1:12" ht="13">
      <c r="A400" s="18" t="s">
        <v>386</v>
      </c>
      <c r="B400" s="18" t="s">
        <v>381</v>
      </c>
      <c r="C400" s="18" t="s">
        <v>721</v>
      </c>
      <c r="D400" s="33" t="s">
        <v>84</v>
      </c>
      <c r="E400" s="18" t="s">
        <v>611</v>
      </c>
      <c r="F400" s="18">
        <v>2001</v>
      </c>
      <c r="G400" s="40">
        <v>31425</v>
      </c>
      <c r="H400" s="40">
        <f t="shared" ref="H400:I400" si="420">F400-F399</f>
        <v>1</v>
      </c>
      <c r="I400" s="40">
        <f t="shared" si="420"/>
        <v>2335</v>
      </c>
      <c r="J400" s="66">
        <f t="shared" si="415"/>
        <v>8.0268133379168105E-2</v>
      </c>
      <c r="K400" s="65">
        <f t="shared" si="416"/>
        <v>8.0268133379168105E-2</v>
      </c>
      <c r="L400" s="38" t="s">
        <v>637</v>
      </c>
    </row>
    <row r="401" spans="1:12" ht="13">
      <c r="A401" s="18" t="s">
        <v>386</v>
      </c>
      <c r="B401" s="18" t="s">
        <v>381</v>
      </c>
      <c r="C401" s="18" t="s">
        <v>721</v>
      </c>
      <c r="D401" s="33" t="s">
        <v>84</v>
      </c>
      <c r="E401" s="18" t="s">
        <v>611</v>
      </c>
      <c r="F401" s="18">
        <v>2002</v>
      </c>
      <c r="G401" s="40">
        <v>32644</v>
      </c>
      <c r="H401" s="40">
        <f t="shared" ref="H401:I401" si="421">F401-F400</f>
        <v>1</v>
      </c>
      <c r="I401" s="40">
        <f t="shared" si="421"/>
        <v>1219</v>
      </c>
      <c r="J401" s="66">
        <f t="shared" si="415"/>
        <v>3.8790771678599838E-2</v>
      </c>
      <c r="K401" s="65">
        <f t="shared" si="416"/>
        <v>3.8790771678599838E-2</v>
      </c>
      <c r="L401" s="38" t="s">
        <v>637</v>
      </c>
    </row>
    <row r="402" spans="1:12" ht="13">
      <c r="A402" s="18" t="s">
        <v>386</v>
      </c>
      <c r="B402" s="18" t="s">
        <v>381</v>
      </c>
      <c r="C402" s="18" t="s">
        <v>721</v>
      </c>
      <c r="D402" s="33" t="s">
        <v>84</v>
      </c>
      <c r="E402" s="18" t="s">
        <v>611</v>
      </c>
      <c r="F402" s="18">
        <v>2003</v>
      </c>
      <c r="G402" s="40">
        <v>32414</v>
      </c>
      <c r="H402" s="40">
        <f t="shared" ref="H402:I402" si="422">F402-F401</f>
        <v>1</v>
      </c>
      <c r="I402" s="40">
        <f t="shared" si="422"/>
        <v>-230</v>
      </c>
      <c r="J402" s="66">
        <f t="shared" si="415"/>
        <v>-7.0457051831883345E-3</v>
      </c>
      <c r="K402" s="65">
        <f t="shared" si="416"/>
        <v>-7.0457051831883345E-3</v>
      </c>
      <c r="L402" s="38" t="s">
        <v>637</v>
      </c>
    </row>
    <row r="403" spans="1:12" ht="13">
      <c r="A403" s="18" t="s">
        <v>386</v>
      </c>
      <c r="B403" s="18" t="s">
        <v>381</v>
      </c>
      <c r="C403" s="18" t="s">
        <v>721</v>
      </c>
      <c r="D403" s="33" t="s">
        <v>84</v>
      </c>
      <c r="E403" s="18" t="s">
        <v>611</v>
      </c>
      <c r="F403" s="18">
        <v>2004</v>
      </c>
      <c r="G403" s="40">
        <v>37425</v>
      </c>
      <c r="H403" s="40">
        <f t="shared" ref="H403:I403" si="423">F403-F402</f>
        <v>1</v>
      </c>
      <c r="I403" s="40">
        <f t="shared" si="423"/>
        <v>5011</v>
      </c>
      <c r="J403" s="66">
        <f t="shared" si="415"/>
        <v>0.15459369408280374</v>
      </c>
      <c r="K403" s="65">
        <f t="shared" si="416"/>
        <v>0.15459369408280374</v>
      </c>
      <c r="L403" s="38" t="s">
        <v>637</v>
      </c>
    </row>
    <row r="404" spans="1:12" ht="13">
      <c r="A404" s="18" t="s">
        <v>386</v>
      </c>
      <c r="B404" s="18" t="s">
        <v>381</v>
      </c>
      <c r="C404" s="18" t="s">
        <v>721</v>
      </c>
      <c r="D404" s="33" t="s">
        <v>84</v>
      </c>
      <c r="E404" s="18" t="s">
        <v>611</v>
      </c>
      <c r="F404" s="18">
        <v>2005</v>
      </c>
      <c r="G404" s="40">
        <v>37418</v>
      </c>
      <c r="H404" s="40">
        <f t="shared" ref="H404:I404" si="424">F404-F403</f>
        <v>1</v>
      </c>
      <c r="I404" s="40">
        <f t="shared" si="424"/>
        <v>-7</v>
      </c>
      <c r="J404" s="66">
        <f t="shared" si="415"/>
        <v>-1.8704074816299266E-4</v>
      </c>
      <c r="K404" s="65">
        <f t="shared" si="416"/>
        <v>-1.8704074816299266E-4</v>
      </c>
      <c r="L404" s="38" t="s">
        <v>637</v>
      </c>
    </row>
    <row r="405" spans="1:12" ht="13">
      <c r="A405" s="18" t="s">
        <v>386</v>
      </c>
      <c r="B405" s="18" t="s">
        <v>381</v>
      </c>
      <c r="C405" s="18" t="s">
        <v>721</v>
      </c>
      <c r="D405" s="33" t="s">
        <v>84</v>
      </c>
      <c r="E405" s="18" t="s">
        <v>611</v>
      </c>
      <c r="F405" s="18">
        <v>2006</v>
      </c>
      <c r="G405" s="40">
        <v>34510</v>
      </c>
      <c r="H405" s="40">
        <f t="shared" ref="H405:I405" si="425">F405-F404</f>
        <v>1</v>
      </c>
      <c r="I405" s="40">
        <f t="shared" si="425"/>
        <v>-2908</v>
      </c>
      <c r="J405" s="66">
        <f t="shared" si="415"/>
        <v>-7.7716606980597569E-2</v>
      </c>
      <c r="K405" s="65">
        <f t="shared" si="416"/>
        <v>-7.7716606980597569E-2</v>
      </c>
      <c r="L405" s="38" t="s">
        <v>637</v>
      </c>
    </row>
    <row r="406" spans="1:12" ht="13">
      <c r="A406" s="18" t="s">
        <v>386</v>
      </c>
      <c r="B406" s="18" t="s">
        <v>381</v>
      </c>
      <c r="C406" s="18" t="s">
        <v>721</v>
      </c>
      <c r="D406" s="33" t="s">
        <v>84</v>
      </c>
      <c r="E406" s="18" t="s">
        <v>611</v>
      </c>
      <c r="F406" s="18">
        <v>2007</v>
      </c>
      <c r="G406" s="40">
        <v>32829</v>
      </c>
      <c r="H406" s="40">
        <f t="shared" ref="H406:I406" si="426">F406-F405</f>
        <v>1</v>
      </c>
      <c r="I406" s="40">
        <f t="shared" si="426"/>
        <v>-1681</v>
      </c>
      <c r="J406" s="66">
        <f t="shared" si="415"/>
        <v>-4.8710518690234718E-2</v>
      </c>
      <c r="K406" s="65">
        <f t="shared" si="416"/>
        <v>-4.8710518690234718E-2</v>
      </c>
      <c r="L406" s="38" t="s">
        <v>637</v>
      </c>
    </row>
    <row r="407" spans="1:12" ht="13">
      <c r="A407" s="18" t="s">
        <v>386</v>
      </c>
      <c r="B407" s="18" t="s">
        <v>381</v>
      </c>
      <c r="C407" s="18" t="s">
        <v>721</v>
      </c>
      <c r="D407" s="33" t="s">
        <v>84</v>
      </c>
      <c r="E407" s="18" t="s">
        <v>611</v>
      </c>
      <c r="F407" s="18">
        <v>2008</v>
      </c>
      <c r="G407" s="40">
        <v>29031</v>
      </c>
      <c r="H407" s="40">
        <f t="shared" ref="H407:I407" si="427">F407-F406</f>
        <v>1</v>
      </c>
      <c r="I407" s="40">
        <f t="shared" si="427"/>
        <v>-3798</v>
      </c>
      <c r="J407" s="66">
        <f t="shared" si="415"/>
        <v>-0.11569039568674039</v>
      </c>
      <c r="K407" s="65">
        <f t="shared" si="416"/>
        <v>-0.11569039568674039</v>
      </c>
      <c r="L407" s="38" t="s">
        <v>637</v>
      </c>
    </row>
    <row r="408" spans="1:12" ht="13">
      <c r="A408" s="18" t="s">
        <v>386</v>
      </c>
      <c r="B408" s="18" t="s">
        <v>381</v>
      </c>
      <c r="C408" s="18" t="s">
        <v>721</v>
      </c>
      <c r="D408" s="33" t="s">
        <v>84</v>
      </c>
      <c r="E408" s="18" t="s">
        <v>611</v>
      </c>
      <c r="F408" s="18">
        <v>2009</v>
      </c>
      <c r="G408" s="40">
        <v>33372</v>
      </c>
      <c r="H408" s="40">
        <f t="shared" ref="H408:I408" si="428">F408-F407</f>
        <v>1</v>
      </c>
      <c r="I408" s="40">
        <f t="shared" si="428"/>
        <v>4341</v>
      </c>
      <c r="J408" s="66">
        <f t="shared" si="415"/>
        <v>0.14952981295856155</v>
      </c>
      <c r="K408" s="65">
        <f t="shared" si="416"/>
        <v>0.14952981295856155</v>
      </c>
      <c r="L408" s="38" t="s">
        <v>637</v>
      </c>
    </row>
    <row r="409" spans="1:12" ht="13">
      <c r="A409" s="18" t="s">
        <v>386</v>
      </c>
      <c r="B409" s="18" t="s">
        <v>381</v>
      </c>
      <c r="C409" s="18" t="s">
        <v>721</v>
      </c>
      <c r="D409" s="33" t="s">
        <v>84</v>
      </c>
      <c r="E409" s="18" t="s">
        <v>611</v>
      </c>
      <c r="F409" s="18">
        <v>2010</v>
      </c>
      <c r="G409" s="40">
        <v>33812</v>
      </c>
      <c r="H409" s="40">
        <f t="shared" ref="H409:I409" si="429">F409-F408</f>
        <v>1</v>
      </c>
      <c r="I409" s="40">
        <f t="shared" si="429"/>
        <v>440</v>
      </c>
      <c r="J409" s="66">
        <f t="shared" si="415"/>
        <v>1.3184705741340046E-2</v>
      </c>
      <c r="K409" s="65">
        <f t="shared" si="416"/>
        <v>1.3184705741340046E-2</v>
      </c>
      <c r="L409" s="38" t="s">
        <v>637</v>
      </c>
    </row>
    <row r="410" spans="1:12" ht="13">
      <c r="A410" s="18" t="s">
        <v>386</v>
      </c>
      <c r="B410" s="18" t="s">
        <v>381</v>
      </c>
      <c r="C410" s="18" t="s">
        <v>721</v>
      </c>
      <c r="D410" s="33" t="s">
        <v>84</v>
      </c>
      <c r="E410" s="18" t="s">
        <v>611</v>
      </c>
      <c r="F410" s="18">
        <v>2011</v>
      </c>
      <c r="G410" s="40">
        <v>36146</v>
      </c>
      <c r="H410" s="40">
        <f t="shared" ref="H410:I410" si="430">F410-F409</f>
        <v>1</v>
      </c>
      <c r="I410" s="40">
        <f t="shared" si="430"/>
        <v>2334</v>
      </c>
      <c r="J410" s="66">
        <f t="shared" si="415"/>
        <v>6.9028747190346629E-2</v>
      </c>
      <c r="K410" s="65">
        <f t="shared" si="416"/>
        <v>6.9028747190346629E-2</v>
      </c>
      <c r="L410" s="38" t="s">
        <v>637</v>
      </c>
    </row>
    <row r="411" spans="1:12" ht="13">
      <c r="A411" s="18" t="s">
        <v>386</v>
      </c>
      <c r="B411" s="18" t="s">
        <v>381</v>
      </c>
      <c r="C411" s="18" t="s">
        <v>721</v>
      </c>
      <c r="D411" s="33" t="s">
        <v>84</v>
      </c>
      <c r="E411" s="18" t="s">
        <v>611</v>
      </c>
      <c r="F411" s="18">
        <v>2012</v>
      </c>
      <c r="G411" s="40">
        <v>37253</v>
      </c>
      <c r="H411" s="40">
        <f t="shared" ref="H411:I411" si="431">F411-F410</f>
        <v>1</v>
      </c>
      <c r="I411" s="40">
        <f t="shared" si="431"/>
        <v>1107</v>
      </c>
      <c r="J411" s="66">
        <f t="shared" si="415"/>
        <v>3.0625795385381509E-2</v>
      </c>
      <c r="K411" s="65">
        <f t="shared" si="416"/>
        <v>3.0625795385381509E-2</v>
      </c>
      <c r="L411" s="38" t="s">
        <v>637</v>
      </c>
    </row>
    <row r="412" spans="1:12" ht="13">
      <c r="A412" s="18" t="s">
        <v>386</v>
      </c>
      <c r="B412" s="18" t="s">
        <v>381</v>
      </c>
      <c r="C412" s="18" t="s">
        <v>721</v>
      </c>
      <c r="D412" s="33" t="s">
        <v>84</v>
      </c>
      <c r="E412" s="18" t="s">
        <v>611</v>
      </c>
      <c r="F412" s="18">
        <v>2013</v>
      </c>
      <c r="G412" s="40">
        <v>38584</v>
      </c>
      <c r="H412" s="40">
        <f t="shared" ref="H412:I412" si="432">F412-F411</f>
        <v>1</v>
      </c>
      <c r="I412" s="40">
        <f t="shared" si="432"/>
        <v>1331</v>
      </c>
      <c r="J412" s="66">
        <f t="shared" si="415"/>
        <v>3.5728666147692802E-2</v>
      </c>
      <c r="K412" s="65">
        <f t="shared" si="416"/>
        <v>3.5728666147692802E-2</v>
      </c>
      <c r="L412" s="38" t="s">
        <v>637</v>
      </c>
    </row>
    <row r="413" spans="1:12" ht="13">
      <c r="A413" s="18" t="s">
        <v>386</v>
      </c>
      <c r="B413" s="18" t="s">
        <v>381</v>
      </c>
      <c r="C413" s="18" t="s">
        <v>721</v>
      </c>
      <c r="D413" s="33" t="s">
        <v>84</v>
      </c>
      <c r="E413" s="18" t="s">
        <v>611</v>
      </c>
      <c r="F413" s="18">
        <v>2014</v>
      </c>
      <c r="G413" s="40">
        <v>40027</v>
      </c>
      <c r="H413" s="40">
        <f t="shared" ref="H413:I413" si="433">F413-F412</f>
        <v>1</v>
      </c>
      <c r="I413" s="40">
        <f t="shared" si="433"/>
        <v>1443</v>
      </c>
      <c r="J413" s="66">
        <f t="shared" si="415"/>
        <v>3.7398921832884097E-2</v>
      </c>
      <c r="K413" s="65">
        <f t="shared" si="416"/>
        <v>3.7398921832884097E-2</v>
      </c>
      <c r="L413" s="38" t="s">
        <v>637</v>
      </c>
    </row>
    <row r="414" spans="1:12" ht="13">
      <c r="A414" s="18" t="s">
        <v>386</v>
      </c>
      <c r="B414" s="18" t="s">
        <v>381</v>
      </c>
      <c r="C414" s="18" t="s">
        <v>721</v>
      </c>
      <c r="D414" s="33" t="s">
        <v>84</v>
      </c>
      <c r="E414" s="18" t="s">
        <v>611</v>
      </c>
      <c r="F414" s="18">
        <v>2015</v>
      </c>
      <c r="G414" s="40">
        <v>43700</v>
      </c>
      <c r="H414" s="40">
        <f t="shared" ref="H414:I414" si="434">F414-F413</f>
        <v>1</v>
      </c>
      <c r="I414" s="40">
        <f t="shared" si="434"/>
        <v>3673</v>
      </c>
      <c r="J414" s="66">
        <f t="shared" si="415"/>
        <v>9.1763059934544186E-2</v>
      </c>
      <c r="K414" s="65">
        <f t="shared" si="416"/>
        <v>9.1763059934544186E-2</v>
      </c>
      <c r="L414" s="38" t="s">
        <v>637</v>
      </c>
    </row>
    <row r="415" spans="1:12" ht="13">
      <c r="A415" s="18" t="s">
        <v>386</v>
      </c>
      <c r="B415" s="18" t="s">
        <v>381</v>
      </c>
      <c r="C415" s="18" t="s">
        <v>721</v>
      </c>
      <c r="D415" s="33" t="s">
        <v>84</v>
      </c>
      <c r="E415" s="18" t="s">
        <v>611</v>
      </c>
      <c r="F415" s="18">
        <v>2016</v>
      </c>
      <c r="G415" s="40">
        <v>40235</v>
      </c>
      <c r="H415" s="40">
        <f t="shared" ref="H415:I415" si="435">F415-F414</f>
        <v>1</v>
      </c>
      <c r="I415" s="40">
        <f t="shared" si="435"/>
        <v>-3465</v>
      </c>
      <c r="J415" s="66">
        <f t="shared" si="415"/>
        <v>-7.9290617848970249E-2</v>
      </c>
      <c r="K415" s="65">
        <f t="shared" si="416"/>
        <v>-7.9290617848970249E-2</v>
      </c>
      <c r="L415" s="38" t="s">
        <v>637</v>
      </c>
    </row>
    <row r="416" spans="1:12" ht="13">
      <c r="A416" s="18" t="s">
        <v>386</v>
      </c>
      <c r="B416" s="18" t="s">
        <v>381</v>
      </c>
      <c r="C416" s="18" t="s">
        <v>721</v>
      </c>
      <c r="D416" s="33" t="s">
        <v>84</v>
      </c>
      <c r="E416" s="18" t="s">
        <v>611</v>
      </c>
      <c r="F416" s="18">
        <v>2017</v>
      </c>
      <c r="G416" s="40">
        <v>42569</v>
      </c>
      <c r="H416" s="40">
        <f t="shared" ref="H416:I416" si="436">F416-F415</f>
        <v>1</v>
      </c>
      <c r="I416" s="40">
        <f t="shared" si="436"/>
        <v>2334</v>
      </c>
      <c r="J416" s="66">
        <f t="shared" si="415"/>
        <v>5.8009195973654781E-2</v>
      </c>
      <c r="K416" s="65">
        <f t="shared" si="416"/>
        <v>5.8009195973654781E-2</v>
      </c>
      <c r="L416" s="38" t="s">
        <v>637</v>
      </c>
    </row>
    <row r="417" spans="1:12" ht="13">
      <c r="A417" s="18" t="s">
        <v>386</v>
      </c>
      <c r="B417" s="18" t="s">
        <v>381</v>
      </c>
      <c r="C417" s="18" t="s">
        <v>721</v>
      </c>
      <c r="D417" s="33" t="s">
        <v>84</v>
      </c>
      <c r="E417" s="18" t="s">
        <v>611</v>
      </c>
      <c r="F417" s="18">
        <v>2018</v>
      </c>
      <c r="G417" s="40">
        <v>44458</v>
      </c>
      <c r="H417" s="40">
        <f t="shared" ref="H417:I417" si="437">F417-F416</f>
        <v>1</v>
      </c>
      <c r="I417" s="40">
        <f t="shared" si="437"/>
        <v>1889</v>
      </c>
      <c r="J417" s="66">
        <f t="shared" si="415"/>
        <v>4.4375014682045619E-2</v>
      </c>
      <c r="K417" s="65">
        <f t="shared" si="416"/>
        <v>4.4375014682045619E-2</v>
      </c>
      <c r="L417" s="38" t="s">
        <v>637</v>
      </c>
    </row>
    <row r="418" spans="1:12" ht="13">
      <c r="A418" s="18" t="s">
        <v>387</v>
      </c>
      <c r="B418" s="18" t="s">
        <v>381</v>
      </c>
      <c r="C418" s="18" t="s">
        <v>722</v>
      </c>
      <c r="D418" s="33" t="s">
        <v>84</v>
      </c>
      <c r="E418" s="18" t="s">
        <v>611</v>
      </c>
      <c r="F418" s="18">
        <v>1996</v>
      </c>
      <c r="G418" s="40">
        <v>6375</v>
      </c>
      <c r="H418" s="40" t="s">
        <v>402</v>
      </c>
      <c r="I418" s="40" t="s">
        <v>402</v>
      </c>
      <c r="J418" s="66" t="s">
        <v>402</v>
      </c>
      <c r="K418" s="65" t="s">
        <v>402</v>
      </c>
      <c r="L418" s="38" t="s">
        <v>637</v>
      </c>
    </row>
    <row r="419" spans="1:12" ht="13">
      <c r="A419" s="18" t="s">
        <v>387</v>
      </c>
      <c r="B419" s="18" t="s">
        <v>381</v>
      </c>
      <c r="C419" s="18" t="s">
        <v>722</v>
      </c>
      <c r="D419" s="33" t="s">
        <v>84</v>
      </c>
      <c r="E419" s="18" t="s">
        <v>611</v>
      </c>
      <c r="F419" s="18">
        <v>1997</v>
      </c>
      <c r="G419" s="40">
        <v>6844</v>
      </c>
      <c r="H419" s="18">
        <f t="shared" ref="H419:I419" si="438">F419-F418</f>
        <v>1</v>
      </c>
      <c r="I419" s="40">
        <f t="shared" si="438"/>
        <v>469</v>
      </c>
      <c r="J419" s="66">
        <f t="shared" ref="J419:J440" si="439">I419/G418</f>
        <v>7.3568627450980389E-2</v>
      </c>
      <c r="K419" s="65">
        <f t="shared" ref="K419:K440" si="440">J419/H419</f>
        <v>7.3568627450980389E-2</v>
      </c>
      <c r="L419" s="38" t="s">
        <v>637</v>
      </c>
    </row>
    <row r="420" spans="1:12" ht="13">
      <c r="A420" s="18" t="s">
        <v>387</v>
      </c>
      <c r="B420" s="18" t="s">
        <v>381</v>
      </c>
      <c r="C420" s="18" t="s">
        <v>722</v>
      </c>
      <c r="D420" s="33" t="s">
        <v>84</v>
      </c>
      <c r="E420" s="18" t="s">
        <v>611</v>
      </c>
      <c r="F420" s="18">
        <v>1998</v>
      </c>
      <c r="G420" s="40">
        <v>6890</v>
      </c>
      <c r="H420" s="18">
        <f t="shared" ref="H420:I420" si="441">F420-F419</f>
        <v>1</v>
      </c>
      <c r="I420" s="40">
        <f t="shared" si="441"/>
        <v>46</v>
      </c>
      <c r="J420" s="66">
        <f t="shared" si="439"/>
        <v>6.7212156633547635E-3</v>
      </c>
      <c r="K420" s="65">
        <f t="shared" si="440"/>
        <v>6.7212156633547635E-3</v>
      </c>
      <c r="L420" s="38" t="s">
        <v>637</v>
      </c>
    </row>
    <row r="421" spans="1:12" ht="13">
      <c r="A421" s="18" t="s">
        <v>387</v>
      </c>
      <c r="B421" s="18" t="s">
        <v>381</v>
      </c>
      <c r="C421" s="18" t="s">
        <v>722</v>
      </c>
      <c r="D421" s="33" t="s">
        <v>84</v>
      </c>
      <c r="E421" s="18" t="s">
        <v>611</v>
      </c>
      <c r="F421" s="18">
        <v>1999</v>
      </c>
      <c r="G421" s="40">
        <v>6606</v>
      </c>
      <c r="H421" s="18">
        <f t="shared" ref="H421:I421" si="442">F421-F420</f>
        <v>1</v>
      </c>
      <c r="I421" s="40">
        <f t="shared" si="442"/>
        <v>-284</v>
      </c>
      <c r="J421" s="66">
        <f t="shared" si="439"/>
        <v>-4.1219158200290276E-2</v>
      </c>
      <c r="K421" s="65">
        <f t="shared" si="440"/>
        <v>-4.1219158200290276E-2</v>
      </c>
      <c r="L421" s="38" t="s">
        <v>637</v>
      </c>
    </row>
    <row r="422" spans="1:12" ht="13">
      <c r="A422" s="18" t="s">
        <v>387</v>
      </c>
      <c r="B422" s="18" t="s">
        <v>381</v>
      </c>
      <c r="C422" s="18" t="s">
        <v>722</v>
      </c>
      <c r="D422" s="33" t="s">
        <v>84</v>
      </c>
      <c r="E422" s="18" t="s">
        <v>611</v>
      </c>
      <c r="F422" s="18">
        <v>2000</v>
      </c>
      <c r="G422" s="40">
        <v>6322</v>
      </c>
      <c r="H422" s="18">
        <f t="shared" ref="H422:I422" si="443">F422-F421</f>
        <v>1</v>
      </c>
      <c r="I422" s="40">
        <f t="shared" si="443"/>
        <v>-284</v>
      </c>
      <c r="J422" s="66">
        <f t="shared" si="439"/>
        <v>-4.2991220102936725E-2</v>
      </c>
      <c r="K422" s="65">
        <f t="shared" si="440"/>
        <v>-4.2991220102936725E-2</v>
      </c>
      <c r="L422" s="38" t="s">
        <v>637</v>
      </c>
    </row>
    <row r="423" spans="1:12" ht="13">
      <c r="A423" s="18" t="s">
        <v>387</v>
      </c>
      <c r="B423" s="18" t="s">
        <v>381</v>
      </c>
      <c r="C423" s="18" t="s">
        <v>722</v>
      </c>
      <c r="D423" s="33" t="s">
        <v>84</v>
      </c>
      <c r="E423" s="18" t="s">
        <v>611</v>
      </c>
      <c r="F423" s="18">
        <v>2001</v>
      </c>
      <c r="G423" s="40">
        <v>5779</v>
      </c>
      <c r="H423" s="18">
        <f t="shared" ref="H423:I423" si="444">F423-F422</f>
        <v>1</v>
      </c>
      <c r="I423" s="40">
        <f t="shared" si="444"/>
        <v>-543</v>
      </c>
      <c r="J423" s="66">
        <f t="shared" si="439"/>
        <v>-8.5890540968048087E-2</v>
      </c>
      <c r="K423" s="65">
        <f t="shared" si="440"/>
        <v>-8.5890540968048087E-2</v>
      </c>
      <c r="L423" s="38" t="s">
        <v>637</v>
      </c>
    </row>
    <row r="424" spans="1:12" ht="13">
      <c r="A424" s="18" t="s">
        <v>387</v>
      </c>
      <c r="B424" s="18" t="s">
        <v>381</v>
      </c>
      <c r="C424" s="18" t="s">
        <v>722</v>
      </c>
      <c r="D424" s="33" t="s">
        <v>84</v>
      </c>
      <c r="E424" s="18" t="s">
        <v>611</v>
      </c>
      <c r="F424" s="18">
        <v>2002</v>
      </c>
      <c r="G424" s="40">
        <v>6483</v>
      </c>
      <c r="H424" s="18">
        <f t="shared" ref="H424:I424" si="445">F424-F423</f>
        <v>1</v>
      </c>
      <c r="I424" s="40">
        <f t="shared" si="445"/>
        <v>704</v>
      </c>
      <c r="J424" s="66">
        <f t="shared" si="439"/>
        <v>0.12182038414950684</v>
      </c>
      <c r="K424" s="65">
        <f t="shared" si="440"/>
        <v>0.12182038414950684</v>
      </c>
      <c r="L424" s="38" t="s">
        <v>637</v>
      </c>
    </row>
    <row r="425" spans="1:12" ht="13">
      <c r="A425" s="18" t="s">
        <v>387</v>
      </c>
      <c r="B425" s="18" t="s">
        <v>381</v>
      </c>
      <c r="C425" s="18" t="s">
        <v>722</v>
      </c>
      <c r="D425" s="33" t="s">
        <v>84</v>
      </c>
      <c r="E425" s="18" t="s">
        <v>611</v>
      </c>
      <c r="F425" s="18">
        <v>2003</v>
      </c>
      <c r="G425" s="40">
        <v>6764</v>
      </c>
      <c r="H425" s="18">
        <f t="shared" ref="H425:I425" si="446">F425-F424</f>
        <v>1</v>
      </c>
      <c r="I425" s="40">
        <f t="shared" si="446"/>
        <v>281</v>
      </c>
      <c r="J425" s="66">
        <f t="shared" si="439"/>
        <v>4.3344130803640288E-2</v>
      </c>
      <c r="K425" s="65">
        <f t="shared" si="440"/>
        <v>4.3344130803640288E-2</v>
      </c>
      <c r="L425" s="38" t="s">
        <v>637</v>
      </c>
    </row>
    <row r="426" spans="1:12" ht="13">
      <c r="A426" s="18" t="s">
        <v>387</v>
      </c>
      <c r="B426" s="18" t="s">
        <v>381</v>
      </c>
      <c r="C426" s="18" t="s">
        <v>722</v>
      </c>
      <c r="D426" s="33" t="s">
        <v>84</v>
      </c>
      <c r="E426" s="18" t="s">
        <v>611</v>
      </c>
      <c r="F426" s="18">
        <v>2004</v>
      </c>
      <c r="G426" s="40">
        <v>7139</v>
      </c>
      <c r="H426" s="18">
        <f t="shared" ref="H426:I426" si="447">F426-F425</f>
        <v>1</v>
      </c>
      <c r="I426" s="40">
        <f t="shared" si="447"/>
        <v>375</v>
      </c>
      <c r="J426" s="66">
        <f t="shared" si="439"/>
        <v>5.5440567711413362E-2</v>
      </c>
      <c r="K426" s="65">
        <f t="shared" si="440"/>
        <v>5.5440567711413362E-2</v>
      </c>
      <c r="L426" s="38" t="s">
        <v>637</v>
      </c>
    </row>
    <row r="427" spans="1:12" ht="13">
      <c r="A427" s="18" t="s">
        <v>387</v>
      </c>
      <c r="B427" s="18" t="s">
        <v>381</v>
      </c>
      <c r="C427" s="18" t="s">
        <v>722</v>
      </c>
      <c r="D427" s="33" t="s">
        <v>84</v>
      </c>
      <c r="E427" s="18" t="s">
        <v>611</v>
      </c>
      <c r="F427" s="18">
        <v>2005</v>
      </c>
      <c r="G427" s="40">
        <v>7349</v>
      </c>
      <c r="H427" s="18">
        <f t="shared" ref="H427:I427" si="448">F427-F426</f>
        <v>1</v>
      </c>
      <c r="I427" s="40">
        <f t="shared" si="448"/>
        <v>210</v>
      </c>
      <c r="J427" s="66">
        <f t="shared" si="439"/>
        <v>2.9415884577671941E-2</v>
      </c>
      <c r="K427" s="65">
        <f t="shared" si="440"/>
        <v>2.9415884577671941E-2</v>
      </c>
      <c r="L427" s="38" t="s">
        <v>637</v>
      </c>
    </row>
    <row r="428" spans="1:12" ht="13">
      <c r="A428" s="18" t="s">
        <v>387</v>
      </c>
      <c r="B428" s="18" t="s">
        <v>381</v>
      </c>
      <c r="C428" s="18" t="s">
        <v>722</v>
      </c>
      <c r="D428" s="33" t="s">
        <v>84</v>
      </c>
      <c r="E428" s="18" t="s">
        <v>611</v>
      </c>
      <c r="F428" s="18">
        <v>2006</v>
      </c>
      <c r="G428" s="40">
        <v>7442</v>
      </c>
      <c r="H428" s="18">
        <f t="shared" ref="H428:I428" si="449">F428-F427</f>
        <v>1</v>
      </c>
      <c r="I428" s="40">
        <f t="shared" si="449"/>
        <v>93</v>
      </c>
      <c r="J428" s="66">
        <f t="shared" si="439"/>
        <v>1.2654782963668527E-2</v>
      </c>
      <c r="K428" s="65">
        <f t="shared" si="440"/>
        <v>1.2654782963668527E-2</v>
      </c>
      <c r="L428" s="38" t="s">
        <v>637</v>
      </c>
    </row>
    <row r="429" spans="1:12" ht="13">
      <c r="A429" s="18" t="s">
        <v>387</v>
      </c>
      <c r="B429" s="18" t="s">
        <v>381</v>
      </c>
      <c r="C429" s="18" t="s">
        <v>722</v>
      </c>
      <c r="D429" s="33" t="s">
        <v>84</v>
      </c>
      <c r="E429" s="18" t="s">
        <v>611</v>
      </c>
      <c r="F429" s="18">
        <v>2007</v>
      </c>
      <c r="G429" s="40">
        <v>7652</v>
      </c>
      <c r="H429" s="18">
        <f t="shared" ref="H429:I429" si="450">F429-F428</f>
        <v>1</v>
      </c>
      <c r="I429" s="40">
        <f t="shared" si="450"/>
        <v>210</v>
      </c>
      <c r="J429" s="66">
        <f t="shared" si="439"/>
        <v>2.8218220908357967E-2</v>
      </c>
      <c r="K429" s="65">
        <f t="shared" si="440"/>
        <v>2.8218220908357967E-2</v>
      </c>
      <c r="L429" s="38" t="s">
        <v>637</v>
      </c>
    </row>
    <row r="430" spans="1:12" ht="13">
      <c r="A430" s="18" t="s">
        <v>387</v>
      </c>
      <c r="B430" s="18" t="s">
        <v>381</v>
      </c>
      <c r="C430" s="18" t="s">
        <v>722</v>
      </c>
      <c r="D430" s="33" t="s">
        <v>84</v>
      </c>
      <c r="E430" s="18" t="s">
        <v>611</v>
      </c>
      <c r="F430" s="18">
        <v>2008</v>
      </c>
      <c r="G430" s="40">
        <v>7627</v>
      </c>
      <c r="H430" s="18">
        <f t="shared" ref="H430:I430" si="451">F430-F429</f>
        <v>1</v>
      </c>
      <c r="I430" s="40">
        <f t="shared" si="451"/>
        <v>-25</v>
      </c>
      <c r="J430" s="66">
        <f t="shared" si="439"/>
        <v>-3.267119707266074E-3</v>
      </c>
      <c r="K430" s="65">
        <f t="shared" si="440"/>
        <v>-3.267119707266074E-3</v>
      </c>
      <c r="L430" s="38" t="s">
        <v>637</v>
      </c>
    </row>
    <row r="431" spans="1:12" ht="13">
      <c r="A431" s="18" t="s">
        <v>387</v>
      </c>
      <c r="B431" s="18" t="s">
        <v>381</v>
      </c>
      <c r="C431" s="18" t="s">
        <v>722</v>
      </c>
      <c r="D431" s="33" t="s">
        <v>84</v>
      </c>
      <c r="E431" s="18" t="s">
        <v>611</v>
      </c>
      <c r="F431" s="18">
        <v>2009</v>
      </c>
      <c r="G431" s="40">
        <v>8331</v>
      </c>
      <c r="H431" s="18">
        <f t="shared" ref="H431:I431" si="452">F431-F430</f>
        <v>1</v>
      </c>
      <c r="I431" s="40">
        <f t="shared" si="452"/>
        <v>704</v>
      </c>
      <c r="J431" s="66">
        <f t="shared" si="439"/>
        <v>9.2303658056903104E-2</v>
      </c>
      <c r="K431" s="65">
        <f t="shared" si="440"/>
        <v>9.2303658056903104E-2</v>
      </c>
      <c r="L431" s="38" t="s">
        <v>637</v>
      </c>
    </row>
    <row r="432" spans="1:12" ht="13">
      <c r="A432" s="18" t="s">
        <v>387</v>
      </c>
      <c r="B432" s="18" t="s">
        <v>381</v>
      </c>
      <c r="C432" s="18" t="s">
        <v>722</v>
      </c>
      <c r="D432" s="33" t="s">
        <v>84</v>
      </c>
      <c r="E432" s="18" t="s">
        <v>611</v>
      </c>
      <c r="F432" s="18">
        <v>2010</v>
      </c>
      <c r="G432" s="40">
        <v>8212</v>
      </c>
      <c r="H432" s="18">
        <f t="shared" ref="H432:I432" si="453">F432-F431</f>
        <v>1</v>
      </c>
      <c r="I432" s="40">
        <f t="shared" si="453"/>
        <v>-119</v>
      </c>
      <c r="J432" s="66">
        <f t="shared" si="439"/>
        <v>-1.4283999519865562E-2</v>
      </c>
      <c r="K432" s="65">
        <f t="shared" si="440"/>
        <v>-1.4283999519865562E-2</v>
      </c>
      <c r="L432" s="38" t="s">
        <v>637</v>
      </c>
    </row>
    <row r="433" spans="1:12" ht="13">
      <c r="A433" s="18" t="s">
        <v>387</v>
      </c>
      <c r="B433" s="18" t="s">
        <v>381</v>
      </c>
      <c r="C433" s="18" t="s">
        <v>722</v>
      </c>
      <c r="D433" s="33" t="s">
        <v>84</v>
      </c>
      <c r="E433" s="18" t="s">
        <v>611</v>
      </c>
      <c r="F433" s="18">
        <v>2011</v>
      </c>
      <c r="G433" s="40">
        <v>8305</v>
      </c>
      <c r="H433" s="18">
        <f t="shared" ref="H433:I433" si="454">F433-F432</f>
        <v>1</v>
      </c>
      <c r="I433" s="40">
        <f t="shared" si="454"/>
        <v>93</v>
      </c>
      <c r="J433" s="66">
        <f t="shared" si="439"/>
        <v>1.1324890404286411E-2</v>
      </c>
      <c r="K433" s="65">
        <f t="shared" si="440"/>
        <v>1.1324890404286411E-2</v>
      </c>
      <c r="L433" s="38" t="s">
        <v>637</v>
      </c>
    </row>
    <row r="434" spans="1:12" ht="13">
      <c r="A434" s="18" t="s">
        <v>387</v>
      </c>
      <c r="B434" s="18" t="s">
        <v>381</v>
      </c>
      <c r="C434" s="18" t="s">
        <v>722</v>
      </c>
      <c r="D434" s="33" t="s">
        <v>84</v>
      </c>
      <c r="E434" s="18" t="s">
        <v>611</v>
      </c>
      <c r="F434" s="18">
        <v>2012</v>
      </c>
      <c r="G434" s="40">
        <v>8138</v>
      </c>
      <c r="H434" s="18">
        <f t="shared" ref="H434:I434" si="455">F434-F433</f>
        <v>1</v>
      </c>
      <c r="I434" s="40">
        <f t="shared" si="455"/>
        <v>-167</v>
      </c>
      <c r="J434" s="66">
        <f t="shared" si="439"/>
        <v>-2.0108368452739313E-2</v>
      </c>
      <c r="K434" s="65">
        <f t="shared" si="440"/>
        <v>-2.0108368452739313E-2</v>
      </c>
      <c r="L434" s="38" t="s">
        <v>637</v>
      </c>
    </row>
    <row r="435" spans="1:12" ht="13">
      <c r="A435" s="18" t="s">
        <v>387</v>
      </c>
      <c r="B435" s="18" t="s">
        <v>381</v>
      </c>
      <c r="C435" s="18" t="s">
        <v>722</v>
      </c>
      <c r="D435" s="33" t="s">
        <v>84</v>
      </c>
      <c r="E435" s="18" t="s">
        <v>611</v>
      </c>
      <c r="F435" s="18">
        <v>2013</v>
      </c>
      <c r="G435" s="40">
        <v>8160</v>
      </c>
      <c r="H435" s="18">
        <f t="shared" ref="H435:I435" si="456">F435-F434</f>
        <v>1</v>
      </c>
      <c r="I435" s="40">
        <f t="shared" si="456"/>
        <v>22</v>
      </c>
      <c r="J435" s="66">
        <f t="shared" si="439"/>
        <v>2.7033669206193169E-3</v>
      </c>
      <c r="K435" s="65">
        <f t="shared" si="440"/>
        <v>2.7033669206193169E-3</v>
      </c>
      <c r="L435" s="38" t="s">
        <v>637</v>
      </c>
    </row>
    <row r="436" spans="1:12" ht="13">
      <c r="A436" s="18" t="s">
        <v>387</v>
      </c>
      <c r="B436" s="18" t="s">
        <v>381</v>
      </c>
      <c r="C436" s="18" t="s">
        <v>722</v>
      </c>
      <c r="D436" s="33" t="s">
        <v>84</v>
      </c>
      <c r="E436" s="18" t="s">
        <v>611</v>
      </c>
      <c r="F436" s="18">
        <v>2014</v>
      </c>
      <c r="G436" s="40">
        <v>7971</v>
      </c>
      <c r="H436" s="18">
        <f t="shared" ref="H436:I436" si="457">F436-F435</f>
        <v>1</v>
      </c>
      <c r="I436" s="40">
        <f t="shared" si="457"/>
        <v>-189</v>
      </c>
      <c r="J436" s="66">
        <f t="shared" si="439"/>
        <v>-2.3161764705882354E-2</v>
      </c>
      <c r="K436" s="65">
        <f t="shared" si="440"/>
        <v>-2.3161764705882354E-2</v>
      </c>
      <c r="L436" s="38" t="s">
        <v>637</v>
      </c>
    </row>
    <row r="437" spans="1:12" ht="13">
      <c r="A437" s="18" t="s">
        <v>387</v>
      </c>
      <c r="B437" s="18" t="s">
        <v>381</v>
      </c>
      <c r="C437" s="18" t="s">
        <v>722</v>
      </c>
      <c r="D437" s="33" t="s">
        <v>84</v>
      </c>
      <c r="E437" s="18" t="s">
        <v>611</v>
      </c>
      <c r="F437" s="18">
        <v>2015</v>
      </c>
      <c r="G437" s="40">
        <v>7969</v>
      </c>
      <c r="H437" s="18">
        <f t="shared" ref="H437:I437" si="458">F437-F436</f>
        <v>1</v>
      </c>
      <c r="I437" s="40">
        <f t="shared" si="458"/>
        <v>-2</v>
      </c>
      <c r="J437" s="66">
        <f t="shared" si="439"/>
        <v>-2.509095471082675E-4</v>
      </c>
      <c r="K437" s="65">
        <f t="shared" si="440"/>
        <v>-2.509095471082675E-4</v>
      </c>
      <c r="L437" s="38" t="s">
        <v>637</v>
      </c>
    </row>
    <row r="438" spans="1:12" ht="13">
      <c r="A438" s="18" t="s">
        <v>387</v>
      </c>
      <c r="B438" s="18" t="s">
        <v>381</v>
      </c>
      <c r="C438" s="18" t="s">
        <v>722</v>
      </c>
      <c r="D438" s="33" t="s">
        <v>84</v>
      </c>
      <c r="E438" s="18" t="s">
        <v>611</v>
      </c>
      <c r="F438" s="18">
        <v>2016</v>
      </c>
      <c r="G438" s="40">
        <v>8391</v>
      </c>
      <c r="H438" s="18">
        <f t="shared" ref="H438:I438" si="459">F438-F437</f>
        <v>1</v>
      </c>
      <c r="I438" s="40">
        <f t="shared" si="459"/>
        <v>422</v>
      </c>
      <c r="J438" s="66">
        <f t="shared" si="439"/>
        <v>5.2955201405446101E-2</v>
      </c>
      <c r="K438" s="65">
        <f t="shared" si="440"/>
        <v>5.2955201405446101E-2</v>
      </c>
      <c r="L438" s="38" t="s">
        <v>637</v>
      </c>
    </row>
    <row r="439" spans="1:12" ht="13">
      <c r="A439" s="18" t="s">
        <v>387</v>
      </c>
      <c r="B439" s="18" t="s">
        <v>381</v>
      </c>
      <c r="C439" s="18" t="s">
        <v>722</v>
      </c>
      <c r="D439" s="33" t="s">
        <v>84</v>
      </c>
      <c r="E439" s="18" t="s">
        <v>611</v>
      </c>
      <c r="F439" s="18">
        <v>2017</v>
      </c>
      <c r="G439" s="40">
        <v>8436</v>
      </c>
      <c r="H439" s="18">
        <f t="shared" ref="H439:I439" si="460">F439-F438</f>
        <v>1</v>
      </c>
      <c r="I439" s="40">
        <f t="shared" si="460"/>
        <v>45</v>
      </c>
      <c r="J439" s="66">
        <f t="shared" si="439"/>
        <v>5.3628888094386842E-3</v>
      </c>
      <c r="K439" s="65">
        <f t="shared" si="440"/>
        <v>5.3628888094386842E-3</v>
      </c>
      <c r="L439" s="38" t="s">
        <v>637</v>
      </c>
    </row>
    <row r="440" spans="1:12" ht="13">
      <c r="A440" s="18" t="s">
        <v>387</v>
      </c>
      <c r="B440" s="18" t="s">
        <v>381</v>
      </c>
      <c r="C440" s="18" t="s">
        <v>722</v>
      </c>
      <c r="D440" s="33" t="s">
        <v>84</v>
      </c>
      <c r="E440" s="18" t="s">
        <v>611</v>
      </c>
      <c r="F440" s="18">
        <v>2018</v>
      </c>
      <c r="G440" s="40">
        <v>8623</v>
      </c>
      <c r="H440" s="18">
        <f t="shared" ref="H440:I440" si="461">F440-F439</f>
        <v>1</v>
      </c>
      <c r="I440" s="40">
        <f t="shared" si="461"/>
        <v>187</v>
      </c>
      <c r="J440" s="66">
        <f t="shared" si="439"/>
        <v>2.2166903745851115E-2</v>
      </c>
      <c r="K440" s="65">
        <f t="shared" si="440"/>
        <v>2.2166903745851115E-2</v>
      </c>
      <c r="L440" s="38" t="s">
        <v>637</v>
      </c>
    </row>
    <row r="441" spans="1:12" ht="13">
      <c r="A441" s="18" t="s">
        <v>388</v>
      </c>
      <c r="B441" s="18" t="s">
        <v>381</v>
      </c>
      <c r="C441" s="18" t="s">
        <v>723</v>
      </c>
      <c r="D441" s="33" t="s">
        <v>84</v>
      </c>
      <c r="E441" s="18" t="s">
        <v>611</v>
      </c>
      <c r="F441" s="18">
        <v>1996</v>
      </c>
      <c r="G441" s="40">
        <v>12981</v>
      </c>
      <c r="H441" s="18" t="s">
        <v>402</v>
      </c>
      <c r="I441" s="18" t="s">
        <v>402</v>
      </c>
      <c r="J441" s="66" t="s">
        <v>402</v>
      </c>
      <c r="K441" s="65" t="s">
        <v>402</v>
      </c>
      <c r="L441" s="38" t="s">
        <v>637</v>
      </c>
    </row>
    <row r="442" spans="1:12" ht="13">
      <c r="A442" s="18" t="s">
        <v>388</v>
      </c>
      <c r="B442" s="18" t="s">
        <v>381</v>
      </c>
      <c r="C442" s="18" t="s">
        <v>723</v>
      </c>
      <c r="D442" s="33" t="s">
        <v>84</v>
      </c>
      <c r="E442" s="18" t="s">
        <v>611</v>
      </c>
      <c r="F442" s="18">
        <v>1997</v>
      </c>
      <c r="G442" s="40">
        <v>13097</v>
      </c>
      <c r="H442" s="40">
        <f t="shared" ref="H442:I442" si="462">F442-F441</f>
        <v>1</v>
      </c>
      <c r="I442" s="40">
        <f t="shared" si="462"/>
        <v>116</v>
      </c>
      <c r="J442" s="66">
        <f t="shared" ref="J442:J463" si="463">I442/G441</f>
        <v>8.9361374316308459E-3</v>
      </c>
      <c r="K442" s="65">
        <f t="shared" ref="K442:K463" si="464">J442/H442</f>
        <v>8.9361374316308459E-3</v>
      </c>
      <c r="L442" s="38" t="s">
        <v>637</v>
      </c>
    </row>
    <row r="443" spans="1:12" ht="13">
      <c r="A443" s="18" t="s">
        <v>388</v>
      </c>
      <c r="B443" s="18" t="s">
        <v>381</v>
      </c>
      <c r="C443" s="18" t="s">
        <v>723</v>
      </c>
      <c r="D443" s="33" t="s">
        <v>84</v>
      </c>
      <c r="E443" s="18" t="s">
        <v>611</v>
      </c>
      <c r="F443" s="18">
        <v>1998</v>
      </c>
      <c r="G443" s="40">
        <v>14032</v>
      </c>
      <c r="H443" s="40">
        <f t="shared" ref="H443:I443" si="465">F443-F442</f>
        <v>1</v>
      </c>
      <c r="I443" s="40">
        <f t="shared" si="465"/>
        <v>935</v>
      </c>
      <c r="J443" s="66">
        <f t="shared" si="463"/>
        <v>7.1390394746888602E-2</v>
      </c>
      <c r="K443" s="65">
        <f t="shared" si="464"/>
        <v>7.1390394746888602E-2</v>
      </c>
      <c r="L443" s="38" t="s">
        <v>637</v>
      </c>
    </row>
    <row r="444" spans="1:12" ht="13">
      <c r="A444" s="18" t="s">
        <v>388</v>
      </c>
      <c r="B444" s="18" t="s">
        <v>381</v>
      </c>
      <c r="C444" s="18" t="s">
        <v>723</v>
      </c>
      <c r="D444" s="33" t="s">
        <v>84</v>
      </c>
      <c r="E444" s="18" t="s">
        <v>611</v>
      </c>
      <c r="F444" s="18">
        <v>1999</v>
      </c>
      <c r="G444" s="40">
        <v>14046</v>
      </c>
      <c r="H444" s="40">
        <f t="shared" ref="H444:I444" si="466">F444-F443</f>
        <v>1</v>
      </c>
      <c r="I444" s="40">
        <f t="shared" si="466"/>
        <v>14</v>
      </c>
      <c r="J444" s="66">
        <f t="shared" si="463"/>
        <v>9.9771949828962375E-4</v>
      </c>
      <c r="K444" s="65">
        <f t="shared" si="464"/>
        <v>9.9771949828962375E-4</v>
      </c>
      <c r="L444" s="38" t="s">
        <v>637</v>
      </c>
    </row>
    <row r="445" spans="1:12" ht="13">
      <c r="A445" s="18" t="s">
        <v>388</v>
      </c>
      <c r="B445" s="18" t="s">
        <v>381</v>
      </c>
      <c r="C445" s="18" t="s">
        <v>723</v>
      </c>
      <c r="D445" s="33" t="s">
        <v>84</v>
      </c>
      <c r="E445" s="18" t="s">
        <v>611</v>
      </c>
      <c r="F445" s="18">
        <v>2000</v>
      </c>
      <c r="G445" s="40">
        <v>14366</v>
      </c>
      <c r="H445" s="40">
        <f t="shared" ref="H445:I445" si="467">F445-F444</f>
        <v>1</v>
      </c>
      <c r="I445" s="40">
        <f t="shared" si="467"/>
        <v>320</v>
      </c>
      <c r="J445" s="66">
        <f t="shared" si="463"/>
        <v>2.2782286772034744E-2</v>
      </c>
      <c r="K445" s="65">
        <f t="shared" si="464"/>
        <v>2.2782286772034744E-2</v>
      </c>
      <c r="L445" s="38" t="s">
        <v>637</v>
      </c>
    </row>
    <row r="446" spans="1:12" ht="13">
      <c r="A446" s="18" t="s">
        <v>388</v>
      </c>
      <c r="B446" s="18" t="s">
        <v>381</v>
      </c>
      <c r="C446" s="18" t="s">
        <v>723</v>
      </c>
      <c r="D446" s="33" t="s">
        <v>84</v>
      </c>
      <c r="E446" s="18" t="s">
        <v>611</v>
      </c>
      <c r="F446" s="18">
        <v>2001</v>
      </c>
      <c r="G446" s="40">
        <v>14687</v>
      </c>
      <c r="H446" s="40">
        <f t="shared" ref="H446:I446" si="468">F446-F445</f>
        <v>1</v>
      </c>
      <c r="I446" s="40">
        <f t="shared" si="468"/>
        <v>321</v>
      </c>
      <c r="J446" s="66">
        <f t="shared" si="463"/>
        <v>2.2344424335235973E-2</v>
      </c>
      <c r="K446" s="65">
        <f t="shared" si="464"/>
        <v>2.2344424335235973E-2</v>
      </c>
      <c r="L446" s="38" t="s">
        <v>637</v>
      </c>
    </row>
    <row r="447" spans="1:12" ht="13">
      <c r="A447" s="18" t="s">
        <v>388</v>
      </c>
      <c r="B447" s="18" t="s">
        <v>381</v>
      </c>
      <c r="C447" s="18" t="s">
        <v>723</v>
      </c>
      <c r="D447" s="33" t="s">
        <v>84</v>
      </c>
      <c r="E447" s="18" t="s">
        <v>611</v>
      </c>
      <c r="F447" s="18">
        <v>2002</v>
      </c>
      <c r="G447" s="40">
        <v>15520</v>
      </c>
      <c r="H447" s="40">
        <f t="shared" ref="H447:I447" si="469">F447-F446</f>
        <v>1</v>
      </c>
      <c r="I447" s="40">
        <f t="shared" si="469"/>
        <v>833</v>
      </c>
      <c r="J447" s="66">
        <f t="shared" si="463"/>
        <v>5.6716824402532853E-2</v>
      </c>
      <c r="K447" s="65">
        <f t="shared" si="464"/>
        <v>5.6716824402532853E-2</v>
      </c>
      <c r="L447" s="38" t="s">
        <v>637</v>
      </c>
    </row>
    <row r="448" spans="1:12" ht="13">
      <c r="A448" s="18" t="s">
        <v>388</v>
      </c>
      <c r="B448" s="18" t="s">
        <v>381</v>
      </c>
      <c r="C448" s="18" t="s">
        <v>723</v>
      </c>
      <c r="D448" s="33" t="s">
        <v>84</v>
      </c>
      <c r="E448" s="18" t="s">
        <v>611</v>
      </c>
      <c r="F448" s="18">
        <v>2003</v>
      </c>
      <c r="G448" s="40">
        <v>16660</v>
      </c>
      <c r="H448" s="40">
        <f t="shared" ref="H448:I448" si="470">F448-F447</f>
        <v>1</v>
      </c>
      <c r="I448" s="40">
        <f t="shared" si="470"/>
        <v>1140</v>
      </c>
      <c r="J448" s="66">
        <f t="shared" si="463"/>
        <v>7.3453608247422683E-2</v>
      </c>
      <c r="K448" s="65">
        <f t="shared" si="464"/>
        <v>7.3453608247422683E-2</v>
      </c>
      <c r="L448" s="38" t="s">
        <v>637</v>
      </c>
    </row>
    <row r="449" spans="1:12" ht="13">
      <c r="A449" s="18" t="s">
        <v>388</v>
      </c>
      <c r="B449" s="18" t="s">
        <v>381</v>
      </c>
      <c r="C449" s="18" t="s">
        <v>723</v>
      </c>
      <c r="D449" s="33" t="s">
        <v>84</v>
      </c>
      <c r="E449" s="18" t="s">
        <v>611</v>
      </c>
      <c r="F449" s="18">
        <v>2004</v>
      </c>
      <c r="G449" s="40">
        <v>15855</v>
      </c>
      <c r="H449" s="40">
        <f t="shared" ref="H449:I449" si="471">F449-F448</f>
        <v>1</v>
      </c>
      <c r="I449" s="40">
        <f t="shared" si="471"/>
        <v>-805</v>
      </c>
      <c r="J449" s="66">
        <f t="shared" si="463"/>
        <v>-4.8319327731092439E-2</v>
      </c>
      <c r="K449" s="65">
        <f t="shared" si="464"/>
        <v>-4.8319327731092439E-2</v>
      </c>
      <c r="L449" s="38" t="s">
        <v>637</v>
      </c>
    </row>
    <row r="450" spans="1:12" ht="13">
      <c r="A450" s="18" t="s">
        <v>388</v>
      </c>
      <c r="B450" s="18" t="s">
        <v>381</v>
      </c>
      <c r="C450" s="18" t="s">
        <v>723</v>
      </c>
      <c r="D450" s="33" t="s">
        <v>84</v>
      </c>
      <c r="E450" s="18" t="s">
        <v>611</v>
      </c>
      <c r="F450" s="18">
        <v>2005</v>
      </c>
      <c r="G450" s="40">
        <v>16893</v>
      </c>
      <c r="H450" s="40">
        <f t="shared" ref="H450:I450" si="472">F450-F449</f>
        <v>1</v>
      </c>
      <c r="I450" s="40">
        <f t="shared" si="472"/>
        <v>1038</v>
      </c>
      <c r="J450" s="66">
        <f t="shared" si="463"/>
        <v>6.5468306527909179E-2</v>
      </c>
      <c r="K450" s="65">
        <f t="shared" si="464"/>
        <v>6.5468306527909179E-2</v>
      </c>
      <c r="L450" s="38" t="s">
        <v>637</v>
      </c>
    </row>
    <row r="451" spans="1:12" ht="13">
      <c r="A451" s="18" t="s">
        <v>388</v>
      </c>
      <c r="B451" s="18" t="s">
        <v>381</v>
      </c>
      <c r="C451" s="18" t="s">
        <v>723</v>
      </c>
      <c r="D451" s="33" t="s">
        <v>84</v>
      </c>
      <c r="E451" s="18" t="s">
        <v>611</v>
      </c>
      <c r="F451" s="18">
        <v>2006</v>
      </c>
      <c r="G451" s="40">
        <v>16905</v>
      </c>
      <c r="H451" s="40">
        <f t="shared" ref="H451:I451" si="473">F451-F450</f>
        <v>1</v>
      </c>
      <c r="I451" s="40">
        <f t="shared" si="473"/>
        <v>12</v>
      </c>
      <c r="J451" s="66">
        <f t="shared" si="463"/>
        <v>7.1035340081690641E-4</v>
      </c>
      <c r="K451" s="65">
        <f t="shared" si="464"/>
        <v>7.1035340081690641E-4</v>
      </c>
      <c r="L451" s="38" t="s">
        <v>637</v>
      </c>
    </row>
    <row r="452" spans="1:12" ht="13">
      <c r="A452" s="18" t="s">
        <v>388</v>
      </c>
      <c r="B452" s="18" t="s">
        <v>381</v>
      </c>
      <c r="C452" s="18" t="s">
        <v>723</v>
      </c>
      <c r="D452" s="33" t="s">
        <v>84</v>
      </c>
      <c r="E452" s="18" t="s">
        <v>611</v>
      </c>
      <c r="F452" s="18">
        <v>2007</v>
      </c>
      <c r="G452" s="40">
        <v>17738</v>
      </c>
      <c r="H452" s="40">
        <f t="shared" ref="H452:I452" si="474">F452-F451</f>
        <v>1</v>
      </c>
      <c r="I452" s="40">
        <f t="shared" si="474"/>
        <v>833</v>
      </c>
      <c r="J452" s="66">
        <f t="shared" si="463"/>
        <v>4.9275362318840582E-2</v>
      </c>
      <c r="K452" s="65">
        <f t="shared" si="464"/>
        <v>4.9275362318840582E-2</v>
      </c>
      <c r="L452" s="38" t="s">
        <v>637</v>
      </c>
    </row>
    <row r="453" spans="1:12" ht="13">
      <c r="A453" s="18" t="s">
        <v>388</v>
      </c>
      <c r="B453" s="18" t="s">
        <v>381</v>
      </c>
      <c r="C453" s="18" t="s">
        <v>723</v>
      </c>
      <c r="D453" s="33" t="s">
        <v>84</v>
      </c>
      <c r="E453" s="18" t="s">
        <v>611</v>
      </c>
      <c r="F453" s="18">
        <v>2008</v>
      </c>
      <c r="G453" s="40">
        <v>17855</v>
      </c>
      <c r="H453" s="40">
        <f t="shared" ref="H453:I453" si="475">F453-F452</f>
        <v>1</v>
      </c>
      <c r="I453" s="40">
        <f t="shared" si="475"/>
        <v>117</v>
      </c>
      <c r="J453" s="66">
        <f t="shared" si="463"/>
        <v>6.5960085691735256E-3</v>
      </c>
      <c r="K453" s="65">
        <f t="shared" si="464"/>
        <v>6.5960085691735256E-3</v>
      </c>
      <c r="L453" s="38" t="s">
        <v>637</v>
      </c>
    </row>
    <row r="454" spans="1:12" ht="13">
      <c r="A454" s="18" t="s">
        <v>388</v>
      </c>
      <c r="B454" s="18" t="s">
        <v>381</v>
      </c>
      <c r="C454" s="18" t="s">
        <v>723</v>
      </c>
      <c r="D454" s="33" t="s">
        <v>84</v>
      </c>
      <c r="E454" s="18" t="s">
        <v>611</v>
      </c>
      <c r="F454" s="18">
        <v>2009</v>
      </c>
      <c r="G454" s="40">
        <v>19403</v>
      </c>
      <c r="H454" s="40">
        <f t="shared" ref="H454:I454" si="476">F454-F453</f>
        <v>1</v>
      </c>
      <c r="I454" s="40">
        <f t="shared" si="476"/>
        <v>1548</v>
      </c>
      <c r="J454" s="66">
        <f t="shared" si="463"/>
        <v>8.6698403808457017E-2</v>
      </c>
      <c r="K454" s="65">
        <f t="shared" si="464"/>
        <v>8.6698403808457017E-2</v>
      </c>
      <c r="L454" s="38" t="s">
        <v>637</v>
      </c>
    </row>
    <row r="455" spans="1:12" ht="13">
      <c r="A455" s="18" t="s">
        <v>388</v>
      </c>
      <c r="B455" s="18" t="s">
        <v>381</v>
      </c>
      <c r="C455" s="18" t="s">
        <v>723</v>
      </c>
      <c r="D455" s="33" t="s">
        <v>84</v>
      </c>
      <c r="E455" s="18" t="s">
        <v>611</v>
      </c>
      <c r="F455" s="18">
        <v>2010</v>
      </c>
      <c r="G455" s="40">
        <v>19725</v>
      </c>
      <c r="H455" s="40">
        <f t="shared" ref="H455:I455" si="477">F455-F454</f>
        <v>1</v>
      </c>
      <c r="I455" s="40">
        <f t="shared" si="477"/>
        <v>322</v>
      </c>
      <c r="J455" s="66">
        <f t="shared" si="463"/>
        <v>1.659537184971396E-2</v>
      </c>
      <c r="K455" s="65">
        <f t="shared" si="464"/>
        <v>1.659537184971396E-2</v>
      </c>
      <c r="L455" s="38" t="s">
        <v>637</v>
      </c>
    </row>
    <row r="456" spans="1:12" ht="13">
      <c r="A456" s="18" t="s">
        <v>388</v>
      </c>
      <c r="B456" s="18" t="s">
        <v>381</v>
      </c>
      <c r="C456" s="18" t="s">
        <v>723</v>
      </c>
      <c r="D456" s="33" t="s">
        <v>84</v>
      </c>
      <c r="E456" s="18" t="s">
        <v>611</v>
      </c>
      <c r="F456" s="18">
        <v>2011</v>
      </c>
      <c r="G456" s="40">
        <v>19227</v>
      </c>
      <c r="H456" s="40">
        <f t="shared" ref="H456:I456" si="478">F456-F455</f>
        <v>1</v>
      </c>
      <c r="I456" s="40">
        <f t="shared" si="478"/>
        <v>-498</v>
      </c>
      <c r="J456" s="66">
        <f t="shared" si="463"/>
        <v>-2.5247148288973384E-2</v>
      </c>
      <c r="K456" s="65">
        <f t="shared" si="464"/>
        <v>-2.5247148288973384E-2</v>
      </c>
      <c r="L456" s="38" t="s">
        <v>637</v>
      </c>
    </row>
    <row r="457" spans="1:12" ht="13">
      <c r="A457" s="18" t="s">
        <v>388</v>
      </c>
      <c r="B457" s="18" t="s">
        <v>381</v>
      </c>
      <c r="C457" s="18" t="s">
        <v>723</v>
      </c>
      <c r="D457" s="33" t="s">
        <v>84</v>
      </c>
      <c r="E457" s="18" t="s">
        <v>611</v>
      </c>
      <c r="F457" s="18">
        <v>2012</v>
      </c>
      <c r="G457" s="40">
        <v>19445</v>
      </c>
      <c r="H457" s="40">
        <f t="shared" ref="H457:I457" si="479">F457-F456</f>
        <v>1</v>
      </c>
      <c r="I457" s="40">
        <f t="shared" si="479"/>
        <v>218</v>
      </c>
      <c r="J457" s="66">
        <f t="shared" si="463"/>
        <v>1.1338222291569148E-2</v>
      </c>
      <c r="K457" s="65">
        <f t="shared" si="464"/>
        <v>1.1338222291569148E-2</v>
      </c>
      <c r="L457" s="38" t="s">
        <v>637</v>
      </c>
    </row>
    <row r="458" spans="1:12" ht="13">
      <c r="A458" s="18" t="s">
        <v>388</v>
      </c>
      <c r="B458" s="18" t="s">
        <v>381</v>
      </c>
      <c r="C458" s="18" t="s">
        <v>723</v>
      </c>
      <c r="D458" s="33" t="s">
        <v>84</v>
      </c>
      <c r="E458" s="18" t="s">
        <v>611</v>
      </c>
      <c r="F458" s="18">
        <v>2013</v>
      </c>
      <c r="G458" s="40">
        <v>19460</v>
      </c>
      <c r="H458" s="40">
        <f t="shared" ref="H458:I458" si="480">F458-F457</f>
        <v>1</v>
      </c>
      <c r="I458" s="40">
        <f t="shared" si="480"/>
        <v>15</v>
      </c>
      <c r="J458" s="66">
        <f t="shared" si="463"/>
        <v>7.7140653124196457E-4</v>
      </c>
      <c r="K458" s="65">
        <f t="shared" si="464"/>
        <v>7.7140653124196457E-4</v>
      </c>
      <c r="L458" s="38" t="s">
        <v>637</v>
      </c>
    </row>
    <row r="459" spans="1:12" ht="13">
      <c r="A459" s="18" t="s">
        <v>388</v>
      </c>
      <c r="B459" s="18" t="s">
        <v>381</v>
      </c>
      <c r="C459" s="18" t="s">
        <v>723</v>
      </c>
      <c r="D459" s="33" t="s">
        <v>84</v>
      </c>
      <c r="E459" s="18" t="s">
        <v>611</v>
      </c>
      <c r="F459" s="18">
        <v>2014</v>
      </c>
      <c r="G459" s="40">
        <v>19371</v>
      </c>
      <c r="H459" s="40">
        <f t="shared" ref="H459:I459" si="481">F459-F458</f>
        <v>1</v>
      </c>
      <c r="I459" s="40">
        <f t="shared" si="481"/>
        <v>-89</v>
      </c>
      <c r="J459" s="66">
        <f t="shared" si="463"/>
        <v>-4.5734840698869478E-3</v>
      </c>
      <c r="K459" s="65">
        <f t="shared" si="464"/>
        <v>-4.5734840698869478E-3</v>
      </c>
      <c r="L459" s="38" t="s">
        <v>637</v>
      </c>
    </row>
    <row r="460" spans="1:12" ht="13">
      <c r="A460" s="18" t="s">
        <v>388</v>
      </c>
      <c r="B460" s="18" t="s">
        <v>381</v>
      </c>
      <c r="C460" s="18" t="s">
        <v>723</v>
      </c>
      <c r="D460" s="33" t="s">
        <v>84</v>
      </c>
      <c r="E460" s="18" t="s">
        <v>611</v>
      </c>
      <c r="F460" s="18">
        <v>2015</v>
      </c>
      <c r="G460" s="40">
        <v>20921</v>
      </c>
      <c r="H460" s="40">
        <f t="shared" ref="H460:I460" si="482">F460-F459</f>
        <v>1</v>
      </c>
      <c r="I460" s="40">
        <f t="shared" si="482"/>
        <v>1550</v>
      </c>
      <c r="J460" s="66">
        <f t="shared" si="463"/>
        <v>8.0016519539517841E-2</v>
      </c>
      <c r="K460" s="65">
        <f t="shared" si="464"/>
        <v>8.0016519539517841E-2</v>
      </c>
      <c r="L460" s="38" t="s">
        <v>637</v>
      </c>
    </row>
    <row r="461" spans="1:12" ht="13">
      <c r="A461" s="18" t="s">
        <v>388</v>
      </c>
      <c r="B461" s="18" t="s">
        <v>381</v>
      </c>
      <c r="C461" s="18" t="s">
        <v>723</v>
      </c>
      <c r="D461" s="33" t="s">
        <v>84</v>
      </c>
      <c r="E461" s="18" t="s">
        <v>611</v>
      </c>
      <c r="F461" s="18">
        <v>2016</v>
      </c>
      <c r="G461" s="40">
        <v>23186</v>
      </c>
      <c r="H461" s="40">
        <f t="shared" ref="H461:I461" si="483">F461-F460</f>
        <v>1</v>
      </c>
      <c r="I461" s="40">
        <f t="shared" si="483"/>
        <v>2265</v>
      </c>
      <c r="J461" s="66">
        <f t="shared" si="463"/>
        <v>0.1082644233067253</v>
      </c>
      <c r="K461" s="65">
        <f t="shared" si="464"/>
        <v>0.1082644233067253</v>
      </c>
      <c r="L461" s="38" t="s">
        <v>637</v>
      </c>
    </row>
    <row r="462" spans="1:12" ht="13">
      <c r="A462" s="18" t="s">
        <v>388</v>
      </c>
      <c r="B462" s="18" t="s">
        <v>381</v>
      </c>
      <c r="C462" s="18" t="s">
        <v>723</v>
      </c>
      <c r="D462" s="33" t="s">
        <v>84</v>
      </c>
      <c r="E462" s="18" t="s">
        <v>611</v>
      </c>
      <c r="F462" s="18">
        <v>2017</v>
      </c>
      <c r="G462" s="40">
        <v>26988</v>
      </c>
      <c r="H462" s="40">
        <f t="shared" ref="H462:I462" si="484">F462-F461</f>
        <v>1</v>
      </c>
      <c r="I462" s="40">
        <f t="shared" si="484"/>
        <v>3802</v>
      </c>
      <c r="J462" s="66">
        <f t="shared" si="463"/>
        <v>0.16397826274475977</v>
      </c>
      <c r="K462" s="65">
        <f t="shared" si="464"/>
        <v>0.16397826274475977</v>
      </c>
      <c r="L462" s="38" t="s">
        <v>637</v>
      </c>
    </row>
    <row r="463" spans="1:12" ht="13">
      <c r="A463" s="18" t="s">
        <v>388</v>
      </c>
      <c r="B463" s="18" t="s">
        <v>381</v>
      </c>
      <c r="C463" s="18" t="s">
        <v>723</v>
      </c>
      <c r="D463" s="33" t="s">
        <v>84</v>
      </c>
      <c r="E463" s="18" t="s">
        <v>611</v>
      </c>
      <c r="F463" s="18">
        <v>2018</v>
      </c>
      <c r="G463" s="40">
        <v>26797</v>
      </c>
      <c r="H463" s="40">
        <f t="shared" ref="H463:I463" si="485">F463-F462</f>
        <v>1</v>
      </c>
      <c r="I463" s="40">
        <f t="shared" si="485"/>
        <v>-191</v>
      </c>
      <c r="J463" s="66">
        <f t="shared" si="463"/>
        <v>-7.0772195049651695E-3</v>
      </c>
      <c r="K463" s="65">
        <f t="shared" si="464"/>
        <v>-7.0772195049651695E-3</v>
      </c>
      <c r="L463" s="38" t="s">
        <v>637</v>
      </c>
    </row>
    <row r="464" spans="1:12" ht="13">
      <c r="A464" s="18" t="s">
        <v>389</v>
      </c>
      <c r="B464" s="18" t="s">
        <v>381</v>
      </c>
      <c r="C464" s="18" t="s">
        <v>724</v>
      </c>
      <c r="D464" s="33" t="s">
        <v>84</v>
      </c>
      <c r="E464" s="18" t="s">
        <v>611</v>
      </c>
      <c r="F464" s="18">
        <v>1996</v>
      </c>
      <c r="G464" s="40">
        <v>37751</v>
      </c>
      <c r="H464" s="40" t="s">
        <v>402</v>
      </c>
      <c r="I464" s="40" t="s">
        <v>402</v>
      </c>
      <c r="J464" s="66" t="s">
        <v>402</v>
      </c>
      <c r="K464" s="65" t="s">
        <v>402</v>
      </c>
      <c r="L464" s="38" t="s">
        <v>637</v>
      </c>
    </row>
    <row r="465" spans="1:12" ht="13">
      <c r="A465" s="18" t="s">
        <v>389</v>
      </c>
      <c r="B465" s="18" t="s">
        <v>381</v>
      </c>
      <c r="C465" s="18" t="s">
        <v>724</v>
      </c>
      <c r="D465" s="33" t="s">
        <v>84</v>
      </c>
      <c r="E465" s="18" t="s">
        <v>611</v>
      </c>
      <c r="F465" s="18">
        <v>1997</v>
      </c>
      <c r="G465" s="40">
        <v>38065</v>
      </c>
      <c r="H465" s="40">
        <f t="shared" ref="H465:I465" si="486">F465-F464</f>
        <v>1</v>
      </c>
      <c r="I465" s="40">
        <f t="shared" si="486"/>
        <v>314</v>
      </c>
      <c r="J465" s="66">
        <f t="shared" ref="J465:J486" si="487">I465/G464</f>
        <v>8.3176604593255803E-3</v>
      </c>
      <c r="K465" s="65">
        <f t="shared" ref="K465:K486" si="488">J465/H465</f>
        <v>8.3176604593255803E-3</v>
      </c>
      <c r="L465" s="38" t="s">
        <v>637</v>
      </c>
    </row>
    <row r="466" spans="1:12" ht="13">
      <c r="A466" s="18" t="s">
        <v>389</v>
      </c>
      <c r="B466" s="18" t="s">
        <v>381</v>
      </c>
      <c r="C466" s="18" t="s">
        <v>724</v>
      </c>
      <c r="D466" s="33" t="s">
        <v>84</v>
      </c>
      <c r="E466" s="18" t="s">
        <v>611</v>
      </c>
      <c r="F466" s="18">
        <v>1998</v>
      </c>
      <c r="G466" s="40">
        <v>38280</v>
      </c>
      <c r="H466" s="40">
        <f t="shared" ref="H466:I466" si="489">F466-F465</f>
        <v>1</v>
      </c>
      <c r="I466" s="40">
        <f t="shared" si="489"/>
        <v>215</v>
      </c>
      <c r="J466" s="66">
        <f t="shared" si="487"/>
        <v>5.6482332851701036E-3</v>
      </c>
      <c r="K466" s="65">
        <f t="shared" si="488"/>
        <v>5.6482332851701036E-3</v>
      </c>
      <c r="L466" s="38" t="s">
        <v>637</v>
      </c>
    </row>
    <row r="467" spans="1:12" ht="13">
      <c r="A467" s="18" t="s">
        <v>389</v>
      </c>
      <c r="B467" s="18" t="s">
        <v>381</v>
      </c>
      <c r="C467" s="18" t="s">
        <v>724</v>
      </c>
      <c r="D467" s="33" t="s">
        <v>84</v>
      </c>
      <c r="E467" s="18" t="s">
        <v>611</v>
      </c>
      <c r="F467" s="18">
        <v>1999</v>
      </c>
      <c r="G467" s="40">
        <v>37389</v>
      </c>
      <c r="H467" s="40">
        <f t="shared" ref="H467:I467" si="490">F467-F466</f>
        <v>1</v>
      </c>
      <c r="I467" s="40">
        <f t="shared" si="490"/>
        <v>-891</v>
      </c>
      <c r="J467" s="66">
        <f t="shared" si="487"/>
        <v>-2.3275862068965519E-2</v>
      </c>
      <c r="K467" s="65">
        <f t="shared" si="488"/>
        <v>-2.3275862068965519E-2</v>
      </c>
      <c r="L467" s="38" t="s">
        <v>637</v>
      </c>
    </row>
    <row r="468" spans="1:12" ht="13">
      <c r="A468" s="18" t="s">
        <v>389</v>
      </c>
      <c r="B468" s="18" t="s">
        <v>381</v>
      </c>
      <c r="C468" s="18" t="s">
        <v>724</v>
      </c>
      <c r="D468" s="33" t="s">
        <v>84</v>
      </c>
      <c r="E468" s="18" t="s">
        <v>611</v>
      </c>
      <c r="F468" s="18">
        <v>2000</v>
      </c>
      <c r="G468" s="40">
        <v>36195</v>
      </c>
      <c r="H468" s="40">
        <f t="shared" ref="H468:I468" si="491">F468-F467</f>
        <v>1</v>
      </c>
      <c r="I468" s="40">
        <f t="shared" si="491"/>
        <v>-1194</v>
      </c>
      <c r="J468" s="66">
        <f t="shared" si="487"/>
        <v>-3.1934526197544735E-2</v>
      </c>
      <c r="K468" s="65">
        <f t="shared" si="488"/>
        <v>-3.1934526197544735E-2</v>
      </c>
      <c r="L468" s="38" t="s">
        <v>637</v>
      </c>
    </row>
    <row r="469" spans="1:12" ht="13">
      <c r="A469" s="18" t="s">
        <v>389</v>
      </c>
      <c r="B469" s="18" t="s">
        <v>381</v>
      </c>
      <c r="C469" s="18" t="s">
        <v>724</v>
      </c>
      <c r="D469" s="33" t="s">
        <v>84</v>
      </c>
      <c r="E469" s="18" t="s">
        <v>611</v>
      </c>
      <c r="F469" s="18">
        <v>2001</v>
      </c>
      <c r="G469" s="40">
        <v>31085</v>
      </c>
      <c r="H469" s="40">
        <f t="shared" ref="H469:I469" si="492">F469-F468</f>
        <v>1</v>
      </c>
      <c r="I469" s="40">
        <f t="shared" si="492"/>
        <v>-5110</v>
      </c>
      <c r="J469" s="66">
        <f t="shared" si="487"/>
        <v>-0.14117972095593315</v>
      </c>
      <c r="K469" s="65">
        <f t="shared" si="488"/>
        <v>-0.14117972095593315</v>
      </c>
      <c r="L469" s="38" t="s">
        <v>637</v>
      </c>
    </row>
    <row r="470" spans="1:12" ht="13">
      <c r="A470" s="18" t="s">
        <v>389</v>
      </c>
      <c r="B470" s="18" t="s">
        <v>381</v>
      </c>
      <c r="C470" s="18" t="s">
        <v>724</v>
      </c>
      <c r="D470" s="33" t="s">
        <v>84</v>
      </c>
      <c r="E470" s="18" t="s">
        <v>611</v>
      </c>
      <c r="F470" s="18">
        <v>2002</v>
      </c>
      <c r="G470" s="40">
        <v>35419</v>
      </c>
      <c r="H470" s="40">
        <f t="shared" ref="H470:I470" si="493">F470-F469</f>
        <v>1</v>
      </c>
      <c r="I470" s="40">
        <f t="shared" si="493"/>
        <v>4334</v>
      </c>
      <c r="J470" s="66">
        <f t="shared" si="487"/>
        <v>0.13942415956248994</v>
      </c>
      <c r="K470" s="65">
        <f t="shared" si="488"/>
        <v>0.13942415956248994</v>
      </c>
      <c r="L470" s="38" t="s">
        <v>637</v>
      </c>
    </row>
    <row r="471" spans="1:12" ht="13">
      <c r="A471" s="18" t="s">
        <v>389</v>
      </c>
      <c r="B471" s="18" t="s">
        <v>381</v>
      </c>
      <c r="C471" s="18" t="s">
        <v>724</v>
      </c>
      <c r="D471" s="33" t="s">
        <v>84</v>
      </c>
      <c r="E471" s="18" t="s">
        <v>611</v>
      </c>
      <c r="F471" s="18">
        <v>2003</v>
      </c>
      <c r="G471" s="40">
        <v>34527</v>
      </c>
      <c r="H471" s="40">
        <f t="shared" ref="H471:I471" si="494">F471-F470</f>
        <v>1</v>
      </c>
      <c r="I471" s="40">
        <f t="shared" si="494"/>
        <v>-892</v>
      </c>
      <c r="J471" s="66">
        <f t="shared" si="487"/>
        <v>-2.5184223157062594E-2</v>
      </c>
      <c r="K471" s="65">
        <f t="shared" si="488"/>
        <v>-2.5184223157062594E-2</v>
      </c>
      <c r="L471" s="38" t="s">
        <v>637</v>
      </c>
    </row>
    <row r="472" spans="1:12" ht="13">
      <c r="A472" s="18" t="s">
        <v>389</v>
      </c>
      <c r="B472" s="18" t="s">
        <v>381</v>
      </c>
      <c r="C472" s="18" t="s">
        <v>724</v>
      </c>
      <c r="D472" s="33" t="s">
        <v>84</v>
      </c>
      <c r="E472" s="18" t="s">
        <v>611</v>
      </c>
      <c r="F472" s="18">
        <v>2004</v>
      </c>
      <c r="G472" s="40">
        <v>32331</v>
      </c>
      <c r="H472" s="40">
        <f t="shared" ref="H472:I472" si="495">F472-F471</f>
        <v>1</v>
      </c>
      <c r="I472" s="40">
        <f t="shared" si="495"/>
        <v>-2196</v>
      </c>
      <c r="J472" s="66">
        <f t="shared" si="487"/>
        <v>-6.3602398123207921E-2</v>
      </c>
      <c r="K472" s="65">
        <f t="shared" si="488"/>
        <v>-6.3602398123207921E-2</v>
      </c>
      <c r="L472" s="38" t="s">
        <v>637</v>
      </c>
    </row>
    <row r="473" spans="1:12" ht="13">
      <c r="A473" s="18" t="s">
        <v>389</v>
      </c>
      <c r="B473" s="18" t="s">
        <v>381</v>
      </c>
      <c r="C473" s="18" t="s">
        <v>724</v>
      </c>
      <c r="D473" s="33" t="s">
        <v>84</v>
      </c>
      <c r="E473" s="18" t="s">
        <v>611</v>
      </c>
      <c r="F473" s="18">
        <v>2005</v>
      </c>
      <c r="G473" s="40">
        <v>35258</v>
      </c>
      <c r="H473" s="40">
        <f t="shared" ref="H473:I473" si="496">F473-F472</f>
        <v>1</v>
      </c>
      <c r="I473" s="40">
        <f t="shared" si="496"/>
        <v>2927</v>
      </c>
      <c r="J473" s="66">
        <f t="shared" si="487"/>
        <v>9.0532306455105002E-2</v>
      </c>
      <c r="K473" s="65">
        <f t="shared" si="488"/>
        <v>9.0532306455105002E-2</v>
      </c>
      <c r="L473" s="38" t="s">
        <v>637</v>
      </c>
    </row>
    <row r="474" spans="1:12" ht="13">
      <c r="A474" s="18" t="s">
        <v>389</v>
      </c>
      <c r="B474" s="18" t="s">
        <v>381</v>
      </c>
      <c r="C474" s="18" t="s">
        <v>724</v>
      </c>
      <c r="D474" s="33" t="s">
        <v>84</v>
      </c>
      <c r="E474" s="18" t="s">
        <v>611</v>
      </c>
      <c r="F474" s="18">
        <v>2006</v>
      </c>
      <c r="G474" s="40">
        <v>36779</v>
      </c>
      <c r="H474" s="40">
        <f t="shared" ref="H474:I474" si="497">F474-F473</f>
        <v>1</v>
      </c>
      <c r="I474" s="40">
        <f t="shared" si="497"/>
        <v>1521</v>
      </c>
      <c r="J474" s="66">
        <f t="shared" si="487"/>
        <v>4.3139145725792728E-2</v>
      </c>
      <c r="K474" s="65">
        <f t="shared" si="488"/>
        <v>4.3139145725792728E-2</v>
      </c>
      <c r="L474" s="38" t="s">
        <v>637</v>
      </c>
    </row>
    <row r="475" spans="1:12" ht="13">
      <c r="A475" s="18" t="s">
        <v>389</v>
      </c>
      <c r="B475" s="18" t="s">
        <v>381</v>
      </c>
      <c r="C475" s="18" t="s">
        <v>724</v>
      </c>
      <c r="D475" s="33" t="s">
        <v>84</v>
      </c>
      <c r="E475" s="18" t="s">
        <v>611</v>
      </c>
      <c r="F475" s="18">
        <v>2007</v>
      </c>
      <c r="G475" s="40">
        <v>37697</v>
      </c>
      <c r="H475" s="40">
        <f t="shared" ref="H475:I475" si="498">F475-F474</f>
        <v>1</v>
      </c>
      <c r="I475" s="40">
        <f t="shared" si="498"/>
        <v>918</v>
      </c>
      <c r="J475" s="66">
        <f t="shared" si="487"/>
        <v>2.4959895592593598E-2</v>
      </c>
      <c r="K475" s="65">
        <f t="shared" si="488"/>
        <v>2.4959895592593598E-2</v>
      </c>
      <c r="L475" s="38" t="s">
        <v>637</v>
      </c>
    </row>
    <row r="476" spans="1:12" ht="13">
      <c r="A476" s="18" t="s">
        <v>389</v>
      </c>
      <c r="B476" s="18" t="s">
        <v>381</v>
      </c>
      <c r="C476" s="18" t="s">
        <v>724</v>
      </c>
      <c r="D476" s="33" t="s">
        <v>84</v>
      </c>
      <c r="E476" s="18" t="s">
        <v>611</v>
      </c>
      <c r="F476" s="18">
        <v>2008</v>
      </c>
      <c r="G476" s="40">
        <v>42434</v>
      </c>
      <c r="H476" s="40">
        <f t="shared" ref="H476:I476" si="499">F476-F475</f>
        <v>1</v>
      </c>
      <c r="I476" s="40">
        <f t="shared" si="499"/>
        <v>4737</v>
      </c>
      <c r="J476" s="66">
        <f t="shared" si="487"/>
        <v>0.12565986683290448</v>
      </c>
      <c r="K476" s="65">
        <f t="shared" si="488"/>
        <v>0.12565986683290448</v>
      </c>
      <c r="L476" s="38" t="s">
        <v>637</v>
      </c>
    </row>
    <row r="477" spans="1:12" ht="13">
      <c r="A477" s="18" t="s">
        <v>389</v>
      </c>
      <c r="B477" s="18" t="s">
        <v>381</v>
      </c>
      <c r="C477" s="18" t="s">
        <v>724</v>
      </c>
      <c r="D477" s="33" t="s">
        <v>84</v>
      </c>
      <c r="E477" s="18" t="s">
        <v>611</v>
      </c>
      <c r="F477" s="18">
        <v>2009</v>
      </c>
      <c r="G477" s="40">
        <v>41744</v>
      </c>
      <c r="H477" s="40">
        <f t="shared" ref="H477:I477" si="500">F477-F476</f>
        <v>1</v>
      </c>
      <c r="I477" s="40">
        <f t="shared" si="500"/>
        <v>-690</v>
      </c>
      <c r="J477" s="66">
        <f t="shared" si="487"/>
        <v>-1.6260545788754299E-2</v>
      </c>
      <c r="K477" s="65">
        <f t="shared" si="488"/>
        <v>-1.6260545788754299E-2</v>
      </c>
      <c r="L477" s="38" t="s">
        <v>637</v>
      </c>
    </row>
    <row r="478" spans="1:12" ht="13">
      <c r="A478" s="18" t="s">
        <v>389</v>
      </c>
      <c r="B478" s="18" t="s">
        <v>381</v>
      </c>
      <c r="C478" s="18" t="s">
        <v>724</v>
      </c>
      <c r="D478" s="33" t="s">
        <v>84</v>
      </c>
      <c r="E478" s="18" t="s">
        <v>611</v>
      </c>
      <c r="F478" s="18">
        <v>2010</v>
      </c>
      <c r="G478" s="40">
        <v>39924</v>
      </c>
      <c r="H478" s="40">
        <f t="shared" ref="H478:I478" si="501">F478-F477</f>
        <v>1</v>
      </c>
      <c r="I478" s="40">
        <f t="shared" si="501"/>
        <v>-1820</v>
      </c>
      <c r="J478" s="66">
        <f t="shared" si="487"/>
        <v>-4.359908010732081E-2</v>
      </c>
      <c r="K478" s="65">
        <f t="shared" si="488"/>
        <v>-4.359908010732081E-2</v>
      </c>
      <c r="L478" s="38" t="s">
        <v>637</v>
      </c>
    </row>
    <row r="479" spans="1:12" ht="13">
      <c r="A479" s="18" t="s">
        <v>389</v>
      </c>
      <c r="B479" s="18" t="s">
        <v>381</v>
      </c>
      <c r="C479" s="18" t="s">
        <v>724</v>
      </c>
      <c r="D479" s="33" t="s">
        <v>84</v>
      </c>
      <c r="E479" s="18" t="s">
        <v>611</v>
      </c>
      <c r="F479" s="18">
        <v>2011</v>
      </c>
      <c r="G479" s="40">
        <v>46595</v>
      </c>
      <c r="H479" s="40">
        <f t="shared" ref="H479:I479" si="502">F479-F478</f>
        <v>1</v>
      </c>
      <c r="I479" s="40">
        <f t="shared" si="502"/>
        <v>6671</v>
      </c>
      <c r="J479" s="66">
        <f t="shared" si="487"/>
        <v>0.16709247570383728</v>
      </c>
      <c r="K479" s="65">
        <f t="shared" si="488"/>
        <v>0.16709247570383728</v>
      </c>
      <c r="L479" s="38" t="s">
        <v>637</v>
      </c>
    </row>
    <row r="480" spans="1:12" ht="13">
      <c r="A480" s="18" t="s">
        <v>389</v>
      </c>
      <c r="B480" s="18" t="s">
        <v>381</v>
      </c>
      <c r="C480" s="18" t="s">
        <v>724</v>
      </c>
      <c r="D480" s="33" t="s">
        <v>84</v>
      </c>
      <c r="E480" s="18" t="s">
        <v>611</v>
      </c>
      <c r="F480" s="18">
        <v>2012</v>
      </c>
      <c r="G480" s="40">
        <v>45603</v>
      </c>
      <c r="H480" s="40">
        <f t="shared" ref="H480:I480" si="503">F480-F479</f>
        <v>1</v>
      </c>
      <c r="I480" s="40">
        <f t="shared" si="503"/>
        <v>-992</v>
      </c>
      <c r="J480" s="66">
        <f t="shared" si="487"/>
        <v>-2.1289837965446937E-2</v>
      </c>
      <c r="K480" s="65">
        <f t="shared" si="488"/>
        <v>-2.1289837965446937E-2</v>
      </c>
      <c r="L480" s="38" t="s">
        <v>637</v>
      </c>
    </row>
    <row r="481" spans="1:12" ht="13">
      <c r="A481" s="18" t="s">
        <v>389</v>
      </c>
      <c r="B481" s="18" t="s">
        <v>381</v>
      </c>
      <c r="C481" s="18" t="s">
        <v>724</v>
      </c>
      <c r="D481" s="33" t="s">
        <v>84</v>
      </c>
      <c r="E481" s="18" t="s">
        <v>611</v>
      </c>
      <c r="F481" s="18">
        <v>2013</v>
      </c>
      <c r="G481" s="40">
        <v>49436</v>
      </c>
      <c r="H481" s="40">
        <f t="shared" ref="H481:I481" si="504">F481-F480</f>
        <v>1</v>
      </c>
      <c r="I481" s="40">
        <f t="shared" si="504"/>
        <v>3833</v>
      </c>
      <c r="J481" s="66">
        <f t="shared" si="487"/>
        <v>8.405148784071223E-2</v>
      </c>
      <c r="K481" s="65">
        <f t="shared" si="488"/>
        <v>8.405148784071223E-2</v>
      </c>
      <c r="L481" s="38" t="s">
        <v>637</v>
      </c>
    </row>
    <row r="482" spans="1:12" ht="13">
      <c r="A482" s="18" t="s">
        <v>389</v>
      </c>
      <c r="B482" s="18" t="s">
        <v>381</v>
      </c>
      <c r="C482" s="18" t="s">
        <v>724</v>
      </c>
      <c r="D482" s="33" t="s">
        <v>84</v>
      </c>
      <c r="E482" s="18" t="s">
        <v>611</v>
      </c>
      <c r="F482" s="18">
        <v>2014</v>
      </c>
      <c r="G482" s="40">
        <v>46435</v>
      </c>
      <c r="H482" s="40">
        <f t="shared" ref="H482:I482" si="505">F482-F481</f>
        <v>1</v>
      </c>
      <c r="I482" s="40">
        <f t="shared" si="505"/>
        <v>-3001</v>
      </c>
      <c r="J482" s="66">
        <f t="shared" si="487"/>
        <v>-6.0704749575208349E-2</v>
      </c>
      <c r="K482" s="65">
        <f t="shared" si="488"/>
        <v>-6.0704749575208349E-2</v>
      </c>
      <c r="L482" s="38" t="s">
        <v>637</v>
      </c>
    </row>
    <row r="483" spans="1:12" ht="13">
      <c r="A483" s="18" t="s">
        <v>389</v>
      </c>
      <c r="B483" s="18" t="s">
        <v>381</v>
      </c>
      <c r="C483" s="18" t="s">
        <v>724</v>
      </c>
      <c r="D483" s="33" t="s">
        <v>84</v>
      </c>
      <c r="E483" s="18" t="s">
        <v>611</v>
      </c>
      <c r="F483" s="18">
        <v>2015</v>
      </c>
      <c r="G483" s="40">
        <v>52578</v>
      </c>
      <c r="H483" s="40">
        <f t="shared" ref="H483:I483" si="506">F483-F482</f>
        <v>1</v>
      </c>
      <c r="I483" s="40">
        <f t="shared" si="506"/>
        <v>6143</v>
      </c>
      <c r="J483" s="66">
        <f t="shared" si="487"/>
        <v>0.13229245181436416</v>
      </c>
      <c r="K483" s="65">
        <f t="shared" si="488"/>
        <v>0.13229245181436416</v>
      </c>
      <c r="L483" s="38" t="s">
        <v>637</v>
      </c>
    </row>
    <row r="484" spans="1:12" ht="13">
      <c r="A484" s="18" t="s">
        <v>389</v>
      </c>
      <c r="B484" s="18" t="s">
        <v>381</v>
      </c>
      <c r="C484" s="18" t="s">
        <v>724</v>
      </c>
      <c r="D484" s="33" t="s">
        <v>84</v>
      </c>
      <c r="E484" s="18" t="s">
        <v>611</v>
      </c>
      <c r="F484" s="18">
        <v>2016</v>
      </c>
      <c r="G484" s="40">
        <v>47468</v>
      </c>
      <c r="H484" s="40">
        <f t="shared" ref="H484:I484" si="507">F484-F483</f>
        <v>1</v>
      </c>
      <c r="I484" s="40">
        <f t="shared" si="507"/>
        <v>-5110</v>
      </c>
      <c r="J484" s="66">
        <f t="shared" si="487"/>
        <v>-9.7188938339229342E-2</v>
      </c>
      <c r="K484" s="65">
        <f t="shared" si="488"/>
        <v>-9.7188938339229342E-2</v>
      </c>
      <c r="L484" s="38" t="s">
        <v>637</v>
      </c>
    </row>
    <row r="485" spans="1:12" ht="13">
      <c r="A485" s="18" t="s">
        <v>389</v>
      </c>
      <c r="B485" s="18" t="s">
        <v>381</v>
      </c>
      <c r="C485" s="18" t="s">
        <v>724</v>
      </c>
      <c r="D485" s="33" t="s">
        <v>84</v>
      </c>
      <c r="E485" s="18" t="s">
        <v>611</v>
      </c>
      <c r="F485" s="18">
        <v>2017</v>
      </c>
      <c r="G485" s="40">
        <v>44665</v>
      </c>
      <c r="H485" s="40">
        <f t="shared" ref="H485:I485" si="508">F485-F484</f>
        <v>1</v>
      </c>
      <c r="I485" s="40">
        <f t="shared" si="508"/>
        <v>-2803</v>
      </c>
      <c r="J485" s="66">
        <f t="shared" si="487"/>
        <v>-5.9050307575629901E-2</v>
      </c>
      <c r="K485" s="65">
        <f t="shared" si="488"/>
        <v>-5.9050307575629901E-2</v>
      </c>
      <c r="L485" s="38" t="s">
        <v>637</v>
      </c>
    </row>
    <row r="486" spans="1:12" ht="13">
      <c r="A486" s="18" t="s">
        <v>389</v>
      </c>
      <c r="B486" s="18" t="s">
        <v>381</v>
      </c>
      <c r="C486" s="18" t="s">
        <v>724</v>
      </c>
      <c r="D486" s="33" t="s">
        <v>84</v>
      </c>
      <c r="E486" s="18" t="s">
        <v>611</v>
      </c>
      <c r="F486" s="18">
        <v>2018</v>
      </c>
      <c r="G486" s="40">
        <v>45081</v>
      </c>
      <c r="H486" s="40">
        <f t="shared" ref="H486:I486" si="509">F486-F485</f>
        <v>1</v>
      </c>
      <c r="I486" s="40">
        <f t="shared" si="509"/>
        <v>416</v>
      </c>
      <c r="J486" s="66">
        <f t="shared" si="487"/>
        <v>9.3137803649389894E-3</v>
      </c>
      <c r="K486" s="65">
        <f t="shared" si="488"/>
        <v>9.3137803649389894E-3</v>
      </c>
      <c r="L486" s="38" t="s">
        <v>637</v>
      </c>
    </row>
    <row r="487" spans="1:12" ht="13">
      <c r="A487" s="18" t="s">
        <v>390</v>
      </c>
      <c r="B487" s="18" t="s">
        <v>381</v>
      </c>
      <c r="C487" s="18" t="s">
        <v>725</v>
      </c>
      <c r="D487" s="33" t="s">
        <v>84</v>
      </c>
      <c r="E487" s="18" t="s">
        <v>611</v>
      </c>
      <c r="F487" s="18">
        <v>1996</v>
      </c>
      <c r="G487" s="40">
        <v>25190</v>
      </c>
      <c r="H487" s="40" t="s">
        <v>402</v>
      </c>
      <c r="I487" s="40" t="s">
        <v>402</v>
      </c>
      <c r="J487" s="66" t="s">
        <v>402</v>
      </c>
      <c r="K487" s="65" t="s">
        <v>402</v>
      </c>
      <c r="L487" s="38" t="s">
        <v>637</v>
      </c>
    </row>
    <row r="488" spans="1:12" ht="13">
      <c r="A488" s="18" t="s">
        <v>390</v>
      </c>
      <c r="B488" s="18" t="s">
        <v>381</v>
      </c>
      <c r="C488" s="18" t="s">
        <v>725</v>
      </c>
      <c r="D488" s="33" t="s">
        <v>84</v>
      </c>
      <c r="E488" s="18" t="s">
        <v>611</v>
      </c>
      <c r="F488" s="18">
        <v>1997</v>
      </c>
      <c r="G488" s="40">
        <v>26388</v>
      </c>
      <c r="H488" s="40">
        <f t="shared" ref="H488:I488" si="510">F488-F487</f>
        <v>1</v>
      </c>
      <c r="I488" s="40">
        <f t="shared" si="510"/>
        <v>1198</v>
      </c>
      <c r="J488" s="66">
        <f t="shared" ref="J488:J509" si="511">I488/G487</f>
        <v>4.7558554982135771E-2</v>
      </c>
      <c r="K488" s="65">
        <f t="shared" ref="K488:K509" si="512">J488/H488</f>
        <v>4.7558554982135771E-2</v>
      </c>
      <c r="L488" s="38" t="s">
        <v>637</v>
      </c>
    </row>
    <row r="489" spans="1:12" ht="13">
      <c r="A489" s="18" t="s">
        <v>390</v>
      </c>
      <c r="B489" s="18" t="s">
        <v>381</v>
      </c>
      <c r="C489" s="18" t="s">
        <v>725</v>
      </c>
      <c r="D489" s="33" t="s">
        <v>84</v>
      </c>
      <c r="E489" s="18" t="s">
        <v>611</v>
      </c>
      <c r="F489" s="18">
        <v>1998</v>
      </c>
      <c r="G489" s="40">
        <v>26481</v>
      </c>
      <c r="H489" s="40">
        <f t="shared" ref="H489:I489" si="513">F489-F488</f>
        <v>1</v>
      </c>
      <c r="I489" s="40">
        <f t="shared" si="513"/>
        <v>93</v>
      </c>
      <c r="J489" s="66">
        <f t="shared" si="511"/>
        <v>3.5243292405638927E-3</v>
      </c>
      <c r="K489" s="65">
        <f t="shared" si="512"/>
        <v>3.5243292405638927E-3</v>
      </c>
      <c r="L489" s="38" t="s">
        <v>637</v>
      </c>
    </row>
    <row r="490" spans="1:12" ht="13">
      <c r="A490" s="18" t="s">
        <v>390</v>
      </c>
      <c r="B490" s="18" t="s">
        <v>381</v>
      </c>
      <c r="C490" s="18" t="s">
        <v>725</v>
      </c>
      <c r="D490" s="33" t="s">
        <v>84</v>
      </c>
      <c r="E490" s="18" t="s">
        <v>611</v>
      </c>
      <c r="F490" s="18">
        <v>1999</v>
      </c>
      <c r="G490" s="40">
        <v>25901</v>
      </c>
      <c r="H490" s="40">
        <f t="shared" ref="H490:I490" si="514">F490-F489</f>
        <v>1</v>
      </c>
      <c r="I490" s="40">
        <f t="shared" si="514"/>
        <v>-580</v>
      </c>
      <c r="J490" s="66">
        <f t="shared" si="511"/>
        <v>-2.1902496129300252E-2</v>
      </c>
      <c r="K490" s="65">
        <f t="shared" si="512"/>
        <v>-2.1902496129300252E-2</v>
      </c>
      <c r="L490" s="38" t="s">
        <v>637</v>
      </c>
    </row>
    <row r="491" spans="1:12" ht="13">
      <c r="A491" s="18" t="s">
        <v>390</v>
      </c>
      <c r="B491" s="18" t="s">
        <v>381</v>
      </c>
      <c r="C491" s="18" t="s">
        <v>725</v>
      </c>
      <c r="D491" s="33" t="s">
        <v>84</v>
      </c>
      <c r="E491" s="18" t="s">
        <v>611</v>
      </c>
      <c r="F491" s="18">
        <v>2000</v>
      </c>
      <c r="G491" s="40">
        <v>24840</v>
      </c>
      <c r="H491" s="40">
        <f t="shared" ref="H491:I491" si="515">F491-F490</f>
        <v>1</v>
      </c>
      <c r="I491" s="40">
        <f t="shared" si="515"/>
        <v>-1061</v>
      </c>
      <c r="J491" s="66">
        <f t="shared" si="511"/>
        <v>-4.0963669356395505E-2</v>
      </c>
      <c r="K491" s="65">
        <f t="shared" si="512"/>
        <v>-4.0963669356395505E-2</v>
      </c>
      <c r="L491" s="38" t="s">
        <v>637</v>
      </c>
    </row>
    <row r="492" spans="1:12" ht="13">
      <c r="A492" s="18" t="s">
        <v>390</v>
      </c>
      <c r="B492" s="18" t="s">
        <v>381</v>
      </c>
      <c r="C492" s="18" t="s">
        <v>725</v>
      </c>
      <c r="D492" s="33" t="s">
        <v>84</v>
      </c>
      <c r="E492" s="18" t="s">
        <v>611</v>
      </c>
      <c r="F492" s="18">
        <v>2001</v>
      </c>
      <c r="G492" s="40">
        <v>23635</v>
      </c>
      <c r="H492" s="40">
        <f t="shared" ref="H492:I492" si="516">F492-F491</f>
        <v>1</v>
      </c>
      <c r="I492" s="40">
        <f t="shared" si="516"/>
        <v>-1205</v>
      </c>
      <c r="J492" s="66">
        <f t="shared" si="511"/>
        <v>-4.8510466988727859E-2</v>
      </c>
      <c r="K492" s="65">
        <f t="shared" si="512"/>
        <v>-4.8510466988727859E-2</v>
      </c>
      <c r="L492" s="38" t="s">
        <v>637</v>
      </c>
    </row>
    <row r="493" spans="1:12" ht="13">
      <c r="A493" s="18" t="s">
        <v>390</v>
      </c>
      <c r="B493" s="18" t="s">
        <v>381</v>
      </c>
      <c r="C493" s="18" t="s">
        <v>725</v>
      </c>
      <c r="D493" s="33" t="s">
        <v>84</v>
      </c>
      <c r="E493" s="18" t="s">
        <v>611</v>
      </c>
      <c r="F493" s="18">
        <v>2002</v>
      </c>
      <c r="G493" s="40">
        <v>26468</v>
      </c>
      <c r="H493" s="40">
        <f t="shared" ref="H493:I493" si="517">F493-F492</f>
        <v>1</v>
      </c>
      <c r="I493" s="40">
        <f t="shared" si="517"/>
        <v>2833</v>
      </c>
      <c r="J493" s="66">
        <f t="shared" si="511"/>
        <v>0.11986460757351386</v>
      </c>
      <c r="K493" s="65">
        <f t="shared" si="512"/>
        <v>0.11986460757351386</v>
      </c>
      <c r="L493" s="38" t="s">
        <v>637</v>
      </c>
    </row>
    <row r="494" spans="1:12" ht="13">
      <c r="A494" s="18" t="s">
        <v>390</v>
      </c>
      <c r="B494" s="18" t="s">
        <v>381</v>
      </c>
      <c r="C494" s="18" t="s">
        <v>725</v>
      </c>
      <c r="D494" s="33" t="s">
        <v>84</v>
      </c>
      <c r="E494" s="18" t="s">
        <v>611</v>
      </c>
      <c r="F494" s="18">
        <v>2003</v>
      </c>
      <c r="G494" s="40">
        <v>28244</v>
      </c>
      <c r="H494" s="40">
        <f t="shared" ref="H494:I494" si="518">F494-F493</f>
        <v>1</v>
      </c>
      <c r="I494" s="40">
        <f t="shared" si="518"/>
        <v>1776</v>
      </c>
      <c r="J494" s="66">
        <f t="shared" si="511"/>
        <v>6.7099894211878494E-2</v>
      </c>
      <c r="K494" s="65">
        <f t="shared" si="512"/>
        <v>6.7099894211878494E-2</v>
      </c>
      <c r="L494" s="38" t="s">
        <v>637</v>
      </c>
    </row>
    <row r="495" spans="1:12" ht="13">
      <c r="A495" s="18" t="s">
        <v>390</v>
      </c>
      <c r="B495" s="18" t="s">
        <v>381</v>
      </c>
      <c r="C495" s="18" t="s">
        <v>725</v>
      </c>
      <c r="D495" s="33" t="s">
        <v>84</v>
      </c>
      <c r="E495" s="18" t="s">
        <v>611</v>
      </c>
      <c r="F495" s="18">
        <v>2004</v>
      </c>
      <c r="G495" s="40">
        <v>29491</v>
      </c>
      <c r="H495" s="40">
        <f t="shared" ref="H495:I495" si="519">F495-F494</f>
        <v>1</v>
      </c>
      <c r="I495" s="40">
        <f t="shared" si="519"/>
        <v>1247</v>
      </c>
      <c r="J495" s="66">
        <f t="shared" si="511"/>
        <v>4.4150970117547088E-2</v>
      </c>
      <c r="K495" s="65">
        <f t="shared" si="512"/>
        <v>4.4150970117547088E-2</v>
      </c>
      <c r="L495" s="38" t="s">
        <v>637</v>
      </c>
    </row>
    <row r="496" spans="1:12" ht="13">
      <c r="A496" s="18" t="s">
        <v>390</v>
      </c>
      <c r="B496" s="18" t="s">
        <v>381</v>
      </c>
      <c r="C496" s="18" t="s">
        <v>725</v>
      </c>
      <c r="D496" s="33" t="s">
        <v>84</v>
      </c>
      <c r="E496" s="18" t="s">
        <v>611</v>
      </c>
      <c r="F496" s="18">
        <v>2005</v>
      </c>
      <c r="G496" s="40">
        <v>30401</v>
      </c>
      <c r="H496" s="40">
        <f t="shared" ref="H496:I496" si="520">F496-F495</f>
        <v>1</v>
      </c>
      <c r="I496" s="40">
        <f t="shared" si="520"/>
        <v>910</v>
      </c>
      <c r="J496" s="66">
        <f t="shared" si="511"/>
        <v>3.0856871587942085E-2</v>
      </c>
      <c r="K496" s="65">
        <f t="shared" si="512"/>
        <v>3.0856871587942085E-2</v>
      </c>
      <c r="L496" s="38" t="s">
        <v>637</v>
      </c>
    </row>
    <row r="497" spans="1:12" ht="13">
      <c r="A497" s="18" t="s">
        <v>390</v>
      </c>
      <c r="B497" s="18" t="s">
        <v>381</v>
      </c>
      <c r="C497" s="18" t="s">
        <v>725</v>
      </c>
      <c r="D497" s="33" t="s">
        <v>84</v>
      </c>
      <c r="E497" s="18" t="s">
        <v>611</v>
      </c>
      <c r="F497" s="18">
        <v>2006</v>
      </c>
      <c r="G497" s="40">
        <v>31311</v>
      </c>
      <c r="H497" s="40">
        <f t="shared" ref="H497:I497" si="521">F497-F496</f>
        <v>1</v>
      </c>
      <c r="I497" s="40">
        <f t="shared" si="521"/>
        <v>910</v>
      </c>
      <c r="J497" s="66">
        <f t="shared" si="511"/>
        <v>2.9933225880727606E-2</v>
      </c>
      <c r="K497" s="65">
        <f t="shared" si="512"/>
        <v>2.9933225880727606E-2</v>
      </c>
      <c r="L497" s="38" t="s">
        <v>637</v>
      </c>
    </row>
    <row r="498" spans="1:12" ht="13">
      <c r="A498" s="18" t="s">
        <v>390</v>
      </c>
      <c r="B498" s="18" t="s">
        <v>381</v>
      </c>
      <c r="C498" s="18" t="s">
        <v>725</v>
      </c>
      <c r="D498" s="33" t="s">
        <v>84</v>
      </c>
      <c r="E498" s="18" t="s">
        <v>611</v>
      </c>
      <c r="F498" s="18">
        <v>2007</v>
      </c>
      <c r="G498" s="40">
        <v>30779</v>
      </c>
      <c r="H498" s="40">
        <f t="shared" ref="H498:I498" si="522">F498-F497</f>
        <v>1</v>
      </c>
      <c r="I498" s="40">
        <f t="shared" si="522"/>
        <v>-532</v>
      </c>
      <c r="J498" s="66">
        <f t="shared" si="511"/>
        <v>-1.6990833892242343E-2</v>
      </c>
      <c r="K498" s="65">
        <f t="shared" si="512"/>
        <v>-1.6990833892242343E-2</v>
      </c>
      <c r="L498" s="38" t="s">
        <v>637</v>
      </c>
    </row>
    <row r="499" spans="1:12" ht="13">
      <c r="A499" s="18" t="s">
        <v>390</v>
      </c>
      <c r="B499" s="18" t="s">
        <v>381</v>
      </c>
      <c r="C499" s="18" t="s">
        <v>725</v>
      </c>
      <c r="D499" s="33" t="s">
        <v>84</v>
      </c>
      <c r="E499" s="18" t="s">
        <v>611</v>
      </c>
      <c r="F499" s="18">
        <v>2008</v>
      </c>
      <c r="G499" s="40">
        <v>30776</v>
      </c>
      <c r="H499" s="40">
        <f t="shared" ref="H499:I499" si="523">F499-F498</f>
        <v>1</v>
      </c>
      <c r="I499" s="40">
        <f t="shared" si="523"/>
        <v>-3</v>
      </c>
      <c r="J499" s="66">
        <f t="shared" si="511"/>
        <v>-9.7469053575489786E-5</v>
      </c>
      <c r="K499" s="65">
        <f t="shared" si="512"/>
        <v>-9.7469053575489786E-5</v>
      </c>
      <c r="L499" s="38" t="s">
        <v>637</v>
      </c>
    </row>
    <row r="500" spans="1:12" ht="13">
      <c r="A500" s="18" t="s">
        <v>390</v>
      </c>
      <c r="B500" s="18" t="s">
        <v>381</v>
      </c>
      <c r="C500" s="18" t="s">
        <v>725</v>
      </c>
      <c r="D500" s="33" t="s">
        <v>84</v>
      </c>
      <c r="E500" s="18" t="s">
        <v>611</v>
      </c>
      <c r="F500" s="18">
        <v>2009</v>
      </c>
      <c r="G500" s="40">
        <v>30388</v>
      </c>
      <c r="H500" s="40">
        <f t="shared" ref="H500:I500" si="524">F500-F499</f>
        <v>1</v>
      </c>
      <c r="I500" s="40">
        <f t="shared" si="524"/>
        <v>-388</v>
      </c>
      <c r="J500" s="66">
        <f t="shared" si="511"/>
        <v>-1.2607226410189758E-2</v>
      </c>
      <c r="K500" s="65">
        <f t="shared" si="512"/>
        <v>-1.2607226410189758E-2</v>
      </c>
      <c r="L500" s="38" t="s">
        <v>637</v>
      </c>
    </row>
    <row r="501" spans="1:12" ht="13">
      <c r="A501" s="18" t="s">
        <v>390</v>
      </c>
      <c r="B501" s="18" t="s">
        <v>381</v>
      </c>
      <c r="C501" s="18" t="s">
        <v>725</v>
      </c>
      <c r="D501" s="33" t="s">
        <v>84</v>
      </c>
      <c r="E501" s="18" t="s">
        <v>611</v>
      </c>
      <c r="F501" s="18">
        <v>2010</v>
      </c>
      <c r="G501" s="40">
        <v>30385</v>
      </c>
      <c r="H501" s="40">
        <f t="shared" ref="H501:I501" si="525">F501-F500</f>
        <v>1</v>
      </c>
      <c r="I501" s="40">
        <f t="shared" si="525"/>
        <v>-3</v>
      </c>
      <c r="J501" s="66">
        <f t="shared" si="511"/>
        <v>-9.8723180202711595E-5</v>
      </c>
      <c r="K501" s="65">
        <f t="shared" si="512"/>
        <v>-9.8723180202711595E-5</v>
      </c>
      <c r="L501" s="38" t="s">
        <v>637</v>
      </c>
    </row>
    <row r="502" spans="1:12" ht="13">
      <c r="A502" s="18" t="s">
        <v>390</v>
      </c>
      <c r="B502" s="18" t="s">
        <v>381</v>
      </c>
      <c r="C502" s="18" t="s">
        <v>725</v>
      </c>
      <c r="D502" s="33" t="s">
        <v>84</v>
      </c>
      <c r="E502" s="18" t="s">
        <v>611</v>
      </c>
      <c r="F502" s="18">
        <v>2011</v>
      </c>
      <c r="G502" s="40">
        <v>29709</v>
      </c>
      <c r="H502" s="40">
        <f t="shared" ref="H502:I502" si="526">F502-F501</f>
        <v>1</v>
      </c>
      <c r="I502" s="40">
        <f t="shared" si="526"/>
        <v>-676</v>
      </c>
      <c r="J502" s="66">
        <f t="shared" si="511"/>
        <v>-2.2247819647852558E-2</v>
      </c>
      <c r="K502" s="65">
        <f t="shared" si="512"/>
        <v>-2.2247819647852558E-2</v>
      </c>
      <c r="L502" s="38" t="s">
        <v>637</v>
      </c>
    </row>
    <row r="503" spans="1:12" ht="13">
      <c r="A503" s="18" t="s">
        <v>390</v>
      </c>
      <c r="B503" s="18" t="s">
        <v>381</v>
      </c>
      <c r="C503" s="18" t="s">
        <v>725</v>
      </c>
      <c r="D503" s="33" t="s">
        <v>84</v>
      </c>
      <c r="E503" s="18" t="s">
        <v>611</v>
      </c>
      <c r="F503" s="18">
        <v>2012</v>
      </c>
      <c r="G503" s="40">
        <v>29417</v>
      </c>
      <c r="H503" s="40">
        <f t="shared" ref="H503:I503" si="527">F503-F502</f>
        <v>1</v>
      </c>
      <c r="I503" s="40">
        <f t="shared" si="527"/>
        <v>-292</v>
      </c>
      <c r="J503" s="66">
        <f t="shared" si="511"/>
        <v>-9.8286714463630548E-3</v>
      </c>
      <c r="K503" s="65">
        <f t="shared" si="512"/>
        <v>-9.8286714463630548E-3</v>
      </c>
      <c r="L503" s="38" t="s">
        <v>637</v>
      </c>
    </row>
    <row r="504" spans="1:12" ht="13">
      <c r="A504" s="18" t="s">
        <v>390</v>
      </c>
      <c r="B504" s="18" t="s">
        <v>381</v>
      </c>
      <c r="C504" s="18" t="s">
        <v>725</v>
      </c>
      <c r="D504" s="33" t="s">
        <v>84</v>
      </c>
      <c r="E504" s="18" t="s">
        <v>611</v>
      </c>
      <c r="F504" s="18">
        <v>2013</v>
      </c>
      <c r="G504" s="40">
        <v>30135</v>
      </c>
      <c r="H504" s="40">
        <f t="shared" ref="H504:I504" si="528">F504-F503</f>
        <v>1</v>
      </c>
      <c r="I504" s="40">
        <f t="shared" si="528"/>
        <v>718</v>
      </c>
      <c r="J504" s="66">
        <f t="shared" si="511"/>
        <v>2.4407655437332153E-2</v>
      </c>
      <c r="K504" s="65">
        <f t="shared" si="512"/>
        <v>2.4407655437332153E-2</v>
      </c>
      <c r="L504" s="38" t="s">
        <v>637</v>
      </c>
    </row>
    <row r="505" spans="1:12" ht="13">
      <c r="A505" s="18" t="s">
        <v>390</v>
      </c>
      <c r="B505" s="18" t="s">
        <v>381</v>
      </c>
      <c r="C505" s="18" t="s">
        <v>725</v>
      </c>
      <c r="D505" s="33" t="s">
        <v>84</v>
      </c>
      <c r="E505" s="18" t="s">
        <v>611</v>
      </c>
      <c r="F505" s="18">
        <v>2014</v>
      </c>
      <c r="G505" s="40">
        <v>30805</v>
      </c>
      <c r="H505" s="40">
        <f t="shared" ref="H505:I505" si="529">F505-F504</f>
        <v>1</v>
      </c>
      <c r="I505" s="40">
        <f t="shared" si="529"/>
        <v>670</v>
      </c>
      <c r="J505" s="66">
        <f t="shared" si="511"/>
        <v>2.2233283557325369E-2</v>
      </c>
      <c r="K505" s="65">
        <f t="shared" si="512"/>
        <v>2.2233283557325369E-2</v>
      </c>
      <c r="L505" s="38" t="s">
        <v>637</v>
      </c>
    </row>
    <row r="506" spans="1:12" ht="13">
      <c r="A506" s="18" t="s">
        <v>390</v>
      </c>
      <c r="B506" s="18" t="s">
        <v>381</v>
      </c>
      <c r="C506" s="18" t="s">
        <v>725</v>
      </c>
      <c r="D506" s="33" t="s">
        <v>84</v>
      </c>
      <c r="E506" s="18" t="s">
        <v>611</v>
      </c>
      <c r="F506" s="18">
        <v>2015</v>
      </c>
      <c r="G506" s="40">
        <v>31090</v>
      </c>
      <c r="H506" s="40">
        <f t="shared" ref="H506:I506" si="530">F506-F505</f>
        <v>1</v>
      </c>
      <c r="I506" s="40">
        <f t="shared" si="530"/>
        <v>285</v>
      </c>
      <c r="J506" s="66">
        <f t="shared" si="511"/>
        <v>9.2517448466158097E-3</v>
      </c>
      <c r="K506" s="65">
        <f t="shared" si="512"/>
        <v>9.2517448466158097E-3</v>
      </c>
      <c r="L506" s="38" t="s">
        <v>637</v>
      </c>
    </row>
    <row r="507" spans="1:12" ht="13">
      <c r="A507" s="18" t="s">
        <v>390</v>
      </c>
      <c r="B507" s="18" t="s">
        <v>381</v>
      </c>
      <c r="C507" s="18" t="s">
        <v>725</v>
      </c>
      <c r="D507" s="33" t="s">
        <v>84</v>
      </c>
      <c r="E507" s="18" t="s">
        <v>611</v>
      </c>
      <c r="F507" s="18">
        <v>2016</v>
      </c>
      <c r="G507" s="40">
        <v>29957</v>
      </c>
      <c r="H507" s="40">
        <f t="shared" ref="H507:I507" si="531">F507-F506</f>
        <v>1</v>
      </c>
      <c r="I507" s="40">
        <f t="shared" si="531"/>
        <v>-1133</v>
      </c>
      <c r="J507" s="66">
        <f t="shared" si="511"/>
        <v>-3.6442586040527504E-2</v>
      </c>
      <c r="K507" s="65">
        <f t="shared" si="512"/>
        <v>-3.6442586040527504E-2</v>
      </c>
      <c r="L507" s="38" t="s">
        <v>637</v>
      </c>
    </row>
    <row r="508" spans="1:12" ht="13">
      <c r="A508" s="18" t="s">
        <v>390</v>
      </c>
      <c r="B508" s="18" t="s">
        <v>381</v>
      </c>
      <c r="C508" s="18" t="s">
        <v>725</v>
      </c>
      <c r="D508" s="33" t="s">
        <v>84</v>
      </c>
      <c r="E508" s="18" t="s">
        <v>611</v>
      </c>
      <c r="F508" s="18">
        <v>2017</v>
      </c>
      <c r="G508" s="40">
        <v>29545</v>
      </c>
      <c r="H508" s="40">
        <f t="shared" ref="H508:I508" si="532">F508-F507</f>
        <v>1</v>
      </c>
      <c r="I508" s="40">
        <f t="shared" si="532"/>
        <v>-412</v>
      </c>
      <c r="J508" s="66">
        <f t="shared" si="511"/>
        <v>-1.3753046032646793E-2</v>
      </c>
      <c r="K508" s="65">
        <f t="shared" si="512"/>
        <v>-1.3753046032646793E-2</v>
      </c>
      <c r="L508" s="38" t="s">
        <v>637</v>
      </c>
    </row>
    <row r="509" spans="1:12" ht="13">
      <c r="A509" s="18" t="s">
        <v>390</v>
      </c>
      <c r="B509" s="18" t="s">
        <v>381</v>
      </c>
      <c r="C509" s="18" t="s">
        <v>725</v>
      </c>
      <c r="D509" s="33" t="s">
        <v>84</v>
      </c>
      <c r="E509" s="18" t="s">
        <v>611</v>
      </c>
      <c r="F509" s="18">
        <v>2018</v>
      </c>
      <c r="G509" s="40">
        <v>28340</v>
      </c>
      <c r="H509" s="40">
        <f t="shared" ref="H509:I509" si="533">F509-F508</f>
        <v>1</v>
      </c>
      <c r="I509" s="40">
        <f t="shared" si="533"/>
        <v>-1205</v>
      </c>
      <c r="J509" s="66">
        <f t="shared" si="511"/>
        <v>-4.0785242849889998E-2</v>
      </c>
      <c r="K509" s="65">
        <f t="shared" si="512"/>
        <v>-4.0785242849889998E-2</v>
      </c>
      <c r="L509" s="38" t="s">
        <v>637</v>
      </c>
    </row>
    <row r="510" spans="1:12" ht="13">
      <c r="A510" s="18" t="s">
        <v>391</v>
      </c>
      <c r="B510" s="18" t="s">
        <v>381</v>
      </c>
      <c r="C510" s="33" t="s">
        <v>726</v>
      </c>
      <c r="D510" s="33" t="s">
        <v>84</v>
      </c>
      <c r="E510" s="18" t="s">
        <v>611</v>
      </c>
      <c r="F510" s="18">
        <v>1996</v>
      </c>
      <c r="G510" s="40">
        <v>10777</v>
      </c>
      <c r="H510" s="40" t="s">
        <v>402</v>
      </c>
      <c r="I510" s="40" t="s">
        <v>402</v>
      </c>
      <c r="J510" s="66" t="s">
        <v>402</v>
      </c>
      <c r="K510" s="65" t="s">
        <v>402</v>
      </c>
      <c r="L510" s="38" t="s">
        <v>637</v>
      </c>
    </row>
    <row r="511" spans="1:12" ht="13">
      <c r="A511" s="18" t="s">
        <v>391</v>
      </c>
      <c r="B511" s="18" t="s">
        <v>381</v>
      </c>
      <c r="C511" s="33" t="s">
        <v>726</v>
      </c>
      <c r="D511" s="33" t="s">
        <v>84</v>
      </c>
      <c r="E511" s="18" t="s">
        <v>611</v>
      </c>
      <c r="F511" s="18">
        <v>1997</v>
      </c>
      <c r="G511" s="40">
        <v>9851</v>
      </c>
      <c r="H511" s="40">
        <f t="shared" ref="H511:I511" si="534">F511-F510</f>
        <v>1</v>
      </c>
      <c r="I511" s="40">
        <f t="shared" si="534"/>
        <v>-926</v>
      </c>
      <c r="J511" s="66">
        <f t="shared" ref="J511:J532" si="535">I511/G510</f>
        <v>-8.5923726454486413E-2</v>
      </c>
      <c r="K511" s="65">
        <f t="shared" ref="K511:K532" si="536">J511/H511</f>
        <v>-8.5923726454486413E-2</v>
      </c>
      <c r="L511" s="38" t="s">
        <v>637</v>
      </c>
    </row>
    <row r="512" spans="1:12" ht="13">
      <c r="A512" s="18" t="s">
        <v>391</v>
      </c>
      <c r="B512" s="18" t="s">
        <v>381</v>
      </c>
      <c r="C512" s="33" t="s">
        <v>726</v>
      </c>
      <c r="D512" s="33" t="s">
        <v>84</v>
      </c>
      <c r="E512" s="18" t="s">
        <v>611</v>
      </c>
      <c r="F512" s="18">
        <v>1998</v>
      </c>
      <c r="G512" s="40">
        <v>9167</v>
      </c>
      <c r="H512" s="40">
        <f t="shared" ref="H512:I512" si="537">F512-F511</f>
        <v>1</v>
      </c>
      <c r="I512" s="40">
        <f t="shared" si="537"/>
        <v>-684</v>
      </c>
      <c r="J512" s="66">
        <f t="shared" si="535"/>
        <v>-6.94345751700335E-2</v>
      </c>
      <c r="K512" s="65">
        <f t="shared" si="536"/>
        <v>-6.94345751700335E-2</v>
      </c>
      <c r="L512" s="38" t="s">
        <v>637</v>
      </c>
    </row>
    <row r="513" spans="1:12" ht="13">
      <c r="A513" s="18" t="s">
        <v>391</v>
      </c>
      <c r="B513" s="18" t="s">
        <v>381</v>
      </c>
      <c r="C513" s="33" t="s">
        <v>726</v>
      </c>
      <c r="D513" s="33" t="s">
        <v>84</v>
      </c>
      <c r="E513" s="18" t="s">
        <v>611</v>
      </c>
      <c r="F513" s="18">
        <v>1999</v>
      </c>
      <c r="G513" s="40">
        <v>9492</v>
      </c>
      <c r="H513" s="40">
        <f t="shared" ref="H513:I513" si="538">F513-F512</f>
        <v>1</v>
      </c>
      <c r="I513" s="40">
        <f t="shared" si="538"/>
        <v>325</v>
      </c>
      <c r="J513" s="66">
        <f t="shared" si="535"/>
        <v>3.5453256245227445E-2</v>
      </c>
      <c r="K513" s="65">
        <f t="shared" si="536"/>
        <v>3.5453256245227445E-2</v>
      </c>
      <c r="L513" s="38" t="s">
        <v>637</v>
      </c>
    </row>
    <row r="514" spans="1:12" ht="13">
      <c r="A514" s="18" t="s">
        <v>391</v>
      </c>
      <c r="B514" s="18" t="s">
        <v>381</v>
      </c>
      <c r="C514" s="33" t="s">
        <v>726</v>
      </c>
      <c r="D514" s="33" t="s">
        <v>84</v>
      </c>
      <c r="E514" s="18" t="s">
        <v>611</v>
      </c>
      <c r="F514" s="18">
        <v>2000</v>
      </c>
      <c r="G514" s="40">
        <v>8961</v>
      </c>
      <c r="H514" s="40">
        <f t="shared" ref="H514:I514" si="539">F514-F513</f>
        <v>1</v>
      </c>
      <c r="I514" s="40">
        <f t="shared" si="539"/>
        <v>-531</v>
      </c>
      <c r="J514" s="66">
        <f t="shared" si="535"/>
        <v>-5.5941845764854614E-2</v>
      </c>
      <c r="K514" s="65">
        <f t="shared" si="536"/>
        <v>-5.5941845764854614E-2</v>
      </c>
      <c r="L514" s="38" t="s">
        <v>637</v>
      </c>
    </row>
    <row r="515" spans="1:12" ht="13">
      <c r="A515" s="18" t="s">
        <v>391</v>
      </c>
      <c r="B515" s="18" t="s">
        <v>381</v>
      </c>
      <c r="C515" s="33" t="s">
        <v>726</v>
      </c>
      <c r="D515" s="33" t="s">
        <v>84</v>
      </c>
      <c r="E515" s="18" t="s">
        <v>611</v>
      </c>
      <c r="F515" s="18">
        <v>2001</v>
      </c>
      <c r="G515" s="40">
        <v>8606</v>
      </c>
      <c r="H515" s="40">
        <f t="shared" ref="H515:I515" si="540">F515-F514</f>
        <v>1</v>
      </c>
      <c r="I515" s="40">
        <f t="shared" si="540"/>
        <v>-355</v>
      </c>
      <c r="J515" s="66">
        <f t="shared" si="535"/>
        <v>-3.9616114272960606E-2</v>
      </c>
      <c r="K515" s="65">
        <f t="shared" si="536"/>
        <v>-3.9616114272960606E-2</v>
      </c>
      <c r="L515" s="38" t="s">
        <v>637</v>
      </c>
    </row>
    <row r="516" spans="1:12" ht="13">
      <c r="A516" s="18" t="s">
        <v>391</v>
      </c>
      <c r="B516" s="18" t="s">
        <v>381</v>
      </c>
      <c r="C516" s="33" t="s">
        <v>726</v>
      </c>
      <c r="D516" s="33" t="s">
        <v>84</v>
      </c>
      <c r="E516" s="18" t="s">
        <v>611</v>
      </c>
      <c r="F516" s="18">
        <v>2002</v>
      </c>
      <c r="G516" s="40">
        <v>7746</v>
      </c>
      <c r="H516" s="40">
        <f t="shared" ref="H516:I516" si="541">F516-F515</f>
        <v>1</v>
      </c>
      <c r="I516" s="40">
        <f t="shared" si="541"/>
        <v>-860</v>
      </c>
      <c r="J516" s="66">
        <f t="shared" si="535"/>
        <v>-9.9930281199163376E-2</v>
      </c>
      <c r="K516" s="65">
        <f t="shared" si="536"/>
        <v>-9.9930281199163376E-2</v>
      </c>
      <c r="L516" s="38" t="s">
        <v>637</v>
      </c>
    </row>
    <row r="517" spans="1:12" ht="13">
      <c r="A517" s="18" t="s">
        <v>391</v>
      </c>
      <c r="B517" s="18" t="s">
        <v>381</v>
      </c>
      <c r="C517" s="33" t="s">
        <v>726</v>
      </c>
      <c r="D517" s="33" t="s">
        <v>84</v>
      </c>
      <c r="E517" s="18" t="s">
        <v>611</v>
      </c>
      <c r="F517" s="18">
        <v>2003</v>
      </c>
      <c r="G517" s="40">
        <v>7698</v>
      </c>
      <c r="H517" s="40">
        <f t="shared" ref="H517:I517" si="542">F517-F516</f>
        <v>1</v>
      </c>
      <c r="I517" s="40">
        <f t="shared" si="542"/>
        <v>-48</v>
      </c>
      <c r="J517" s="66">
        <f t="shared" si="535"/>
        <v>-6.1967467079783118E-3</v>
      </c>
      <c r="K517" s="65">
        <f t="shared" si="536"/>
        <v>-6.1967467079783118E-3</v>
      </c>
      <c r="L517" s="38" t="s">
        <v>637</v>
      </c>
    </row>
    <row r="518" spans="1:12" ht="13">
      <c r="A518" s="18" t="s">
        <v>391</v>
      </c>
      <c r="B518" s="18" t="s">
        <v>381</v>
      </c>
      <c r="C518" s="33" t="s">
        <v>726</v>
      </c>
      <c r="D518" s="33" t="s">
        <v>84</v>
      </c>
      <c r="E518" s="18" t="s">
        <v>611</v>
      </c>
      <c r="F518" s="18">
        <v>2004</v>
      </c>
      <c r="G518" s="40">
        <v>7211</v>
      </c>
      <c r="H518" s="40">
        <f t="shared" ref="H518:I518" si="543">F518-F517</f>
        <v>1</v>
      </c>
      <c r="I518" s="40">
        <f t="shared" si="543"/>
        <v>-487</v>
      </c>
      <c r="J518" s="66">
        <f t="shared" si="535"/>
        <v>-6.3263185242920239E-2</v>
      </c>
      <c r="K518" s="65">
        <f t="shared" si="536"/>
        <v>-6.3263185242920239E-2</v>
      </c>
      <c r="L518" s="38" t="s">
        <v>637</v>
      </c>
    </row>
    <row r="519" spans="1:12" ht="13">
      <c r="A519" s="18" t="s">
        <v>391</v>
      </c>
      <c r="B519" s="18" t="s">
        <v>381</v>
      </c>
      <c r="C519" s="33" t="s">
        <v>726</v>
      </c>
      <c r="D519" s="33" t="s">
        <v>84</v>
      </c>
      <c r="E519" s="18" t="s">
        <v>611</v>
      </c>
      <c r="F519" s="18">
        <v>2005</v>
      </c>
      <c r="G519" s="40">
        <v>7140</v>
      </c>
      <c r="H519" s="40">
        <f t="shared" ref="H519:I519" si="544">F519-F518</f>
        <v>1</v>
      </c>
      <c r="I519" s="40">
        <f t="shared" si="544"/>
        <v>-71</v>
      </c>
      <c r="J519" s="66">
        <f t="shared" si="535"/>
        <v>-9.8460685064484816E-3</v>
      </c>
      <c r="K519" s="65">
        <f t="shared" si="536"/>
        <v>-9.8460685064484816E-3</v>
      </c>
      <c r="L519" s="38" t="s">
        <v>637</v>
      </c>
    </row>
    <row r="520" spans="1:12" ht="13">
      <c r="A520" s="18" t="s">
        <v>391</v>
      </c>
      <c r="B520" s="18" t="s">
        <v>381</v>
      </c>
      <c r="C520" s="33" t="s">
        <v>726</v>
      </c>
      <c r="D520" s="33" t="s">
        <v>84</v>
      </c>
      <c r="E520" s="18" t="s">
        <v>611</v>
      </c>
      <c r="F520" s="18">
        <v>2006</v>
      </c>
      <c r="G520" s="40">
        <v>6808</v>
      </c>
      <c r="H520" s="40">
        <f t="shared" ref="H520:I520" si="545">F520-F519</f>
        <v>1</v>
      </c>
      <c r="I520" s="40">
        <f t="shared" si="545"/>
        <v>-332</v>
      </c>
      <c r="J520" s="66">
        <f t="shared" si="535"/>
        <v>-4.6498599439775912E-2</v>
      </c>
      <c r="K520" s="65">
        <f t="shared" si="536"/>
        <v>-4.6498599439775912E-2</v>
      </c>
      <c r="L520" s="38" t="s">
        <v>637</v>
      </c>
    </row>
    <row r="521" spans="1:12" ht="13">
      <c r="A521" s="18" t="s">
        <v>391</v>
      </c>
      <c r="B521" s="18" t="s">
        <v>381</v>
      </c>
      <c r="C521" s="33" t="s">
        <v>726</v>
      </c>
      <c r="D521" s="33" t="s">
        <v>84</v>
      </c>
      <c r="E521" s="18" t="s">
        <v>611</v>
      </c>
      <c r="F521" s="18">
        <v>2007</v>
      </c>
      <c r="G521" s="40">
        <v>6540</v>
      </c>
      <c r="H521" s="40">
        <f t="shared" ref="H521:I521" si="546">F521-F520</f>
        <v>1</v>
      </c>
      <c r="I521" s="40">
        <f t="shared" si="546"/>
        <v>-268</v>
      </c>
      <c r="J521" s="66">
        <f t="shared" si="535"/>
        <v>-3.9365452408930669E-2</v>
      </c>
      <c r="K521" s="65">
        <f t="shared" si="536"/>
        <v>-3.9365452408930669E-2</v>
      </c>
      <c r="L521" s="38" t="s">
        <v>637</v>
      </c>
    </row>
    <row r="522" spans="1:12" ht="13">
      <c r="A522" s="18" t="s">
        <v>391</v>
      </c>
      <c r="B522" s="18" t="s">
        <v>381</v>
      </c>
      <c r="C522" s="33" t="s">
        <v>726</v>
      </c>
      <c r="D522" s="33" t="s">
        <v>84</v>
      </c>
      <c r="E522" s="18" t="s">
        <v>611</v>
      </c>
      <c r="F522" s="18">
        <v>2008</v>
      </c>
      <c r="G522" s="40">
        <v>7456</v>
      </c>
      <c r="H522" s="40">
        <f t="shared" ref="H522:I522" si="547">F522-F521</f>
        <v>1</v>
      </c>
      <c r="I522" s="40">
        <f t="shared" si="547"/>
        <v>916</v>
      </c>
      <c r="J522" s="66">
        <f t="shared" si="535"/>
        <v>0.14006116207951069</v>
      </c>
      <c r="K522" s="65">
        <f t="shared" si="536"/>
        <v>0.14006116207951069</v>
      </c>
      <c r="L522" s="38" t="s">
        <v>637</v>
      </c>
    </row>
    <row r="523" spans="1:12" ht="13">
      <c r="A523" s="18" t="s">
        <v>391</v>
      </c>
      <c r="B523" s="18" t="s">
        <v>381</v>
      </c>
      <c r="C523" s="33" t="s">
        <v>726</v>
      </c>
      <c r="D523" s="33" t="s">
        <v>84</v>
      </c>
      <c r="E523" s="18" t="s">
        <v>611</v>
      </c>
      <c r="F523" s="18">
        <v>2009</v>
      </c>
      <c r="G523" s="40">
        <v>6794</v>
      </c>
      <c r="H523" s="40">
        <f t="shared" ref="H523:I523" si="548">F523-F522</f>
        <v>1</v>
      </c>
      <c r="I523" s="40">
        <f t="shared" si="548"/>
        <v>-662</v>
      </c>
      <c r="J523" s="66">
        <f t="shared" si="535"/>
        <v>-8.8787553648068673E-2</v>
      </c>
      <c r="K523" s="65">
        <f t="shared" si="536"/>
        <v>-8.8787553648068673E-2</v>
      </c>
      <c r="L523" s="38" t="s">
        <v>637</v>
      </c>
    </row>
    <row r="524" spans="1:12" ht="13">
      <c r="A524" s="18" t="s">
        <v>391</v>
      </c>
      <c r="B524" s="18" t="s">
        <v>381</v>
      </c>
      <c r="C524" s="33" t="s">
        <v>726</v>
      </c>
      <c r="D524" s="33" t="s">
        <v>84</v>
      </c>
      <c r="E524" s="18" t="s">
        <v>611</v>
      </c>
      <c r="F524" s="18">
        <v>2010</v>
      </c>
      <c r="G524" s="40">
        <v>7338</v>
      </c>
      <c r="H524" s="40">
        <f t="shared" ref="H524:I524" si="549">F524-F523</f>
        <v>1</v>
      </c>
      <c r="I524" s="40">
        <f t="shared" si="549"/>
        <v>544</v>
      </c>
      <c r="J524" s="66">
        <f t="shared" si="535"/>
        <v>8.0070650574035909E-2</v>
      </c>
      <c r="K524" s="65">
        <f t="shared" si="536"/>
        <v>8.0070650574035909E-2</v>
      </c>
      <c r="L524" s="38" t="s">
        <v>637</v>
      </c>
    </row>
    <row r="525" spans="1:12" ht="13">
      <c r="A525" s="18" t="s">
        <v>391</v>
      </c>
      <c r="B525" s="18" t="s">
        <v>381</v>
      </c>
      <c r="C525" s="33" t="s">
        <v>726</v>
      </c>
      <c r="D525" s="33" t="s">
        <v>84</v>
      </c>
      <c r="E525" s="18" t="s">
        <v>611</v>
      </c>
      <c r="F525" s="18">
        <v>2011</v>
      </c>
      <c r="G525" s="40">
        <v>7597</v>
      </c>
      <c r="H525" s="40">
        <f t="shared" ref="H525:I525" si="550">F525-F524</f>
        <v>1</v>
      </c>
      <c r="I525" s="40">
        <f t="shared" si="550"/>
        <v>259</v>
      </c>
      <c r="J525" s="66">
        <f t="shared" si="535"/>
        <v>3.5295720904878716E-2</v>
      </c>
      <c r="K525" s="65">
        <f t="shared" si="536"/>
        <v>3.5295720904878716E-2</v>
      </c>
      <c r="L525" s="38" t="s">
        <v>637</v>
      </c>
    </row>
    <row r="526" spans="1:12" ht="13">
      <c r="A526" s="18" t="s">
        <v>391</v>
      </c>
      <c r="B526" s="18" t="s">
        <v>381</v>
      </c>
      <c r="C526" s="33" t="s">
        <v>726</v>
      </c>
      <c r="D526" s="33" t="s">
        <v>84</v>
      </c>
      <c r="E526" s="18" t="s">
        <v>611</v>
      </c>
      <c r="F526" s="18">
        <v>2012</v>
      </c>
      <c r="G526" s="40">
        <v>8925</v>
      </c>
      <c r="H526" s="40">
        <f t="shared" ref="H526:I526" si="551">F526-F525</f>
        <v>1</v>
      </c>
      <c r="I526" s="40">
        <f t="shared" si="551"/>
        <v>1328</v>
      </c>
      <c r="J526" s="66">
        <f t="shared" si="535"/>
        <v>0.17480584441226801</v>
      </c>
      <c r="K526" s="65">
        <f t="shared" si="536"/>
        <v>0.17480584441226801</v>
      </c>
      <c r="L526" s="38" t="s">
        <v>637</v>
      </c>
    </row>
    <row r="527" spans="1:12" ht="13">
      <c r="A527" s="18" t="s">
        <v>391</v>
      </c>
      <c r="B527" s="18" t="s">
        <v>381</v>
      </c>
      <c r="C527" s="33" t="s">
        <v>726</v>
      </c>
      <c r="D527" s="33" t="s">
        <v>84</v>
      </c>
      <c r="E527" s="18" t="s">
        <v>611</v>
      </c>
      <c r="F527" s="18">
        <v>2013</v>
      </c>
      <c r="G527" s="40">
        <v>8553</v>
      </c>
      <c r="H527" s="40">
        <f t="shared" ref="H527:I527" si="552">F527-F526</f>
        <v>1</v>
      </c>
      <c r="I527" s="40">
        <f t="shared" si="552"/>
        <v>-372</v>
      </c>
      <c r="J527" s="66">
        <f t="shared" si="535"/>
        <v>-4.1680672268907565E-2</v>
      </c>
      <c r="K527" s="65">
        <f t="shared" si="536"/>
        <v>-4.1680672268907565E-2</v>
      </c>
      <c r="L527" s="38" t="s">
        <v>637</v>
      </c>
    </row>
    <row r="528" spans="1:12" ht="13">
      <c r="A528" s="18" t="s">
        <v>391</v>
      </c>
      <c r="B528" s="18" t="s">
        <v>381</v>
      </c>
      <c r="C528" s="33" t="s">
        <v>726</v>
      </c>
      <c r="D528" s="33" t="s">
        <v>84</v>
      </c>
      <c r="E528" s="18" t="s">
        <v>611</v>
      </c>
      <c r="F528" s="18">
        <v>2014</v>
      </c>
      <c r="G528" s="40">
        <v>8659</v>
      </c>
      <c r="H528" s="40">
        <f t="shared" ref="H528:I528" si="553">F528-F527</f>
        <v>1</v>
      </c>
      <c r="I528" s="40">
        <f t="shared" si="553"/>
        <v>106</v>
      </c>
      <c r="J528" s="66">
        <f t="shared" si="535"/>
        <v>1.2393312288086052E-2</v>
      </c>
      <c r="K528" s="65">
        <f t="shared" si="536"/>
        <v>1.2393312288086052E-2</v>
      </c>
      <c r="L528" s="38" t="s">
        <v>637</v>
      </c>
    </row>
    <row r="529" spans="1:12" ht="13">
      <c r="A529" s="18" t="s">
        <v>391</v>
      </c>
      <c r="B529" s="18" t="s">
        <v>381</v>
      </c>
      <c r="C529" s="33" t="s">
        <v>726</v>
      </c>
      <c r="D529" s="33" t="s">
        <v>84</v>
      </c>
      <c r="E529" s="18" t="s">
        <v>611</v>
      </c>
      <c r="F529" s="18">
        <v>2015</v>
      </c>
      <c r="G529" s="40">
        <v>7645</v>
      </c>
      <c r="H529" s="40">
        <f t="shared" ref="H529:I529" si="554">F529-F528</f>
        <v>1</v>
      </c>
      <c r="I529" s="40">
        <f t="shared" si="554"/>
        <v>-1014</v>
      </c>
      <c r="J529" s="66">
        <f t="shared" si="535"/>
        <v>-0.11710359163875736</v>
      </c>
      <c r="K529" s="65">
        <f t="shared" si="536"/>
        <v>-0.11710359163875736</v>
      </c>
      <c r="L529" s="38" t="s">
        <v>637</v>
      </c>
    </row>
    <row r="530" spans="1:12" ht="13">
      <c r="A530" s="18" t="s">
        <v>391</v>
      </c>
      <c r="B530" s="18" t="s">
        <v>381</v>
      </c>
      <c r="C530" s="33" t="s">
        <v>726</v>
      </c>
      <c r="D530" s="33" t="s">
        <v>84</v>
      </c>
      <c r="E530" s="18" t="s">
        <v>611</v>
      </c>
      <c r="F530" s="18">
        <v>2016</v>
      </c>
      <c r="G530" s="40">
        <v>7180</v>
      </c>
      <c r="H530" s="40">
        <f t="shared" ref="H530:I530" si="555">F530-F529</f>
        <v>1</v>
      </c>
      <c r="I530" s="40">
        <f t="shared" si="555"/>
        <v>-465</v>
      </c>
      <c r="J530" s="66">
        <f t="shared" si="535"/>
        <v>-6.0824068018312624E-2</v>
      </c>
      <c r="K530" s="65">
        <f t="shared" si="536"/>
        <v>-6.0824068018312624E-2</v>
      </c>
      <c r="L530" s="38" t="s">
        <v>637</v>
      </c>
    </row>
    <row r="531" spans="1:12" ht="13">
      <c r="A531" s="18" t="s">
        <v>391</v>
      </c>
      <c r="B531" s="18" t="s">
        <v>381</v>
      </c>
      <c r="C531" s="33" t="s">
        <v>726</v>
      </c>
      <c r="D531" s="33" t="s">
        <v>84</v>
      </c>
      <c r="E531" s="18" t="s">
        <v>611</v>
      </c>
      <c r="F531" s="18">
        <v>2017</v>
      </c>
      <c r="G531" s="40">
        <v>6605</v>
      </c>
      <c r="H531" s="40">
        <f t="shared" ref="H531:I531" si="556">F531-F530</f>
        <v>1</v>
      </c>
      <c r="I531" s="40">
        <f t="shared" si="556"/>
        <v>-575</v>
      </c>
      <c r="J531" s="66">
        <f t="shared" si="535"/>
        <v>-8.0083565459610026E-2</v>
      </c>
      <c r="K531" s="65">
        <f t="shared" si="536"/>
        <v>-8.0083565459610026E-2</v>
      </c>
      <c r="L531" s="38" t="s">
        <v>637</v>
      </c>
    </row>
    <row r="532" spans="1:12" ht="13">
      <c r="A532" s="18" t="s">
        <v>391</v>
      </c>
      <c r="B532" s="18" t="s">
        <v>381</v>
      </c>
      <c r="C532" s="33" t="s">
        <v>726</v>
      </c>
      <c r="D532" s="33" t="s">
        <v>84</v>
      </c>
      <c r="E532" s="18" t="s">
        <v>611</v>
      </c>
      <c r="F532" s="18">
        <v>2018</v>
      </c>
      <c r="G532" s="40">
        <v>7369</v>
      </c>
      <c r="H532" s="40">
        <f t="shared" ref="H532:I532" si="557">F532-F531</f>
        <v>1</v>
      </c>
      <c r="I532" s="40">
        <f t="shared" si="557"/>
        <v>764</v>
      </c>
      <c r="J532" s="66">
        <f t="shared" si="535"/>
        <v>0.11566994700984103</v>
      </c>
      <c r="K532" s="65">
        <f t="shared" si="536"/>
        <v>0.11566994700984103</v>
      </c>
      <c r="L532" s="38" t="s">
        <v>637</v>
      </c>
    </row>
    <row r="533" spans="1:12" ht="13">
      <c r="A533" s="18" t="s">
        <v>392</v>
      </c>
      <c r="B533" s="18" t="s">
        <v>381</v>
      </c>
      <c r="C533" s="33" t="s">
        <v>727</v>
      </c>
      <c r="D533" s="33" t="s">
        <v>84</v>
      </c>
      <c r="E533" s="18" t="s">
        <v>611</v>
      </c>
      <c r="F533" s="18">
        <v>1996</v>
      </c>
      <c r="G533" s="40">
        <v>14220</v>
      </c>
      <c r="H533" s="40" t="s">
        <v>402</v>
      </c>
      <c r="I533" s="40" t="s">
        <v>402</v>
      </c>
      <c r="J533" s="66" t="s">
        <v>402</v>
      </c>
      <c r="K533" s="65" t="s">
        <v>402</v>
      </c>
      <c r="L533" s="38" t="s">
        <v>637</v>
      </c>
    </row>
    <row r="534" spans="1:12" ht="13">
      <c r="A534" s="18" t="s">
        <v>392</v>
      </c>
      <c r="B534" s="18" t="s">
        <v>381</v>
      </c>
      <c r="C534" s="33" t="s">
        <v>727</v>
      </c>
      <c r="D534" s="33" t="s">
        <v>84</v>
      </c>
      <c r="E534" s="18" t="s">
        <v>611</v>
      </c>
      <c r="F534" s="18">
        <v>1997</v>
      </c>
      <c r="G534" s="40">
        <v>13698</v>
      </c>
      <c r="H534" s="40">
        <f t="shared" ref="H534:I534" si="558">F534-F533</f>
        <v>1</v>
      </c>
      <c r="I534" s="40">
        <f t="shared" si="558"/>
        <v>-522</v>
      </c>
      <c r="J534" s="66">
        <f t="shared" ref="J534:J555" si="559">I534/G533</f>
        <v>-3.6708860759493672E-2</v>
      </c>
      <c r="K534" s="65">
        <f t="shared" ref="K534:K555" si="560">J534/H534</f>
        <v>-3.6708860759493672E-2</v>
      </c>
      <c r="L534" s="38" t="s">
        <v>637</v>
      </c>
    </row>
    <row r="535" spans="1:12" ht="13">
      <c r="A535" s="18" t="s">
        <v>392</v>
      </c>
      <c r="B535" s="18" t="s">
        <v>381</v>
      </c>
      <c r="C535" s="33" t="s">
        <v>727</v>
      </c>
      <c r="D535" s="33" t="s">
        <v>84</v>
      </c>
      <c r="E535" s="18" t="s">
        <v>611</v>
      </c>
      <c r="F535" s="18">
        <v>1998</v>
      </c>
      <c r="G535" s="40">
        <v>13904</v>
      </c>
      <c r="H535" s="40">
        <f t="shared" ref="H535:I535" si="561">F535-F534</f>
        <v>1</v>
      </c>
      <c r="I535" s="40">
        <f t="shared" si="561"/>
        <v>206</v>
      </c>
      <c r="J535" s="66">
        <f t="shared" si="559"/>
        <v>1.5038691779821872E-2</v>
      </c>
      <c r="K535" s="65">
        <f t="shared" si="560"/>
        <v>1.5038691779821872E-2</v>
      </c>
      <c r="L535" s="38" t="s">
        <v>637</v>
      </c>
    </row>
    <row r="536" spans="1:12" ht="13">
      <c r="A536" s="18" t="s">
        <v>392</v>
      </c>
      <c r="B536" s="18" t="s">
        <v>381</v>
      </c>
      <c r="C536" s="33" t="s">
        <v>727</v>
      </c>
      <c r="D536" s="33" t="s">
        <v>84</v>
      </c>
      <c r="E536" s="18" t="s">
        <v>611</v>
      </c>
      <c r="F536" s="18">
        <v>1999</v>
      </c>
      <c r="G536" s="40">
        <v>13702</v>
      </c>
      <c r="H536" s="40">
        <f t="shared" ref="H536:I536" si="562">F536-F535</f>
        <v>1</v>
      </c>
      <c r="I536" s="40">
        <f t="shared" si="562"/>
        <v>-202</v>
      </c>
      <c r="J536" s="66">
        <f t="shared" si="559"/>
        <v>-1.452819332566168E-2</v>
      </c>
      <c r="K536" s="65">
        <f t="shared" si="560"/>
        <v>-1.452819332566168E-2</v>
      </c>
      <c r="L536" s="38" t="s">
        <v>637</v>
      </c>
    </row>
    <row r="537" spans="1:12" ht="13">
      <c r="A537" s="18" t="s">
        <v>392</v>
      </c>
      <c r="B537" s="18" t="s">
        <v>381</v>
      </c>
      <c r="C537" s="33" t="s">
        <v>727</v>
      </c>
      <c r="D537" s="33" t="s">
        <v>84</v>
      </c>
      <c r="E537" s="18" t="s">
        <v>611</v>
      </c>
      <c r="F537" s="18">
        <v>2000</v>
      </c>
      <c r="G537" s="40">
        <v>13529</v>
      </c>
      <c r="H537" s="40">
        <f t="shared" ref="H537:I537" si="563">F537-F536</f>
        <v>1</v>
      </c>
      <c r="I537" s="40">
        <f t="shared" si="563"/>
        <v>-173</v>
      </c>
      <c r="J537" s="66">
        <f t="shared" si="559"/>
        <v>-1.2625894030068602E-2</v>
      </c>
      <c r="K537" s="65">
        <f t="shared" si="560"/>
        <v>-1.2625894030068602E-2</v>
      </c>
      <c r="L537" s="38" t="s">
        <v>637</v>
      </c>
    </row>
    <row r="538" spans="1:12" ht="13">
      <c r="A538" s="18" t="s">
        <v>392</v>
      </c>
      <c r="B538" s="18" t="s">
        <v>381</v>
      </c>
      <c r="C538" s="33" t="s">
        <v>727</v>
      </c>
      <c r="D538" s="33" t="s">
        <v>84</v>
      </c>
      <c r="E538" s="18" t="s">
        <v>611</v>
      </c>
      <c r="F538" s="18">
        <v>2001</v>
      </c>
      <c r="G538" s="40">
        <v>13531</v>
      </c>
      <c r="H538" s="40">
        <f t="shared" ref="H538:I538" si="564">F538-F537</f>
        <v>1</v>
      </c>
      <c r="I538" s="40">
        <f t="shared" si="564"/>
        <v>2</v>
      </c>
      <c r="J538" s="66">
        <f t="shared" si="559"/>
        <v>1.4783058614827407E-4</v>
      </c>
      <c r="K538" s="65">
        <f t="shared" si="560"/>
        <v>1.4783058614827407E-4</v>
      </c>
      <c r="L538" s="38" t="s">
        <v>637</v>
      </c>
    </row>
    <row r="539" spans="1:12" ht="13">
      <c r="A539" s="18" t="s">
        <v>392</v>
      </c>
      <c r="B539" s="18" t="s">
        <v>381</v>
      </c>
      <c r="C539" s="33" t="s">
        <v>727</v>
      </c>
      <c r="D539" s="33" t="s">
        <v>84</v>
      </c>
      <c r="E539" s="18" t="s">
        <v>611</v>
      </c>
      <c r="F539" s="18">
        <v>2002</v>
      </c>
      <c r="G539" s="40">
        <v>13068</v>
      </c>
      <c r="H539" s="40">
        <f t="shared" ref="H539:I539" si="565">F539-F538</f>
        <v>1</v>
      </c>
      <c r="I539" s="40">
        <f t="shared" si="565"/>
        <v>-463</v>
      </c>
      <c r="J539" s="66">
        <f t="shared" si="559"/>
        <v>-3.4217722267386001E-2</v>
      </c>
      <c r="K539" s="65">
        <f t="shared" si="560"/>
        <v>-3.4217722267386001E-2</v>
      </c>
      <c r="L539" s="38" t="s">
        <v>637</v>
      </c>
    </row>
    <row r="540" spans="1:12" ht="13">
      <c r="A540" s="18" t="s">
        <v>392</v>
      </c>
      <c r="B540" s="18" t="s">
        <v>381</v>
      </c>
      <c r="C540" s="33" t="s">
        <v>727</v>
      </c>
      <c r="D540" s="33" t="s">
        <v>84</v>
      </c>
      <c r="E540" s="18" t="s">
        <v>611</v>
      </c>
      <c r="F540" s="18">
        <v>2003</v>
      </c>
      <c r="G540" s="40">
        <v>13244</v>
      </c>
      <c r="H540" s="40">
        <f t="shared" ref="H540:I540" si="566">F540-F539</f>
        <v>1</v>
      </c>
      <c r="I540" s="40">
        <f t="shared" si="566"/>
        <v>176</v>
      </c>
      <c r="J540" s="66">
        <f t="shared" si="559"/>
        <v>1.3468013468013467E-2</v>
      </c>
      <c r="K540" s="65">
        <f t="shared" si="560"/>
        <v>1.3468013468013467E-2</v>
      </c>
      <c r="L540" s="38" t="s">
        <v>637</v>
      </c>
    </row>
    <row r="541" spans="1:12" ht="13">
      <c r="A541" s="18" t="s">
        <v>392</v>
      </c>
      <c r="B541" s="18" t="s">
        <v>381</v>
      </c>
      <c r="C541" s="33" t="s">
        <v>727</v>
      </c>
      <c r="D541" s="33" t="s">
        <v>84</v>
      </c>
      <c r="E541" s="18" t="s">
        <v>611</v>
      </c>
      <c r="F541" s="18">
        <v>2004</v>
      </c>
      <c r="G541" s="40">
        <v>13566</v>
      </c>
      <c r="H541" s="40">
        <f t="shared" ref="H541:I541" si="567">F541-F540</f>
        <v>1</v>
      </c>
      <c r="I541" s="40">
        <f t="shared" si="567"/>
        <v>322</v>
      </c>
      <c r="J541" s="66">
        <f t="shared" si="559"/>
        <v>2.4312896405919663E-2</v>
      </c>
      <c r="K541" s="65">
        <f t="shared" si="560"/>
        <v>2.4312896405919663E-2</v>
      </c>
      <c r="L541" s="38" t="s">
        <v>637</v>
      </c>
    </row>
    <row r="542" spans="1:12" ht="13">
      <c r="A542" s="18" t="s">
        <v>392</v>
      </c>
      <c r="B542" s="18" t="s">
        <v>381</v>
      </c>
      <c r="C542" s="33" t="s">
        <v>727</v>
      </c>
      <c r="D542" s="33" t="s">
        <v>84</v>
      </c>
      <c r="E542" s="18" t="s">
        <v>611</v>
      </c>
      <c r="F542" s="18">
        <v>2005</v>
      </c>
      <c r="G542" s="40">
        <v>13365</v>
      </c>
      <c r="H542" s="40">
        <f t="shared" ref="H542:I542" si="568">F542-F541</f>
        <v>1</v>
      </c>
      <c r="I542" s="40">
        <f t="shared" si="568"/>
        <v>-201</v>
      </c>
      <c r="J542" s="66">
        <f t="shared" si="559"/>
        <v>-1.4816452896948253E-2</v>
      </c>
      <c r="K542" s="65">
        <f t="shared" si="560"/>
        <v>-1.4816452896948253E-2</v>
      </c>
      <c r="L542" s="38" t="s">
        <v>637</v>
      </c>
    </row>
    <row r="543" spans="1:12" ht="13">
      <c r="A543" s="18" t="s">
        <v>392</v>
      </c>
      <c r="B543" s="18" t="s">
        <v>381</v>
      </c>
      <c r="C543" s="33" t="s">
        <v>727</v>
      </c>
      <c r="D543" s="33" t="s">
        <v>84</v>
      </c>
      <c r="E543" s="18" t="s">
        <v>611</v>
      </c>
      <c r="F543" s="18">
        <v>2006</v>
      </c>
      <c r="G543" s="40">
        <v>12930</v>
      </c>
      <c r="H543" s="40">
        <f t="shared" ref="H543:I543" si="569">F543-F542</f>
        <v>1</v>
      </c>
      <c r="I543" s="40">
        <f t="shared" si="569"/>
        <v>-435</v>
      </c>
      <c r="J543" s="66">
        <f t="shared" si="559"/>
        <v>-3.2547699214365879E-2</v>
      </c>
      <c r="K543" s="65">
        <f t="shared" si="560"/>
        <v>-3.2547699214365879E-2</v>
      </c>
      <c r="L543" s="38" t="s">
        <v>637</v>
      </c>
    </row>
    <row r="544" spans="1:12" ht="13">
      <c r="A544" s="18" t="s">
        <v>392</v>
      </c>
      <c r="B544" s="18" t="s">
        <v>381</v>
      </c>
      <c r="C544" s="33" t="s">
        <v>727</v>
      </c>
      <c r="D544" s="33" t="s">
        <v>84</v>
      </c>
      <c r="E544" s="18" t="s">
        <v>611</v>
      </c>
      <c r="F544" s="18">
        <v>2007</v>
      </c>
      <c r="G544" s="40">
        <v>12321</v>
      </c>
      <c r="H544" s="40">
        <f t="shared" ref="H544:I544" si="570">F544-F543</f>
        <v>1</v>
      </c>
      <c r="I544" s="40">
        <f t="shared" si="570"/>
        <v>-609</v>
      </c>
      <c r="J544" s="66">
        <f t="shared" si="559"/>
        <v>-4.7099767981438515E-2</v>
      </c>
      <c r="K544" s="65">
        <f t="shared" si="560"/>
        <v>-4.7099767981438515E-2</v>
      </c>
      <c r="L544" s="38" t="s">
        <v>637</v>
      </c>
    </row>
    <row r="545" spans="1:12" ht="13">
      <c r="A545" s="18" t="s">
        <v>392</v>
      </c>
      <c r="B545" s="18" t="s">
        <v>381</v>
      </c>
      <c r="C545" s="33" t="s">
        <v>727</v>
      </c>
      <c r="D545" s="33" t="s">
        <v>84</v>
      </c>
      <c r="E545" s="18" t="s">
        <v>611</v>
      </c>
      <c r="F545" s="18">
        <v>2008</v>
      </c>
      <c r="G545" s="40">
        <v>11538</v>
      </c>
      <c r="H545" s="40">
        <f t="shared" ref="H545:I545" si="571">F545-F544</f>
        <v>1</v>
      </c>
      <c r="I545" s="40">
        <f t="shared" si="571"/>
        <v>-783</v>
      </c>
      <c r="J545" s="66">
        <f t="shared" si="559"/>
        <v>-6.3550036523009501E-2</v>
      </c>
      <c r="K545" s="65">
        <f t="shared" si="560"/>
        <v>-6.3550036523009501E-2</v>
      </c>
      <c r="L545" s="38" t="s">
        <v>637</v>
      </c>
    </row>
    <row r="546" spans="1:12" ht="13">
      <c r="A546" s="18" t="s">
        <v>392</v>
      </c>
      <c r="B546" s="18" t="s">
        <v>381</v>
      </c>
      <c r="C546" s="33" t="s">
        <v>727</v>
      </c>
      <c r="D546" s="33" t="s">
        <v>84</v>
      </c>
      <c r="E546" s="18" t="s">
        <v>611</v>
      </c>
      <c r="F546" s="18">
        <v>2009</v>
      </c>
      <c r="G546" s="40">
        <v>11685</v>
      </c>
      <c r="H546" s="40">
        <f t="shared" ref="H546:I546" si="572">F546-F545</f>
        <v>1</v>
      </c>
      <c r="I546" s="40">
        <f t="shared" si="572"/>
        <v>147</v>
      </c>
      <c r="J546" s="66">
        <f t="shared" si="559"/>
        <v>1.2740509620384815E-2</v>
      </c>
      <c r="K546" s="65">
        <f t="shared" si="560"/>
        <v>1.2740509620384815E-2</v>
      </c>
      <c r="L546" s="38" t="s">
        <v>637</v>
      </c>
    </row>
    <row r="547" spans="1:12" ht="13">
      <c r="A547" s="18" t="s">
        <v>392</v>
      </c>
      <c r="B547" s="18" t="s">
        <v>381</v>
      </c>
      <c r="C547" s="33" t="s">
        <v>727</v>
      </c>
      <c r="D547" s="33" t="s">
        <v>84</v>
      </c>
      <c r="E547" s="18" t="s">
        <v>611</v>
      </c>
      <c r="F547" s="18">
        <v>2010</v>
      </c>
      <c r="G547" s="40">
        <v>13607</v>
      </c>
      <c r="H547" s="40">
        <f t="shared" ref="H547:I547" si="573">F547-F546</f>
        <v>1</v>
      </c>
      <c r="I547" s="40">
        <f t="shared" si="573"/>
        <v>1922</v>
      </c>
      <c r="J547" s="66">
        <f t="shared" si="559"/>
        <v>0.16448438168592211</v>
      </c>
      <c r="K547" s="65">
        <f t="shared" si="560"/>
        <v>0.16448438168592211</v>
      </c>
      <c r="L547" s="38" t="s">
        <v>637</v>
      </c>
    </row>
    <row r="548" spans="1:12" ht="13">
      <c r="A548" s="18" t="s">
        <v>392</v>
      </c>
      <c r="B548" s="18" t="s">
        <v>381</v>
      </c>
      <c r="C548" s="33" t="s">
        <v>727</v>
      </c>
      <c r="D548" s="33" t="s">
        <v>84</v>
      </c>
      <c r="E548" s="18" t="s">
        <v>611</v>
      </c>
      <c r="F548" s="18">
        <v>2011</v>
      </c>
      <c r="G548" s="40">
        <v>13929</v>
      </c>
      <c r="H548" s="40">
        <f t="shared" ref="H548:I548" si="574">F548-F547</f>
        <v>1</v>
      </c>
      <c r="I548" s="40">
        <f t="shared" si="574"/>
        <v>322</v>
      </c>
      <c r="J548" s="66">
        <f t="shared" si="559"/>
        <v>2.3664290438744764E-2</v>
      </c>
      <c r="K548" s="65">
        <f t="shared" si="560"/>
        <v>2.3664290438744764E-2</v>
      </c>
      <c r="L548" s="38" t="s">
        <v>637</v>
      </c>
    </row>
    <row r="549" spans="1:12" ht="13">
      <c r="A549" s="18" t="s">
        <v>392</v>
      </c>
      <c r="B549" s="18" t="s">
        <v>381</v>
      </c>
      <c r="C549" s="33" t="s">
        <v>727</v>
      </c>
      <c r="D549" s="33" t="s">
        <v>84</v>
      </c>
      <c r="E549" s="18" t="s">
        <v>611</v>
      </c>
      <c r="F549" s="18">
        <v>2012</v>
      </c>
      <c r="G549" s="40">
        <v>13815</v>
      </c>
      <c r="H549" s="40">
        <f t="shared" ref="H549:I549" si="575">F549-F548</f>
        <v>1</v>
      </c>
      <c r="I549" s="40">
        <f t="shared" si="575"/>
        <v>-114</v>
      </c>
      <c r="J549" s="66">
        <f t="shared" si="559"/>
        <v>-8.1843635580443677E-3</v>
      </c>
      <c r="K549" s="65">
        <f t="shared" si="560"/>
        <v>-8.1843635580443677E-3</v>
      </c>
      <c r="L549" s="38" t="s">
        <v>637</v>
      </c>
    </row>
    <row r="550" spans="1:12" ht="13">
      <c r="A550" s="18" t="s">
        <v>392</v>
      </c>
      <c r="B550" s="18" t="s">
        <v>381</v>
      </c>
      <c r="C550" s="33" t="s">
        <v>727</v>
      </c>
      <c r="D550" s="33" t="s">
        <v>84</v>
      </c>
      <c r="E550" s="18" t="s">
        <v>611</v>
      </c>
      <c r="F550" s="18">
        <v>2013</v>
      </c>
      <c r="G550" s="40">
        <v>13497</v>
      </c>
      <c r="H550" s="40">
        <f t="shared" ref="H550:I550" si="576">F550-F549</f>
        <v>1</v>
      </c>
      <c r="I550" s="40">
        <f t="shared" si="576"/>
        <v>-318</v>
      </c>
      <c r="J550" s="66">
        <f t="shared" si="559"/>
        <v>-2.301845819761129E-2</v>
      </c>
      <c r="K550" s="65">
        <f t="shared" si="560"/>
        <v>-2.301845819761129E-2</v>
      </c>
      <c r="L550" s="38" t="s">
        <v>637</v>
      </c>
    </row>
    <row r="551" spans="1:12" ht="13">
      <c r="A551" s="18" t="s">
        <v>392</v>
      </c>
      <c r="B551" s="18" t="s">
        <v>381</v>
      </c>
      <c r="C551" s="33" t="s">
        <v>727</v>
      </c>
      <c r="D551" s="33" t="s">
        <v>84</v>
      </c>
      <c r="E551" s="18" t="s">
        <v>611</v>
      </c>
      <c r="F551" s="18">
        <v>2014</v>
      </c>
      <c r="G551" s="40">
        <v>13266</v>
      </c>
      <c r="H551" s="40">
        <f t="shared" ref="H551:I551" si="577">F551-F550</f>
        <v>1</v>
      </c>
      <c r="I551" s="40">
        <f t="shared" si="577"/>
        <v>-231</v>
      </c>
      <c r="J551" s="66">
        <f t="shared" si="559"/>
        <v>-1.7114914425427872E-2</v>
      </c>
      <c r="K551" s="65">
        <f t="shared" si="560"/>
        <v>-1.7114914425427872E-2</v>
      </c>
      <c r="L551" s="38" t="s">
        <v>637</v>
      </c>
    </row>
    <row r="552" spans="1:12" ht="13">
      <c r="A552" s="18" t="s">
        <v>392</v>
      </c>
      <c r="B552" s="18" t="s">
        <v>381</v>
      </c>
      <c r="C552" s="33" t="s">
        <v>727</v>
      </c>
      <c r="D552" s="33" t="s">
        <v>84</v>
      </c>
      <c r="E552" s="18" t="s">
        <v>611</v>
      </c>
      <c r="F552" s="18">
        <v>2015</v>
      </c>
      <c r="G552" s="40">
        <v>13180</v>
      </c>
      <c r="H552" s="40">
        <f t="shared" ref="H552:I552" si="578">F552-F551</f>
        <v>1</v>
      </c>
      <c r="I552" s="40">
        <f t="shared" si="578"/>
        <v>-86</v>
      </c>
      <c r="J552" s="66">
        <f t="shared" si="559"/>
        <v>-6.4827378260214081E-3</v>
      </c>
      <c r="K552" s="65">
        <f t="shared" si="560"/>
        <v>-6.4827378260214081E-3</v>
      </c>
      <c r="L552" s="38" t="s">
        <v>637</v>
      </c>
    </row>
    <row r="553" spans="1:12" ht="13">
      <c r="A553" s="18" t="s">
        <v>392</v>
      </c>
      <c r="B553" s="18" t="s">
        <v>381</v>
      </c>
      <c r="C553" s="33" t="s">
        <v>727</v>
      </c>
      <c r="D553" s="33" t="s">
        <v>84</v>
      </c>
      <c r="E553" s="18" t="s">
        <v>611</v>
      </c>
      <c r="F553" s="18">
        <v>2016</v>
      </c>
      <c r="G553" s="40">
        <v>12891</v>
      </c>
      <c r="H553" s="40">
        <f t="shared" ref="H553:I553" si="579">F553-F552</f>
        <v>1</v>
      </c>
      <c r="I553" s="40">
        <f t="shared" si="579"/>
        <v>-289</v>
      </c>
      <c r="J553" s="66">
        <f t="shared" si="559"/>
        <v>-2.1927162367223064E-2</v>
      </c>
      <c r="K553" s="65">
        <f t="shared" si="560"/>
        <v>-2.1927162367223064E-2</v>
      </c>
      <c r="L553" s="38" t="s">
        <v>637</v>
      </c>
    </row>
    <row r="554" spans="1:12" ht="13">
      <c r="A554" s="18" t="s">
        <v>392</v>
      </c>
      <c r="B554" s="18" t="s">
        <v>381</v>
      </c>
      <c r="C554" s="33" t="s">
        <v>727</v>
      </c>
      <c r="D554" s="33" t="s">
        <v>84</v>
      </c>
      <c r="E554" s="18" t="s">
        <v>611</v>
      </c>
      <c r="F554" s="18">
        <v>2017</v>
      </c>
      <c r="G554" s="40">
        <v>12981</v>
      </c>
      <c r="H554" s="40">
        <f t="shared" ref="H554:I554" si="580">F554-F553</f>
        <v>1</v>
      </c>
      <c r="I554" s="40">
        <f t="shared" si="580"/>
        <v>90</v>
      </c>
      <c r="J554" s="66">
        <f t="shared" si="559"/>
        <v>6.9816150802885736E-3</v>
      </c>
      <c r="K554" s="65">
        <f t="shared" si="560"/>
        <v>6.9816150802885736E-3</v>
      </c>
      <c r="L554" s="38" t="s">
        <v>637</v>
      </c>
    </row>
    <row r="555" spans="1:12" ht="13">
      <c r="A555" s="18" t="s">
        <v>392</v>
      </c>
      <c r="B555" s="18" t="s">
        <v>381</v>
      </c>
      <c r="C555" s="33" t="s">
        <v>727</v>
      </c>
      <c r="D555" s="33" t="s">
        <v>84</v>
      </c>
      <c r="E555" s="18" t="s">
        <v>611</v>
      </c>
      <c r="F555" s="18">
        <v>2018</v>
      </c>
      <c r="G555" s="40">
        <v>13448</v>
      </c>
      <c r="H555" s="40">
        <f t="shared" ref="H555:I555" si="581">F555-F554</f>
        <v>1</v>
      </c>
      <c r="I555" s="40">
        <f t="shared" si="581"/>
        <v>467</v>
      </c>
      <c r="J555" s="66">
        <f t="shared" si="559"/>
        <v>3.597565672906556E-2</v>
      </c>
      <c r="K555" s="65">
        <f t="shared" si="560"/>
        <v>3.597565672906556E-2</v>
      </c>
      <c r="L555" s="38" t="s">
        <v>637</v>
      </c>
    </row>
    <row r="556" spans="1:12" ht="13">
      <c r="A556" s="18" t="s">
        <v>393</v>
      </c>
      <c r="B556" s="18" t="s">
        <v>381</v>
      </c>
      <c r="C556" s="33" t="s">
        <v>728</v>
      </c>
      <c r="D556" s="33" t="s">
        <v>84</v>
      </c>
      <c r="E556" s="18" t="s">
        <v>611</v>
      </c>
      <c r="F556" s="18">
        <v>1996</v>
      </c>
      <c r="G556" s="40">
        <v>11962</v>
      </c>
      <c r="H556" s="40" t="s">
        <v>402</v>
      </c>
      <c r="I556" s="40" t="s">
        <v>402</v>
      </c>
      <c r="J556" s="66" t="s">
        <v>402</v>
      </c>
      <c r="K556" s="65" t="s">
        <v>402</v>
      </c>
      <c r="L556" s="38" t="s">
        <v>637</v>
      </c>
    </row>
    <row r="557" spans="1:12" ht="13">
      <c r="A557" s="18" t="s">
        <v>393</v>
      </c>
      <c r="B557" s="18" t="s">
        <v>381</v>
      </c>
      <c r="C557" s="33" t="s">
        <v>728</v>
      </c>
      <c r="D557" s="33" t="s">
        <v>84</v>
      </c>
      <c r="E557" s="18" t="s">
        <v>611</v>
      </c>
      <c r="F557" s="18">
        <v>1997</v>
      </c>
      <c r="G557" s="40">
        <v>11962</v>
      </c>
      <c r="H557" s="40">
        <f t="shared" ref="H557:I557" si="582">F557-F556</f>
        <v>1</v>
      </c>
      <c r="I557" s="40">
        <f t="shared" si="582"/>
        <v>0</v>
      </c>
      <c r="J557" s="66">
        <f t="shared" ref="J557:J578" si="583">I557/G556</f>
        <v>0</v>
      </c>
      <c r="K557" s="65">
        <f t="shared" ref="K557:K578" si="584">J557/H557</f>
        <v>0</v>
      </c>
      <c r="L557" s="38" t="s">
        <v>637</v>
      </c>
    </row>
    <row r="558" spans="1:12" ht="13">
      <c r="A558" s="18" t="s">
        <v>393</v>
      </c>
      <c r="B558" s="18" t="s">
        <v>381</v>
      </c>
      <c r="C558" s="33" t="s">
        <v>728</v>
      </c>
      <c r="D558" s="33" t="s">
        <v>84</v>
      </c>
      <c r="E558" s="18" t="s">
        <v>611</v>
      </c>
      <c r="F558" s="18">
        <v>1998</v>
      </c>
      <c r="G558" s="40">
        <v>11509</v>
      </c>
      <c r="H558" s="40">
        <f t="shared" ref="H558:I558" si="585">F558-F557</f>
        <v>1</v>
      </c>
      <c r="I558" s="40">
        <f t="shared" si="585"/>
        <v>-453</v>
      </c>
      <c r="J558" s="66">
        <f t="shared" si="583"/>
        <v>-3.7869921417823103E-2</v>
      </c>
      <c r="K558" s="65">
        <f t="shared" si="584"/>
        <v>-3.7869921417823103E-2</v>
      </c>
      <c r="L558" s="38" t="s">
        <v>637</v>
      </c>
    </row>
    <row r="559" spans="1:12" ht="13">
      <c r="A559" s="18" t="s">
        <v>393</v>
      </c>
      <c r="B559" s="18" t="s">
        <v>381</v>
      </c>
      <c r="C559" s="33" t="s">
        <v>728</v>
      </c>
      <c r="D559" s="33" t="s">
        <v>84</v>
      </c>
      <c r="E559" s="18" t="s">
        <v>611</v>
      </c>
      <c r="F559" s="18">
        <v>1999</v>
      </c>
      <c r="G559" s="40">
        <v>12365</v>
      </c>
      <c r="H559" s="40">
        <f t="shared" ref="H559:I559" si="586">F559-F558</f>
        <v>1</v>
      </c>
      <c r="I559" s="40">
        <f t="shared" si="586"/>
        <v>856</v>
      </c>
      <c r="J559" s="66">
        <f t="shared" si="583"/>
        <v>7.4376574854461724E-2</v>
      </c>
      <c r="K559" s="65">
        <f t="shared" si="584"/>
        <v>7.4376574854461724E-2</v>
      </c>
      <c r="L559" s="38" t="s">
        <v>637</v>
      </c>
    </row>
    <row r="560" spans="1:12" ht="13">
      <c r="A560" s="18" t="s">
        <v>393</v>
      </c>
      <c r="B560" s="18" t="s">
        <v>381</v>
      </c>
      <c r="C560" s="33" t="s">
        <v>728</v>
      </c>
      <c r="D560" s="33" t="s">
        <v>84</v>
      </c>
      <c r="E560" s="18" t="s">
        <v>611</v>
      </c>
      <c r="F560" s="18">
        <v>2000</v>
      </c>
      <c r="G560" s="40">
        <v>12113</v>
      </c>
      <c r="H560" s="40">
        <f t="shared" ref="H560:I560" si="587">F560-F559</f>
        <v>1</v>
      </c>
      <c r="I560" s="40">
        <f t="shared" si="587"/>
        <v>-252</v>
      </c>
      <c r="J560" s="66">
        <f t="shared" si="583"/>
        <v>-2.0380105135463001E-2</v>
      </c>
      <c r="K560" s="65">
        <f t="shared" si="584"/>
        <v>-2.0380105135463001E-2</v>
      </c>
      <c r="L560" s="38" t="s">
        <v>637</v>
      </c>
    </row>
    <row r="561" spans="1:12" ht="13">
      <c r="A561" s="18" t="s">
        <v>393</v>
      </c>
      <c r="B561" s="18" t="s">
        <v>381</v>
      </c>
      <c r="C561" s="33" t="s">
        <v>728</v>
      </c>
      <c r="D561" s="33" t="s">
        <v>84</v>
      </c>
      <c r="E561" s="18" t="s">
        <v>611</v>
      </c>
      <c r="F561" s="18">
        <v>2001</v>
      </c>
      <c r="G561" s="40">
        <v>12440</v>
      </c>
      <c r="H561" s="40">
        <f t="shared" ref="H561:I561" si="588">F561-F560</f>
        <v>1</v>
      </c>
      <c r="I561" s="40">
        <f t="shared" si="588"/>
        <v>327</v>
      </c>
      <c r="J561" s="66">
        <f t="shared" si="583"/>
        <v>2.6995789647486172E-2</v>
      </c>
      <c r="K561" s="65">
        <f t="shared" si="584"/>
        <v>2.6995789647486172E-2</v>
      </c>
      <c r="L561" s="38" t="s">
        <v>637</v>
      </c>
    </row>
    <row r="562" spans="1:12" ht="13">
      <c r="A562" s="18" t="s">
        <v>393</v>
      </c>
      <c r="B562" s="18" t="s">
        <v>381</v>
      </c>
      <c r="C562" s="33" t="s">
        <v>728</v>
      </c>
      <c r="D562" s="33" t="s">
        <v>84</v>
      </c>
      <c r="E562" s="18" t="s">
        <v>611</v>
      </c>
      <c r="F562" s="18">
        <v>2002</v>
      </c>
      <c r="G562" s="40">
        <v>12365</v>
      </c>
      <c r="H562" s="40">
        <f t="shared" ref="H562:I562" si="589">F562-F561</f>
        <v>1</v>
      </c>
      <c r="I562" s="40">
        <f t="shared" si="589"/>
        <v>-75</v>
      </c>
      <c r="J562" s="66">
        <f t="shared" si="583"/>
        <v>-6.0289389067524112E-3</v>
      </c>
      <c r="K562" s="65">
        <f t="shared" si="584"/>
        <v>-6.0289389067524112E-3</v>
      </c>
      <c r="L562" s="38" t="s">
        <v>637</v>
      </c>
    </row>
    <row r="563" spans="1:12" ht="13">
      <c r="A563" s="18" t="s">
        <v>393</v>
      </c>
      <c r="B563" s="18" t="s">
        <v>381</v>
      </c>
      <c r="C563" s="33" t="s">
        <v>728</v>
      </c>
      <c r="D563" s="33" t="s">
        <v>84</v>
      </c>
      <c r="E563" s="18" t="s">
        <v>611</v>
      </c>
      <c r="F563" s="18">
        <v>2003</v>
      </c>
      <c r="G563" s="40">
        <v>12440</v>
      </c>
      <c r="H563" s="40">
        <f t="shared" ref="H563:I563" si="590">F563-F562</f>
        <v>1</v>
      </c>
      <c r="I563" s="40">
        <f t="shared" si="590"/>
        <v>75</v>
      </c>
      <c r="J563" s="66">
        <f t="shared" si="583"/>
        <v>6.0655074807925598E-3</v>
      </c>
      <c r="K563" s="65">
        <f t="shared" si="584"/>
        <v>6.0655074807925598E-3</v>
      </c>
      <c r="L563" s="38" t="s">
        <v>637</v>
      </c>
    </row>
    <row r="564" spans="1:12" ht="13">
      <c r="A564" s="18" t="s">
        <v>393</v>
      </c>
      <c r="B564" s="18" t="s">
        <v>381</v>
      </c>
      <c r="C564" s="33" t="s">
        <v>728</v>
      </c>
      <c r="D564" s="33" t="s">
        <v>84</v>
      </c>
      <c r="E564" s="18" t="s">
        <v>611</v>
      </c>
      <c r="F564" s="18">
        <v>2004</v>
      </c>
      <c r="G564" s="40">
        <v>12642</v>
      </c>
      <c r="H564" s="40">
        <f t="shared" ref="H564:I564" si="591">F564-F563</f>
        <v>1</v>
      </c>
      <c r="I564" s="40">
        <f t="shared" si="591"/>
        <v>202</v>
      </c>
      <c r="J564" s="66">
        <f t="shared" si="583"/>
        <v>1.6237942122186495E-2</v>
      </c>
      <c r="K564" s="65">
        <f t="shared" si="584"/>
        <v>1.6237942122186495E-2</v>
      </c>
      <c r="L564" s="38" t="s">
        <v>637</v>
      </c>
    </row>
    <row r="565" spans="1:12" ht="13">
      <c r="A565" s="18" t="s">
        <v>393</v>
      </c>
      <c r="B565" s="18" t="s">
        <v>381</v>
      </c>
      <c r="C565" s="33" t="s">
        <v>728</v>
      </c>
      <c r="D565" s="33" t="s">
        <v>84</v>
      </c>
      <c r="E565" s="18" t="s">
        <v>611</v>
      </c>
      <c r="F565" s="18">
        <v>2005</v>
      </c>
      <c r="G565" s="40">
        <v>12465</v>
      </c>
      <c r="H565" s="40">
        <f t="shared" ref="H565:I565" si="592">F565-F564</f>
        <v>1</v>
      </c>
      <c r="I565" s="40">
        <f t="shared" si="592"/>
        <v>-177</v>
      </c>
      <c r="J565" s="66">
        <f t="shared" si="583"/>
        <v>-1.4000949216896061E-2</v>
      </c>
      <c r="K565" s="65">
        <f t="shared" si="584"/>
        <v>-1.4000949216896061E-2</v>
      </c>
      <c r="L565" s="38" t="s">
        <v>637</v>
      </c>
    </row>
    <row r="566" spans="1:12" ht="13">
      <c r="A566" s="18" t="s">
        <v>393</v>
      </c>
      <c r="B566" s="18" t="s">
        <v>381</v>
      </c>
      <c r="C566" s="33" t="s">
        <v>728</v>
      </c>
      <c r="D566" s="33" t="s">
        <v>84</v>
      </c>
      <c r="E566" s="18" t="s">
        <v>611</v>
      </c>
      <c r="F566" s="18">
        <v>2006</v>
      </c>
      <c r="G566" s="40">
        <v>11836</v>
      </c>
      <c r="H566" s="40">
        <f t="shared" ref="H566:I566" si="593">F566-F565</f>
        <v>1</v>
      </c>
      <c r="I566" s="40">
        <f t="shared" si="593"/>
        <v>-629</v>
      </c>
      <c r="J566" s="66">
        <f t="shared" si="583"/>
        <v>-5.0461291616526273E-2</v>
      </c>
      <c r="K566" s="65">
        <f t="shared" si="584"/>
        <v>-5.0461291616526273E-2</v>
      </c>
      <c r="L566" s="38" t="s">
        <v>637</v>
      </c>
    </row>
    <row r="567" spans="1:12" ht="13">
      <c r="A567" s="18" t="s">
        <v>393</v>
      </c>
      <c r="B567" s="18" t="s">
        <v>381</v>
      </c>
      <c r="C567" s="33" t="s">
        <v>728</v>
      </c>
      <c r="D567" s="33" t="s">
        <v>84</v>
      </c>
      <c r="E567" s="18" t="s">
        <v>611</v>
      </c>
      <c r="F567" s="18">
        <v>2007</v>
      </c>
      <c r="G567" s="40">
        <v>11107</v>
      </c>
      <c r="H567" s="40">
        <f t="shared" ref="H567:I567" si="594">F567-F566</f>
        <v>1</v>
      </c>
      <c r="I567" s="40">
        <f t="shared" si="594"/>
        <v>-729</v>
      </c>
      <c r="J567" s="66">
        <f t="shared" si="583"/>
        <v>-6.1591753970936129E-2</v>
      </c>
      <c r="K567" s="65">
        <f t="shared" si="584"/>
        <v>-6.1591753970936129E-2</v>
      </c>
      <c r="L567" s="38" t="s">
        <v>637</v>
      </c>
    </row>
    <row r="568" spans="1:12" ht="13">
      <c r="A568" s="18" t="s">
        <v>393</v>
      </c>
      <c r="B568" s="18" t="s">
        <v>381</v>
      </c>
      <c r="C568" s="33" t="s">
        <v>728</v>
      </c>
      <c r="D568" s="33" t="s">
        <v>84</v>
      </c>
      <c r="E568" s="18" t="s">
        <v>611</v>
      </c>
      <c r="F568" s="18">
        <v>2008</v>
      </c>
      <c r="G568" s="40">
        <v>10830</v>
      </c>
      <c r="H568" s="40">
        <f t="shared" ref="H568:I568" si="595">F568-F567</f>
        <v>1</v>
      </c>
      <c r="I568" s="40">
        <f t="shared" si="595"/>
        <v>-277</v>
      </c>
      <c r="J568" s="66">
        <f t="shared" si="583"/>
        <v>-2.4939227514180248E-2</v>
      </c>
      <c r="K568" s="65">
        <f t="shared" si="584"/>
        <v>-2.4939227514180248E-2</v>
      </c>
      <c r="L568" s="38" t="s">
        <v>637</v>
      </c>
    </row>
    <row r="569" spans="1:12" ht="13">
      <c r="A569" s="18" t="s">
        <v>393</v>
      </c>
      <c r="B569" s="18" t="s">
        <v>381</v>
      </c>
      <c r="C569" s="33" t="s">
        <v>728</v>
      </c>
      <c r="D569" s="33" t="s">
        <v>84</v>
      </c>
      <c r="E569" s="18" t="s">
        <v>611</v>
      </c>
      <c r="F569" s="18">
        <v>2009</v>
      </c>
      <c r="G569" s="40">
        <v>11208</v>
      </c>
      <c r="H569" s="40">
        <f t="shared" ref="H569:I569" si="596">F569-F568</f>
        <v>1</v>
      </c>
      <c r="I569" s="40">
        <f t="shared" si="596"/>
        <v>378</v>
      </c>
      <c r="J569" s="66">
        <f t="shared" si="583"/>
        <v>3.4903047091412745E-2</v>
      </c>
      <c r="K569" s="65">
        <f t="shared" si="584"/>
        <v>3.4903047091412745E-2</v>
      </c>
      <c r="L569" s="38" t="s">
        <v>637</v>
      </c>
    </row>
    <row r="570" spans="1:12" ht="13">
      <c r="A570" s="18" t="s">
        <v>393</v>
      </c>
      <c r="B570" s="18" t="s">
        <v>381</v>
      </c>
      <c r="C570" s="33" t="s">
        <v>728</v>
      </c>
      <c r="D570" s="33" t="s">
        <v>84</v>
      </c>
      <c r="E570" s="18" t="s">
        <v>611</v>
      </c>
      <c r="F570" s="18">
        <v>2010</v>
      </c>
      <c r="G570" s="40">
        <v>12340</v>
      </c>
      <c r="H570" s="40">
        <f t="shared" ref="H570:I570" si="597">F570-F569</f>
        <v>1</v>
      </c>
      <c r="I570" s="40">
        <f t="shared" si="597"/>
        <v>1132</v>
      </c>
      <c r="J570" s="66">
        <f t="shared" si="583"/>
        <v>0.10099928622412563</v>
      </c>
      <c r="K570" s="65">
        <f t="shared" si="584"/>
        <v>0.10099928622412563</v>
      </c>
      <c r="L570" s="38" t="s">
        <v>637</v>
      </c>
    </row>
    <row r="571" spans="1:12" ht="13">
      <c r="A571" s="18" t="s">
        <v>393</v>
      </c>
      <c r="B571" s="18" t="s">
        <v>381</v>
      </c>
      <c r="C571" s="33" t="s">
        <v>728</v>
      </c>
      <c r="D571" s="33" t="s">
        <v>84</v>
      </c>
      <c r="E571" s="18" t="s">
        <v>611</v>
      </c>
      <c r="F571" s="18">
        <v>2011</v>
      </c>
      <c r="G571" s="40">
        <v>12818</v>
      </c>
      <c r="H571" s="40">
        <f t="shared" ref="H571:I571" si="598">F571-F570</f>
        <v>1</v>
      </c>
      <c r="I571" s="40">
        <f t="shared" si="598"/>
        <v>478</v>
      </c>
      <c r="J571" s="66">
        <f t="shared" si="583"/>
        <v>3.8735818476499193E-2</v>
      </c>
      <c r="K571" s="65">
        <f t="shared" si="584"/>
        <v>3.8735818476499193E-2</v>
      </c>
      <c r="L571" s="38" t="s">
        <v>637</v>
      </c>
    </row>
    <row r="572" spans="1:12" ht="13">
      <c r="A572" s="18" t="s">
        <v>393</v>
      </c>
      <c r="B572" s="18" t="s">
        <v>381</v>
      </c>
      <c r="C572" s="33" t="s">
        <v>728</v>
      </c>
      <c r="D572" s="33" t="s">
        <v>84</v>
      </c>
      <c r="E572" s="18" t="s">
        <v>611</v>
      </c>
      <c r="F572" s="18">
        <v>2012</v>
      </c>
      <c r="G572" s="40">
        <v>12610</v>
      </c>
      <c r="H572" s="40">
        <f t="shared" ref="H572:I572" si="599">F572-F571</f>
        <v>1</v>
      </c>
      <c r="I572" s="40">
        <f t="shared" si="599"/>
        <v>-208</v>
      </c>
      <c r="J572" s="66">
        <f t="shared" si="583"/>
        <v>-1.6227180527383367E-2</v>
      </c>
      <c r="K572" s="65">
        <f t="shared" si="584"/>
        <v>-1.6227180527383367E-2</v>
      </c>
      <c r="L572" s="38" t="s">
        <v>637</v>
      </c>
    </row>
    <row r="573" spans="1:12" ht="13">
      <c r="A573" s="18" t="s">
        <v>393</v>
      </c>
      <c r="B573" s="18" t="s">
        <v>381</v>
      </c>
      <c r="C573" s="33" t="s">
        <v>728</v>
      </c>
      <c r="D573" s="33" t="s">
        <v>84</v>
      </c>
      <c r="E573" s="18" t="s">
        <v>611</v>
      </c>
      <c r="F573" s="18">
        <v>2013</v>
      </c>
      <c r="G573" s="40">
        <v>12541</v>
      </c>
      <c r="H573" s="40">
        <f t="shared" ref="H573:I573" si="600">F573-F572</f>
        <v>1</v>
      </c>
      <c r="I573" s="40">
        <f t="shared" si="600"/>
        <v>-69</v>
      </c>
      <c r="J573" s="66">
        <f t="shared" si="583"/>
        <v>-5.4718477398889766E-3</v>
      </c>
      <c r="K573" s="65">
        <f t="shared" si="584"/>
        <v>-5.4718477398889766E-3</v>
      </c>
      <c r="L573" s="38" t="s">
        <v>637</v>
      </c>
    </row>
    <row r="574" spans="1:12" ht="13">
      <c r="A574" s="18" t="s">
        <v>393</v>
      </c>
      <c r="B574" s="18" t="s">
        <v>381</v>
      </c>
      <c r="C574" s="33" t="s">
        <v>728</v>
      </c>
      <c r="D574" s="33" t="s">
        <v>84</v>
      </c>
      <c r="E574" s="18" t="s">
        <v>611</v>
      </c>
      <c r="F574" s="18">
        <v>2014</v>
      </c>
      <c r="G574" s="40">
        <v>12340</v>
      </c>
      <c r="H574" s="40">
        <f t="shared" ref="H574:I574" si="601">F574-F573</f>
        <v>1</v>
      </c>
      <c r="I574" s="40">
        <f t="shared" si="601"/>
        <v>-201</v>
      </c>
      <c r="J574" s="66">
        <f t="shared" si="583"/>
        <v>-1.6027430029503228E-2</v>
      </c>
      <c r="K574" s="65">
        <f t="shared" si="584"/>
        <v>-1.6027430029503228E-2</v>
      </c>
      <c r="L574" s="38" t="s">
        <v>637</v>
      </c>
    </row>
    <row r="575" spans="1:12" ht="13">
      <c r="A575" s="18" t="s">
        <v>393</v>
      </c>
      <c r="B575" s="18" t="s">
        <v>381</v>
      </c>
      <c r="C575" s="33" t="s">
        <v>728</v>
      </c>
      <c r="D575" s="33" t="s">
        <v>84</v>
      </c>
      <c r="E575" s="18" t="s">
        <v>611</v>
      </c>
      <c r="F575" s="18">
        <v>2015</v>
      </c>
      <c r="G575" s="40">
        <v>12390</v>
      </c>
      <c r="H575" s="40">
        <f t="shared" ref="H575:I575" si="602">F575-F574</f>
        <v>1</v>
      </c>
      <c r="I575" s="40">
        <f t="shared" si="602"/>
        <v>50</v>
      </c>
      <c r="J575" s="66">
        <f t="shared" si="583"/>
        <v>4.0518638573743921E-3</v>
      </c>
      <c r="K575" s="65">
        <f t="shared" si="584"/>
        <v>4.0518638573743921E-3</v>
      </c>
      <c r="L575" s="38" t="s">
        <v>637</v>
      </c>
    </row>
    <row r="576" spans="1:12" ht="13">
      <c r="A576" s="18" t="s">
        <v>393</v>
      </c>
      <c r="B576" s="18" t="s">
        <v>381</v>
      </c>
      <c r="C576" s="33" t="s">
        <v>728</v>
      </c>
      <c r="D576" s="33" t="s">
        <v>84</v>
      </c>
      <c r="E576" s="18" t="s">
        <v>611</v>
      </c>
      <c r="F576" s="18">
        <v>2016</v>
      </c>
      <c r="G576" s="40">
        <v>12767</v>
      </c>
      <c r="H576" s="40">
        <f t="shared" ref="H576:I576" si="603">F576-F575</f>
        <v>1</v>
      </c>
      <c r="I576" s="40">
        <f t="shared" si="603"/>
        <v>377</v>
      </c>
      <c r="J576" s="66">
        <f t="shared" si="583"/>
        <v>3.0427764326069411E-2</v>
      </c>
      <c r="K576" s="65">
        <f t="shared" si="584"/>
        <v>3.0427764326069411E-2</v>
      </c>
      <c r="L576" s="38" t="s">
        <v>637</v>
      </c>
    </row>
    <row r="577" spans="1:12" ht="13">
      <c r="A577" s="18" t="s">
        <v>393</v>
      </c>
      <c r="B577" s="18" t="s">
        <v>381</v>
      </c>
      <c r="C577" s="33" t="s">
        <v>728</v>
      </c>
      <c r="D577" s="33" t="s">
        <v>84</v>
      </c>
      <c r="E577" s="18" t="s">
        <v>611</v>
      </c>
      <c r="F577" s="18">
        <v>2017</v>
      </c>
      <c r="G577" s="40">
        <v>12969</v>
      </c>
      <c r="H577" s="40">
        <f t="shared" ref="H577:I577" si="604">F577-F576</f>
        <v>1</v>
      </c>
      <c r="I577" s="40">
        <f t="shared" si="604"/>
        <v>202</v>
      </c>
      <c r="J577" s="66">
        <f t="shared" si="583"/>
        <v>1.5822041199968669E-2</v>
      </c>
      <c r="K577" s="65">
        <f t="shared" si="584"/>
        <v>1.5822041199968669E-2</v>
      </c>
      <c r="L577" s="38" t="s">
        <v>637</v>
      </c>
    </row>
    <row r="578" spans="1:12" ht="13">
      <c r="A578" s="18" t="s">
        <v>393</v>
      </c>
      <c r="B578" s="18" t="s">
        <v>381</v>
      </c>
      <c r="C578" s="33" t="s">
        <v>728</v>
      </c>
      <c r="D578" s="33" t="s">
        <v>84</v>
      </c>
      <c r="E578" s="18" t="s">
        <v>611</v>
      </c>
      <c r="F578" s="18">
        <v>2018</v>
      </c>
      <c r="G578" s="40">
        <v>13270</v>
      </c>
      <c r="H578" s="40">
        <f t="shared" ref="H578:I578" si="605">F578-F577</f>
        <v>1</v>
      </c>
      <c r="I578" s="40">
        <f t="shared" si="605"/>
        <v>301</v>
      </c>
      <c r="J578" s="66">
        <f t="shared" si="583"/>
        <v>2.3209191148122445E-2</v>
      </c>
      <c r="K578" s="65">
        <f t="shared" si="584"/>
        <v>2.3209191148122445E-2</v>
      </c>
      <c r="L578" s="38" t="s">
        <v>637</v>
      </c>
    </row>
    <row r="579" spans="1:12" ht="13">
      <c r="A579" s="18" t="s">
        <v>394</v>
      </c>
      <c r="B579" s="18" t="s">
        <v>381</v>
      </c>
      <c r="C579" s="33" t="s">
        <v>729</v>
      </c>
      <c r="D579" s="33" t="s">
        <v>84</v>
      </c>
      <c r="E579" s="18" t="s">
        <v>611</v>
      </c>
      <c r="F579" s="18">
        <v>1996</v>
      </c>
      <c r="G579" s="40">
        <v>19375</v>
      </c>
      <c r="H579" s="40" t="s">
        <v>402</v>
      </c>
      <c r="I579" s="40" t="s">
        <v>402</v>
      </c>
      <c r="J579" s="66" t="s">
        <v>402</v>
      </c>
      <c r="K579" s="65" t="s">
        <v>402</v>
      </c>
      <c r="L579" s="38" t="s">
        <v>637</v>
      </c>
    </row>
    <row r="580" spans="1:12" ht="13">
      <c r="A580" s="18" t="s">
        <v>394</v>
      </c>
      <c r="B580" s="18" t="s">
        <v>381</v>
      </c>
      <c r="C580" s="33" t="s">
        <v>729</v>
      </c>
      <c r="D580" s="33" t="s">
        <v>84</v>
      </c>
      <c r="E580" s="18" t="s">
        <v>611</v>
      </c>
      <c r="F580" s="18">
        <v>1997</v>
      </c>
      <c r="G580" s="40">
        <v>18450</v>
      </c>
      <c r="H580" s="40">
        <f t="shared" ref="H580:I580" si="606">F580-F579</f>
        <v>1</v>
      </c>
      <c r="I580" s="40">
        <f t="shared" si="606"/>
        <v>-925</v>
      </c>
      <c r="J580" s="66">
        <f t="shared" ref="J580:J601" si="607">I580/G579</f>
        <v>-4.774193548387097E-2</v>
      </c>
      <c r="K580" s="65">
        <f t="shared" ref="K580:K601" si="608">J580/H580</f>
        <v>-4.774193548387097E-2</v>
      </c>
      <c r="L580" s="38" t="s">
        <v>637</v>
      </c>
    </row>
    <row r="581" spans="1:12" ht="13">
      <c r="A581" s="18" t="s">
        <v>394</v>
      </c>
      <c r="B581" s="18" t="s">
        <v>381</v>
      </c>
      <c r="C581" s="33" t="s">
        <v>729</v>
      </c>
      <c r="D581" s="33" t="s">
        <v>84</v>
      </c>
      <c r="E581" s="18" t="s">
        <v>611</v>
      </c>
      <c r="F581" s="18">
        <v>1998</v>
      </c>
      <c r="G581" s="40">
        <v>16541</v>
      </c>
      <c r="H581" s="40">
        <f t="shared" ref="H581:I581" si="609">F581-F580</f>
        <v>1</v>
      </c>
      <c r="I581" s="40">
        <f t="shared" si="609"/>
        <v>-1909</v>
      </c>
      <c r="J581" s="66">
        <f t="shared" si="607"/>
        <v>-0.10346883468834689</v>
      </c>
      <c r="K581" s="65">
        <f t="shared" si="608"/>
        <v>-0.10346883468834689</v>
      </c>
      <c r="L581" s="38" t="s">
        <v>637</v>
      </c>
    </row>
    <row r="582" spans="1:12" ht="13">
      <c r="A582" s="18" t="s">
        <v>394</v>
      </c>
      <c r="B582" s="18" t="s">
        <v>381</v>
      </c>
      <c r="C582" s="33" t="s">
        <v>729</v>
      </c>
      <c r="D582" s="33" t="s">
        <v>84</v>
      </c>
      <c r="E582" s="18" t="s">
        <v>611</v>
      </c>
      <c r="F582" s="18">
        <v>1999</v>
      </c>
      <c r="G582" s="40">
        <v>18183</v>
      </c>
      <c r="H582" s="40">
        <f t="shared" ref="H582:I582" si="610">F582-F581</f>
        <v>1</v>
      </c>
      <c r="I582" s="40">
        <f t="shared" si="610"/>
        <v>1642</v>
      </c>
      <c r="J582" s="66">
        <f t="shared" si="607"/>
        <v>9.9268484372166135E-2</v>
      </c>
      <c r="K582" s="65">
        <f t="shared" si="608"/>
        <v>9.9268484372166135E-2</v>
      </c>
      <c r="L582" s="38" t="s">
        <v>637</v>
      </c>
    </row>
    <row r="583" spans="1:12" ht="13">
      <c r="A583" s="18" t="s">
        <v>394</v>
      </c>
      <c r="B583" s="18" t="s">
        <v>381</v>
      </c>
      <c r="C583" s="33" t="s">
        <v>729</v>
      </c>
      <c r="D583" s="33" t="s">
        <v>84</v>
      </c>
      <c r="E583" s="18" t="s">
        <v>611</v>
      </c>
      <c r="F583" s="18">
        <v>2000</v>
      </c>
      <c r="G583" s="40">
        <v>18679</v>
      </c>
      <c r="H583" s="40">
        <f t="shared" ref="H583:I583" si="611">F583-F582</f>
        <v>1</v>
      </c>
      <c r="I583" s="40">
        <f t="shared" si="611"/>
        <v>496</v>
      </c>
      <c r="J583" s="66">
        <f t="shared" si="607"/>
        <v>2.727822691525051E-2</v>
      </c>
      <c r="K583" s="65">
        <f t="shared" si="608"/>
        <v>2.727822691525051E-2</v>
      </c>
      <c r="L583" s="38" t="s">
        <v>637</v>
      </c>
    </row>
    <row r="584" spans="1:12" ht="13">
      <c r="A584" s="18" t="s">
        <v>394</v>
      </c>
      <c r="B584" s="18" t="s">
        <v>381</v>
      </c>
      <c r="C584" s="33" t="s">
        <v>729</v>
      </c>
      <c r="D584" s="33" t="s">
        <v>84</v>
      </c>
      <c r="E584" s="18" t="s">
        <v>611</v>
      </c>
      <c r="F584" s="18">
        <v>2001</v>
      </c>
      <c r="G584" s="40">
        <v>18683</v>
      </c>
      <c r="H584" s="40">
        <f t="shared" ref="H584:I584" si="612">F584-F583</f>
        <v>1</v>
      </c>
      <c r="I584" s="40">
        <f t="shared" si="612"/>
        <v>4</v>
      </c>
      <c r="J584" s="66">
        <f t="shared" si="607"/>
        <v>2.1414422613630279E-4</v>
      </c>
      <c r="K584" s="65">
        <f t="shared" si="608"/>
        <v>2.1414422613630279E-4</v>
      </c>
      <c r="L584" s="38" t="s">
        <v>637</v>
      </c>
    </row>
    <row r="585" spans="1:12" ht="13">
      <c r="A585" s="18" t="s">
        <v>394</v>
      </c>
      <c r="B585" s="18" t="s">
        <v>381</v>
      </c>
      <c r="C585" s="33" t="s">
        <v>729</v>
      </c>
      <c r="D585" s="33" t="s">
        <v>84</v>
      </c>
      <c r="E585" s="18" t="s">
        <v>611</v>
      </c>
      <c r="F585" s="18">
        <v>2002</v>
      </c>
      <c r="G585" s="40">
        <v>18577</v>
      </c>
      <c r="H585" s="40">
        <f t="shared" ref="H585:I585" si="613">F585-F584</f>
        <v>1</v>
      </c>
      <c r="I585" s="40">
        <f t="shared" si="613"/>
        <v>-106</v>
      </c>
      <c r="J585" s="66">
        <f t="shared" si="607"/>
        <v>-5.673607022426805E-3</v>
      </c>
      <c r="K585" s="65">
        <f t="shared" si="608"/>
        <v>-5.673607022426805E-3</v>
      </c>
      <c r="L585" s="38" t="s">
        <v>637</v>
      </c>
    </row>
    <row r="586" spans="1:12" ht="13">
      <c r="A586" s="18" t="s">
        <v>394</v>
      </c>
      <c r="B586" s="18" t="s">
        <v>381</v>
      </c>
      <c r="C586" s="33" t="s">
        <v>729</v>
      </c>
      <c r="D586" s="33" t="s">
        <v>84</v>
      </c>
      <c r="E586" s="18" t="s">
        <v>611</v>
      </c>
      <c r="F586" s="18">
        <v>2003</v>
      </c>
      <c r="G586" s="40">
        <v>17433</v>
      </c>
      <c r="H586" s="40">
        <f t="shared" ref="H586:I586" si="614">F586-F585</f>
        <v>1</v>
      </c>
      <c r="I586" s="40">
        <f t="shared" si="614"/>
        <v>-1144</v>
      </c>
      <c r="J586" s="66">
        <f t="shared" si="607"/>
        <v>-6.1581525542337298E-2</v>
      </c>
      <c r="K586" s="65">
        <f t="shared" si="608"/>
        <v>-6.1581525542337298E-2</v>
      </c>
      <c r="L586" s="38" t="s">
        <v>637</v>
      </c>
    </row>
    <row r="587" spans="1:12" ht="13">
      <c r="A587" s="18" t="s">
        <v>394</v>
      </c>
      <c r="B587" s="18" t="s">
        <v>381</v>
      </c>
      <c r="C587" s="33" t="s">
        <v>729</v>
      </c>
      <c r="D587" s="33" t="s">
        <v>84</v>
      </c>
      <c r="E587" s="18" t="s">
        <v>611</v>
      </c>
      <c r="F587" s="18">
        <v>2004</v>
      </c>
      <c r="G587" s="40">
        <v>19021</v>
      </c>
      <c r="H587" s="40">
        <f t="shared" ref="H587:I587" si="615">F587-F586</f>
        <v>1</v>
      </c>
      <c r="I587" s="40">
        <f t="shared" si="615"/>
        <v>1588</v>
      </c>
      <c r="J587" s="66">
        <f t="shared" si="607"/>
        <v>9.1091607870131361E-2</v>
      </c>
      <c r="K587" s="65">
        <f t="shared" si="608"/>
        <v>9.1091607870131361E-2</v>
      </c>
      <c r="L587" s="38" t="s">
        <v>637</v>
      </c>
    </row>
    <row r="588" spans="1:12" ht="13">
      <c r="A588" s="18" t="s">
        <v>394</v>
      </c>
      <c r="B588" s="18" t="s">
        <v>381</v>
      </c>
      <c r="C588" s="33" t="s">
        <v>729</v>
      </c>
      <c r="D588" s="33" t="s">
        <v>84</v>
      </c>
      <c r="E588" s="18" t="s">
        <v>611</v>
      </c>
      <c r="F588" s="18">
        <v>2005</v>
      </c>
      <c r="G588" s="40">
        <v>19954</v>
      </c>
      <c r="H588" s="40">
        <f t="shared" ref="H588:I588" si="616">F588-F587</f>
        <v>1</v>
      </c>
      <c r="I588" s="40">
        <f t="shared" si="616"/>
        <v>933</v>
      </c>
      <c r="J588" s="66">
        <f t="shared" si="607"/>
        <v>4.9051048840754952E-2</v>
      </c>
      <c r="K588" s="65">
        <f t="shared" si="608"/>
        <v>4.9051048840754952E-2</v>
      </c>
      <c r="L588" s="38" t="s">
        <v>637</v>
      </c>
    </row>
    <row r="589" spans="1:12" ht="13">
      <c r="A589" s="18" t="s">
        <v>394</v>
      </c>
      <c r="B589" s="18" t="s">
        <v>381</v>
      </c>
      <c r="C589" s="33" t="s">
        <v>729</v>
      </c>
      <c r="D589" s="33" t="s">
        <v>84</v>
      </c>
      <c r="E589" s="18" t="s">
        <v>611</v>
      </c>
      <c r="F589" s="18">
        <v>2006</v>
      </c>
      <c r="G589" s="40">
        <v>20012</v>
      </c>
      <c r="H589" s="40">
        <f t="shared" ref="H589:I589" si="617">F589-F588</f>
        <v>1</v>
      </c>
      <c r="I589" s="40">
        <f t="shared" si="617"/>
        <v>58</v>
      </c>
      <c r="J589" s="66">
        <f t="shared" si="607"/>
        <v>2.9066853763656409E-3</v>
      </c>
      <c r="K589" s="65">
        <f t="shared" si="608"/>
        <v>2.9066853763656409E-3</v>
      </c>
      <c r="L589" s="38" t="s">
        <v>637</v>
      </c>
    </row>
    <row r="590" spans="1:12" ht="13">
      <c r="A590" s="18" t="s">
        <v>394</v>
      </c>
      <c r="B590" s="18" t="s">
        <v>381</v>
      </c>
      <c r="C590" s="33" t="s">
        <v>729</v>
      </c>
      <c r="D590" s="33" t="s">
        <v>84</v>
      </c>
      <c r="E590" s="18" t="s">
        <v>611</v>
      </c>
      <c r="F590" s="18">
        <v>2007</v>
      </c>
      <c r="G590" s="40">
        <v>20289</v>
      </c>
      <c r="H590" s="40">
        <f t="shared" ref="H590:I590" si="618">F590-F589</f>
        <v>1</v>
      </c>
      <c r="I590" s="40">
        <f t="shared" si="618"/>
        <v>277</v>
      </c>
      <c r="J590" s="66">
        <f t="shared" si="607"/>
        <v>1.3841694983010194E-2</v>
      </c>
      <c r="K590" s="65">
        <f t="shared" si="608"/>
        <v>1.3841694983010194E-2</v>
      </c>
      <c r="L590" s="38" t="s">
        <v>637</v>
      </c>
    </row>
    <row r="591" spans="1:12" ht="13">
      <c r="A591" s="18" t="s">
        <v>394</v>
      </c>
      <c r="B591" s="18" t="s">
        <v>381</v>
      </c>
      <c r="C591" s="33" t="s">
        <v>729</v>
      </c>
      <c r="D591" s="33" t="s">
        <v>84</v>
      </c>
      <c r="E591" s="18" t="s">
        <v>611</v>
      </c>
      <c r="F591" s="18">
        <v>2008</v>
      </c>
      <c r="G591" s="40">
        <v>20129</v>
      </c>
      <c r="H591" s="40">
        <f t="shared" ref="H591:I591" si="619">F591-F590</f>
        <v>1</v>
      </c>
      <c r="I591" s="40">
        <f t="shared" si="619"/>
        <v>-160</v>
      </c>
      <c r="J591" s="66">
        <f t="shared" si="607"/>
        <v>-7.886046626250677E-3</v>
      </c>
      <c r="K591" s="65">
        <f t="shared" si="608"/>
        <v>-7.886046626250677E-3</v>
      </c>
      <c r="L591" s="38" t="s">
        <v>637</v>
      </c>
    </row>
    <row r="592" spans="1:12" ht="13">
      <c r="A592" s="18" t="s">
        <v>394</v>
      </c>
      <c r="B592" s="18" t="s">
        <v>381</v>
      </c>
      <c r="C592" s="33" t="s">
        <v>729</v>
      </c>
      <c r="D592" s="33" t="s">
        <v>84</v>
      </c>
      <c r="E592" s="18" t="s">
        <v>611</v>
      </c>
      <c r="F592" s="18">
        <v>2009</v>
      </c>
      <c r="G592" s="40">
        <v>21717</v>
      </c>
      <c r="H592" s="40">
        <f t="shared" ref="H592:I592" si="620">F592-F591</f>
        <v>1</v>
      </c>
      <c r="I592" s="40">
        <f t="shared" si="620"/>
        <v>1588</v>
      </c>
      <c r="J592" s="66">
        <f t="shared" si="607"/>
        <v>7.8891152069153953E-2</v>
      </c>
      <c r="K592" s="65">
        <f t="shared" si="608"/>
        <v>7.8891152069153953E-2</v>
      </c>
      <c r="L592" s="38" t="s">
        <v>637</v>
      </c>
    </row>
    <row r="593" spans="1:12" ht="13">
      <c r="A593" s="18" t="s">
        <v>394</v>
      </c>
      <c r="B593" s="18" t="s">
        <v>381</v>
      </c>
      <c r="C593" s="33" t="s">
        <v>729</v>
      </c>
      <c r="D593" s="33" t="s">
        <v>84</v>
      </c>
      <c r="E593" s="18" t="s">
        <v>611</v>
      </c>
      <c r="F593" s="18">
        <v>2010</v>
      </c>
      <c r="G593" s="40">
        <v>20682</v>
      </c>
      <c r="H593" s="40">
        <f t="shared" ref="H593:I593" si="621">F593-F592</f>
        <v>1</v>
      </c>
      <c r="I593" s="40">
        <f t="shared" si="621"/>
        <v>-1035</v>
      </c>
      <c r="J593" s="66">
        <f t="shared" si="607"/>
        <v>-4.7658516369664318E-2</v>
      </c>
      <c r="K593" s="65">
        <f t="shared" si="608"/>
        <v>-4.7658516369664318E-2</v>
      </c>
      <c r="L593" s="38" t="s">
        <v>637</v>
      </c>
    </row>
    <row r="594" spans="1:12" ht="13">
      <c r="A594" s="18" t="s">
        <v>394</v>
      </c>
      <c r="B594" s="18" t="s">
        <v>381</v>
      </c>
      <c r="C594" s="33" t="s">
        <v>729</v>
      </c>
      <c r="D594" s="33" t="s">
        <v>84</v>
      </c>
      <c r="E594" s="18" t="s">
        <v>611</v>
      </c>
      <c r="F594" s="18">
        <v>2011</v>
      </c>
      <c r="G594" s="40">
        <v>22380</v>
      </c>
      <c r="H594" s="40">
        <f t="shared" ref="H594:I594" si="622">F594-F593</f>
        <v>1</v>
      </c>
      <c r="I594" s="40">
        <f t="shared" si="622"/>
        <v>1698</v>
      </c>
      <c r="J594" s="66">
        <f t="shared" si="607"/>
        <v>8.210037713954163E-2</v>
      </c>
      <c r="K594" s="65">
        <f t="shared" si="608"/>
        <v>8.210037713954163E-2</v>
      </c>
      <c r="L594" s="38" t="s">
        <v>637</v>
      </c>
    </row>
    <row r="595" spans="1:12" ht="13">
      <c r="A595" s="18" t="s">
        <v>394</v>
      </c>
      <c r="B595" s="18" t="s">
        <v>381</v>
      </c>
      <c r="C595" s="33" t="s">
        <v>729</v>
      </c>
      <c r="D595" s="33" t="s">
        <v>84</v>
      </c>
      <c r="E595" s="18" t="s">
        <v>611</v>
      </c>
      <c r="F595" s="18">
        <v>2012</v>
      </c>
      <c r="G595" s="40">
        <v>22384</v>
      </c>
      <c r="H595" s="40">
        <f t="shared" ref="H595:I595" si="623">F595-F594</f>
        <v>1</v>
      </c>
      <c r="I595" s="40">
        <f t="shared" si="623"/>
        <v>4</v>
      </c>
      <c r="J595" s="66">
        <f t="shared" si="607"/>
        <v>1.7873100983020553E-4</v>
      </c>
      <c r="K595" s="65">
        <f t="shared" si="608"/>
        <v>1.7873100983020553E-4</v>
      </c>
      <c r="L595" s="38" t="s">
        <v>637</v>
      </c>
    </row>
    <row r="596" spans="1:12" ht="13">
      <c r="A596" s="18" t="s">
        <v>394</v>
      </c>
      <c r="B596" s="18" t="s">
        <v>381</v>
      </c>
      <c r="C596" s="33" t="s">
        <v>729</v>
      </c>
      <c r="D596" s="33" t="s">
        <v>84</v>
      </c>
      <c r="E596" s="18" t="s">
        <v>611</v>
      </c>
      <c r="F596" s="18">
        <v>2013</v>
      </c>
      <c r="G596" s="40">
        <v>22060</v>
      </c>
      <c r="H596" s="40">
        <f t="shared" ref="H596:I596" si="624">F596-F595</f>
        <v>1</v>
      </c>
      <c r="I596" s="40">
        <f t="shared" si="624"/>
        <v>-324</v>
      </c>
      <c r="J596" s="66">
        <f t="shared" si="607"/>
        <v>-1.4474624731951394E-2</v>
      </c>
      <c r="K596" s="65">
        <f t="shared" si="608"/>
        <v>-1.4474624731951394E-2</v>
      </c>
      <c r="L596" s="38" t="s">
        <v>637</v>
      </c>
    </row>
    <row r="597" spans="1:12" ht="13">
      <c r="A597" s="18" t="s">
        <v>394</v>
      </c>
      <c r="B597" s="18" t="s">
        <v>381</v>
      </c>
      <c r="C597" s="33" t="s">
        <v>729</v>
      </c>
      <c r="D597" s="33" t="s">
        <v>84</v>
      </c>
      <c r="E597" s="18" t="s">
        <v>611</v>
      </c>
      <c r="F597" s="18">
        <v>2014</v>
      </c>
      <c r="G597" s="40">
        <v>22118</v>
      </c>
      <c r="H597" s="40">
        <f t="shared" ref="H597:I597" si="625">F597-F596</f>
        <v>1</v>
      </c>
      <c r="I597" s="40">
        <f t="shared" si="625"/>
        <v>58</v>
      </c>
      <c r="J597" s="66">
        <f t="shared" si="607"/>
        <v>2.6291931097008159E-3</v>
      </c>
      <c r="K597" s="65">
        <f t="shared" si="608"/>
        <v>2.6291931097008159E-3</v>
      </c>
      <c r="L597" s="38" t="s">
        <v>637</v>
      </c>
    </row>
    <row r="598" spans="1:12" ht="13">
      <c r="A598" s="18" t="s">
        <v>394</v>
      </c>
      <c r="B598" s="18" t="s">
        <v>381</v>
      </c>
      <c r="C598" s="33" t="s">
        <v>729</v>
      </c>
      <c r="D598" s="33" t="s">
        <v>84</v>
      </c>
      <c r="E598" s="18" t="s">
        <v>611</v>
      </c>
      <c r="F598" s="18">
        <v>2015</v>
      </c>
      <c r="G598" s="40">
        <v>21083</v>
      </c>
      <c r="H598" s="40">
        <f t="shared" ref="H598:I598" si="626">F598-F597</f>
        <v>1</v>
      </c>
      <c r="I598" s="40">
        <f t="shared" si="626"/>
        <v>-1035</v>
      </c>
      <c r="J598" s="66">
        <f t="shared" si="607"/>
        <v>-4.6794466045754587E-2</v>
      </c>
      <c r="K598" s="65">
        <f t="shared" si="608"/>
        <v>-4.6794466045754587E-2</v>
      </c>
      <c r="L598" s="38" t="s">
        <v>637</v>
      </c>
    </row>
    <row r="599" spans="1:12" ht="13">
      <c r="A599" s="18" t="s">
        <v>394</v>
      </c>
      <c r="B599" s="18" t="s">
        <v>381</v>
      </c>
      <c r="C599" s="33" t="s">
        <v>729</v>
      </c>
      <c r="D599" s="33" t="s">
        <v>84</v>
      </c>
      <c r="E599" s="18" t="s">
        <v>611</v>
      </c>
      <c r="F599" s="18">
        <v>2016</v>
      </c>
      <c r="G599" s="40">
        <v>22125</v>
      </c>
      <c r="H599" s="40">
        <f t="shared" ref="H599:I599" si="627">F599-F598</f>
        <v>1</v>
      </c>
      <c r="I599" s="40">
        <f t="shared" si="627"/>
        <v>1042</v>
      </c>
      <c r="J599" s="66">
        <f t="shared" si="607"/>
        <v>4.9423706303656972E-2</v>
      </c>
      <c r="K599" s="65">
        <f t="shared" si="608"/>
        <v>4.9423706303656972E-2</v>
      </c>
      <c r="L599" s="38" t="s">
        <v>637</v>
      </c>
    </row>
    <row r="600" spans="1:12" ht="13">
      <c r="A600" s="18" t="s">
        <v>394</v>
      </c>
      <c r="B600" s="18" t="s">
        <v>381</v>
      </c>
      <c r="C600" s="33" t="s">
        <v>729</v>
      </c>
      <c r="D600" s="33" t="s">
        <v>84</v>
      </c>
      <c r="E600" s="18" t="s">
        <v>611</v>
      </c>
      <c r="F600" s="18">
        <v>2017</v>
      </c>
      <c r="G600" s="40">
        <v>23331</v>
      </c>
      <c r="H600" s="40">
        <f t="shared" ref="H600:I600" si="628">F600-F599</f>
        <v>1</v>
      </c>
      <c r="I600" s="40">
        <f t="shared" si="628"/>
        <v>1206</v>
      </c>
      <c r="J600" s="66">
        <f t="shared" si="607"/>
        <v>5.4508474576271185E-2</v>
      </c>
      <c r="K600" s="65">
        <f t="shared" si="608"/>
        <v>5.4508474576271185E-2</v>
      </c>
      <c r="L600" s="38" t="s">
        <v>637</v>
      </c>
    </row>
    <row r="601" spans="1:12" ht="13">
      <c r="A601" s="18" t="s">
        <v>394</v>
      </c>
      <c r="B601" s="18" t="s">
        <v>381</v>
      </c>
      <c r="C601" s="33" t="s">
        <v>729</v>
      </c>
      <c r="D601" s="33" t="s">
        <v>84</v>
      </c>
      <c r="E601" s="18" t="s">
        <v>611</v>
      </c>
      <c r="F601" s="18">
        <v>2018</v>
      </c>
      <c r="G601" s="40">
        <v>23553</v>
      </c>
      <c r="H601" s="40">
        <f t="shared" ref="H601:I601" si="629">F601-F600</f>
        <v>1</v>
      </c>
      <c r="I601" s="40">
        <f t="shared" si="629"/>
        <v>222</v>
      </c>
      <c r="J601" s="66">
        <f t="shared" si="607"/>
        <v>9.5152372380095159E-3</v>
      </c>
      <c r="K601" s="65">
        <f t="shared" si="608"/>
        <v>9.5152372380095159E-3</v>
      </c>
      <c r="L601" s="38" t="s">
        <v>637</v>
      </c>
    </row>
    <row r="602" spans="1:12" ht="13">
      <c r="A602" s="18" t="s">
        <v>395</v>
      </c>
      <c r="B602" s="18" t="s">
        <v>381</v>
      </c>
      <c r="C602" s="33" t="s">
        <v>730</v>
      </c>
      <c r="D602" s="33" t="s">
        <v>84</v>
      </c>
      <c r="E602" s="18" t="s">
        <v>611</v>
      </c>
      <c r="F602" s="18">
        <v>1996</v>
      </c>
      <c r="G602" s="40">
        <v>27157</v>
      </c>
      <c r="H602" s="40" t="s">
        <v>402</v>
      </c>
      <c r="I602" s="40" t="s">
        <v>402</v>
      </c>
      <c r="J602" s="66" t="s">
        <v>402</v>
      </c>
      <c r="K602" s="65" t="s">
        <v>402</v>
      </c>
      <c r="L602" s="38" t="s">
        <v>637</v>
      </c>
    </row>
    <row r="603" spans="1:12" ht="13">
      <c r="A603" s="18" t="s">
        <v>395</v>
      </c>
      <c r="B603" s="18" t="s">
        <v>381</v>
      </c>
      <c r="C603" s="33" t="s">
        <v>730</v>
      </c>
      <c r="D603" s="33" t="s">
        <v>84</v>
      </c>
      <c r="E603" s="18" t="s">
        <v>611</v>
      </c>
      <c r="F603" s="18">
        <v>1997</v>
      </c>
      <c r="G603" s="40">
        <v>27752</v>
      </c>
      <c r="H603" s="40">
        <f t="shared" ref="H603:I603" si="630">F603-F602</f>
        <v>1</v>
      </c>
      <c r="I603" s="40">
        <f t="shared" si="630"/>
        <v>595</v>
      </c>
      <c r="J603" s="66">
        <f t="shared" ref="J603:J624" si="631">I603/G602</f>
        <v>2.1909636557793571E-2</v>
      </c>
      <c r="K603" s="65">
        <f t="shared" ref="K603:K624" si="632">J603/H603</f>
        <v>2.1909636557793571E-2</v>
      </c>
      <c r="L603" s="38" t="s">
        <v>637</v>
      </c>
    </row>
    <row r="604" spans="1:12" ht="13">
      <c r="A604" s="18" t="s">
        <v>395</v>
      </c>
      <c r="B604" s="18" t="s">
        <v>381</v>
      </c>
      <c r="C604" s="33" t="s">
        <v>730</v>
      </c>
      <c r="D604" s="33" t="s">
        <v>84</v>
      </c>
      <c r="E604" s="18" t="s">
        <v>611</v>
      </c>
      <c r="F604" s="18">
        <v>1998</v>
      </c>
      <c r="G604" s="40">
        <v>27374</v>
      </c>
      <c r="H604" s="40">
        <f t="shared" ref="H604:I604" si="633">F604-F603</f>
        <v>1</v>
      </c>
      <c r="I604" s="40">
        <f t="shared" si="633"/>
        <v>-378</v>
      </c>
      <c r="J604" s="66">
        <f t="shared" si="631"/>
        <v>-1.3620639953877198E-2</v>
      </c>
      <c r="K604" s="65">
        <f t="shared" si="632"/>
        <v>-1.3620639953877198E-2</v>
      </c>
      <c r="L604" s="38" t="s">
        <v>637</v>
      </c>
    </row>
    <row r="605" spans="1:12" ht="13">
      <c r="A605" s="18" t="s">
        <v>395</v>
      </c>
      <c r="B605" s="18" t="s">
        <v>381</v>
      </c>
      <c r="C605" s="33" t="s">
        <v>730</v>
      </c>
      <c r="D605" s="33" t="s">
        <v>84</v>
      </c>
      <c r="E605" s="18" t="s">
        <v>611</v>
      </c>
      <c r="F605" s="18">
        <v>1999</v>
      </c>
      <c r="G605" s="40">
        <v>27969</v>
      </c>
      <c r="H605" s="40">
        <f t="shared" ref="H605:I605" si="634">F605-F604</f>
        <v>1</v>
      </c>
      <c r="I605" s="40">
        <f t="shared" si="634"/>
        <v>595</v>
      </c>
      <c r="J605" s="66">
        <f t="shared" si="631"/>
        <v>2.1735953824797254E-2</v>
      </c>
      <c r="K605" s="65">
        <f t="shared" si="632"/>
        <v>2.1735953824797254E-2</v>
      </c>
      <c r="L605" s="38" t="s">
        <v>637</v>
      </c>
    </row>
    <row r="606" spans="1:12" ht="13">
      <c r="A606" s="18" t="s">
        <v>395</v>
      </c>
      <c r="B606" s="18" t="s">
        <v>381</v>
      </c>
      <c r="C606" s="33" t="s">
        <v>730</v>
      </c>
      <c r="D606" s="33" t="s">
        <v>84</v>
      </c>
      <c r="E606" s="18" t="s">
        <v>611</v>
      </c>
      <c r="F606" s="18">
        <v>2000</v>
      </c>
      <c r="G606" s="40">
        <v>27971</v>
      </c>
      <c r="H606" s="40">
        <f t="shared" ref="H606:I606" si="635">F606-F605</f>
        <v>1</v>
      </c>
      <c r="I606" s="40">
        <f t="shared" si="635"/>
        <v>2</v>
      </c>
      <c r="J606" s="66">
        <f t="shared" si="631"/>
        <v>7.1507740712932171E-5</v>
      </c>
      <c r="K606" s="65">
        <f t="shared" si="632"/>
        <v>7.1507740712932171E-5</v>
      </c>
      <c r="L606" s="38" t="s">
        <v>637</v>
      </c>
    </row>
    <row r="607" spans="1:12" ht="13">
      <c r="A607" s="18" t="s">
        <v>395</v>
      </c>
      <c r="B607" s="18" t="s">
        <v>381</v>
      </c>
      <c r="C607" s="33" t="s">
        <v>730</v>
      </c>
      <c r="D607" s="33" t="s">
        <v>84</v>
      </c>
      <c r="E607" s="18" t="s">
        <v>611</v>
      </c>
      <c r="F607" s="18">
        <v>2001</v>
      </c>
      <c r="G607" s="40">
        <v>29368</v>
      </c>
      <c r="H607" s="40">
        <f t="shared" ref="H607:I607" si="636">F607-F606</f>
        <v>1</v>
      </c>
      <c r="I607" s="40">
        <f t="shared" si="636"/>
        <v>1397</v>
      </c>
      <c r="J607" s="66">
        <f t="shared" si="631"/>
        <v>4.9944585463515781E-2</v>
      </c>
      <c r="K607" s="65">
        <f t="shared" si="632"/>
        <v>4.9944585463515781E-2</v>
      </c>
      <c r="L607" s="38" t="s">
        <v>637</v>
      </c>
    </row>
    <row r="608" spans="1:12" ht="13">
      <c r="A608" s="18" t="s">
        <v>395</v>
      </c>
      <c r="B608" s="18" t="s">
        <v>381</v>
      </c>
      <c r="C608" s="33" t="s">
        <v>730</v>
      </c>
      <c r="D608" s="33" t="s">
        <v>84</v>
      </c>
      <c r="E608" s="18" t="s">
        <v>611</v>
      </c>
      <c r="F608" s="18">
        <v>2002</v>
      </c>
      <c r="G608" s="40">
        <v>30639</v>
      </c>
      <c r="H608" s="40">
        <f t="shared" ref="H608:I608" si="637">F608-F607</f>
        <v>1</v>
      </c>
      <c r="I608" s="40">
        <f t="shared" si="637"/>
        <v>1271</v>
      </c>
      <c r="J608" s="66">
        <f t="shared" si="631"/>
        <v>4.327839825660583E-2</v>
      </c>
      <c r="K608" s="65">
        <f t="shared" si="632"/>
        <v>4.327839825660583E-2</v>
      </c>
      <c r="L608" s="38" t="s">
        <v>637</v>
      </c>
    </row>
    <row r="609" spans="1:12" ht="13">
      <c r="A609" s="18" t="s">
        <v>395</v>
      </c>
      <c r="B609" s="18" t="s">
        <v>381</v>
      </c>
      <c r="C609" s="33" t="s">
        <v>730</v>
      </c>
      <c r="D609" s="33" t="s">
        <v>84</v>
      </c>
      <c r="E609" s="18" t="s">
        <v>611</v>
      </c>
      <c r="F609" s="18">
        <v>2003</v>
      </c>
      <c r="G609" s="40">
        <v>30093</v>
      </c>
      <c r="H609" s="40">
        <f t="shared" ref="H609:I609" si="638">F609-F608</f>
        <v>1</v>
      </c>
      <c r="I609" s="40">
        <f t="shared" si="638"/>
        <v>-546</v>
      </c>
      <c r="J609" s="66">
        <f t="shared" si="631"/>
        <v>-1.782042494859493E-2</v>
      </c>
      <c r="K609" s="65">
        <f t="shared" si="632"/>
        <v>-1.782042494859493E-2</v>
      </c>
      <c r="L609" s="38" t="s">
        <v>637</v>
      </c>
    </row>
    <row r="610" spans="1:12" ht="13">
      <c r="A610" s="18" t="s">
        <v>395</v>
      </c>
      <c r="B610" s="18" t="s">
        <v>381</v>
      </c>
      <c r="C610" s="33" t="s">
        <v>730</v>
      </c>
      <c r="D610" s="33" t="s">
        <v>84</v>
      </c>
      <c r="E610" s="18" t="s">
        <v>611</v>
      </c>
      <c r="F610" s="18">
        <v>2004</v>
      </c>
      <c r="G610" s="40">
        <v>29630</v>
      </c>
      <c r="H610" s="40">
        <f t="shared" ref="H610:I610" si="639">F610-F609</f>
        <v>1</v>
      </c>
      <c r="I610" s="40">
        <f t="shared" si="639"/>
        <v>-463</v>
      </c>
      <c r="J610" s="66">
        <f t="shared" si="631"/>
        <v>-1.5385637855979796E-2</v>
      </c>
      <c r="K610" s="65">
        <f t="shared" si="632"/>
        <v>-1.5385637855979796E-2</v>
      </c>
      <c r="L610" s="38" t="s">
        <v>637</v>
      </c>
    </row>
    <row r="611" spans="1:12" ht="13">
      <c r="A611" s="18" t="s">
        <v>395</v>
      </c>
      <c r="B611" s="18" t="s">
        <v>381</v>
      </c>
      <c r="C611" s="33" t="s">
        <v>730</v>
      </c>
      <c r="D611" s="33" t="s">
        <v>84</v>
      </c>
      <c r="E611" s="18" t="s">
        <v>611</v>
      </c>
      <c r="F611" s="18">
        <v>2005</v>
      </c>
      <c r="G611" s="40">
        <v>29169</v>
      </c>
      <c r="H611" s="40">
        <f t="shared" ref="H611:I611" si="640">F611-F610</f>
        <v>1</v>
      </c>
      <c r="I611" s="40">
        <f t="shared" si="640"/>
        <v>-461</v>
      </c>
      <c r="J611" s="66">
        <f t="shared" si="631"/>
        <v>-1.5558555518056025E-2</v>
      </c>
      <c r="K611" s="65">
        <f t="shared" si="632"/>
        <v>-1.5558555518056025E-2</v>
      </c>
      <c r="L611" s="38" t="s">
        <v>637</v>
      </c>
    </row>
    <row r="612" spans="1:12" ht="13">
      <c r="A612" s="18" t="s">
        <v>395</v>
      </c>
      <c r="B612" s="18" t="s">
        <v>381</v>
      </c>
      <c r="C612" s="33" t="s">
        <v>730</v>
      </c>
      <c r="D612" s="33" t="s">
        <v>84</v>
      </c>
      <c r="E612" s="18" t="s">
        <v>611</v>
      </c>
      <c r="F612" s="18">
        <v>2006</v>
      </c>
      <c r="G612" s="40">
        <v>29277</v>
      </c>
      <c r="H612" s="40">
        <f t="shared" ref="H612:I612" si="641">F612-F611</f>
        <v>1</v>
      </c>
      <c r="I612" s="40">
        <f t="shared" si="641"/>
        <v>108</v>
      </c>
      <c r="J612" s="66">
        <f t="shared" si="631"/>
        <v>3.7025609379821045E-3</v>
      </c>
      <c r="K612" s="65">
        <f t="shared" si="632"/>
        <v>3.7025609379821045E-3</v>
      </c>
      <c r="L612" s="38" t="s">
        <v>637</v>
      </c>
    </row>
    <row r="613" spans="1:12" ht="13">
      <c r="A613" s="18" t="s">
        <v>395</v>
      </c>
      <c r="B613" s="18" t="s">
        <v>381</v>
      </c>
      <c r="C613" s="33" t="s">
        <v>730</v>
      </c>
      <c r="D613" s="33" t="s">
        <v>84</v>
      </c>
      <c r="E613" s="18" t="s">
        <v>611</v>
      </c>
      <c r="F613" s="18">
        <v>2007</v>
      </c>
      <c r="G613" s="40">
        <v>28371</v>
      </c>
      <c r="H613" s="40">
        <f t="shared" ref="H613:I613" si="642">F613-F612</f>
        <v>1</v>
      </c>
      <c r="I613" s="40">
        <f t="shared" si="642"/>
        <v>-906</v>
      </c>
      <c r="J613" s="66">
        <f t="shared" si="631"/>
        <v>-3.0945793626396146E-2</v>
      </c>
      <c r="K613" s="65">
        <f t="shared" si="632"/>
        <v>-3.0945793626396146E-2</v>
      </c>
      <c r="L613" s="38" t="s">
        <v>637</v>
      </c>
    </row>
    <row r="614" spans="1:12" ht="13">
      <c r="A614" s="18" t="s">
        <v>395</v>
      </c>
      <c r="B614" s="18" t="s">
        <v>381</v>
      </c>
      <c r="C614" s="33" t="s">
        <v>730</v>
      </c>
      <c r="D614" s="33" t="s">
        <v>84</v>
      </c>
      <c r="E614" s="18" t="s">
        <v>611</v>
      </c>
      <c r="F614" s="18">
        <v>2008</v>
      </c>
      <c r="G614" s="40">
        <v>27529</v>
      </c>
      <c r="H614" s="40">
        <f t="shared" ref="H614:I614" si="643">F614-F613</f>
        <v>1</v>
      </c>
      <c r="I614" s="40">
        <f t="shared" si="643"/>
        <v>-842</v>
      </c>
      <c r="J614" s="66">
        <f t="shared" si="631"/>
        <v>-2.967819252053153E-2</v>
      </c>
      <c r="K614" s="65">
        <f t="shared" si="632"/>
        <v>-2.967819252053153E-2</v>
      </c>
      <c r="L614" s="38" t="s">
        <v>637</v>
      </c>
    </row>
    <row r="615" spans="1:12" ht="13">
      <c r="A615" s="18" t="s">
        <v>395</v>
      </c>
      <c r="B615" s="18" t="s">
        <v>381</v>
      </c>
      <c r="C615" s="33" t="s">
        <v>730</v>
      </c>
      <c r="D615" s="33" t="s">
        <v>84</v>
      </c>
      <c r="E615" s="18" t="s">
        <v>611</v>
      </c>
      <c r="F615" s="18">
        <v>2009</v>
      </c>
      <c r="G615" s="40">
        <v>26138</v>
      </c>
      <c r="H615" s="40">
        <f t="shared" ref="H615:I615" si="644">F615-F614</f>
        <v>1</v>
      </c>
      <c r="I615" s="40">
        <f t="shared" si="644"/>
        <v>-1391</v>
      </c>
      <c r="J615" s="66">
        <f t="shared" si="631"/>
        <v>-5.0528533546441934E-2</v>
      </c>
      <c r="K615" s="65">
        <f t="shared" si="632"/>
        <v>-5.0528533546441934E-2</v>
      </c>
      <c r="L615" s="38" t="s">
        <v>637</v>
      </c>
    </row>
    <row r="616" spans="1:12" ht="13">
      <c r="A616" s="18" t="s">
        <v>395</v>
      </c>
      <c r="B616" s="18" t="s">
        <v>381</v>
      </c>
      <c r="C616" s="33" t="s">
        <v>730</v>
      </c>
      <c r="D616" s="33" t="s">
        <v>84</v>
      </c>
      <c r="E616" s="18" t="s">
        <v>611</v>
      </c>
      <c r="F616" s="18">
        <v>2010</v>
      </c>
      <c r="G616" s="40">
        <v>26816</v>
      </c>
      <c r="H616" s="40">
        <f t="shared" ref="H616:I616" si="645">F616-F615</f>
        <v>1</v>
      </c>
      <c r="I616" s="40">
        <f t="shared" si="645"/>
        <v>678</v>
      </c>
      <c r="J616" s="66">
        <f t="shared" si="631"/>
        <v>2.5939245542887748E-2</v>
      </c>
      <c r="K616" s="65">
        <f t="shared" si="632"/>
        <v>2.5939245542887748E-2</v>
      </c>
      <c r="L616" s="38" t="s">
        <v>637</v>
      </c>
    </row>
    <row r="617" spans="1:12" ht="13">
      <c r="A617" s="18" t="s">
        <v>395</v>
      </c>
      <c r="B617" s="18" t="s">
        <v>381</v>
      </c>
      <c r="C617" s="33" t="s">
        <v>730</v>
      </c>
      <c r="D617" s="33" t="s">
        <v>84</v>
      </c>
      <c r="E617" s="18" t="s">
        <v>611</v>
      </c>
      <c r="F617" s="18">
        <v>2011</v>
      </c>
      <c r="G617" s="40">
        <v>25932</v>
      </c>
      <c r="H617" s="40">
        <f t="shared" ref="H617:I617" si="646">F617-F616</f>
        <v>1</v>
      </c>
      <c r="I617" s="40">
        <f t="shared" si="646"/>
        <v>-884</v>
      </c>
      <c r="J617" s="66">
        <f t="shared" si="631"/>
        <v>-3.2965393794749401E-2</v>
      </c>
      <c r="K617" s="65">
        <f t="shared" si="632"/>
        <v>-3.2965393794749401E-2</v>
      </c>
      <c r="L617" s="38" t="s">
        <v>637</v>
      </c>
    </row>
    <row r="618" spans="1:12" ht="13">
      <c r="A618" s="18" t="s">
        <v>395</v>
      </c>
      <c r="B618" s="18" t="s">
        <v>381</v>
      </c>
      <c r="C618" s="33" t="s">
        <v>730</v>
      </c>
      <c r="D618" s="33" t="s">
        <v>84</v>
      </c>
      <c r="E618" s="18" t="s">
        <v>611</v>
      </c>
      <c r="F618" s="18">
        <v>2012</v>
      </c>
      <c r="G618" s="40">
        <v>26653</v>
      </c>
      <c r="H618" s="40">
        <f t="shared" ref="H618:I618" si="647">F618-F617</f>
        <v>1</v>
      </c>
      <c r="I618" s="40">
        <f t="shared" si="647"/>
        <v>721</v>
      </c>
      <c r="J618" s="66">
        <f t="shared" si="631"/>
        <v>2.780348604041339E-2</v>
      </c>
      <c r="K618" s="65">
        <f t="shared" si="632"/>
        <v>2.780348604041339E-2</v>
      </c>
      <c r="L618" s="38" t="s">
        <v>637</v>
      </c>
    </row>
    <row r="619" spans="1:12" ht="13">
      <c r="A619" s="18" t="s">
        <v>395</v>
      </c>
      <c r="B619" s="18" t="s">
        <v>381</v>
      </c>
      <c r="C619" s="33" t="s">
        <v>730</v>
      </c>
      <c r="D619" s="33" t="s">
        <v>84</v>
      </c>
      <c r="E619" s="18" t="s">
        <v>611</v>
      </c>
      <c r="F619" s="18">
        <v>2013</v>
      </c>
      <c r="G619" s="40">
        <v>26360</v>
      </c>
      <c r="H619" s="40">
        <f t="shared" ref="H619:I619" si="648">F619-F618</f>
        <v>1</v>
      </c>
      <c r="I619" s="40">
        <f t="shared" si="648"/>
        <v>-293</v>
      </c>
      <c r="J619" s="66">
        <f t="shared" si="631"/>
        <v>-1.0993133981165347E-2</v>
      </c>
      <c r="K619" s="65">
        <f t="shared" si="632"/>
        <v>-1.0993133981165347E-2</v>
      </c>
      <c r="L619" s="38" t="s">
        <v>637</v>
      </c>
    </row>
    <row r="620" spans="1:12" ht="13">
      <c r="A620" s="18" t="s">
        <v>395</v>
      </c>
      <c r="B620" s="18" t="s">
        <v>381</v>
      </c>
      <c r="C620" s="33" t="s">
        <v>730</v>
      </c>
      <c r="D620" s="33" t="s">
        <v>84</v>
      </c>
      <c r="E620" s="18" t="s">
        <v>611</v>
      </c>
      <c r="F620" s="18">
        <v>2014</v>
      </c>
      <c r="G620" s="40">
        <v>25560</v>
      </c>
      <c r="H620" s="40">
        <f t="shared" ref="H620:I620" si="649">F620-F619</f>
        <v>1</v>
      </c>
      <c r="I620" s="40">
        <f t="shared" si="649"/>
        <v>-800</v>
      </c>
      <c r="J620" s="66">
        <f t="shared" si="631"/>
        <v>-3.0349013657056147E-2</v>
      </c>
      <c r="K620" s="65">
        <f t="shared" si="632"/>
        <v>-3.0349013657056147E-2</v>
      </c>
      <c r="L620" s="38" t="s">
        <v>637</v>
      </c>
    </row>
    <row r="621" spans="1:12" ht="13">
      <c r="A621" s="18" t="s">
        <v>395</v>
      </c>
      <c r="B621" s="18" t="s">
        <v>381</v>
      </c>
      <c r="C621" s="33" t="s">
        <v>730</v>
      </c>
      <c r="D621" s="33" t="s">
        <v>84</v>
      </c>
      <c r="E621" s="18" t="s">
        <v>611</v>
      </c>
      <c r="F621" s="18">
        <v>2015</v>
      </c>
      <c r="G621" s="40">
        <v>24971</v>
      </c>
      <c r="H621" s="40">
        <f t="shared" ref="H621:I621" si="650">F621-F620</f>
        <v>1</v>
      </c>
      <c r="I621" s="40">
        <f t="shared" si="650"/>
        <v>-589</v>
      </c>
      <c r="J621" s="66">
        <f t="shared" si="631"/>
        <v>-2.3043818466353679E-2</v>
      </c>
      <c r="K621" s="65">
        <f t="shared" si="632"/>
        <v>-2.3043818466353679E-2</v>
      </c>
      <c r="L621" s="38" t="s">
        <v>637</v>
      </c>
    </row>
    <row r="622" spans="1:12" ht="13">
      <c r="A622" s="18" t="s">
        <v>395</v>
      </c>
      <c r="B622" s="18" t="s">
        <v>381</v>
      </c>
      <c r="C622" s="33" t="s">
        <v>730</v>
      </c>
      <c r="D622" s="33" t="s">
        <v>84</v>
      </c>
      <c r="E622" s="18" t="s">
        <v>611</v>
      </c>
      <c r="F622" s="18">
        <v>2016</v>
      </c>
      <c r="G622" s="40">
        <v>25946</v>
      </c>
      <c r="H622" s="40">
        <f t="shared" ref="H622:I622" si="651">F622-F621</f>
        <v>1</v>
      </c>
      <c r="I622" s="40">
        <f t="shared" si="651"/>
        <v>975</v>
      </c>
      <c r="J622" s="66">
        <f t="shared" si="631"/>
        <v>3.904529253934564E-2</v>
      </c>
      <c r="K622" s="65">
        <f t="shared" si="632"/>
        <v>3.904529253934564E-2</v>
      </c>
      <c r="L622" s="38" t="s">
        <v>637</v>
      </c>
    </row>
    <row r="623" spans="1:12" ht="13">
      <c r="A623" s="18" t="s">
        <v>395</v>
      </c>
      <c r="B623" s="18" t="s">
        <v>381</v>
      </c>
      <c r="C623" s="33" t="s">
        <v>730</v>
      </c>
      <c r="D623" s="33" t="s">
        <v>84</v>
      </c>
      <c r="E623" s="18" t="s">
        <v>611</v>
      </c>
      <c r="F623" s="18">
        <v>2017</v>
      </c>
      <c r="G623" s="40">
        <v>27005</v>
      </c>
      <c r="H623" s="40">
        <f t="shared" ref="H623:I623" si="652">F623-F622</f>
        <v>1</v>
      </c>
      <c r="I623" s="40">
        <f t="shared" si="652"/>
        <v>1059</v>
      </c>
      <c r="J623" s="66">
        <f t="shared" si="631"/>
        <v>4.0815539967625068E-2</v>
      </c>
      <c r="K623" s="65">
        <f t="shared" si="632"/>
        <v>4.0815539967625068E-2</v>
      </c>
      <c r="L623" s="38" t="s">
        <v>637</v>
      </c>
    </row>
    <row r="624" spans="1:12" ht="13">
      <c r="A624" s="18" t="s">
        <v>395</v>
      </c>
      <c r="B624" s="18" t="s">
        <v>381</v>
      </c>
      <c r="C624" s="33" t="s">
        <v>730</v>
      </c>
      <c r="D624" s="33" t="s">
        <v>84</v>
      </c>
      <c r="E624" s="18" t="s">
        <v>611</v>
      </c>
      <c r="F624" s="18">
        <v>2018</v>
      </c>
      <c r="G624" s="40">
        <v>27684</v>
      </c>
      <c r="H624" s="40">
        <f t="shared" ref="H624:I624" si="653">F624-F623</f>
        <v>1</v>
      </c>
      <c r="I624" s="40">
        <f t="shared" si="653"/>
        <v>679</v>
      </c>
      <c r="J624" s="66">
        <f t="shared" si="631"/>
        <v>2.5143491945935938E-2</v>
      </c>
      <c r="K624" s="65">
        <f t="shared" si="632"/>
        <v>2.5143491945935938E-2</v>
      </c>
      <c r="L624" s="38" t="s">
        <v>637</v>
      </c>
    </row>
    <row r="625" spans="1:31" ht="16">
      <c r="A625" s="30" t="s">
        <v>731</v>
      </c>
      <c r="B625" s="30" t="s">
        <v>381</v>
      </c>
      <c r="C625" s="30" t="s">
        <v>732</v>
      </c>
      <c r="D625" s="30" t="s">
        <v>733</v>
      </c>
      <c r="E625" s="30" t="s">
        <v>611</v>
      </c>
      <c r="F625" s="55">
        <v>1984</v>
      </c>
      <c r="G625" s="51">
        <v>3072</v>
      </c>
      <c r="H625" s="51" t="s">
        <v>402</v>
      </c>
      <c r="I625" s="51" t="s">
        <v>402</v>
      </c>
      <c r="J625" s="51" t="s">
        <v>402</v>
      </c>
      <c r="K625" s="51" t="s">
        <v>402</v>
      </c>
      <c r="L625" s="50" t="s">
        <v>734</v>
      </c>
      <c r="M625" s="30"/>
      <c r="N625" s="30"/>
      <c r="O625" s="30"/>
      <c r="P625" s="30"/>
      <c r="Q625" s="30"/>
      <c r="R625" s="30"/>
      <c r="S625" s="30"/>
      <c r="T625" s="30"/>
      <c r="U625" s="30"/>
      <c r="V625" s="30"/>
      <c r="W625" s="30"/>
      <c r="X625" s="30"/>
      <c r="Y625" s="30"/>
      <c r="Z625" s="30"/>
      <c r="AA625" s="30"/>
      <c r="AB625" s="30"/>
      <c r="AC625" s="30"/>
      <c r="AD625" s="30"/>
      <c r="AE625" s="30"/>
    </row>
    <row r="626" spans="1:31" ht="16">
      <c r="A626" s="30" t="s">
        <v>731</v>
      </c>
      <c r="B626" s="30" t="s">
        <v>381</v>
      </c>
      <c r="C626" s="30" t="s">
        <v>732</v>
      </c>
      <c r="D626" s="30" t="s">
        <v>733</v>
      </c>
      <c r="E626" s="30" t="s">
        <v>611</v>
      </c>
      <c r="F626" s="55">
        <v>1985</v>
      </c>
      <c r="G626" s="51">
        <v>2264</v>
      </c>
      <c r="H626" s="51" t="s">
        <v>402</v>
      </c>
      <c r="I626" s="51" t="s">
        <v>402</v>
      </c>
      <c r="J626" s="51" t="s">
        <v>402</v>
      </c>
      <c r="K626" s="51" t="s">
        <v>402</v>
      </c>
      <c r="L626" s="50" t="s">
        <v>734</v>
      </c>
      <c r="M626" s="30"/>
      <c r="N626" s="30"/>
      <c r="O626" s="30"/>
      <c r="P626" s="30"/>
      <c r="Q626" s="30"/>
      <c r="R626" s="30"/>
      <c r="S626" s="30"/>
      <c r="T626" s="30"/>
      <c r="U626" s="30"/>
      <c r="V626" s="30"/>
      <c r="W626" s="30"/>
      <c r="X626" s="30"/>
      <c r="Y626" s="30"/>
      <c r="Z626" s="30"/>
      <c r="AA626" s="30"/>
      <c r="AB626" s="30"/>
      <c r="AC626" s="30"/>
      <c r="AD626" s="30"/>
      <c r="AE626" s="30"/>
    </row>
    <row r="627" spans="1:31" ht="16">
      <c r="A627" s="30" t="s">
        <v>731</v>
      </c>
      <c r="B627" s="30" t="s">
        <v>381</v>
      </c>
      <c r="C627" s="30" t="s">
        <v>732</v>
      </c>
      <c r="D627" s="30" t="s">
        <v>733</v>
      </c>
      <c r="E627" s="30" t="s">
        <v>611</v>
      </c>
      <c r="F627" s="55">
        <v>1986</v>
      </c>
      <c r="G627" s="51">
        <v>1748</v>
      </c>
      <c r="H627" s="51" t="s">
        <v>402</v>
      </c>
      <c r="I627" s="51" t="s">
        <v>402</v>
      </c>
      <c r="J627" s="51" t="s">
        <v>402</v>
      </c>
      <c r="K627" s="51" t="s">
        <v>402</v>
      </c>
      <c r="L627" s="50" t="s">
        <v>734</v>
      </c>
      <c r="M627" s="30"/>
      <c r="N627" s="30"/>
      <c r="O627" s="30"/>
      <c r="P627" s="30"/>
      <c r="Q627" s="30"/>
      <c r="R627" s="30"/>
      <c r="S627" s="30"/>
      <c r="T627" s="30"/>
      <c r="U627" s="30"/>
      <c r="V627" s="30"/>
      <c r="W627" s="30"/>
      <c r="X627" s="30"/>
      <c r="Y627" s="30"/>
      <c r="Z627" s="30"/>
      <c r="AA627" s="30"/>
      <c r="AB627" s="30"/>
      <c r="AC627" s="30"/>
      <c r="AD627" s="30"/>
      <c r="AE627" s="30"/>
    </row>
    <row r="628" spans="1:31" ht="16">
      <c r="A628" s="30" t="s">
        <v>731</v>
      </c>
      <c r="B628" s="30" t="s">
        <v>381</v>
      </c>
      <c r="C628" s="30" t="s">
        <v>732</v>
      </c>
      <c r="D628" s="30" t="s">
        <v>733</v>
      </c>
      <c r="E628" s="30" t="s">
        <v>611</v>
      </c>
      <c r="F628" s="55">
        <v>1987</v>
      </c>
      <c r="G628" s="51">
        <v>4313</v>
      </c>
      <c r="H628" s="51" t="s">
        <v>402</v>
      </c>
      <c r="I628" s="51" t="s">
        <v>402</v>
      </c>
      <c r="J628" s="51" t="s">
        <v>402</v>
      </c>
      <c r="K628" s="51" t="s">
        <v>402</v>
      </c>
      <c r="L628" s="50" t="s">
        <v>734</v>
      </c>
      <c r="M628" s="30"/>
      <c r="N628" s="30"/>
      <c r="O628" s="30"/>
      <c r="P628" s="30"/>
      <c r="Q628" s="30"/>
      <c r="R628" s="30"/>
      <c r="S628" s="30"/>
      <c r="T628" s="30"/>
      <c r="U628" s="30"/>
      <c r="V628" s="30"/>
      <c r="W628" s="30"/>
      <c r="X628" s="30"/>
      <c r="Y628" s="30"/>
      <c r="Z628" s="30"/>
      <c r="AA628" s="30"/>
      <c r="AB628" s="30"/>
      <c r="AC628" s="30"/>
      <c r="AD628" s="30"/>
      <c r="AE628" s="30"/>
    </row>
    <row r="629" spans="1:31" ht="16">
      <c r="A629" s="30" t="s">
        <v>731</v>
      </c>
      <c r="B629" s="30" t="s">
        <v>381</v>
      </c>
      <c r="C629" s="30" t="s">
        <v>732</v>
      </c>
      <c r="D629" s="30" t="s">
        <v>733</v>
      </c>
      <c r="E629" s="30" t="s">
        <v>611</v>
      </c>
      <c r="F629" s="55">
        <v>1988</v>
      </c>
      <c r="G629" s="51">
        <v>3944</v>
      </c>
      <c r="H629" s="51" t="s">
        <v>402</v>
      </c>
      <c r="I629" s="51" t="s">
        <v>402</v>
      </c>
      <c r="J629" s="51" t="s">
        <v>402</v>
      </c>
      <c r="K629" s="51" t="s">
        <v>402</v>
      </c>
      <c r="L629" s="50" t="s">
        <v>734</v>
      </c>
      <c r="M629" s="30"/>
      <c r="N629" s="30"/>
      <c r="O629" s="30"/>
      <c r="P629" s="30"/>
      <c r="Q629" s="30"/>
      <c r="R629" s="30"/>
      <c r="S629" s="30"/>
      <c r="T629" s="30"/>
      <c r="U629" s="30"/>
      <c r="V629" s="30"/>
      <c r="W629" s="30"/>
      <c r="X629" s="30"/>
      <c r="Y629" s="30"/>
      <c r="Z629" s="30"/>
      <c r="AA629" s="30"/>
      <c r="AB629" s="30"/>
      <c r="AC629" s="30"/>
      <c r="AD629" s="30"/>
      <c r="AE629" s="30"/>
    </row>
    <row r="630" spans="1:31" ht="16">
      <c r="A630" s="30" t="s">
        <v>731</v>
      </c>
      <c r="B630" s="30" t="s">
        <v>381</v>
      </c>
      <c r="C630" s="30" t="s">
        <v>732</v>
      </c>
      <c r="D630" s="30" t="s">
        <v>733</v>
      </c>
      <c r="E630" s="30" t="s">
        <v>611</v>
      </c>
      <c r="F630" s="55">
        <v>1989</v>
      </c>
      <c r="G630" s="51">
        <v>4309</v>
      </c>
      <c r="H630" s="51" t="s">
        <v>402</v>
      </c>
      <c r="I630" s="51" t="s">
        <v>402</v>
      </c>
      <c r="J630" s="51" t="s">
        <v>402</v>
      </c>
      <c r="K630" s="51" t="s">
        <v>402</v>
      </c>
      <c r="L630" s="50" t="s">
        <v>734</v>
      </c>
      <c r="M630" s="30"/>
      <c r="N630" s="30"/>
      <c r="O630" s="30"/>
      <c r="P630" s="30"/>
      <c r="Q630" s="30"/>
      <c r="R630" s="30"/>
      <c r="S630" s="30"/>
      <c r="T630" s="30"/>
      <c r="U630" s="30"/>
      <c r="V630" s="30"/>
      <c r="W630" s="30"/>
      <c r="X630" s="30"/>
      <c r="Y630" s="30"/>
      <c r="Z630" s="30"/>
      <c r="AA630" s="30"/>
      <c r="AB630" s="30"/>
      <c r="AC630" s="30"/>
      <c r="AD630" s="30"/>
      <c r="AE630" s="30"/>
    </row>
    <row r="631" spans="1:31" ht="16">
      <c r="A631" s="30" t="s">
        <v>731</v>
      </c>
      <c r="B631" s="30" t="s">
        <v>381</v>
      </c>
      <c r="C631" s="30" t="s">
        <v>732</v>
      </c>
      <c r="D631" s="30" t="s">
        <v>733</v>
      </c>
      <c r="E631" s="30" t="s">
        <v>611</v>
      </c>
      <c r="F631" s="55">
        <v>1990</v>
      </c>
      <c r="G631" s="51">
        <v>2840</v>
      </c>
      <c r="H631" s="51" t="s">
        <v>402</v>
      </c>
      <c r="I631" s="51" t="s">
        <v>402</v>
      </c>
      <c r="J631" s="51" t="s">
        <v>402</v>
      </c>
      <c r="K631" s="51" t="s">
        <v>402</v>
      </c>
      <c r="L631" s="50" t="s">
        <v>734</v>
      </c>
      <c r="M631" s="30"/>
      <c r="N631" s="30"/>
      <c r="O631" s="30"/>
      <c r="P631" s="30"/>
      <c r="Q631" s="30"/>
      <c r="R631" s="30"/>
      <c r="S631" s="30"/>
      <c r="T631" s="30"/>
      <c r="U631" s="30"/>
      <c r="V631" s="30"/>
      <c r="W631" s="30"/>
      <c r="X631" s="30"/>
      <c r="Y631" s="30"/>
      <c r="Z631" s="30"/>
      <c r="AA631" s="30"/>
      <c r="AB631" s="30"/>
      <c r="AC631" s="30"/>
      <c r="AD631" s="30"/>
      <c r="AE631" s="30"/>
    </row>
    <row r="632" spans="1:31" ht="16">
      <c r="A632" s="30" t="s">
        <v>731</v>
      </c>
      <c r="B632" s="30" t="s">
        <v>381</v>
      </c>
      <c r="C632" s="30" t="s">
        <v>732</v>
      </c>
      <c r="D632" s="30" t="s">
        <v>733</v>
      </c>
      <c r="E632" s="30" t="s">
        <v>611</v>
      </c>
      <c r="F632" s="55">
        <v>1991</v>
      </c>
      <c r="G632" s="51">
        <v>4598</v>
      </c>
      <c r="H632" s="51" t="s">
        <v>402</v>
      </c>
      <c r="I632" s="51" t="s">
        <v>402</v>
      </c>
      <c r="J632" s="51" t="s">
        <v>402</v>
      </c>
      <c r="K632" s="51" t="s">
        <v>402</v>
      </c>
      <c r="L632" s="50" t="s">
        <v>734</v>
      </c>
      <c r="M632" s="30"/>
      <c r="N632" s="30"/>
      <c r="O632" s="30"/>
      <c r="P632" s="30"/>
      <c r="Q632" s="30"/>
      <c r="R632" s="30"/>
      <c r="S632" s="30"/>
      <c r="T632" s="30"/>
      <c r="U632" s="30"/>
      <c r="V632" s="30"/>
      <c r="W632" s="30"/>
      <c r="X632" s="30"/>
      <c r="Y632" s="30"/>
      <c r="Z632" s="30"/>
      <c r="AA632" s="30"/>
      <c r="AB632" s="30"/>
      <c r="AC632" s="30"/>
      <c r="AD632" s="30"/>
      <c r="AE632" s="30"/>
    </row>
    <row r="633" spans="1:31" ht="16">
      <c r="A633" s="30" t="s">
        <v>731</v>
      </c>
      <c r="B633" s="30" t="s">
        <v>381</v>
      </c>
      <c r="C633" s="30" t="s">
        <v>732</v>
      </c>
      <c r="D633" s="30" t="s">
        <v>733</v>
      </c>
      <c r="E633" s="30" t="s">
        <v>611</v>
      </c>
      <c r="F633" s="55">
        <v>1992</v>
      </c>
      <c r="G633" s="51">
        <v>4376</v>
      </c>
      <c r="H633" s="51" t="s">
        <v>402</v>
      </c>
      <c r="I633" s="51" t="s">
        <v>402</v>
      </c>
      <c r="J633" s="51" t="s">
        <v>402</v>
      </c>
      <c r="K633" s="51" t="s">
        <v>402</v>
      </c>
      <c r="L633" s="50" t="s">
        <v>734</v>
      </c>
      <c r="M633" s="30"/>
      <c r="N633" s="30"/>
      <c r="O633" s="30"/>
      <c r="P633" s="30"/>
      <c r="Q633" s="30"/>
      <c r="R633" s="30"/>
      <c r="S633" s="30"/>
      <c r="T633" s="30"/>
      <c r="U633" s="30"/>
      <c r="V633" s="30"/>
      <c r="W633" s="30"/>
      <c r="X633" s="30"/>
      <c r="Y633" s="30"/>
      <c r="Z633" s="30"/>
      <c r="AA633" s="30"/>
      <c r="AB633" s="30"/>
      <c r="AC633" s="30"/>
      <c r="AD633" s="30"/>
      <c r="AE633" s="30"/>
    </row>
    <row r="634" spans="1:31" ht="16">
      <c r="A634" s="30" t="s">
        <v>731</v>
      </c>
      <c r="B634" s="30" t="s">
        <v>381</v>
      </c>
      <c r="C634" s="30" t="s">
        <v>732</v>
      </c>
      <c r="D634" s="30" t="s">
        <v>733</v>
      </c>
      <c r="E634" s="30" t="s">
        <v>611</v>
      </c>
      <c r="F634" s="55">
        <v>1993</v>
      </c>
      <c r="G634" s="51">
        <v>3200</v>
      </c>
      <c r="H634" s="51" t="s">
        <v>402</v>
      </c>
      <c r="I634" s="51" t="s">
        <v>402</v>
      </c>
      <c r="J634" s="51" t="s">
        <v>402</v>
      </c>
      <c r="K634" s="51" t="s">
        <v>402</v>
      </c>
      <c r="L634" s="50" t="s">
        <v>734</v>
      </c>
      <c r="M634" s="30"/>
      <c r="N634" s="30"/>
      <c r="O634" s="30"/>
      <c r="P634" s="30"/>
      <c r="Q634" s="30"/>
      <c r="R634" s="30"/>
      <c r="S634" s="30"/>
      <c r="T634" s="30"/>
      <c r="U634" s="30"/>
      <c r="V634" s="30"/>
      <c r="W634" s="30"/>
      <c r="X634" s="30"/>
      <c r="Y634" s="30"/>
      <c r="Z634" s="30"/>
      <c r="AA634" s="30"/>
      <c r="AB634" s="30"/>
      <c r="AC634" s="30"/>
      <c r="AD634" s="30"/>
      <c r="AE634" s="30"/>
    </row>
    <row r="635" spans="1:31" ht="16">
      <c r="A635" s="30" t="s">
        <v>731</v>
      </c>
      <c r="B635" s="30" t="s">
        <v>381</v>
      </c>
      <c r="C635" s="30" t="s">
        <v>732</v>
      </c>
      <c r="D635" s="30" t="s">
        <v>733</v>
      </c>
      <c r="E635" s="30" t="s">
        <v>611</v>
      </c>
      <c r="F635" s="55">
        <v>1994</v>
      </c>
      <c r="G635" s="51">
        <v>4225</v>
      </c>
      <c r="H635" s="51" t="s">
        <v>402</v>
      </c>
      <c r="I635" s="51" t="s">
        <v>402</v>
      </c>
      <c r="J635" s="51" t="s">
        <v>402</v>
      </c>
      <c r="K635" s="51" t="s">
        <v>402</v>
      </c>
      <c r="L635" s="50" t="s">
        <v>734</v>
      </c>
      <c r="M635" s="30"/>
      <c r="N635" s="30"/>
      <c r="O635" s="30"/>
      <c r="P635" s="30"/>
      <c r="Q635" s="30"/>
      <c r="R635" s="30"/>
      <c r="S635" s="30"/>
      <c r="T635" s="30"/>
      <c r="U635" s="30"/>
      <c r="V635" s="30"/>
      <c r="W635" s="30"/>
      <c r="X635" s="30"/>
      <c r="Y635" s="30"/>
      <c r="Z635" s="30"/>
      <c r="AA635" s="30"/>
      <c r="AB635" s="30"/>
      <c r="AC635" s="30"/>
      <c r="AD635" s="30"/>
      <c r="AE635" s="30"/>
    </row>
    <row r="636" spans="1:31" ht="16">
      <c r="A636" s="30" t="s">
        <v>731</v>
      </c>
      <c r="B636" s="30" t="s">
        <v>381</v>
      </c>
      <c r="C636" s="30" t="s">
        <v>732</v>
      </c>
      <c r="D636" s="30" t="s">
        <v>733</v>
      </c>
      <c r="E636" s="30" t="s">
        <v>611</v>
      </c>
      <c r="F636" s="55">
        <v>1995</v>
      </c>
      <c r="G636" s="51">
        <v>2976</v>
      </c>
      <c r="H636" s="51" t="s">
        <v>402</v>
      </c>
      <c r="I636" s="51" t="s">
        <v>402</v>
      </c>
      <c r="J636" s="51" t="s">
        <v>402</v>
      </c>
      <c r="K636" s="51" t="s">
        <v>402</v>
      </c>
      <c r="L636" s="50" t="s">
        <v>734</v>
      </c>
      <c r="M636" s="30"/>
      <c r="N636" s="30"/>
      <c r="O636" s="30"/>
      <c r="P636" s="30"/>
      <c r="Q636" s="30"/>
      <c r="R636" s="30"/>
      <c r="S636" s="30"/>
      <c r="T636" s="30"/>
      <c r="U636" s="30"/>
      <c r="V636" s="30"/>
      <c r="W636" s="30"/>
      <c r="X636" s="30"/>
      <c r="Y636" s="30"/>
      <c r="Z636" s="30"/>
      <c r="AA636" s="30"/>
      <c r="AB636" s="30"/>
      <c r="AC636" s="30"/>
      <c r="AD636" s="30"/>
      <c r="AE636" s="30"/>
    </row>
    <row r="637" spans="1:31" ht="16">
      <c r="A637" s="30" t="s">
        <v>731</v>
      </c>
      <c r="B637" s="30" t="s">
        <v>381</v>
      </c>
      <c r="C637" s="30" t="s">
        <v>732</v>
      </c>
      <c r="D637" s="30" t="s">
        <v>733</v>
      </c>
      <c r="E637" s="30" t="s">
        <v>611</v>
      </c>
      <c r="F637" s="55">
        <v>2000</v>
      </c>
      <c r="G637" s="51">
        <v>3699</v>
      </c>
      <c r="H637" s="51" t="s">
        <v>402</v>
      </c>
      <c r="I637" s="51" t="s">
        <v>402</v>
      </c>
      <c r="J637" s="51" t="s">
        <v>402</v>
      </c>
      <c r="K637" s="51" t="s">
        <v>402</v>
      </c>
      <c r="L637" s="50" t="s">
        <v>734</v>
      </c>
      <c r="M637" s="30"/>
      <c r="N637" s="30"/>
      <c r="O637" s="30"/>
      <c r="P637" s="30"/>
      <c r="Q637" s="30"/>
      <c r="R637" s="30"/>
      <c r="S637" s="30"/>
      <c r="T637" s="30"/>
      <c r="U637" s="30"/>
      <c r="V637" s="30"/>
      <c r="W637" s="30"/>
      <c r="X637" s="30"/>
      <c r="Y637" s="30"/>
      <c r="Z637" s="30"/>
      <c r="AA637" s="30"/>
      <c r="AB637" s="30"/>
      <c r="AC637" s="30"/>
      <c r="AD637" s="30"/>
      <c r="AE637" s="30"/>
    </row>
    <row r="638" spans="1:31" ht="16">
      <c r="A638" s="30" t="s">
        <v>731</v>
      </c>
      <c r="B638" s="30" t="s">
        <v>381</v>
      </c>
      <c r="C638" s="30" t="s">
        <v>732</v>
      </c>
      <c r="D638" s="30" t="s">
        <v>733</v>
      </c>
      <c r="E638" s="30" t="s">
        <v>611</v>
      </c>
      <c r="F638" s="55">
        <v>2002</v>
      </c>
      <c r="G638" s="51">
        <v>3768</v>
      </c>
      <c r="H638" s="51" t="s">
        <v>402</v>
      </c>
      <c r="I638" s="51" t="s">
        <v>402</v>
      </c>
      <c r="J638" s="51" t="s">
        <v>402</v>
      </c>
      <c r="K638" s="51" t="s">
        <v>402</v>
      </c>
      <c r="L638" s="50" t="s">
        <v>734</v>
      </c>
      <c r="M638" s="30"/>
      <c r="N638" s="30"/>
      <c r="O638" s="30"/>
      <c r="P638" s="30"/>
      <c r="Q638" s="30"/>
      <c r="R638" s="30"/>
      <c r="S638" s="30"/>
      <c r="T638" s="30"/>
      <c r="U638" s="30"/>
      <c r="V638" s="30"/>
      <c r="W638" s="30"/>
      <c r="X638" s="30"/>
      <c r="Y638" s="30"/>
      <c r="Z638" s="30"/>
      <c r="AA638" s="30"/>
      <c r="AB638" s="30"/>
      <c r="AC638" s="30"/>
      <c r="AD638" s="30"/>
      <c r="AE638" s="30"/>
    </row>
    <row r="639" spans="1:31" ht="16">
      <c r="A639" s="30" t="s">
        <v>731</v>
      </c>
      <c r="B639" s="30" t="s">
        <v>381</v>
      </c>
      <c r="C639" s="30" t="s">
        <v>732</v>
      </c>
      <c r="D639" s="30" t="s">
        <v>733</v>
      </c>
      <c r="E639" s="30" t="s">
        <v>611</v>
      </c>
      <c r="F639" s="55">
        <v>2004</v>
      </c>
      <c r="G639" s="51">
        <v>4277</v>
      </c>
      <c r="H639" s="51" t="s">
        <v>402</v>
      </c>
      <c r="I639" s="51" t="s">
        <v>402</v>
      </c>
      <c r="J639" s="51" t="s">
        <v>402</v>
      </c>
      <c r="K639" s="51" t="s">
        <v>402</v>
      </c>
      <c r="L639" s="50" t="s">
        <v>734</v>
      </c>
      <c r="M639" s="30"/>
      <c r="N639" s="30"/>
      <c r="O639" s="30"/>
      <c r="P639" s="30"/>
      <c r="Q639" s="30"/>
      <c r="R639" s="30"/>
      <c r="S639" s="30"/>
      <c r="T639" s="30"/>
      <c r="U639" s="30"/>
      <c r="V639" s="30"/>
      <c r="W639" s="30"/>
      <c r="X639" s="30"/>
      <c r="Y639" s="30"/>
      <c r="Z639" s="30"/>
      <c r="AA639" s="30"/>
      <c r="AB639" s="30"/>
      <c r="AC639" s="30"/>
      <c r="AD639" s="30"/>
      <c r="AE639" s="30"/>
    </row>
    <row r="640" spans="1:31" ht="16">
      <c r="A640" s="30" t="s">
        <v>731</v>
      </c>
      <c r="B640" s="30" t="s">
        <v>381</v>
      </c>
      <c r="C640" s="30" t="s">
        <v>732</v>
      </c>
      <c r="D640" s="30" t="s">
        <v>733</v>
      </c>
      <c r="E640" s="30" t="s">
        <v>611</v>
      </c>
      <c r="F640" s="55">
        <v>2007</v>
      </c>
      <c r="G640" s="51">
        <v>3831</v>
      </c>
      <c r="H640" s="51" t="s">
        <v>402</v>
      </c>
      <c r="I640" s="51" t="s">
        <v>402</v>
      </c>
      <c r="J640" s="51" t="s">
        <v>402</v>
      </c>
      <c r="K640" s="51" t="s">
        <v>402</v>
      </c>
      <c r="L640" s="50" t="s">
        <v>734</v>
      </c>
      <c r="M640" s="30"/>
      <c r="N640" s="30"/>
      <c r="O640" s="30"/>
      <c r="P640" s="30"/>
      <c r="Q640" s="30"/>
      <c r="R640" s="30"/>
      <c r="S640" s="30"/>
      <c r="T640" s="30"/>
      <c r="U640" s="30"/>
      <c r="V640" s="30"/>
      <c r="W640" s="30"/>
      <c r="X640" s="30"/>
      <c r="Y640" s="30"/>
      <c r="Z640" s="30"/>
      <c r="AA640" s="30"/>
      <c r="AB640" s="30"/>
      <c r="AC640" s="30"/>
      <c r="AD640" s="30"/>
      <c r="AE640" s="30"/>
    </row>
    <row r="641" spans="1:31" ht="16">
      <c r="A641" s="30" t="s">
        <v>731</v>
      </c>
      <c r="B641" s="30" t="s">
        <v>381</v>
      </c>
      <c r="C641" s="30" t="s">
        <v>732</v>
      </c>
      <c r="D641" s="30" t="s">
        <v>733</v>
      </c>
      <c r="E641" s="30" t="s">
        <v>611</v>
      </c>
      <c r="F641" s="55">
        <v>2009</v>
      </c>
      <c r="G641" s="51">
        <v>3460</v>
      </c>
      <c r="H641" s="51" t="s">
        <v>402</v>
      </c>
      <c r="I641" s="51" t="s">
        <v>402</v>
      </c>
      <c r="J641" s="51" t="s">
        <v>402</v>
      </c>
      <c r="K641" s="51" t="s">
        <v>402</v>
      </c>
      <c r="L641" s="50" t="s">
        <v>734</v>
      </c>
      <c r="M641" s="30"/>
      <c r="N641" s="30"/>
      <c r="O641" s="30"/>
      <c r="P641" s="30"/>
      <c r="Q641" s="30"/>
      <c r="R641" s="30"/>
      <c r="S641" s="30"/>
      <c r="T641" s="30"/>
      <c r="U641" s="30"/>
      <c r="V641" s="30"/>
      <c r="W641" s="30"/>
      <c r="X641" s="30"/>
      <c r="Y641" s="30"/>
      <c r="Z641" s="30"/>
      <c r="AA641" s="30"/>
      <c r="AB641" s="30"/>
      <c r="AC641" s="30"/>
      <c r="AD641" s="30"/>
      <c r="AE641" s="30"/>
    </row>
    <row r="642" spans="1:31" ht="16">
      <c r="A642" s="30" t="s">
        <v>731</v>
      </c>
      <c r="B642" s="30" t="s">
        <v>381</v>
      </c>
      <c r="C642" s="30" t="s">
        <v>732</v>
      </c>
      <c r="D642" s="30" t="s">
        <v>733</v>
      </c>
      <c r="E642" s="30" t="s">
        <v>611</v>
      </c>
      <c r="F642" s="55">
        <v>2012</v>
      </c>
      <c r="G642" s="51">
        <v>4481</v>
      </c>
      <c r="H642" s="51" t="s">
        <v>402</v>
      </c>
      <c r="I642" s="51" t="s">
        <v>402</v>
      </c>
      <c r="J642" s="51" t="s">
        <v>402</v>
      </c>
      <c r="K642" s="51" t="s">
        <v>402</v>
      </c>
      <c r="L642" s="50" t="s">
        <v>734</v>
      </c>
      <c r="M642" s="30"/>
      <c r="N642" s="30"/>
      <c r="O642" s="30"/>
      <c r="P642" s="30"/>
      <c r="Q642" s="30"/>
      <c r="R642" s="30"/>
      <c r="S642" s="30"/>
      <c r="T642" s="30"/>
      <c r="U642" s="30"/>
      <c r="V642" s="30"/>
      <c r="W642" s="30"/>
      <c r="X642" s="30"/>
      <c r="Y642" s="30"/>
      <c r="Z642" s="30"/>
      <c r="AA642" s="30"/>
      <c r="AB642" s="30"/>
      <c r="AC642" s="30"/>
      <c r="AD642" s="30"/>
      <c r="AE642" s="30"/>
    </row>
    <row r="643" spans="1:31" ht="16">
      <c r="A643" s="30" t="s">
        <v>735</v>
      </c>
      <c r="B643" s="30" t="s">
        <v>381</v>
      </c>
      <c r="C643" s="18" t="s">
        <v>736</v>
      </c>
      <c r="D643" s="30" t="s">
        <v>733</v>
      </c>
      <c r="E643" s="30" t="s">
        <v>611</v>
      </c>
      <c r="F643" s="55">
        <v>1982</v>
      </c>
      <c r="G643" s="51">
        <v>12759</v>
      </c>
      <c r="H643" s="51" t="s">
        <v>402</v>
      </c>
      <c r="I643" s="51" t="s">
        <v>402</v>
      </c>
      <c r="J643" s="51" t="s">
        <v>402</v>
      </c>
      <c r="K643" s="51" t="s">
        <v>402</v>
      </c>
      <c r="L643" s="50" t="s">
        <v>734</v>
      </c>
      <c r="M643" s="30"/>
      <c r="N643" s="30"/>
      <c r="O643" s="30"/>
      <c r="P643" s="30"/>
      <c r="Q643" s="30"/>
      <c r="R643" s="30"/>
      <c r="S643" s="30"/>
      <c r="T643" s="30"/>
      <c r="U643" s="30"/>
      <c r="V643" s="30"/>
      <c r="W643" s="30"/>
      <c r="X643" s="30"/>
      <c r="Y643" s="30"/>
      <c r="Z643" s="30"/>
      <c r="AA643" s="30"/>
      <c r="AB643" s="30"/>
      <c r="AC643" s="30"/>
      <c r="AD643" s="30"/>
      <c r="AE643" s="30"/>
    </row>
    <row r="644" spans="1:31" ht="16">
      <c r="A644" s="30" t="s">
        <v>735</v>
      </c>
      <c r="B644" s="30" t="s">
        <v>381</v>
      </c>
      <c r="C644" s="18" t="s">
        <v>736</v>
      </c>
      <c r="D644" s="30" t="s">
        <v>733</v>
      </c>
      <c r="E644" s="30" t="s">
        <v>611</v>
      </c>
      <c r="F644" s="55">
        <v>1983</v>
      </c>
      <c r="G644" s="51">
        <v>10923</v>
      </c>
      <c r="H644" s="51" t="s">
        <v>402</v>
      </c>
      <c r="I644" s="51" t="s">
        <v>402</v>
      </c>
      <c r="J644" s="51" t="s">
        <v>402</v>
      </c>
      <c r="K644" s="51" t="s">
        <v>402</v>
      </c>
      <c r="L644" s="50" t="s">
        <v>734</v>
      </c>
      <c r="M644" s="30"/>
      <c r="N644" s="30"/>
      <c r="O644" s="30"/>
      <c r="P644" s="30"/>
      <c r="Q644" s="30"/>
      <c r="R644" s="30"/>
      <c r="S644" s="30"/>
      <c r="T644" s="30"/>
      <c r="U644" s="30"/>
      <c r="V644" s="30"/>
      <c r="W644" s="30"/>
      <c r="X644" s="30"/>
      <c r="Y644" s="30"/>
      <c r="Z644" s="30"/>
      <c r="AA644" s="30"/>
      <c r="AB644" s="30"/>
      <c r="AC644" s="30"/>
      <c r="AD644" s="30"/>
      <c r="AE644" s="30"/>
    </row>
    <row r="645" spans="1:31" ht="16">
      <c r="A645" s="30" t="s">
        <v>735</v>
      </c>
      <c r="B645" s="30" t="s">
        <v>381</v>
      </c>
      <c r="C645" s="18" t="s">
        <v>736</v>
      </c>
      <c r="D645" s="30" t="s">
        <v>733</v>
      </c>
      <c r="E645" s="30" t="s">
        <v>611</v>
      </c>
      <c r="F645" s="55">
        <v>1984</v>
      </c>
      <c r="G645" s="51">
        <v>10994</v>
      </c>
      <c r="H645" s="51" t="s">
        <v>402</v>
      </c>
      <c r="I645" s="51" t="s">
        <v>402</v>
      </c>
      <c r="J645" s="51" t="s">
        <v>402</v>
      </c>
      <c r="K645" s="51" t="s">
        <v>402</v>
      </c>
      <c r="L645" s="50" t="s">
        <v>734</v>
      </c>
      <c r="M645" s="30"/>
      <c r="N645" s="30"/>
      <c r="O645" s="30"/>
      <c r="P645" s="30"/>
      <c r="Q645" s="30"/>
      <c r="R645" s="30"/>
      <c r="S645" s="30"/>
      <c r="T645" s="30"/>
      <c r="U645" s="30"/>
      <c r="V645" s="30"/>
      <c r="W645" s="30"/>
      <c r="X645" s="30"/>
      <c r="Y645" s="30"/>
      <c r="Z645" s="30"/>
      <c r="AA645" s="30"/>
      <c r="AB645" s="30"/>
      <c r="AC645" s="30"/>
      <c r="AD645" s="30"/>
      <c r="AE645" s="30"/>
    </row>
    <row r="646" spans="1:31" ht="16">
      <c r="A646" s="30" t="s">
        <v>735</v>
      </c>
      <c r="B646" s="30" t="s">
        <v>381</v>
      </c>
      <c r="C646" s="18" t="s">
        <v>736</v>
      </c>
      <c r="D646" s="30" t="s">
        <v>733</v>
      </c>
      <c r="E646" s="30" t="s">
        <v>611</v>
      </c>
      <c r="F646" s="55">
        <v>1985</v>
      </c>
      <c r="G646" s="51">
        <v>12459</v>
      </c>
      <c r="H646" s="51" t="s">
        <v>402</v>
      </c>
      <c r="I646" s="51" t="s">
        <v>402</v>
      </c>
      <c r="J646" s="51" t="s">
        <v>402</v>
      </c>
      <c r="K646" s="51" t="s">
        <v>402</v>
      </c>
      <c r="L646" s="50" t="s">
        <v>734</v>
      </c>
      <c r="M646" s="30"/>
      <c r="N646" s="30"/>
      <c r="O646" s="30"/>
      <c r="P646" s="30"/>
      <c r="Q646" s="30"/>
      <c r="R646" s="30"/>
      <c r="S646" s="30"/>
      <c r="T646" s="30"/>
      <c r="U646" s="30"/>
      <c r="V646" s="30"/>
      <c r="W646" s="30"/>
      <c r="X646" s="30"/>
      <c r="Y646" s="30"/>
      <c r="Z646" s="30"/>
      <c r="AA646" s="30"/>
      <c r="AB646" s="30"/>
      <c r="AC646" s="30"/>
      <c r="AD646" s="30"/>
      <c r="AE646" s="30"/>
    </row>
    <row r="647" spans="1:31" ht="16">
      <c r="A647" s="30" t="s">
        <v>735</v>
      </c>
      <c r="B647" s="30" t="s">
        <v>381</v>
      </c>
      <c r="C647" s="18" t="s">
        <v>736</v>
      </c>
      <c r="D647" s="30" t="s">
        <v>733</v>
      </c>
      <c r="E647" s="30" t="s">
        <v>611</v>
      </c>
      <c r="F647" s="55">
        <v>1986</v>
      </c>
      <c r="G647" s="51">
        <v>13850</v>
      </c>
      <c r="H647" s="51" t="s">
        <v>402</v>
      </c>
      <c r="I647" s="51" t="s">
        <v>402</v>
      </c>
      <c r="J647" s="51" t="s">
        <v>402</v>
      </c>
      <c r="K647" s="51" t="s">
        <v>402</v>
      </c>
      <c r="L647" s="50" t="s">
        <v>734</v>
      </c>
      <c r="M647" s="30"/>
      <c r="N647" s="30"/>
      <c r="O647" s="30"/>
      <c r="P647" s="30"/>
      <c r="Q647" s="30"/>
      <c r="R647" s="30"/>
      <c r="S647" s="30"/>
      <c r="T647" s="30"/>
      <c r="U647" s="30"/>
      <c r="V647" s="30"/>
      <c r="W647" s="30"/>
      <c r="X647" s="30"/>
      <c r="Y647" s="30"/>
      <c r="Z647" s="30"/>
      <c r="AA647" s="30"/>
      <c r="AB647" s="30"/>
      <c r="AC647" s="30"/>
      <c r="AD647" s="30"/>
      <c r="AE647" s="30"/>
    </row>
    <row r="648" spans="1:31" ht="16">
      <c r="A648" s="30" t="s">
        <v>735</v>
      </c>
      <c r="B648" s="30" t="s">
        <v>381</v>
      </c>
      <c r="C648" s="18" t="s">
        <v>736</v>
      </c>
      <c r="D648" s="30" t="s">
        <v>733</v>
      </c>
      <c r="E648" s="30" t="s">
        <v>611</v>
      </c>
      <c r="F648" s="55">
        <v>1987</v>
      </c>
      <c r="G648" s="51">
        <v>15169</v>
      </c>
      <c r="H648" s="51" t="s">
        <v>402</v>
      </c>
      <c r="I648" s="51" t="s">
        <v>402</v>
      </c>
      <c r="J648" s="51" t="s">
        <v>402</v>
      </c>
      <c r="K648" s="51" t="s">
        <v>402</v>
      </c>
      <c r="L648" s="50" t="s">
        <v>734</v>
      </c>
      <c r="M648" s="30"/>
      <c r="N648" s="30"/>
      <c r="O648" s="30"/>
      <c r="P648" s="30"/>
      <c r="Q648" s="30"/>
      <c r="R648" s="30"/>
      <c r="S648" s="30"/>
      <c r="T648" s="30"/>
      <c r="U648" s="30"/>
      <c r="V648" s="30"/>
      <c r="W648" s="30"/>
      <c r="X648" s="30"/>
      <c r="Y648" s="30"/>
      <c r="Z648" s="30"/>
      <c r="AA648" s="30"/>
      <c r="AB648" s="30"/>
      <c r="AC648" s="30"/>
      <c r="AD648" s="30"/>
      <c r="AE648" s="30"/>
    </row>
    <row r="649" spans="1:31" ht="16">
      <c r="A649" s="30" t="s">
        <v>735</v>
      </c>
      <c r="B649" s="30" t="s">
        <v>381</v>
      </c>
      <c r="C649" s="18" t="s">
        <v>736</v>
      </c>
      <c r="D649" s="30" t="s">
        <v>733</v>
      </c>
      <c r="E649" s="30" t="s">
        <v>611</v>
      </c>
      <c r="F649" s="55">
        <v>1988</v>
      </c>
      <c r="G649" s="51">
        <v>14140</v>
      </c>
      <c r="H649" s="51" t="s">
        <v>402</v>
      </c>
      <c r="I649" s="51" t="s">
        <v>402</v>
      </c>
      <c r="J649" s="51" t="s">
        <v>402</v>
      </c>
      <c r="K649" s="51" t="s">
        <v>402</v>
      </c>
      <c r="L649" s="50" t="s">
        <v>734</v>
      </c>
      <c r="M649" s="30"/>
      <c r="N649" s="30"/>
      <c r="O649" s="30"/>
      <c r="P649" s="30"/>
      <c r="Q649" s="30"/>
      <c r="R649" s="30"/>
      <c r="S649" s="30"/>
      <c r="T649" s="30"/>
      <c r="U649" s="30"/>
      <c r="V649" s="30"/>
      <c r="W649" s="30"/>
      <c r="X649" s="30"/>
      <c r="Y649" s="30"/>
      <c r="Z649" s="30"/>
      <c r="AA649" s="30"/>
      <c r="AB649" s="30"/>
      <c r="AC649" s="30"/>
      <c r="AD649" s="30"/>
      <c r="AE649" s="30"/>
    </row>
    <row r="650" spans="1:31" ht="16">
      <c r="A650" s="30" t="s">
        <v>735</v>
      </c>
      <c r="B650" s="30" t="s">
        <v>381</v>
      </c>
      <c r="C650" s="18" t="s">
        <v>736</v>
      </c>
      <c r="D650" s="30" t="s">
        <v>733</v>
      </c>
      <c r="E650" s="30" t="s">
        <v>611</v>
      </c>
      <c r="F650" s="55">
        <v>1989</v>
      </c>
      <c r="G650" s="51">
        <v>16045</v>
      </c>
      <c r="H650" s="51" t="s">
        <v>402</v>
      </c>
      <c r="I650" s="51" t="s">
        <v>402</v>
      </c>
      <c r="J650" s="51" t="s">
        <v>402</v>
      </c>
      <c r="K650" s="51" t="s">
        <v>402</v>
      </c>
      <c r="L650" s="50" t="s">
        <v>734</v>
      </c>
      <c r="M650" s="30"/>
      <c r="N650" s="30"/>
      <c r="O650" s="30"/>
      <c r="P650" s="30"/>
      <c r="Q650" s="30"/>
      <c r="R650" s="30"/>
      <c r="S650" s="30"/>
      <c r="T650" s="30"/>
      <c r="U650" s="30"/>
      <c r="V650" s="30"/>
      <c r="W650" s="30"/>
      <c r="X650" s="30"/>
      <c r="Y650" s="30"/>
      <c r="Z650" s="30"/>
      <c r="AA650" s="30"/>
      <c r="AB650" s="30"/>
      <c r="AC650" s="30"/>
      <c r="AD650" s="30"/>
      <c r="AE650" s="30"/>
    </row>
    <row r="651" spans="1:31" ht="16">
      <c r="A651" s="30" t="s">
        <v>735</v>
      </c>
      <c r="B651" s="30" t="s">
        <v>381</v>
      </c>
      <c r="C651" s="18" t="s">
        <v>736</v>
      </c>
      <c r="D651" s="30" t="s">
        <v>733</v>
      </c>
      <c r="E651" s="30" t="s">
        <v>611</v>
      </c>
      <c r="F651" s="55">
        <v>1990</v>
      </c>
      <c r="G651" s="51">
        <v>15676</v>
      </c>
      <c r="H651" s="51" t="s">
        <v>402</v>
      </c>
      <c r="I651" s="51" t="s">
        <v>402</v>
      </c>
      <c r="J651" s="51" t="s">
        <v>402</v>
      </c>
      <c r="K651" s="51" t="s">
        <v>402</v>
      </c>
      <c r="L651" s="50" t="s">
        <v>734</v>
      </c>
      <c r="M651" s="30"/>
      <c r="N651" s="30"/>
      <c r="O651" s="30"/>
      <c r="P651" s="30"/>
      <c r="Q651" s="30"/>
      <c r="R651" s="30"/>
      <c r="S651" s="30"/>
      <c r="T651" s="30"/>
      <c r="U651" s="30"/>
      <c r="V651" s="30"/>
      <c r="W651" s="30"/>
      <c r="X651" s="30"/>
      <c r="Y651" s="30"/>
      <c r="Z651" s="30"/>
      <c r="AA651" s="30"/>
      <c r="AB651" s="30"/>
      <c r="AC651" s="30"/>
      <c r="AD651" s="30"/>
      <c r="AE651" s="30"/>
    </row>
    <row r="652" spans="1:31" ht="16">
      <c r="A652" s="30" t="s">
        <v>735</v>
      </c>
      <c r="B652" s="30" t="s">
        <v>381</v>
      </c>
      <c r="C652" s="18" t="s">
        <v>736</v>
      </c>
      <c r="D652" s="30" t="s">
        <v>733</v>
      </c>
      <c r="E652" s="30" t="s">
        <v>611</v>
      </c>
      <c r="F652" s="55">
        <v>1991</v>
      </c>
      <c r="G652" s="51">
        <v>18094</v>
      </c>
      <c r="H652" s="51" t="s">
        <v>402</v>
      </c>
      <c r="I652" s="51" t="s">
        <v>402</v>
      </c>
      <c r="J652" s="51" t="s">
        <v>402</v>
      </c>
      <c r="K652" s="51" t="s">
        <v>402</v>
      </c>
      <c r="L652" s="50" t="s">
        <v>734</v>
      </c>
      <c r="M652" s="30"/>
      <c r="N652" s="30"/>
      <c r="O652" s="30"/>
      <c r="P652" s="30"/>
      <c r="Q652" s="30"/>
      <c r="R652" s="30"/>
      <c r="S652" s="30"/>
      <c r="T652" s="30"/>
      <c r="U652" s="30"/>
      <c r="V652" s="30"/>
      <c r="W652" s="30"/>
      <c r="X652" s="30"/>
      <c r="Y652" s="30"/>
      <c r="Z652" s="30"/>
      <c r="AA652" s="30"/>
      <c r="AB652" s="30"/>
      <c r="AC652" s="30"/>
      <c r="AD652" s="30"/>
      <c r="AE652" s="30"/>
    </row>
    <row r="653" spans="1:31" ht="16">
      <c r="A653" s="30" t="s">
        <v>735</v>
      </c>
      <c r="B653" s="30" t="s">
        <v>381</v>
      </c>
      <c r="C653" s="18" t="s">
        <v>736</v>
      </c>
      <c r="D653" s="30" t="s">
        <v>733</v>
      </c>
      <c r="E653" s="30" t="s">
        <v>611</v>
      </c>
      <c r="F653" s="55">
        <v>1992</v>
      </c>
      <c r="G653" s="51">
        <v>18679</v>
      </c>
      <c r="H653" s="51" t="s">
        <v>402</v>
      </c>
      <c r="I653" s="51" t="s">
        <v>402</v>
      </c>
      <c r="J653" s="51" t="s">
        <v>402</v>
      </c>
      <c r="K653" s="51" t="s">
        <v>402</v>
      </c>
      <c r="L653" s="50" t="s">
        <v>734</v>
      </c>
      <c r="M653" s="30"/>
      <c r="N653" s="30"/>
      <c r="O653" s="30"/>
      <c r="P653" s="30"/>
      <c r="Q653" s="30"/>
      <c r="R653" s="30"/>
      <c r="S653" s="30"/>
      <c r="T653" s="30"/>
      <c r="U653" s="30"/>
      <c r="V653" s="30"/>
      <c r="W653" s="30"/>
      <c r="X653" s="30"/>
      <c r="Y653" s="30"/>
      <c r="Z653" s="30"/>
      <c r="AA653" s="30"/>
      <c r="AB653" s="30"/>
      <c r="AC653" s="30"/>
      <c r="AD653" s="30"/>
      <c r="AE653" s="30"/>
    </row>
    <row r="654" spans="1:31" ht="16">
      <c r="A654" s="30" t="s">
        <v>735</v>
      </c>
      <c r="B654" s="30" t="s">
        <v>381</v>
      </c>
      <c r="C654" s="18" t="s">
        <v>736</v>
      </c>
      <c r="D654" s="30" t="s">
        <v>733</v>
      </c>
      <c r="E654" s="30" t="s">
        <v>611</v>
      </c>
      <c r="F654" s="55">
        <v>1993</v>
      </c>
      <c r="G654" s="51">
        <v>14863</v>
      </c>
      <c r="H654" s="51" t="s">
        <v>402</v>
      </c>
      <c r="I654" s="51" t="s">
        <v>402</v>
      </c>
      <c r="J654" s="51" t="s">
        <v>402</v>
      </c>
      <c r="K654" s="51" t="s">
        <v>402</v>
      </c>
      <c r="L654" s="50" t="s">
        <v>734</v>
      </c>
      <c r="M654" s="30"/>
      <c r="N654" s="30"/>
      <c r="O654" s="30"/>
      <c r="P654" s="30"/>
      <c r="Q654" s="30"/>
      <c r="R654" s="30"/>
      <c r="S654" s="30"/>
      <c r="T654" s="30"/>
      <c r="U654" s="30"/>
      <c r="V654" s="30"/>
      <c r="W654" s="30"/>
      <c r="X654" s="30"/>
      <c r="Y654" s="30"/>
      <c r="Z654" s="30"/>
      <c r="AA654" s="30"/>
      <c r="AB654" s="30"/>
      <c r="AC654" s="30"/>
      <c r="AD654" s="30"/>
      <c r="AE654" s="30"/>
    </row>
    <row r="655" spans="1:31" ht="16">
      <c r="A655" s="30" t="s">
        <v>735</v>
      </c>
      <c r="B655" s="30" t="s">
        <v>381</v>
      </c>
      <c r="C655" s="18" t="s">
        <v>736</v>
      </c>
      <c r="D655" s="30" t="s">
        <v>733</v>
      </c>
      <c r="E655" s="30" t="s">
        <v>611</v>
      </c>
      <c r="F655" s="55">
        <v>1994</v>
      </c>
      <c r="G655" s="51">
        <v>17208</v>
      </c>
      <c r="H655" s="51" t="s">
        <v>402</v>
      </c>
      <c r="I655" s="51" t="s">
        <v>402</v>
      </c>
      <c r="J655" s="51" t="s">
        <v>402</v>
      </c>
      <c r="K655" s="51" t="s">
        <v>402</v>
      </c>
      <c r="L655" s="50" t="s">
        <v>734</v>
      </c>
      <c r="M655" s="30"/>
      <c r="N655" s="30"/>
      <c r="O655" s="30"/>
      <c r="P655" s="30"/>
      <c r="Q655" s="30"/>
      <c r="R655" s="30"/>
      <c r="S655" s="30"/>
      <c r="T655" s="30"/>
      <c r="U655" s="30"/>
      <c r="V655" s="30"/>
      <c r="W655" s="30"/>
      <c r="X655" s="30"/>
      <c r="Y655" s="30"/>
      <c r="Z655" s="30"/>
      <c r="AA655" s="30"/>
      <c r="AB655" s="30"/>
      <c r="AC655" s="30"/>
      <c r="AD655" s="30"/>
      <c r="AE655" s="30"/>
    </row>
    <row r="656" spans="1:31" ht="16">
      <c r="A656" s="30" t="s">
        <v>735</v>
      </c>
      <c r="B656" s="30" t="s">
        <v>381</v>
      </c>
      <c r="C656" s="18" t="s">
        <v>736</v>
      </c>
      <c r="D656" s="30" t="s">
        <v>733</v>
      </c>
      <c r="E656" s="30" t="s">
        <v>611</v>
      </c>
      <c r="F656" s="55">
        <v>1995</v>
      </c>
      <c r="G656" s="51">
        <v>20360</v>
      </c>
      <c r="H656" s="51" t="s">
        <v>402</v>
      </c>
      <c r="I656" s="51" t="s">
        <v>402</v>
      </c>
      <c r="J656" s="51" t="s">
        <v>402</v>
      </c>
      <c r="K656" s="51" t="s">
        <v>402</v>
      </c>
      <c r="L656" s="50" t="s">
        <v>734</v>
      </c>
      <c r="M656" s="30"/>
      <c r="N656" s="30"/>
      <c r="O656" s="30"/>
      <c r="P656" s="30"/>
      <c r="Q656" s="30"/>
      <c r="R656" s="30"/>
      <c r="S656" s="30"/>
      <c r="T656" s="30"/>
      <c r="U656" s="30"/>
      <c r="V656" s="30"/>
      <c r="W656" s="30"/>
      <c r="X656" s="30"/>
      <c r="Y656" s="30"/>
      <c r="Z656" s="30"/>
      <c r="AA656" s="30"/>
      <c r="AB656" s="30"/>
      <c r="AC656" s="30"/>
      <c r="AD656" s="30"/>
      <c r="AE656" s="30"/>
    </row>
    <row r="657" spans="1:31" ht="16">
      <c r="A657" s="30" t="s">
        <v>735</v>
      </c>
      <c r="B657" s="30" t="s">
        <v>381</v>
      </c>
      <c r="C657" s="18" t="s">
        <v>736</v>
      </c>
      <c r="D657" s="30" t="s">
        <v>733</v>
      </c>
      <c r="E657" s="30" t="s">
        <v>611</v>
      </c>
      <c r="F657" s="55">
        <v>2002</v>
      </c>
      <c r="G657" s="51">
        <v>17631</v>
      </c>
      <c r="H657" s="51" t="s">
        <v>402</v>
      </c>
      <c r="I657" s="51" t="s">
        <v>402</v>
      </c>
      <c r="J657" s="51" t="s">
        <v>402</v>
      </c>
      <c r="K657" s="51" t="s">
        <v>402</v>
      </c>
      <c r="L657" s="50" t="s">
        <v>734</v>
      </c>
      <c r="M657" s="30"/>
      <c r="N657" s="30"/>
      <c r="O657" s="30"/>
      <c r="P657" s="30"/>
      <c r="Q657" s="30"/>
      <c r="R657" s="30"/>
      <c r="S657" s="30"/>
      <c r="T657" s="30"/>
      <c r="U657" s="30"/>
      <c r="V657" s="30"/>
      <c r="W657" s="30"/>
      <c r="X657" s="30"/>
      <c r="Y657" s="30"/>
      <c r="Z657" s="30"/>
      <c r="AA657" s="30"/>
      <c r="AB657" s="30"/>
      <c r="AC657" s="30"/>
      <c r="AD657" s="30"/>
      <c r="AE657" s="30"/>
    </row>
    <row r="658" spans="1:31" ht="16">
      <c r="A658" s="30" t="s">
        <v>735</v>
      </c>
      <c r="B658" s="30" t="s">
        <v>381</v>
      </c>
      <c r="C658" s="18" t="s">
        <v>736</v>
      </c>
      <c r="D658" s="30" t="s">
        <v>733</v>
      </c>
      <c r="E658" s="30" t="s">
        <v>611</v>
      </c>
      <c r="F658" s="55">
        <v>2004</v>
      </c>
      <c r="G658" s="51">
        <v>21955</v>
      </c>
      <c r="H658" s="51" t="s">
        <v>402</v>
      </c>
      <c r="I658" s="51" t="s">
        <v>402</v>
      </c>
      <c r="J658" s="51" t="s">
        <v>402</v>
      </c>
      <c r="K658" s="51" t="s">
        <v>402</v>
      </c>
      <c r="L658" s="50" t="s">
        <v>734</v>
      </c>
      <c r="M658" s="30"/>
      <c r="N658" s="30"/>
      <c r="O658" s="30"/>
      <c r="P658" s="30"/>
      <c r="Q658" s="30"/>
      <c r="R658" s="30"/>
      <c r="S658" s="30"/>
      <c r="T658" s="30"/>
      <c r="U658" s="30"/>
      <c r="V658" s="30"/>
      <c r="W658" s="30"/>
      <c r="X658" s="30"/>
      <c r="Y658" s="30"/>
      <c r="Z658" s="30"/>
      <c r="AA658" s="30"/>
      <c r="AB658" s="30"/>
      <c r="AC658" s="30"/>
      <c r="AD658" s="30"/>
      <c r="AE658" s="30"/>
    </row>
    <row r="659" spans="1:31" ht="16">
      <c r="A659" s="30" t="s">
        <v>735</v>
      </c>
      <c r="B659" s="30" t="s">
        <v>381</v>
      </c>
      <c r="C659" s="18" t="s">
        <v>736</v>
      </c>
      <c r="D659" s="30" t="s">
        <v>733</v>
      </c>
      <c r="E659" s="30" t="s">
        <v>611</v>
      </c>
      <c r="F659" s="55">
        <v>2009</v>
      </c>
      <c r="G659" s="51">
        <v>16076</v>
      </c>
      <c r="H659" s="51" t="s">
        <v>402</v>
      </c>
      <c r="I659" s="51" t="s">
        <v>402</v>
      </c>
      <c r="J659" s="51" t="s">
        <v>402</v>
      </c>
      <c r="K659" s="51" t="s">
        <v>402</v>
      </c>
      <c r="L659" s="50" t="s">
        <v>734</v>
      </c>
      <c r="M659" s="30"/>
      <c r="N659" s="30"/>
      <c r="O659" s="30"/>
      <c r="P659" s="30"/>
      <c r="Q659" s="30"/>
      <c r="R659" s="30"/>
      <c r="S659" s="30"/>
      <c r="T659" s="30"/>
      <c r="U659" s="30"/>
      <c r="V659" s="30"/>
      <c r="W659" s="30"/>
      <c r="X659" s="30"/>
      <c r="Y659" s="30"/>
      <c r="Z659" s="30"/>
      <c r="AA659" s="30"/>
      <c r="AB659" s="30"/>
      <c r="AC659" s="30"/>
      <c r="AD659" s="30"/>
      <c r="AE659" s="30"/>
    </row>
    <row r="660" spans="1:31" ht="16">
      <c r="A660" s="30" t="s">
        <v>735</v>
      </c>
      <c r="B660" s="30" t="s">
        <v>381</v>
      </c>
      <c r="C660" s="18" t="s">
        <v>736</v>
      </c>
      <c r="D660" s="30" t="s">
        <v>733</v>
      </c>
      <c r="E660" s="30" t="s">
        <v>611</v>
      </c>
      <c r="F660" s="55">
        <v>2012</v>
      </c>
      <c r="G660" s="51">
        <v>15410</v>
      </c>
      <c r="H660" s="51" t="s">
        <v>402</v>
      </c>
      <c r="I660" s="51" t="s">
        <v>402</v>
      </c>
      <c r="J660" s="51" t="s">
        <v>402</v>
      </c>
      <c r="K660" s="51" t="s">
        <v>402</v>
      </c>
      <c r="L660" s="50" t="s">
        <v>734</v>
      </c>
      <c r="M660" s="30"/>
      <c r="N660" s="30"/>
      <c r="O660" s="30"/>
      <c r="P660" s="30"/>
      <c r="Q660" s="30"/>
      <c r="R660" s="30"/>
      <c r="S660" s="30"/>
      <c r="T660" s="30"/>
      <c r="U660" s="30"/>
      <c r="V660" s="30"/>
      <c r="W660" s="30"/>
      <c r="X660" s="30"/>
      <c r="Y660" s="30"/>
      <c r="Z660" s="30"/>
      <c r="AA660" s="30"/>
      <c r="AB660" s="30"/>
      <c r="AC660" s="30"/>
      <c r="AD660" s="30"/>
      <c r="AE660" s="30"/>
    </row>
    <row r="661" spans="1:31" ht="16">
      <c r="A661" s="30" t="s">
        <v>737</v>
      </c>
      <c r="B661" s="30" t="s">
        <v>381</v>
      </c>
      <c r="C661" s="30" t="s">
        <v>738</v>
      </c>
      <c r="D661" s="30" t="s">
        <v>733</v>
      </c>
      <c r="E661" s="30" t="s">
        <v>611</v>
      </c>
      <c r="F661" s="55">
        <v>1984</v>
      </c>
      <c r="G661" s="51">
        <v>14295</v>
      </c>
      <c r="H661" s="51" t="s">
        <v>402</v>
      </c>
      <c r="I661" s="51" t="s">
        <v>402</v>
      </c>
      <c r="J661" s="51" t="s">
        <v>402</v>
      </c>
      <c r="K661" s="51" t="s">
        <v>402</v>
      </c>
      <c r="L661" s="50" t="s">
        <v>734</v>
      </c>
      <c r="M661" s="30"/>
      <c r="N661" s="30"/>
      <c r="O661" s="30"/>
      <c r="P661" s="30"/>
      <c r="Q661" s="30"/>
      <c r="R661" s="30"/>
      <c r="S661" s="30"/>
      <c r="T661" s="30"/>
      <c r="U661" s="30"/>
      <c r="V661" s="30"/>
      <c r="W661" s="30"/>
      <c r="X661" s="30"/>
      <c r="Y661" s="30"/>
      <c r="Z661" s="30"/>
      <c r="AA661" s="30"/>
      <c r="AB661" s="30"/>
      <c r="AC661" s="30"/>
      <c r="AD661" s="30"/>
      <c r="AE661" s="30"/>
    </row>
    <row r="662" spans="1:31" ht="16">
      <c r="A662" s="30" t="s">
        <v>737</v>
      </c>
      <c r="B662" s="30" t="s">
        <v>381</v>
      </c>
      <c r="C662" s="30" t="s">
        <v>738</v>
      </c>
      <c r="D662" s="30" t="s">
        <v>733</v>
      </c>
      <c r="E662" s="30" t="s">
        <v>611</v>
      </c>
      <c r="F662" s="55">
        <v>1985</v>
      </c>
      <c r="G662" s="51">
        <v>14953</v>
      </c>
      <c r="H662" s="51">
        <f t="shared" ref="H662:I662" si="654">F662-F661</f>
        <v>1</v>
      </c>
      <c r="I662" s="51">
        <f t="shared" si="654"/>
        <v>658</v>
      </c>
      <c r="J662" s="72">
        <f t="shared" ref="J662:J676" si="655">I662/G661</f>
        <v>4.6030080447708989E-2</v>
      </c>
      <c r="K662" s="65">
        <f t="shared" ref="K662:K676" si="656">J662/H662</f>
        <v>4.6030080447708989E-2</v>
      </c>
      <c r="L662" s="50" t="s">
        <v>734</v>
      </c>
      <c r="M662" s="30"/>
      <c r="N662" s="30"/>
      <c r="O662" s="30"/>
      <c r="P662" s="30"/>
      <c r="Q662" s="30"/>
      <c r="R662" s="30"/>
      <c r="S662" s="30"/>
      <c r="T662" s="30"/>
      <c r="U662" s="30"/>
      <c r="V662" s="30"/>
      <c r="W662" s="30"/>
      <c r="X662" s="30"/>
      <c r="Y662" s="30"/>
      <c r="Z662" s="30"/>
      <c r="AA662" s="30"/>
      <c r="AB662" s="30"/>
      <c r="AC662" s="30"/>
      <c r="AD662" s="30"/>
      <c r="AE662" s="30"/>
    </row>
    <row r="663" spans="1:31" ht="16">
      <c r="A663" s="30" t="s">
        <v>737</v>
      </c>
      <c r="B663" s="30" t="s">
        <v>381</v>
      </c>
      <c r="C663" s="30" t="s">
        <v>738</v>
      </c>
      <c r="D663" s="30" t="s">
        <v>733</v>
      </c>
      <c r="E663" s="30" t="s">
        <v>611</v>
      </c>
      <c r="F663" s="55">
        <v>1986</v>
      </c>
      <c r="G663" s="51">
        <v>15684</v>
      </c>
      <c r="H663" s="51">
        <f t="shared" ref="H663:I663" si="657">F663-F662</f>
        <v>1</v>
      </c>
      <c r="I663" s="51">
        <f t="shared" si="657"/>
        <v>731</v>
      </c>
      <c r="J663" s="72">
        <f t="shared" si="655"/>
        <v>4.888651106801311E-2</v>
      </c>
      <c r="K663" s="65">
        <f t="shared" si="656"/>
        <v>4.888651106801311E-2</v>
      </c>
      <c r="L663" s="50" t="s">
        <v>734</v>
      </c>
      <c r="M663" s="30"/>
      <c r="N663" s="30"/>
      <c r="O663" s="30"/>
      <c r="P663" s="30"/>
      <c r="Q663" s="30"/>
      <c r="R663" s="30"/>
      <c r="S663" s="30"/>
      <c r="T663" s="30"/>
      <c r="U663" s="30"/>
      <c r="V663" s="30"/>
      <c r="W663" s="30"/>
      <c r="X663" s="30"/>
      <c r="Y663" s="30"/>
      <c r="Z663" s="30"/>
      <c r="AA663" s="30"/>
      <c r="AB663" s="30"/>
      <c r="AC663" s="30"/>
      <c r="AD663" s="30"/>
      <c r="AE663" s="30"/>
    </row>
    <row r="664" spans="1:31" ht="16">
      <c r="A664" s="30" t="s">
        <v>737</v>
      </c>
      <c r="B664" s="30" t="s">
        <v>381</v>
      </c>
      <c r="C664" s="30" t="s">
        <v>738</v>
      </c>
      <c r="D664" s="30" t="s">
        <v>733</v>
      </c>
      <c r="E664" s="30" t="s">
        <v>611</v>
      </c>
      <c r="F664" s="55">
        <v>1987</v>
      </c>
      <c r="G664" s="51">
        <v>19423</v>
      </c>
      <c r="H664" s="51">
        <f t="shared" ref="H664:I664" si="658">F664-F663</f>
        <v>1</v>
      </c>
      <c r="I664" s="51">
        <f t="shared" si="658"/>
        <v>3739</v>
      </c>
      <c r="J664" s="72">
        <f t="shared" si="655"/>
        <v>0.23839581739352206</v>
      </c>
      <c r="K664" s="65">
        <f t="shared" si="656"/>
        <v>0.23839581739352206</v>
      </c>
      <c r="L664" s="50" t="s">
        <v>734</v>
      </c>
      <c r="M664" s="30"/>
      <c r="N664" s="30"/>
      <c r="O664" s="30"/>
      <c r="P664" s="30"/>
      <c r="Q664" s="30"/>
      <c r="R664" s="30"/>
      <c r="S664" s="30"/>
      <c r="T664" s="30"/>
      <c r="U664" s="30"/>
      <c r="V664" s="30"/>
      <c r="W664" s="30"/>
      <c r="X664" s="30"/>
      <c r="Y664" s="30"/>
      <c r="Z664" s="30"/>
      <c r="AA664" s="30"/>
      <c r="AB664" s="30"/>
      <c r="AC664" s="30"/>
      <c r="AD664" s="30"/>
      <c r="AE664" s="30"/>
    </row>
    <row r="665" spans="1:31" ht="16">
      <c r="A665" s="30" t="s">
        <v>737</v>
      </c>
      <c r="B665" s="30" t="s">
        <v>381</v>
      </c>
      <c r="C665" s="30" t="s">
        <v>738</v>
      </c>
      <c r="D665" s="30" t="s">
        <v>733</v>
      </c>
      <c r="E665" s="30" t="s">
        <v>611</v>
      </c>
      <c r="F665" s="55">
        <v>1988</v>
      </c>
      <c r="G665" s="51">
        <v>18101</v>
      </c>
      <c r="H665" s="51">
        <f t="shared" ref="H665:I665" si="659">F665-F664</f>
        <v>1</v>
      </c>
      <c r="I665" s="51">
        <f t="shared" si="659"/>
        <v>-1322</v>
      </c>
      <c r="J665" s="72">
        <f t="shared" si="655"/>
        <v>-6.8063635895587699E-2</v>
      </c>
      <c r="K665" s="65">
        <f t="shared" si="656"/>
        <v>-6.8063635895587699E-2</v>
      </c>
      <c r="L665" s="50" t="s">
        <v>734</v>
      </c>
      <c r="M665" s="30"/>
      <c r="N665" s="30"/>
      <c r="O665" s="30"/>
      <c r="P665" s="30"/>
      <c r="Q665" s="30"/>
      <c r="R665" s="30"/>
      <c r="S665" s="30"/>
      <c r="T665" s="30"/>
      <c r="U665" s="30"/>
      <c r="V665" s="30"/>
      <c r="W665" s="30"/>
      <c r="X665" s="30"/>
      <c r="Y665" s="30"/>
      <c r="Z665" s="30"/>
      <c r="AA665" s="30"/>
      <c r="AB665" s="30"/>
      <c r="AC665" s="30"/>
      <c r="AD665" s="30"/>
      <c r="AE665" s="30"/>
    </row>
    <row r="666" spans="1:31" ht="16">
      <c r="A666" s="30" t="s">
        <v>737</v>
      </c>
      <c r="B666" s="30" t="s">
        <v>381</v>
      </c>
      <c r="C666" s="30" t="s">
        <v>738</v>
      </c>
      <c r="D666" s="30" t="s">
        <v>733</v>
      </c>
      <c r="E666" s="30" t="s">
        <v>611</v>
      </c>
      <c r="F666" s="55">
        <v>1989</v>
      </c>
      <c r="G666" s="51">
        <v>20372</v>
      </c>
      <c r="H666" s="51">
        <f t="shared" ref="H666:I666" si="660">F666-F665</f>
        <v>1</v>
      </c>
      <c r="I666" s="51">
        <f t="shared" si="660"/>
        <v>2271</v>
      </c>
      <c r="J666" s="72">
        <f t="shared" si="655"/>
        <v>0.12546268161980001</v>
      </c>
      <c r="K666" s="65">
        <f t="shared" si="656"/>
        <v>0.12546268161980001</v>
      </c>
      <c r="L666" s="50" t="s">
        <v>734</v>
      </c>
      <c r="M666" s="30"/>
      <c r="N666" s="30"/>
      <c r="O666" s="30"/>
      <c r="P666" s="30"/>
      <c r="Q666" s="30"/>
      <c r="R666" s="30"/>
      <c r="S666" s="30"/>
      <c r="T666" s="30"/>
      <c r="U666" s="30"/>
      <c r="V666" s="30"/>
      <c r="W666" s="30"/>
      <c r="X666" s="30"/>
      <c r="Y666" s="30"/>
      <c r="Z666" s="30"/>
      <c r="AA666" s="30"/>
      <c r="AB666" s="30"/>
      <c r="AC666" s="30"/>
      <c r="AD666" s="30"/>
      <c r="AE666" s="30"/>
    </row>
    <row r="667" spans="1:31" ht="16">
      <c r="A667" s="30" t="s">
        <v>737</v>
      </c>
      <c r="B667" s="30" t="s">
        <v>381</v>
      </c>
      <c r="C667" s="30" t="s">
        <v>738</v>
      </c>
      <c r="D667" s="30" t="s">
        <v>733</v>
      </c>
      <c r="E667" s="30" t="s">
        <v>611</v>
      </c>
      <c r="F667" s="55">
        <v>1990</v>
      </c>
      <c r="G667" s="51">
        <v>18537</v>
      </c>
      <c r="H667" s="51">
        <f t="shared" ref="H667:I667" si="661">F667-F666</f>
        <v>1</v>
      </c>
      <c r="I667" s="51">
        <f t="shared" si="661"/>
        <v>-1835</v>
      </c>
      <c r="J667" s="72">
        <f t="shared" si="655"/>
        <v>-9.007461221284116E-2</v>
      </c>
      <c r="K667" s="65">
        <f t="shared" si="656"/>
        <v>-9.007461221284116E-2</v>
      </c>
      <c r="L667" s="50" t="s">
        <v>734</v>
      </c>
      <c r="M667" s="30"/>
      <c r="N667" s="30"/>
      <c r="O667" s="30"/>
      <c r="P667" s="30"/>
      <c r="Q667" s="30"/>
      <c r="R667" s="30"/>
      <c r="S667" s="30"/>
      <c r="T667" s="30"/>
      <c r="U667" s="30"/>
      <c r="V667" s="30"/>
      <c r="W667" s="30"/>
      <c r="X667" s="30"/>
      <c r="Y667" s="30"/>
      <c r="Z667" s="30"/>
      <c r="AA667" s="30"/>
      <c r="AB667" s="30"/>
      <c r="AC667" s="30"/>
      <c r="AD667" s="30"/>
      <c r="AE667" s="30"/>
    </row>
    <row r="668" spans="1:31" ht="16">
      <c r="A668" s="30" t="s">
        <v>737</v>
      </c>
      <c r="B668" s="30" t="s">
        <v>381</v>
      </c>
      <c r="C668" s="30" t="s">
        <v>738</v>
      </c>
      <c r="D668" s="30" t="s">
        <v>733</v>
      </c>
      <c r="E668" s="30" t="s">
        <v>611</v>
      </c>
      <c r="F668" s="55">
        <v>1991</v>
      </c>
      <c r="G668" s="51">
        <v>22862</v>
      </c>
      <c r="H668" s="51">
        <f t="shared" ref="H668:I668" si="662">F668-F667</f>
        <v>1</v>
      </c>
      <c r="I668" s="51">
        <f t="shared" si="662"/>
        <v>4325</v>
      </c>
      <c r="J668" s="72">
        <f t="shared" si="655"/>
        <v>0.23331714948481416</v>
      </c>
      <c r="K668" s="65">
        <f t="shared" si="656"/>
        <v>0.23331714948481416</v>
      </c>
      <c r="L668" s="50" t="s">
        <v>734</v>
      </c>
      <c r="M668" s="30"/>
      <c r="N668" s="30"/>
      <c r="O668" s="30"/>
      <c r="P668" s="30"/>
      <c r="Q668" s="30"/>
      <c r="R668" s="30"/>
      <c r="S668" s="30"/>
      <c r="T668" s="30"/>
      <c r="U668" s="30"/>
      <c r="V668" s="30"/>
      <c r="W668" s="30"/>
      <c r="X668" s="30"/>
      <c r="Y668" s="30"/>
      <c r="Z668" s="30"/>
      <c r="AA668" s="30"/>
      <c r="AB668" s="30"/>
      <c r="AC668" s="30"/>
      <c r="AD668" s="30"/>
      <c r="AE668" s="30"/>
    </row>
    <row r="669" spans="1:31" ht="16">
      <c r="A669" s="30" t="s">
        <v>737</v>
      </c>
      <c r="B669" s="30" t="s">
        <v>381</v>
      </c>
      <c r="C669" s="30" t="s">
        <v>738</v>
      </c>
      <c r="D669" s="30" t="s">
        <v>733</v>
      </c>
      <c r="E669" s="30" t="s">
        <v>611</v>
      </c>
      <c r="F669" s="55">
        <v>1992</v>
      </c>
      <c r="G669" s="51">
        <v>23153</v>
      </c>
      <c r="H669" s="51">
        <f t="shared" ref="H669:I669" si="663">F669-F668</f>
        <v>1</v>
      </c>
      <c r="I669" s="51">
        <f t="shared" si="663"/>
        <v>291</v>
      </c>
      <c r="J669" s="72">
        <f t="shared" si="655"/>
        <v>1.2728545184148369E-2</v>
      </c>
      <c r="K669" s="65">
        <f t="shared" si="656"/>
        <v>1.2728545184148369E-2</v>
      </c>
      <c r="L669" s="50" t="s">
        <v>734</v>
      </c>
      <c r="M669" s="30"/>
      <c r="N669" s="30"/>
      <c r="O669" s="30"/>
      <c r="P669" s="30"/>
      <c r="Q669" s="30"/>
      <c r="R669" s="30"/>
      <c r="S669" s="30"/>
      <c r="T669" s="30"/>
      <c r="U669" s="30"/>
      <c r="V669" s="30"/>
      <c r="W669" s="30"/>
      <c r="X669" s="30"/>
      <c r="Y669" s="30"/>
      <c r="Z669" s="30"/>
      <c r="AA669" s="30"/>
      <c r="AB669" s="30"/>
      <c r="AC669" s="30"/>
      <c r="AD669" s="30"/>
      <c r="AE669" s="30"/>
    </row>
    <row r="670" spans="1:31" ht="16">
      <c r="A670" s="30" t="s">
        <v>737</v>
      </c>
      <c r="B670" s="30" t="s">
        <v>381</v>
      </c>
      <c r="C670" s="30" t="s">
        <v>738</v>
      </c>
      <c r="D670" s="30" t="s">
        <v>733</v>
      </c>
      <c r="E670" s="30" t="s">
        <v>611</v>
      </c>
      <c r="F670" s="55">
        <v>1993</v>
      </c>
      <c r="G670" s="51">
        <v>18164</v>
      </c>
      <c r="H670" s="51">
        <f t="shared" ref="H670:I670" si="664">F670-F669</f>
        <v>1</v>
      </c>
      <c r="I670" s="51">
        <f t="shared" si="664"/>
        <v>-4989</v>
      </c>
      <c r="J670" s="72">
        <f t="shared" si="655"/>
        <v>-0.21547963546840582</v>
      </c>
      <c r="K670" s="65">
        <f t="shared" si="656"/>
        <v>-0.21547963546840582</v>
      </c>
      <c r="L670" s="50" t="s">
        <v>734</v>
      </c>
      <c r="M670" s="30"/>
      <c r="N670" s="30"/>
      <c r="O670" s="30"/>
      <c r="P670" s="30"/>
      <c r="Q670" s="30"/>
      <c r="R670" s="30"/>
      <c r="S670" s="30"/>
      <c r="T670" s="30"/>
      <c r="U670" s="30"/>
      <c r="V670" s="30"/>
      <c r="W670" s="30"/>
      <c r="X670" s="30"/>
      <c r="Y670" s="30"/>
      <c r="Z670" s="30"/>
      <c r="AA670" s="30"/>
      <c r="AB670" s="30"/>
      <c r="AC670" s="30"/>
      <c r="AD670" s="30"/>
      <c r="AE670" s="30"/>
    </row>
    <row r="671" spans="1:31" ht="16">
      <c r="A671" s="30" t="s">
        <v>737</v>
      </c>
      <c r="B671" s="30" t="s">
        <v>381</v>
      </c>
      <c r="C671" s="30" t="s">
        <v>738</v>
      </c>
      <c r="D671" s="30" t="s">
        <v>733</v>
      </c>
      <c r="E671" s="30" t="s">
        <v>611</v>
      </c>
      <c r="F671" s="55">
        <v>1994</v>
      </c>
      <c r="G671" s="51">
        <v>21462</v>
      </c>
      <c r="H671" s="51">
        <f t="shared" ref="H671:I671" si="665">F671-F670</f>
        <v>1</v>
      </c>
      <c r="I671" s="51">
        <f t="shared" si="665"/>
        <v>3298</v>
      </c>
      <c r="J671" s="72">
        <f t="shared" si="655"/>
        <v>0.18156793657784628</v>
      </c>
      <c r="K671" s="65">
        <f t="shared" si="656"/>
        <v>0.18156793657784628</v>
      </c>
      <c r="L671" s="50" t="s">
        <v>734</v>
      </c>
      <c r="M671" s="30"/>
      <c r="N671" s="30"/>
      <c r="O671" s="30"/>
      <c r="P671" s="30"/>
      <c r="Q671" s="30"/>
      <c r="R671" s="30"/>
      <c r="S671" s="30"/>
      <c r="T671" s="30"/>
      <c r="U671" s="30"/>
      <c r="V671" s="30"/>
      <c r="W671" s="30"/>
      <c r="X671" s="30"/>
      <c r="Y671" s="30"/>
      <c r="Z671" s="30"/>
      <c r="AA671" s="30"/>
      <c r="AB671" s="30"/>
      <c r="AC671" s="30"/>
      <c r="AD671" s="30"/>
      <c r="AE671" s="30"/>
    </row>
    <row r="672" spans="1:31" ht="16">
      <c r="A672" s="30" t="s">
        <v>737</v>
      </c>
      <c r="B672" s="30" t="s">
        <v>381</v>
      </c>
      <c r="C672" s="30" t="s">
        <v>738</v>
      </c>
      <c r="D672" s="30" t="s">
        <v>733</v>
      </c>
      <c r="E672" s="30" t="s">
        <v>611</v>
      </c>
      <c r="F672" s="55">
        <v>1995</v>
      </c>
      <c r="G672" s="51">
        <v>23367</v>
      </c>
      <c r="H672" s="51">
        <f t="shared" ref="H672:I672" si="666">F672-F671</f>
        <v>1</v>
      </c>
      <c r="I672" s="51">
        <f t="shared" si="666"/>
        <v>1905</v>
      </c>
      <c r="J672" s="72">
        <f t="shared" si="655"/>
        <v>8.8761532010064301E-2</v>
      </c>
      <c r="K672" s="65">
        <f t="shared" si="656"/>
        <v>8.8761532010064301E-2</v>
      </c>
      <c r="L672" s="50" t="s">
        <v>734</v>
      </c>
      <c r="M672" s="30"/>
      <c r="N672" s="30"/>
      <c r="O672" s="30"/>
      <c r="P672" s="30"/>
      <c r="Q672" s="30"/>
      <c r="R672" s="30"/>
      <c r="S672" s="30"/>
      <c r="T672" s="30"/>
      <c r="U672" s="30"/>
      <c r="V672" s="30"/>
      <c r="W672" s="30"/>
      <c r="X672" s="30"/>
      <c r="Y672" s="30"/>
      <c r="Z672" s="30"/>
      <c r="AA672" s="30"/>
      <c r="AB672" s="30"/>
      <c r="AC672" s="30"/>
      <c r="AD672" s="30"/>
      <c r="AE672" s="30"/>
    </row>
    <row r="673" spans="1:31" ht="16">
      <c r="A673" s="30" t="s">
        <v>737</v>
      </c>
      <c r="B673" s="30" t="s">
        <v>381</v>
      </c>
      <c r="C673" s="30" t="s">
        <v>738</v>
      </c>
      <c r="D673" s="30" t="s">
        <v>733</v>
      </c>
      <c r="E673" s="30" t="s">
        <v>611</v>
      </c>
      <c r="F673" s="55">
        <v>2002</v>
      </c>
      <c r="G673" s="51">
        <v>21445</v>
      </c>
      <c r="H673" s="51">
        <f t="shared" ref="H673:I673" si="667">F673-F672</f>
        <v>7</v>
      </c>
      <c r="I673" s="51">
        <f t="shared" si="667"/>
        <v>-1922</v>
      </c>
      <c r="J673" s="72">
        <f t="shared" si="655"/>
        <v>-8.2252749604142597E-2</v>
      </c>
      <c r="K673" s="65">
        <f t="shared" si="656"/>
        <v>-1.17503928005918E-2</v>
      </c>
      <c r="L673" s="50" t="s">
        <v>734</v>
      </c>
      <c r="M673" s="30"/>
      <c r="N673" s="30"/>
      <c r="O673" s="30"/>
      <c r="P673" s="30"/>
      <c r="Q673" s="30"/>
      <c r="R673" s="30"/>
      <c r="S673" s="30"/>
      <c r="T673" s="30"/>
      <c r="U673" s="30"/>
      <c r="V673" s="30"/>
      <c r="W673" s="30"/>
      <c r="X673" s="30"/>
      <c r="Y673" s="30"/>
      <c r="Z673" s="30"/>
      <c r="AA673" s="30"/>
      <c r="AB673" s="30"/>
      <c r="AC673" s="30"/>
      <c r="AD673" s="30"/>
      <c r="AE673" s="30"/>
    </row>
    <row r="674" spans="1:31" ht="16">
      <c r="A674" s="30" t="s">
        <v>737</v>
      </c>
      <c r="B674" s="30" t="s">
        <v>381</v>
      </c>
      <c r="C674" s="30" t="s">
        <v>738</v>
      </c>
      <c r="D674" s="30" t="s">
        <v>733</v>
      </c>
      <c r="E674" s="30" t="s">
        <v>611</v>
      </c>
      <c r="F674" s="55">
        <v>2004</v>
      </c>
      <c r="G674" s="51">
        <v>26282</v>
      </c>
      <c r="H674" s="51">
        <f t="shared" ref="H674:I674" si="668">F674-F673</f>
        <v>2</v>
      </c>
      <c r="I674" s="51">
        <f t="shared" si="668"/>
        <v>4837</v>
      </c>
      <c r="J674" s="72">
        <f t="shared" si="655"/>
        <v>0.22555374213103288</v>
      </c>
      <c r="K674" s="65">
        <f t="shared" si="656"/>
        <v>0.11277687106551644</v>
      </c>
      <c r="L674" s="50" t="s">
        <v>734</v>
      </c>
      <c r="M674" s="30"/>
      <c r="N674" s="30"/>
      <c r="O674" s="30"/>
      <c r="P674" s="30"/>
      <c r="Q674" s="30"/>
      <c r="R674" s="30"/>
      <c r="S674" s="30"/>
      <c r="T674" s="30"/>
      <c r="U674" s="30"/>
      <c r="V674" s="30"/>
      <c r="W674" s="30"/>
      <c r="X674" s="30"/>
      <c r="Y674" s="30"/>
      <c r="Z674" s="30"/>
      <c r="AA674" s="30"/>
      <c r="AB674" s="30"/>
      <c r="AC674" s="30"/>
      <c r="AD674" s="30"/>
      <c r="AE674" s="30"/>
    </row>
    <row r="675" spans="1:31" ht="16">
      <c r="A675" s="30" t="s">
        <v>737</v>
      </c>
      <c r="B675" s="30" t="s">
        <v>381</v>
      </c>
      <c r="C675" s="30" t="s">
        <v>738</v>
      </c>
      <c r="D675" s="30" t="s">
        <v>733</v>
      </c>
      <c r="E675" s="30" t="s">
        <v>611</v>
      </c>
      <c r="F675" s="55">
        <v>2009</v>
      </c>
      <c r="G675" s="51">
        <v>19597</v>
      </c>
      <c r="H675" s="51">
        <f t="shared" ref="H675:I675" si="669">F675-F674</f>
        <v>5</v>
      </c>
      <c r="I675" s="51">
        <f t="shared" si="669"/>
        <v>-6685</v>
      </c>
      <c r="J675" s="72">
        <f t="shared" si="655"/>
        <v>-0.25435659386652459</v>
      </c>
      <c r="K675" s="65">
        <f t="shared" si="656"/>
        <v>-5.0871318773304919E-2</v>
      </c>
      <c r="L675" s="50" t="s">
        <v>734</v>
      </c>
      <c r="M675" s="30"/>
      <c r="N675" s="30"/>
      <c r="O675" s="30"/>
      <c r="P675" s="30"/>
      <c r="Q675" s="30"/>
      <c r="R675" s="30"/>
      <c r="S675" s="30"/>
      <c r="T675" s="30"/>
      <c r="U675" s="30"/>
      <c r="V675" s="30"/>
      <c r="W675" s="30"/>
      <c r="X675" s="30"/>
      <c r="Y675" s="30"/>
      <c r="Z675" s="30"/>
      <c r="AA675" s="30"/>
      <c r="AB675" s="30"/>
      <c r="AC675" s="30"/>
      <c r="AD675" s="30"/>
      <c r="AE675" s="30"/>
    </row>
    <row r="676" spans="1:31" ht="16">
      <c r="A676" s="30" t="s">
        <v>737</v>
      </c>
      <c r="B676" s="30" t="s">
        <v>381</v>
      </c>
      <c r="C676" s="30" t="s">
        <v>738</v>
      </c>
      <c r="D676" s="30" t="s">
        <v>733</v>
      </c>
      <c r="E676" s="30" t="s">
        <v>611</v>
      </c>
      <c r="F676" s="55">
        <v>2012</v>
      </c>
      <c r="G676" s="51">
        <v>20104</v>
      </c>
      <c r="H676" s="51">
        <f t="shared" ref="H676:I676" si="670">F676-F675</f>
        <v>3</v>
      </c>
      <c r="I676" s="51">
        <f t="shared" si="670"/>
        <v>507</v>
      </c>
      <c r="J676" s="72">
        <f t="shared" si="655"/>
        <v>2.5871306832678471E-2</v>
      </c>
      <c r="K676" s="65">
        <f t="shared" si="656"/>
        <v>8.6237689442261577E-3</v>
      </c>
      <c r="L676" s="50" t="s">
        <v>734</v>
      </c>
      <c r="M676" s="30"/>
      <c r="N676" s="30"/>
      <c r="O676" s="30"/>
      <c r="P676" s="30"/>
      <c r="Q676" s="30"/>
      <c r="R676" s="30"/>
      <c r="S676" s="30"/>
      <c r="T676" s="30"/>
      <c r="U676" s="30"/>
      <c r="V676" s="30"/>
      <c r="W676" s="30"/>
      <c r="X676" s="30"/>
      <c r="Y676" s="30"/>
      <c r="Z676" s="30"/>
      <c r="AA676" s="30"/>
      <c r="AB676" s="30"/>
      <c r="AC676" s="30"/>
      <c r="AD676" s="30"/>
      <c r="AE676" s="30"/>
    </row>
    <row r="677" spans="1:31" ht="13">
      <c r="A677" s="30" t="s">
        <v>739</v>
      </c>
      <c r="B677" s="30" t="s">
        <v>381</v>
      </c>
      <c r="C677" s="18" t="s">
        <v>740</v>
      </c>
      <c r="D677" s="30" t="s">
        <v>84</v>
      </c>
      <c r="E677" s="30" t="s">
        <v>611</v>
      </c>
      <c r="F677" s="48">
        <v>1980</v>
      </c>
      <c r="G677" s="49">
        <v>4503</v>
      </c>
      <c r="H677" s="49" t="s">
        <v>402</v>
      </c>
      <c r="I677" s="49" t="s">
        <v>402</v>
      </c>
      <c r="J677" s="71" t="s">
        <v>402</v>
      </c>
      <c r="K677" s="65" t="s">
        <v>402</v>
      </c>
      <c r="L677" s="50" t="s">
        <v>612</v>
      </c>
      <c r="M677" s="30"/>
      <c r="N677" s="30"/>
      <c r="O677" s="30"/>
      <c r="P677" s="30"/>
      <c r="Q677" s="30"/>
      <c r="R677" s="30"/>
      <c r="S677" s="30"/>
      <c r="T677" s="30"/>
      <c r="U677" s="30"/>
      <c r="V677" s="30"/>
      <c r="W677" s="30"/>
      <c r="X677" s="30"/>
      <c r="Y677" s="30"/>
      <c r="Z677" s="30"/>
      <c r="AA677" s="30"/>
      <c r="AB677" s="30"/>
      <c r="AC677" s="30"/>
      <c r="AD677" s="30"/>
      <c r="AE677" s="30"/>
    </row>
    <row r="678" spans="1:31" ht="13">
      <c r="A678" s="30" t="s">
        <v>739</v>
      </c>
      <c r="B678" s="30" t="s">
        <v>381</v>
      </c>
      <c r="C678" s="18" t="s">
        <v>740</v>
      </c>
      <c r="D678" s="30" t="s">
        <v>84</v>
      </c>
      <c r="E678" s="30" t="s">
        <v>611</v>
      </c>
      <c r="F678" s="48">
        <v>1981</v>
      </c>
      <c r="G678" s="49">
        <v>6085</v>
      </c>
      <c r="H678" s="49" t="s">
        <v>402</v>
      </c>
      <c r="I678" s="49" t="s">
        <v>402</v>
      </c>
      <c r="J678" s="71" t="s">
        <v>402</v>
      </c>
      <c r="K678" s="65" t="s">
        <v>402</v>
      </c>
      <c r="L678" s="50" t="s">
        <v>612</v>
      </c>
      <c r="M678" s="30"/>
      <c r="N678" s="30"/>
      <c r="O678" s="30"/>
      <c r="P678" s="30"/>
      <c r="Q678" s="30"/>
      <c r="R678" s="30"/>
      <c r="S678" s="30"/>
      <c r="T678" s="30"/>
      <c r="U678" s="30"/>
      <c r="V678" s="30"/>
      <c r="W678" s="30"/>
      <c r="X678" s="30"/>
      <c r="Y678" s="30"/>
      <c r="Z678" s="30"/>
      <c r="AA678" s="30"/>
      <c r="AB678" s="30"/>
      <c r="AC678" s="30"/>
      <c r="AD678" s="30"/>
      <c r="AE678" s="30"/>
    </row>
    <row r="679" spans="1:31" ht="13">
      <c r="A679" s="30" t="s">
        <v>739</v>
      </c>
      <c r="B679" s="30" t="s">
        <v>381</v>
      </c>
      <c r="C679" s="18" t="s">
        <v>740</v>
      </c>
      <c r="D679" s="30" t="s">
        <v>84</v>
      </c>
      <c r="E679" s="30" t="s">
        <v>611</v>
      </c>
      <c r="F679" s="48">
        <v>1983</v>
      </c>
      <c r="G679" s="49">
        <v>6775</v>
      </c>
      <c r="H679" s="49" t="s">
        <v>402</v>
      </c>
      <c r="I679" s="49" t="s">
        <v>402</v>
      </c>
      <c r="J679" s="71" t="s">
        <v>402</v>
      </c>
      <c r="K679" s="65" t="s">
        <v>402</v>
      </c>
      <c r="L679" s="50" t="s">
        <v>612</v>
      </c>
      <c r="M679" s="30"/>
      <c r="N679" s="30"/>
      <c r="O679" s="30"/>
      <c r="P679" s="30"/>
      <c r="Q679" s="30"/>
      <c r="R679" s="30"/>
      <c r="S679" s="30"/>
      <c r="T679" s="30"/>
      <c r="U679" s="30"/>
      <c r="V679" s="30"/>
      <c r="W679" s="30"/>
      <c r="X679" s="30"/>
      <c r="Y679" s="30"/>
      <c r="Z679" s="30"/>
      <c r="AA679" s="30"/>
      <c r="AB679" s="30"/>
      <c r="AC679" s="30"/>
      <c r="AD679" s="30"/>
      <c r="AE679" s="30"/>
    </row>
    <row r="680" spans="1:31" ht="13">
      <c r="A680" s="30" t="s">
        <v>739</v>
      </c>
      <c r="B680" s="30" t="s">
        <v>381</v>
      </c>
      <c r="C680" s="18" t="s">
        <v>740</v>
      </c>
      <c r="D680" s="30" t="s">
        <v>84</v>
      </c>
      <c r="E680" s="30" t="s">
        <v>611</v>
      </c>
      <c r="F680" s="48">
        <v>1986</v>
      </c>
      <c r="G680" s="49">
        <v>6569</v>
      </c>
      <c r="H680" s="49" t="s">
        <v>402</v>
      </c>
      <c r="I680" s="49" t="s">
        <v>402</v>
      </c>
      <c r="J680" s="71" t="s">
        <v>402</v>
      </c>
      <c r="K680" s="65" t="s">
        <v>402</v>
      </c>
      <c r="L680" s="50" t="s">
        <v>612</v>
      </c>
      <c r="M680" s="30"/>
      <c r="N680" s="30"/>
      <c r="O680" s="30"/>
      <c r="P680" s="30"/>
      <c r="Q680" s="30"/>
      <c r="R680" s="30"/>
      <c r="S680" s="30"/>
      <c r="T680" s="30"/>
      <c r="U680" s="30"/>
      <c r="V680" s="30"/>
      <c r="W680" s="30"/>
      <c r="X680" s="30"/>
      <c r="Y680" s="30"/>
      <c r="Z680" s="30"/>
      <c r="AA680" s="30"/>
      <c r="AB680" s="30"/>
      <c r="AC680" s="30"/>
      <c r="AD680" s="30"/>
      <c r="AE680" s="30"/>
    </row>
    <row r="681" spans="1:31" ht="13">
      <c r="A681" s="30" t="s">
        <v>739</v>
      </c>
      <c r="B681" s="30" t="s">
        <v>381</v>
      </c>
      <c r="C681" s="18" t="s">
        <v>740</v>
      </c>
      <c r="D681" s="30" t="s">
        <v>84</v>
      </c>
      <c r="E681" s="30" t="s">
        <v>611</v>
      </c>
      <c r="F681" s="48">
        <v>1987</v>
      </c>
      <c r="G681" s="49">
        <v>10804</v>
      </c>
      <c r="H681" s="49" t="s">
        <v>402</v>
      </c>
      <c r="I681" s="49" t="s">
        <v>402</v>
      </c>
      <c r="J681" s="71" t="s">
        <v>402</v>
      </c>
      <c r="K681" s="65" t="s">
        <v>402</v>
      </c>
      <c r="L681" s="50" t="s">
        <v>612</v>
      </c>
      <c r="M681" s="30"/>
      <c r="N681" s="30"/>
      <c r="O681" s="30"/>
      <c r="P681" s="30"/>
      <c r="Q681" s="30"/>
      <c r="R681" s="30"/>
      <c r="S681" s="30"/>
      <c r="T681" s="30"/>
      <c r="U681" s="30"/>
      <c r="V681" s="30"/>
      <c r="W681" s="30"/>
      <c r="X681" s="30"/>
      <c r="Y681" s="30"/>
      <c r="Z681" s="30"/>
      <c r="AA681" s="30"/>
      <c r="AB681" s="30"/>
      <c r="AC681" s="30"/>
      <c r="AD681" s="30"/>
      <c r="AE681" s="30"/>
    </row>
    <row r="682" spans="1:31" ht="13">
      <c r="A682" s="30" t="s">
        <v>739</v>
      </c>
      <c r="B682" s="30" t="s">
        <v>381</v>
      </c>
      <c r="C682" s="18" t="s">
        <v>740</v>
      </c>
      <c r="D682" s="30" t="s">
        <v>84</v>
      </c>
      <c r="E682" s="30" t="s">
        <v>611</v>
      </c>
      <c r="F682" s="48">
        <v>1989</v>
      </c>
      <c r="G682" s="49">
        <v>10142</v>
      </c>
      <c r="H682" s="49" t="s">
        <v>402</v>
      </c>
      <c r="I682" s="49" t="s">
        <v>402</v>
      </c>
      <c r="J682" s="71" t="s">
        <v>402</v>
      </c>
      <c r="K682" s="65" t="s">
        <v>402</v>
      </c>
      <c r="L682" s="50" t="s">
        <v>612</v>
      </c>
      <c r="M682" s="30"/>
      <c r="N682" s="30"/>
      <c r="O682" s="30"/>
      <c r="P682" s="30"/>
      <c r="Q682" s="30"/>
      <c r="R682" s="30"/>
      <c r="S682" s="30"/>
      <c r="T682" s="30"/>
      <c r="U682" s="30"/>
      <c r="V682" s="30"/>
      <c r="W682" s="30"/>
      <c r="X682" s="30"/>
      <c r="Y682" s="30"/>
      <c r="Z682" s="30"/>
      <c r="AA682" s="30"/>
      <c r="AB682" s="30"/>
      <c r="AC682" s="30"/>
      <c r="AD682" s="30"/>
      <c r="AE682" s="30"/>
    </row>
    <row r="683" spans="1:31" ht="13">
      <c r="A683" s="30" t="s">
        <v>739</v>
      </c>
      <c r="B683" s="30" t="s">
        <v>381</v>
      </c>
      <c r="C683" s="18" t="s">
        <v>740</v>
      </c>
      <c r="D683" s="30" t="s">
        <v>84</v>
      </c>
      <c r="E683" s="30" t="s">
        <v>611</v>
      </c>
      <c r="F683" s="48">
        <v>1991</v>
      </c>
      <c r="G683" s="49">
        <v>12512</v>
      </c>
      <c r="H683" s="49" t="s">
        <v>402</v>
      </c>
      <c r="I683" s="49" t="s">
        <v>402</v>
      </c>
      <c r="J683" s="71" t="s">
        <v>402</v>
      </c>
      <c r="K683" s="65" t="s">
        <v>402</v>
      </c>
      <c r="L683" s="50" t="s">
        <v>612</v>
      </c>
      <c r="M683" s="30"/>
      <c r="N683" s="30"/>
      <c r="O683" s="30"/>
      <c r="P683" s="30"/>
      <c r="Q683" s="30"/>
      <c r="R683" s="30"/>
      <c r="S683" s="30"/>
      <c r="T683" s="30"/>
      <c r="U683" s="30"/>
      <c r="V683" s="30"/>
      <c r="W683" s="30"/>
      <c r="X683" s="30"/>
      <c r="Y683" s="30"/>
      <c r="Z683" s="30"/>
      <c r="AA683" s="30"/>
      <c r="AB683" s="30"/>
      <c r="AC683" s="30"/>
      <c r="AD683" s="30"/>
      <c r="AE683" s="30"/>
    </row>
    <row r="684" spans="1:31" ht="13">
      <c r="A684" s="30" t="s">
        <v>739</v>
      </c>
      <c r="B684" s="30" t="s">
        <v>381</v>
      </c>
      <c r="C684" s="18" t="s">
        <v>740</v>
      </c>
      <c r="D684" s="30" t="s">
        <v>84</v>
      </c>
      <c r="E684" s="30" t="s">
        <v>611</v>
      </c>
      <c r="F684" s="48">
        <v>1992</v>
      </c>
      <c r="G684" s="49">
        <v>11952</v>
      </c>
      <c r="H684" s="49" t="s">
        <v>402</v>
      </c>
      <c r="I684" s="49" t="s">
        <v>402</v>
      </c>
      <c r="J684" s="71" t="s">
        <v>402</v>
      </c>
      <c r="K684" s="65" t="s">
        <v>402</v>
      </c>
      <c r="L684" s="50" t="s">
        <v>612</v>
      </c>
      <c r="M684" s="30"/>
      <c r="N684" s="30"/>
      <c r="O684" s="30"/>
      <c r="P684" s="30"/>
      <c r="Q684" s="30"/>
      <c r="R684" s="30"/>
      <c r="S684" s="30"/>
      <c r="T684" s="30"/>
      <c r="U684" s="30"/>
      <c r="V684" s="30"/>
      <c r="W684" s="30"/>
      <c r="X684" s="30"/>
      <c r="Y684" s="30"/>
      <c r="Z684" s="30"/>
      <c r="AA684" s="30"/>
      <c r="AB684" s="30"/>
      <c r="AC684" s="30"/>
      <c r="AD684" s="30"/>
      <c r="AE684" s="30"/>
    </row>
    <row r="685" spans="1:31" ht="13">
      <c r="A685" s="30" t="s">
        <v>739</v>
      </c>
      <c r="B685" s="30" t="s">
        <v>381</v>
      </c>
      <c r="C685" s="18" t="s">
        <v>740</v>
      </c>
      <c r="D685" s="30" t="s">
        <v>84</v>
      </c>
      <c r="E685" s="30" t="s">
        <v>611</v>
      </c>
      <c r="F685" s="48">
        <v>1993</v>
      </c>
      <c r="G685" s="49">
        <v>11705</v>
      </c>
      <c r="H685" s="49" t="s">
        <v>402</v>
      </c>
      <c r="I685" s="49" t="s">
        <v>402</v>
      </c>
      <c r="J685" s="71" t="s">
        <v>402</v>
      </c>
      <c r="K685" s="65" t="s">
        <v>402</v>
      </c>
      <c r="L685" s="50" t="s">
        <v>612</v>
      </c>
      <c r="M685" s="30"/>
      <c r="N685" s="30"/>
      <c r="O685" s="30"/>
      <c r="P685" s="30"/>
      <c r="Q685" s="30"/>
      <c r="R685" s="30"/>
      <c r="S685" s="30"/>
      <c r="T685" s="30"/>
      <c r="U685" s="30"/>
      <c r="V685" s="30"/>
      <c r="W685" s="30"/>
      <c r="X685" s="30"/>
      <c r="Y685" s="30"/>
      <c r="Z685" s="30"/>
      <c r="AA685" s="30"/>
      <c r="AB685" s="30"/>
      <c r="AC685" s="30"/>
      <c r="AD685" s="30"/>
      <c r="AE685" s="30"/>
    </row>
    <row r="686" spans="1:31" ht="13">
      <c r="A686" s="30" t="s">
        <v>739</v>
      </c>
      <c r="B686" s="30" t="s">
        <v>381</v>
      </c>
      <c r="C686" s="18" t="s">
        <v>740</v>
      </c>
      <c r="D686" s="30" t="s">
        <v>84</v>
      </c>
      <c r="E686" s="30" t="s">
        <v>611</v>
      </c>
      <c r="F686" s="48">
        <v>1994</v>
      </c>
      <c r="G686" s="49">
        <v>9291</v>
      </c>
      <c r="H686" s="49" t="s">
        <v>402</v>
      </c>
      <c r="I686" s="49" t="s">
        <v>402</v>
      </c>
      <c r="J686" s="71" t="s">
        <v>402</v>
      </c>
      <c r="K686" s="65" t="s">
        <v>402</v>
      </c>
      <c r="L686" s="50" t="s">
        <v>612</v>
      </c>
      <c r="M686" s="30"/>
      <c r="N686" s="30"/>
      <c r="O686" s="30"/>
      <c r="P686" s="30"/>
      <c r="Q686" s="30"/>
      <c r="R686" s="30"/>
      <c r="S686" s="30"/>
      <c r="T686" s="30"/>
      <c r="U686" s="30"/>
      <c r="V686" s="30"/>
      <c r="W686" s="30"/>
      <c r="X686" s="30"/>
      <c r="Y686" s="30"/>
      <c r="Z686" s="30"/>
      <c r="AA686" s="30"/>
      <c r="AB686" s="30"/>
      <c r="AC686" s="30"/>
      <c r="AD686" s="30"/>
      <c r="AE686" s="30"/>
    </row>
    <row r="687" spans="1:31" ht="13">
      <c r="A687" s="30" t="s">
        <v>739</v>
      </c>
      <c r="B687" s="30" t="s">
        <v>381</v>
      </c>
      <c r="C687" s="18" t="s">
        <v>740</v>
      </c>
      <c r="D687" s="30" t="s">
        <v>84</v>
      </c>
      <c r="E687" s="30" t="s">
        <v>611</v>
      </c>
      <c r="F687" s="48">
        <v>1995</v>
      </c>
      <c r="G687" s="49">
        <v>11359</v>
      </c>
      <c r="H687" s="49" t="s">
        <v>402</v>
      </c>
      <c r="I687" s="49" t="s">
        <v>402</v>
      </c>
      <c r="J687" s="71" t="s">
        <v>402</v>
      </c>
      <c r="K687" s="65" t="s">
        <v>402</v>
      </c>
      <c r="L687" s="50" t="s">
        <v>612</v>
      </c>
      <c r="M687" s="30"/>
      <c r="N687" s="30"/>
      <c r="O687" s="30"/>
      <c r="P687" s="30"/>
      <c r="Q687" s="30"/>
      <c r="R687" s="30"/>
      <c r="S687" s="30"/>
      <c r="T687" s="30"/>
      <c r="U687" s="30"/>
      <c r="V687" s="30"/>
      <c r="W687" s="30"/>
      <c r="X687" s="30"/>
      <c r="Y687" s="30"/>
      <c r="Z687" s="30"/>
      <c r="AA687" s="30"/>
      <c r="AB687" s="30"/>
      <c r="AC687" s="30"/>
      <c r="AD687" s="30"/>
      <c r="AE687" s="30"/>
    </row>
    <row r="688" spans="1:31" ht="13">
      <c r="A688" s="30" t="s">
        <v>739</v>
      </c>
      <c r="B688" s="30" t="s">
        <v>381</v>
      </c>
      <c r="C688" s="18" t="s">
        <v>740</v>
      </c>
      <c r="D688" s="30" t="s">
        <v>84</v>
      </c>
      <c r="E688" s="30" t="s">
        <v>611</v>
      </c>
      <c r="F688" s="48">
        <v>1996</v>
      </c>
      <c r="G688" s="49">
        <v>10315</v>
      </c>
      <c r="H688" s="49" t="s">
        <v>402</v>
      </c>
      <c r="I688" s="49" t="s">
        <v>402</v>
      </c>
      <c r="J688" s="71" t="s">
        <v>402</v>
      </c>
      <c r="K688" s="65" t="s">
        <v>402</v>
      </c>
      <c r="L688" s="50" t="s">
        <v>612</v>
      </c>
      <c r="M688" s="30"/>
      <c r="N688" s="30"/>
      <c r="O688" s="30"/>
      <c r="P688" s="30"/>
      <c r="Q688" s="30"/>
      <c r="R688" s="30"/>
      <c r="S688" s="30"/>
      <c r="T688" s="30"/>
      <c r="U688" s="30"/>
      <c r="V688" s="30"/>
      <c r="W688" s="30"/>
      <c r="X688" s="30"/>
      <c r="Y688" s="30"/>
      <c r="Z688" s="30"/>
      <c r="AA688" s="30"/>
      <c r="AB688" s="30"/>
      <c r="AC688" s="30"/>
      <c r="AD688" s="30"/>
      <c r="AE688" s="30"/>
    </row>
    <row r="689" spans="1:31" ht="13">
      <c r="A689" s="30" t="s">
        <v>739</v>
      </c>
      <c r="B689" s="30" t="s">
        <v>381</v>
      </c>
      <c r="C689" s="18" t="s">
        <v>740</v>
      </c>
      <c r="D689" s="30" t="s">
        <v>84</v>
      </c>
      <c r="E689" s="30" t="s">
        <v>611</v>
      </c>
      <c r="F689" s="48">
        <v>1997</v>
      </c>
      <c r="G689" s="49">
        <v>11864</v>
      </c>
      <c r="H689" s="49" t="s">
        <v>402</v>
      </c>
      <c r="I689" s="49" t="s">
        <v>402</v>
      </c>
      <c r="J689" s="71" t="s">
        <v>402</v>
      </c>
      <c r="K689" s="65" t="s">
        <v>402</v>
      </c>
      <c r="L689" s="50" t="s">
        <v>612</v>
      </c>
      <c r="M689" s="30"/>
      <c r="N689" s="30"/>
      <c r="O689" s="30"/>
      <c r="P689" s="30"/>
      <c r="Q689" s="30"/>
      <c r="R689" s="30"/>
      <c r="S689" s="30"/>
      <c r="T689" s="30"/>
      <c r="U689" s="30"/>
      <c r="V689" s="30"/>
      <c r="W689" s="30"/>
      <c r="X689" s="30"/>
      <c r="Y689" s="30"/>
      <c r="Z689" s="30"/>
      <c r="AA689" s="30"/>
      <c r="AB689" s="30"/>
      <c r="AC689" s="30"/>
      <c r="AD689" s="30"/>
      <c r="AE689" s="30"/>
    </row>
    <row r="690" spans="1:31" ht="13">
      <c r="A690" s="30" t="s">
        <v>739</v>
      </c>
      <c r="B690" s="30" t="s">
        <v>381</v>
      </c>
      <c r="C690" s="18" t="s">
        <v>740</v>
      </c>
      <c r="D690" s="30" t="s">
        <v>84</v>
      </c>
      <c r="E690" s="30" t="s">
        <v>611</v>
      </c>
      <c r="F690" s="48">
        <v>1999</v>
      </c>
      <c r="G690" s="49">
        <v>10430</v>
      </c>
      <c r="H690" s="49" t="s">
        <v>402</v>
      </c>
      <c r="I690" s="49" t="s">
        <v>402</v>
      </c>
      <c r="J690" s="71" t="s">
        <v>402</v>
      </c>
      <c r="K690" s="65" t="s">
        <v>402</v>
      </c>
      <c r="L690" s="50" t="s">
        <v>612</v>
      </c>
      <c r="M690" s="30"/>
      <c r="N690" s="30"/>
      <c r="O690" s="30"/>
      <c r="P690" s="30"/>
      <c r="Q690" s="30"/>
      <c r="R690" s="30"/>
      <c r="S690" s="30"/>
      <c r="T690" s="30"/>
      <c r="U690" s="30"/>
      <c r="V690" s="30"/>
      <c r="W690" s="30"/>
      <c r="X690" s="30"/>
      <c r="Y690" s="30"/>
      <c r="Z690" s="30"/>
      <c r="AA690" s="30"/>
      <c r="AB690" s="30"/>
      <c r="AC690" s="30"/>
      <c r="AD690" s="30"/>
      <c r="AE690" s="30"/>
    </row>
    <row r="691" spans="1:31" ht="13">
      <c r="A691" s="30" t="s">
        <v>741</v>
      </c>
      <c r="B691" s="30" t="s">
        <v>381</v>
      </c>
      <c r="C691" s="18" t="s">
        <v>742</v>
      </c>
      <c r="D691" s="30" t="s">
        <v>84</v>
      </c>
      <c r="E691" s="30" t="s">
        <v>611</v>
      </c>
      <c r="F691" s="48">
        <v>1978</v>
      </c>
      <c r="G691" s="49">
        <v>3093</v>
      </c>
      <c r="H691" s="49" t="s">
        <v>402</v>
      </c>
      <c r="I691" s="49" t="s">
        <v>402</v>
      </c>
      <c r="J691" s="71" t="s">
        <v>402</v>
      </c>
      <c r="K691" s="65" t="s">
        <v>402</v>
      </c>
      <c r="L691" s="50" t="s">
        <v>612</v>
      </c>
      <c r="M691" s="30"/>
      <c r="N691" s="30"/>
      <c r="O691" s="30"/>
      <c r="P691" s="30"/>
      <c r="Q691" s="30"/>
      <c r="R691" s="30"/>
      <c r="S691" s="30"/>
      <c r="T691" s="30"/>
      <c r="U691" s="30"/>
      <c r="V691" s="30"/>
      <c r="W691" s="30"/>
      <c r="X691" s="30"/>
      <c r="Y691" s="30"/>
      <c r="Z691" s="30"/>
      <c r="AA691" s="30"/>
      <c r="AB691" s="30"/>
      <c r="AC691" s="30"/>
      <c r="AD691" s="30"/>
      <c r="AE691" s="30"/>
    </row>
    <row r="692" spans="1:31" ht="13">
      <c r="A692" s="30" t="s">
        <v>741</v>
      </c>
      <c r="B692" s="30" t="s">
        <v>381</v>
      </c>
      <c r="C692" s="18" t="s">
        <v>742</v>
      </c>
      <c r="D692" s="30" t="s">
        <v>84</v>
      </c>
      <c r="E692" s="30" t="s">
        <v>611</v>
      </c>
      <c r="F692" s="48">
        <v>1985</v>
      </c>
      <c r="G692" s="49">
        <v>5295</v>
      </c>
      <c r="H692" s="49">
        <f t="shared" ref="H692:I692" si="671">F692-F691</f>
        <v>7</v>
      </c>
      <c r="I692" s="49">
        <f t="shared" si="671"/>
        <v>2202</v>
      </c>
      <c r="J692" s="71">
        <f t="shared" ref="J692:J700" si="672">I692/G691</f>
        <v>0.71193016488845784</v>
      </c>
      <c r="K692" s="65">
        <f t="shared" ref="K692:K700" si="673">J692/H692</f>
        <v>0.10170430926977969</v>
      </c>
      <c r="L692" s="50" t="s">
        <v>612</v>
      </c>
      <c r="M692" s="30"/>
      <c r="N692" s="30"/>
      <c r="O692" s="30"/>
      <c r="P692" s="30"/>
      <c r="Q692" s="30"/>
      <c r="R692" s="30"/>
      <c r="S692" s="30"/>
      <c r="T692" s="30"/>
      <c r="U692" s="30"/>
      <c r="V692" s="30"/>
      <c r="W692" s="30"/>
      <c r="X692" s="30"/>
      <c r="Y692" s="30"/>
      <c r="Z692" s="30"/>
      <c r="AA692" s="30"/>
      <c r="AB692" s="30"/>
      <c r="AC692" s="30"/>
      <c r="AD692" s="30"/>
      <c r="AE692" s="30"/>
    </row>
    <row r="693" spans="1:31" ht="13">
      <c r="A693" s="30" t="s">
        <v>741</v>
      </c>
      <c r="B693" s="30" t="s">
        <v>381</v>
      </c>
      <c r="C693" s="18" t="s">
        <v>742</v>
      </c>
      <c r="D693" s="30" t="s">
        <v>84</v>
      </c>
      <c r="E693" s="30" t="s">
        <v>611</v>
      </c>
      <c r="F693" s="48">
        <v>1991</v>
      </c>
      <c r="G693" s="49">
        <v>8784</v>
      </c>
      <c r="H693" s="49">
        <f t="shared" ref="H693:I693" si="674">F693-F692</f>
        <v>6</v>
      </c>
      <c r="I693" s="49">
        <f t="shared" si="674"/>
        <v>3489</v>
      </c>
      <c r="J693" s="71">
        <f t="shared" si="672"/>
        <v>0.65892351274787531</v>
      </c>
      <c r="K693" s="65">
        <f t="shared" si="673"/>
        <v>0.10982058545797922</v>
      </c>
      <c r="L693" s="50" t="s">
        <v>612</v>
      </c>
      <c r="M693" s="30"/>
      <c r="N693" s="30"/>
      <c r="O693" s="30"/>
      <c r="P693" s="30"/>
      <c r="Q693" s="30"/>
      <c r="R693" s="30"/>
      <c r="S693" s="30"/>
      <c r="T693" s="30"/>
      <c r="U693" s="30"/>
      <c r="V693" s="30"/>
      <c r="W693" s="30"/>
      <c r="X693" s="30"/>
      <c r="Y693" s="30"/>
      <c r="Z693" s="30"/>
      <c r="AA693" s="30"/>
      <c r="AB693" s="30"/>
      <c r="AC693" s="30"/>
      <c r="AD693" s="30"/>
      <c r="AE693" s="30"/>
    </row>
    <row r="694" spans="1:31" ht="13">
      <c r="A694" s="30" t="s">
        <v>741</v>
      </c>
      <c r="B694" s="30" t="s">
        <v>381</v>
      </c>
      <c r="C694" s="18" t="s">
        <v>742</v>
      </c>
      <c r="D694" s="30" t="s">
        <v>84</v>
      </c>
      <c r="E694" s="30" t="s">
        <v>611</v>
      </c>
      <c r="F694" s="48">
        <v>1992</v>
      </c>
      <c r="G694" s="49">
        <v>9019</v>
      </c>
      <c r="H694" s="49">
        <f t="shared" ref="H694:I694" si="675">F694-F693</f>
        <v>1</v>
      </c>
      <c r="I694" s="49">
        <f t="shared" si="675"/>
        <v>235</v>
      </c>
      <c r="J694" s="71">
        <f t="shared" si="672"/>
        <v>2.6753187613843352E-2</v>
      </c>
      <c r="K694" s="65">
        <f t="shared" si="673"/>
        <v>2.6753187613843352E-2</v>
      </c>
      <c r="L694" s="50" t="s">
        <v>612</v>
      </c>
      <c r="M694" s="30"/>
      <c r="N694" s="30"/>
      <c r="O694" s="30"/>
      <c r="P694" s="30"/>
      <c r="Q694" s="30"/>
      <c r="R694" s="30"/>
      <c r="S694" s="30"/>
      <c r="T694" s="30"/>
      <c r="U694" s="30"/>
      <c r="V694" s="30"/>
      <c r="W694" s="30"/>
      <c r="X694" s="30"/>
      <c r="Y694" s="30"/>
      <c r="Z694" s="30"/>
      <c r="AA694" s="30"/>
      <c r="AB694" s="30"/>
      <c r="AC694" s="30"/>
      <c r="AD694" s="30"/>
      <c r="AE694" s="30"/>
    </row>
    <row r="695" spans="1:31" ht="13">
      <c r="A695" s="30" t="s">
        <v>741</v>
      </c>
      <c r="B695" s="30" t="s">
        <v>381</v>
      </c>
      <c r="C695" s="18" t="s">
        <v>742</v>
      </c>
      <c r="D695" s="30" t="s">
        <v>84</v>
      </c>
      <c r="E695" s="30" t="s">
        <v>611</v>
      </c>
      <c r="F695" s="48">
        <v>1993</v>
      </c>
      <c r="G695" s="49">
        <v>10417</v>
      </c>
      <c r="H695" s="49">
        <f t="shared" ref="H695:I695" si="676">F695-F694</f>
        <v>1</v>
      </c>
      <c r="I695" s="49">
        <f t="shared" si="676"/>
        <v>1398</v>
      </c>
      <c r="J695" s="71">
        <f t="shared" si="672"/>
        <v>0.15500609823705511</v>
      </c>
      <c r="K695" s="65">
        <f t="shared" si="673"/>
        <v>0.15500609823705511</v>
      </c>
      <c r="L695" s="50" t="s">
        <v>612</v>
      </c>
      <c r="M695" s="30"/>
      <c r="N695" s="30"/>
      <c r="O695" s="30"/>
      <c r="P695" s="30"/>
      <c r="Q695" s="30"/>
      <c r="R695" s="30"/>
      <c r="S695" s="30"/>
      <c r="T695" s="30"/>
      <c r="U695" s="30"/>
      <c r="V695" s="30"/>
      <c r="W695" s="30"/>
      <c r="X695" s="30"/>
      <c r="Y695" s="30"/>
      <c r="Z695" s="30"/>
      <c r="AA695" s="30"/>
      <c r="AB695" s="30"/>
      <c r="AC695" s="30"/>
      <c r="AD695" s="30"/>
      <c r="AE695" s="30"/>
    </row>
    <row r="696" spans="1:31" ht="13">
      <c r="A696" s="30" t="s">
        <v>741</v>
      </c>
      <c r="B696" s="30" t="s">
        <v>381</v>
      </c>
      <c r="C696" s="18" t="s">
        <v>742</v>
      </c>
      <c r="D696" s="30" t="s">
        <v>84</v>
      </c>
      <c r="E696" s="30" t="s">
        <v>611</v>
      </c>
      <c r="F696" s="48">
        <v>1994</v>
      </c>
      <c r="G696" s="49">
        <v>9015</v>
      </c>
      <c r="H696" s="49">
        <f t="shared" ref="H696:I696" si="677">F696-F695</f>
        <v>1</v>
      </c>
      <c r="I696" s="49">
        <f t="shared" si="677"/>
        <v>-1402</v>
      </c>
      <c r="J696" s="71">
        <f t="shared" si="672"/>
        <v>-0.1345876931938178</v>
      </c>
      <c r="K696" s="65">
        <f t="shared" si="673"/>
        <v>-0.1345876931938178</v>
      </c>
      <c r="L696" s="50" t="s">
        <v>612</v>
      </c>
      <c r="M696" s="30"/>
      <c r="N696" s="30"/>
      <c r="O696" s="30"/>
      <c r="P696" s="30"/>
      <c r="Q696" s="30"/>
      <c r="R696" s="30"/>
      <c r="S696" s="30"/>
      <c r="T696" s="30"/>
      <c r="U696" s="30"/>
      <c r="V696" s="30"/>
      <c r="W696" s="30"/>
      <c r="X696" s="30"/>
      <c r="Y696" s="30"/>
      <c r="Z696" s="30"/>
      <c r="AA696" s="30"/>
      <c r="AB696" s="30"/>
      <c r="AC696" s="30"/>
      <c r="AD696" s="30"/>
      <c r="AE696" s="30"/>
    </row>
    <row r="697" spans="1:31" ht="13">
      <c r="A697" s="30" t="s">
        <v>741</v>
      </c>
      <c r="B697" s="30" t="s">
        <v>381</v>
      </c>
      <c r="C697" s="18" t="s">
        <v>742</v>
      </c>
      <c r="D697" s="30" t="s">
        <v>84</v>
      </c>
      <c r="E697" s="30" t="s">
        <v>611</v>
      </c>
      <c r="F697" s="48">
        <v>1996</v>
      </c>
      <c r="G697" s="49">
        <v>11933</v>
      </c>
      <c r="H697" s="49">
        <f t="shared" ref="H697:I697" si="678">F697-F696</f>
        <v>2</v>
      </c>
      <c r="I697" s="49">
        <f t="shared" si="678"/>
        <v>2918</v>
      </c>
      <c r="J697" s="71">
        <f t="shared" si="672"/>
        <v>0.32368275097060456</v>
      </c>
      <c r="K697" s="65">
        <f t="shared" si="673"/>
        <v>0.16184137548530228</v>
      </c>
      <c r="L697" s="50" t="s">
        <v>612</v>
      </c>
      <c r="M697" s="30"/>
      <c r="N697" s="30"/>
      <c r="O697" s="30"/>
      <c r="P697" s="30"/>
      <c r="Q697" s="30"/>
      <c r="R697" s="30"/>
      <c r="S697" s="30"/>
      <c r="T697" s="30"/>
      <c r="U697" s="30"/>
      <c r="V697" s="30"/>
      <c r="W697" s="30"/>
      <c r="X697" s="30"/>
      <c r="Y697" s="30"/>
      <c r="Z697" s="30"/>
      <c r="AA697" s="30"/>
      <c r="AB697" s="30"/>
      <c r="AC697" s="30"/>
      <c r="AD697" s="30"/>
      <c r="AE697" s="30"/>
    </row>
    <row r="698" spans="1:31" ht="13">
      <c r="A698" s="30" t="s">
        <v>741</v>
      </c>
      <c r="B698" s="30" t="s">
        <v>381</v>
      </c>
      <c r="C698" s="18" t="s">
        <v>742</v>
      </c>
      <c r="D698" s="30" t="s">
        <v>84</v>
      </c>
      <c r="E698" s="30" t="s">
        <v>611</v>
      </c>
      <c r="F698" s="48">
        <v>1997</v>
      </c>
      <c r="G698" s="49">
        <v>10324</v>
      </c>
      <c r="H698" s="49">
        <f t="shared" ref="H698:I698" si="679">F698-F697</f>
        <v>1</v>
      </c>
      <c r="I698" s="49">
        <f t="shared" si="679"/>
        <v>-1609</v>
      </c>
      <c r="J698" s="71">
        <f t="shared" si="672"/>
        <v>-0.13483616860806169</v>
      </c>
      <c r="K698" s="65">
        <f t="shared" si="673"/>
        <v>-0.13483616860806169</v>
      </c>
      <c r="L698" s="50" t="s">
        <v>612</v>
      </c>
      <c r="M698" s="30"/>
      <c r="N698" s="30"/>
      <c r="O698" s="30"/>
      <c r="P698" s="30"/>
      <c r="Q698" s="30"/>
      <c r="R698" s="30"/>
      <c r="S698" s="30"/>
      <c r="T698" s="30"/>
      <c r="U698" s="30"/>
      <c r="V698" s="30"/>
      <c r="W698" s="30"/>
      <c r="X698" s="30"/>
      <c r="Y698" s="30"/>
      <c r="Z698" s="30"/>
      <c r="AA698" s="30"/>
      <c r="AB698" s="30"/>
      <c r="AC698" s="30"/>
      <c r="AD698" s="30"/>
      <c r="AE698" s="30"/>
    </row>
    <row r="699" spans="1:31" ht="13">
      <c r="A699" s="30" t="s">
        <v>741</v>
      </c>
      <c r="B699" s="30" t="s">
        <v>381</v>
      </c>
      <c r="C699" s="18" t="s">
        <v>742</v>
      </c>
      <c r="D699" s="30" t="s">
        <v>84</v>
      </c>
      <c r="E699" s="30" t="s">
        <v>611</v>
      </c>
      <c r="F699" s="48">
        <v>1998</v>
      </c>
      <c r="G699" s="49">
        <v>9588</v>
      </c>
      <c r="H699" s="49">
        <f t="shared" ref="H699:I699" si="680">F699-F698</f>
        <v>1</v>
      </c>
      <c r="I699" s="49">
        <f t="shared" si="680"/>
        <v>-736</v>
      </c>
      <c r="J699" s="71">
        <f t="shared" si="672"/>
        <v>-7.1290197597830299E-2</v>
      </c>
      <c r="K699" s="65">
        <f t="shared" si="673"/>
        <v>-7.1290197597830299E-2</v>
      </c>
      <c r="L699" s="50" t="s">
        <v>612</v>
      </c>
      <c r="M699" s="30"/>
      <c r="N699" s="30"/>
      <c r="O699" s="30"/>
      <c r="P699" s="30"/>
      <c r="Q699" s="30"/>
      <c r="R699" s="30"/>
      <c r="S699" s="30"/>
      <c r="T699" s="30"/>
      <c r="U699" s="30"/>
      <c r="V699" s="30"/>
      <c r="W699" s="30"/>
      <c r="X699" s="30"/>
      <c r="Y699" s="30"/>
      <c r="Z699" s="30"/>
      <c r="AA699" s="30"/>
      <c r="AB699" s="30"/>
      <c r="AC699" s="30"/>
      <c r="AD699" s="30"/>
      <c r="AE699" s="30"/>
    </row>
    <row r="700" spans="1:31" ht="13">
      <c r="A700" s="30" t="s">
        <v>741</v>
      </c>
      <c r="B700" s="30" t="s">
        <v>381</v>
      </c>
      <c r="C700" s="18" t="s">
        <v>742</v>
      </c>
      <c r="D700" s="30" t="s">
        <v>84</v>
      </c>
      <c r="E700" s="30" t="s">
        <v>611</v>
      </c>
      <c r="F700" s="48">
        <v>1999</v>
      </c>
      <c r="G700" s="49">
        <v>8949</v>
      </c>
      <c r="H700" s="49">
        <f t="shared" ref="H700:I700" si="681">F700-F699</f>
        <v>1</v>
      </c>
      <c r="I700" s="49">
        <f t="shared" si="681"/>
        <v>-639</v>
      </c>
      <c r="J700" s="71">
        <f t="shared" si="672"/>
        <v>-6.6645807259073847E-2</v>
      </c>
      <c r="K700" s="65">
        <f t="shared" si="673"/>
        <v>-6.6645807259073847E-2</v>
      </c>
      <c r="L700" s="50" t="s">
        <v>612</v>
      </c>
      <c r="M700" s="30"/>
      <c r="N700" s="30"/>
      <c r="O700" s="30"/>
      <c r="P700" s="30"/>
      <c r="Q700" s="30"/>
      <c r="R700" s="30"/>
      <c r="S700" s="30"/>
      <c r="T700" s="30"/>
      <c r="U700" s="30"/>
      <c r="V700" s="30"/>
      <c r="W700" s="30"/>
      <c r="X700" s="30"/>
      <c r="Y700" s="30"/>
      <c r="Z700" s="30"/>
      <c r="AA700" s="30"/>
      <c r="AB700" s="30"/>
      <c r="AC700" s="30"/>
      <c r="AD700" s="30"/>
      <c r="AE700" s="30"/>
    </row>
    <row r="701" spans="1:31" ht="13">
      <c r="A701" s="30" t="s">
        <v>744</v>
      </c>
      <c r="B701" s="30" t="s">
        <v>381</v>
      </c>
      <c r="C701" s="30" t="s">
        <v>745</v>
      </c>
      <c r="D701" s="30" t="s">
        <v>84</v>
      </c>
      <c r="E701" s="30" t="s">
        <v>746</v>
      </c>
      <c r="F701" s="48">
        <v>1982</v>
      </c>
      <c r="G701" s="49">
        <v>2710</v>
      </c>
      <c r="H701" s="49" t="s">
        <v>402</v>
      </c>
      <c r="I701" s="49" t="s">
        <v>402</v>
      </c>
      <c r="J701" s="71" t="s">
        <v>402</v>
      </c>
      <c r="K701" s="65" t="s">
        <v>402</v>
      </c>
      <c r="L701" s="50" t="s">
        <v>612</v>
      </c>
      <c r="M701" s="30"/>
      <c r="N701" s="30"/>
      <c r="O701" s="30"/>
      <c r="P701" s="30"/>
      <c r="Q701" s="30"/>
      <c r="R701" s="30"/>
      <c r="S701" s="30"/>
      <c r="T701" s="30"/>
      <c r="U701" s="30"/>
      <c r="V701" s="30"/>
      <c r="W701" s="30"/>
      <c r="X701" s="30"/>
      <c r="Y701" s="30"/>
      <c r="Z701" s="30"/>
      <c r="AA701" s="30"/>
      <c r="AB701" s="30"/>
      <c r="AC701" s="30"/>
      <c r="AD701" s="30"/>
      <c r="AE701" s="30"/>
    </row>
    <row r="702" spans="1:31" ht="13">
      <c r="A702" s="30" t="s">
        <v>744</v>
      </c>
      <c r="B702" s="30" t="s">
        <v>381</v>
      </c>
      <c r="C702" s="30" t="s">
        <v>745</v>
      </c>
      <c r="D702" s="30" t="s">
        <v>84</v>
      </c>
      <c r="E702" s="30" t="s">
        <v>746</v>
      </c>
      <c r="F702" s="48">
        <v>1983</v>
      </c>
      <c r="G702" s="49">
        <v>3407</v>
      </c>
      <c r="H702" s="49" t="s">
        <v>402</v>
      </c>
      <c r="I702" s="49" t="s">
        <v>402</v>
      </c>
      <c r="J702" s="71" t="s">
        <v>402</v>
      </c>
      <c r="K702" s="65" t="s">
        <v>402</v>
      </c>
      <c r="L702" s="50" t="s">
        <v>612</v>
      </c>
      <c r="M702" s="30"/>
      <c r="N702" s="30"/>
      <c r="O702" s="30"/>
      <c r="P702" s="30"/>
      <c r="Q702" s="30"/>
      <c r="R702" s="30"/>
      <c r="S702" s="30"/>
      <c r="T702" s="30"/>
      <c r="U702" s="30"/>
      <c r="V702" s="30"/>
      <c r="W702" s="30"/>
      <c r="X702" s="30"/>
      <c r="Y702" s="30"/>
      <c r="Z702" s="30"/>
      <c r="AA702" s="30"/>
      <c r="AB702" s="30"/>
      <c r="AC702" s="30"/>
      <c r="AD702" s="30"/>
      <c r="AE702" s="30"/>
    </row>
    <row r="703" spans="1:31" ht="13">
      <c r="A703" s="30" t="s">
        <v>744</v>
      </c>
      <c r="B703" s="30" t="s">
        <v>381</v>
      </c>
      <c r="C703" s="30" t="s">
        <v>745</v>
      </c>
      <c r="D703" s="30" t="s">
        <v>84</v>
      </c>
      <c r="E703" s="30" t="s">
        <v>746</v>
      </c>
      <c r="F703" s="48">
        <v>1985</v>
      </c>
      <c r="G703" s="49">
        <v>3756</v>
      </c>
      <c r="H703" s="49" t="s">
        <v>402</v>
      </c>
      <c r="I703" s="49" t="s">
        <v>402</v>
      </c>
      <c r="J703" s="71" t="s">
        <v>402</v>
      </c>
      <c r="K703" s="65" t="s">
        <v>402</v>
      </c>
      <c r="L703" s="50" t="s">
        <v>612</v>
      </c>
      <c r="M703" s="30"/>
      <c r="N703" s="30"/>
      <c r="O703" s="30"/>
      <c r="P703" s="30"/>
      <c r="Q703" s="30"/>
      <c r="R703" s="30"/>
      <c r="S703" s="30"/>
      <c r="T703" s="30"/>
      <c r="U703" s="30"/>
      <c r="V703" s="30"/>
      <c r="W703" s="30"/>
      <c r="X703" s="30"/>
      <c r="Y703" s="30"/>
      <c r="Z703" s="30"/>
      <c r="AA703" s="30"/>
      <c r="AB703" s="30"/>
      <c r="AC703" s="30"/>
      <c r="AD703" s="30"/>
      <c r="AE703" s="30"/>
    </row>
    <row r="704" spans="1:31" ht="13">
      <c r="A704" s="30" t="s">
        <v>744</v>
      </c>
      <c r="B704" s="30" t="s">
        <v>381</v>
      </c>
      <c r="C704" s="30" t="s">
        <v>745</v>
      </c>
      <c r="D704" s="30" t="s">
        <v>84</v>
      </c>
      <c r="E704" s="30" t="s">
        <v>746</v>
      </c>
      <c r="F704" s="48">
        <v>1987</v>
      </c>
      <c r="G704" s="49">
        <v>3986</v>
      </c>
      <c r="H704" s="49" t="s">
        <v>402</v>
      </c>
      <c r="I704" s="49" t="s">
        <v>402</v>
      </c>
      <c r="J704" s="71" t="s">
        <v>402</v>
      </c>
      <c r="K704" s="65" t="s">
        <v>402</v>
      </c>
      <c r="L704" s="50" t="s">
        <v>612</v>
      </c>
      <c r="M704" s="30"/>
      <c r="N704" s="30"/>
      <c r="O704" s="30"/>
      <c r="P704" s="30"/>
      <c r="Q704" s="30"/>
      <c r="R704" s="30"/>
      <c r="S704" s="30"/>
      <c r="T704" s="30"/>
      <c r="U704" s="30"/>
      <c r="V704" s="30"/>
      <c r="W704" s="30"/>
      <c r="X704" s="30"/>
      <c r="Y704" s="30"/>
      <c r="Z704" s="30"/>
      <c r="AA704" s="30"/>
      <c r="AB704" s="30"/>
      <c r="AC704" s="30"/>
      <c r="AD704" s="30"/>
      <c r="AE704" s="30"/>
    </row>
    <row r="705" spans="1:31" ht="13">
      <c r="A705" s="30" t="s">
        <v>744</v>
      </c>
      <c r="B705" s="30" t="s">
        <v>381</v>
      </c>
      <c r="C705" s="30" t="s">
        <v>745</v>
      </c>
      <c r="D705" s="30" t="s">
        <v>84</v>
      </c>
      <c r="E705" s="30" t="s">
        <v>746</v>
      </c>
      <c r="F705" s="48">
        <v>1988</v>
      </c>
      <c r="G705" s="49">
        <v>4480</v>
      </c>
      <c r="H705" s="49" t="s">
        <v>402</v>
      </c>
      <c r="I705" s="49" t="s">
        <v>402</v>
      </c>
      <c r="J705" s="71" t="s">
        <v>402</v>
      </c>
      <c r="K705" s="65" t="s">
        <v>402</v>
      </c>
      <c r="L705" s="50" t="s">
        <v>612</v>
      </c>
      <c r="M705" s="30"/>
      <c r="N705" s="30"/>
      <c r="O705" s="30"/>
      <c r="P705" s="30"/>
      <c r="Q705" s="30"/>
      <c r="R705" s="30"/>
      <c r="S705" s="30"/>
      <c r="T705" s="30"/>
      <c r="U705" s="30"/>
      <c r="V705" s="30"/>
      <c r="W705" s="30"/>
      <c r="X705" s="30"/>
      <c r="Y705" s="30"/>
      <c r="Z705" s="30"/>
      <c r="AA705" s="30"/>
      <c r="AB705" s="30"/>
      <c r="AC705" s="30"/>
      <c r="AD705" s="30"/>
      <c r="AE705" s="30"/>
    </row>
    <row r="706" spans="1:31" ht="13">
      <c r="A706" s="30" t="s">
        <v>744</v>
      </c>
      <c r="B706" s="30" t="s">
        <v>381</v>
      </c>
      <c r="C706" s="30" t="s">
        <v>745</v>
      </c>
      <c r="D706" s="30" t="s">
        <v>84</v>
      </c>
      <c r="E706" s="30" t="s">
        <v>746</v>
      </c>
      <c r="F706" s="48">
        <v>1989</v>
      </c>
      <c r="G706" s="49">
        <v>5044</v>
      </c>
      <c r="H706" s="49" t="s">
        <v>402</v>
      </c>
      <c r="I706" s="49" t="s">
        <v>402</v>
      </c>
      <c r="J706" s="71" t="s">
        <v>402</v>
      </c>
      <c r="K706" s="65" t="s">
        <v>402</v>
      </c>
      <c r="L706" s="50" t="s">
        <v>612</v>
      </c>
      <c r="M706" s="30"/>
      <c r="N706" s="30"/>
      <c r="O706" s="30"/>
      <c r="P706" s="30"/>
      <c r="Q706" s="30"/>
      <c r="R706" s="30"/>
      <c r="S706" s="30"/>
      <c r="T706" s="30"/>
      <c r="U706" s="30"/>
      <c r="V706" s="30"/>
      <c r="W706" s="30"/>
      <c r="X706" s="30"/>
      <c r="Y706" s="30"/>
      <c r="Z706" s="30"/>
      <c r="AA706" s="30"/>
      <c r="AB706" s="30"/>
      <c r="AC706" s="30"/>
      <c r="AD706" s="30"/>
      <c r="AE706" s="30"/>
    </row>
    <row r="707" spans="1:31" ht="13">
      <c r="A707" s="30" t="s">
        <v>744</v>
      </c>
      <c r="B707" s="30" t="s">
        <v>381</v>
      </c>
      <c r="C707" s="30" t="s">
        <v>745</v>
      </c>
      <c r="D707" s="30" t="s">
        <v>84</v>
      </c>
      <c r="E707" s="30" t="s">
        <v>746</v>
      </c>
      <c r="F707" s="48">
        <v>1990</v>
      </c>
      <c r="G707" s="49">
        <v>4825</v>
      </c>
      <c r="H707" s="49" t="s">
        <v>402</v>
      </c>
      <c r="I707" s="49" t="s">
        <v>402</v>
      </c>
      <c r="J707" s="71" t="s">
        <v>402</v>
      </c>
      <c r="K707" s="65" t="s">
        <v>402</v>
      </c>
      <c r="L707" s="50" t="s">
        <v>612</v>
      </c>
      <c r="M707" s="30"/>
      <c r="N707" s="30"/>
      <c r="O707" s="30"/>
      <c r="P707" s="30"/>
      <c r="Q707" s="30"/>
      <c r="R707" s="30"/>
      <c r="S707" s="30"/>
      <c r="T707" s="30"/>
      <c r="U707" s="30"/>
      <c r="V707" s="30"/>
      <c r="W707" s="30"/>
      <c r="X707" s="30"/>
      <c r="Y707" s="30"/>
      <c r="Z707" s="30"/>
      <c r="AA707" s="30"/>
      <c r="AB707" s="30"/>
      <c r="AC707" s="30"/>
      <c r="AD707" s="30"/>
      <c r="AE707" s="30"/>
    </row>
    <row r="708" spans="1:31" ht="13">
      <c r="A708" s="30" t="s">
        <v>744</v>
      </c>
      <c r="B708" s="30" t="s">
        <v>381</v>
      </c>
      <c r="C708" s="30" t="s">
        <v>745</v>
      </c>
      <c r="D708" s="30" t="s">
        <v>84</v>
      </c>
      <c r="E708" s="30" t="s">
        <v>746</v>
      </c>
      <c r="F708" s="48">
        <v>1991</v>
      </c>
      <c r="G708" s="49">
        <v>4593</v>
      </c>
      <c r="H708" s="49" t="s">
        <v>402</v>
      </c>
      <c r="I708" s="49" t="s">
        <v>402</v>
      </c>
      <c r="J708" s="71" t="s">
        <v>402</v>
      </c>
      <c r="K708" s="65" t="s">
        <v>402</v>
      </c>
      <c r="L708" s="50" t="s">
        <v>612</v>
      </c>
      <c r="M708" s="30"/>
      <c r="N708" s="30"/>
      <c r="O708" s="30"/>
      <c r="P708" s="30"/>
      <c r="Q708" s="30"/>
      <c r="R708" s="30"/>
      <c r="S708" s="30"/>
      <c r="T708" s="30"/>
      <c r="U708" s="30"/>
      <c r="V708" s="30"/>
      <c r="W708" s="30"/>
      <c r="X708" s="30"/>
      <c r="Y708" s="30"/>
      <c r="Z708" s="30"/>
      <c r="AA708" s="30"/>
      <c r="AB708" s="30"/>
      <c r="AC708" s="30"/>
      <c r="AD708" s="30"/>
      <c r="AE708" s="30"/>
    </row>
    <row r="709" spans="1:31" ht="13">
      <c r="A709" s="30" t="s">
        <v>744</v>
      </c>
      <c r="B709" s="30" t="s">
        <v>381</v>
      </c>
      <c r="C709" s="30" t="s">
        <v>745</v>
      </c>
      <c r="D709" s="30" t="s">
        <v>84</v>
      </c>
      <c r="E709" s="30" t="s">
        <v>746</v>
      </c>
      <c r="F709" s="48">
        <v>1992</v>
      </c>
      <c r="G709" s="49">
        <v>5508</v>
      </c>
      <c r="H709" s="49" t="s">
        <v>402</v>
      </c>
      <c r="I709" s="49" t="s">
        <v>402</v>
      </c>
      <c r="J709" s="71" t="s">
        <v>402</v>
      </c>
      <c r="K709" s="65" t="s">
        <v>402</v>
      </c>
      <c r="L709" s="50" t="s">
        <v>612</v>
      </c>
      <c r="M709" s="30"/>
      <c r="N709" s="30"/>
      <c r="O709" s="30"/>
      <c r="P709" s="30"/>
      <c r="Q709" s="30"/>
      <c r="R709" s="30"/>
      <c r="S709" s="30"/>
      <c r="T709" s="30"/>
      <c r="U709" s="30"/>
      <c r="V709" s="30"/>
      <c r="W709" s="30"/>
      <c r="X709" s="30"/>
      <c r="Y709" s="30"/>
      <c r="Z709" s="30"/>
      <c r="AA709" s="30"/>
      <c r="AB709" s="30"/>
      <c r="AC709" s="30"/>
      <c r="AD709" s="30"/>
      <c r="AE709" s="30"/>
    </row>
    <row r="710" spans="1:31" ht="13">
      <c r="A710" s="30" t="s">
        <v>744</v>
      </c>
      <c r="B710" s="30" t="s">
        <v>381</v>
      </c>
      <c r="C710" s="30" t="s">
        <v>745</v>
      </c>
      <c r="D710" s="30" t="s">
        <v>84</v>
      </c>
      <c r="E710" s="30" t="s">
        <v>746</v>
      </c>
      <c r="F710" s="48">
        <v>1993</v>
      </c>
      <c r="G710" s="49">
        <v>5202</v>
      </c>
      <c r="H710" s="49" t="s">
        <v>402</v>
      </c>
      <c r="I710" s="49" t="s">
        <v>402</v>
      </c>
      <c r="J710" s="71" t="s">
        <v>402</v>
      </c>
      <c r="K710" s="65" t="s">
        <v>402</v>
      </c>
      <c r="L710" s="50" t="s">
        <v>612</v>
      </c>
      <c r="M710" s="30"/>
      <c r="N710" s="30"/>
      <c r="O710" s="30"/>
      <c r="P710" s="30"/>
      <c r="Q710" s="30"/>
      <c r="R710" s="30"/>
      <c r="S710" s="30"/>
      <c r="T710" s="30"/>
      <c r="U710" s="30"/>
      <c r="V710" s="30"/>
      <c r="W710" s="30"/>
      <c r="X710" s="30"/>
      <c r="Y710" s="30"/>
      <c r="Z710" s="30"/>
      <c r="AA710" s="30"/>
      <c r="AB710" s="30"/>
      <c r="AC710" s="30"/>
      <c r="AD710" s="30"/>
      <c r="AE710" s="30"/>
    </row>
    <row r="711" spans="1:31" ht="13">
      <c r="A711" s="30" t="s">
        <v>744</v>
      </c>
      <c r="B711" s="30" t="s">
        <v>381</v>
      </c>
      <c r="C711" s="30" t="s">
        <v>745</v>
      </c>
      <c r="D711" s="30" t="s">
        <v>84</v>
      </c>
      <c r="E711" s="30" t="s">
        <v>746</v>
      </c>
      <c r="F711" s="48">
        <v>1994</v>
      </c>
      <c r="G711" s="49">
        <v>4681</v>
      </c>
      <c r="H711" s="49" t="s">
        <v>402</v>
      </c>
      <c r="I711" s="49" t="s">
        <v>402</v>
      </c>
      <c r="J711" s="71" t="s">
        <v>402</v>
      </c>
      <c r="K711" s="65" t="s">
        <v>402</v>
      </c>
      <c r="L711" s="50" t="s">
        <v>612</v>
      </c>
      <c r="M711" s="30"/>
      <c r="N711" s="30"/>
      <c r="O711" s="30"/>
      <c r="P711" s="30"/>
      <c r="Q711" s="30"/>
      <c r="R711" s="30"/>
      <c r="S711" s="30"/>
      <c r="T711" s="30"/>
      <c r="U711" s="30"/>
      <c r="V711" s="30"/>
      <c r="W711" s="30"/>
      <c r="X711" s="30"/>
      <c r="Y711" s="30"/>
      <c r="Z711" s="30"/>
      <c r="AA711" s="30"/>
      <c r="AB711" s="30"/>
      <c r="AC711" s="30"/>
      <c r="AD711" s="30"/>
      <c r="AE711" s="30"/>
    </row>
    <row r="712" spans="1:31" ht="13">
      <c r="A712" s="30" t="s">
        <v>744</v>
      </c>
      <c r="B712" s="30" t="s">
        <v>381</v>
      </c>
      <c r="C712" s="30" t="s">
        <v>745</v>
      </c>
      <c r="D712" s="30" t="s">
        <v>84</v>
      </c>
      <c r="E712" s="30" t="s">
        <v>746</v>
      </c>
      <c r="F712" s="48">
        <v>1995</v>
      </c>
      <c r="G712" s="49">
        <v>4245</v>
      </c>
      <c r="H712" s="49" t="s">
        <v>402</v>
      </c>
      <c r="I712" s="49" t="s">
        <v>402</v>
      </c>
      <c r="J712" s="71" t="s">
        <v>402</v>
      </c>
      <c r="K712" s="65" t="s">
        <v>402</v>
      </c>
      <c r="L712" s="50" t="s">
        <v>612</v>
      </c>
      <c r="M712" s="30"/>
      <c r="N712" s="30"/>
      <c r="O712" s="30"/>
      <c r="P712" s="30"/>
      <c r="Q712" s="30"/>
      <c r="R712" s="30"/>
      <c r="S712" s="30"/>
      <c r="T712" s="30"/>
      <c r="U712" s="30"/>
      <c r="V712" s="30"/>
      <c r="W712" s="30"/>
      <c r="X712" s="30"/>
      <c r="Y712" s="30"/>
      <c r="Z712" s="30"/>
      <c r="AA712" s="30"/>
      <c r="AB712" s="30"/>
      <c r="AC712" s="30"/>
      <c r="AD712" s="30"/>
      <c r="AE712" s="30"/>
    </row>
    <row r="713" spans="1:31" ht="13">
      <c r="A713" s="30" t="s">
        <v>744</v>
      </c>
      <c r="B713" s="30" t="s">
        <v>381</v>
      </c>
      <c r="C713" s="30" t="s">
        <v>745</v>
      </c>
      <c r="D713" s="30" t="s">
        <v>84</v>
      </c>
      <c r="E713" s="30" t="s">
        <v>746</v>
      </c>
      <c r="F713" s="48">
        <v>1996</v>
      </c>
      <c r="G713" s="49">
        <v>4630</v>
      </c>
      <c r="H713" s="49" t="s">
        <v>402</v>
      </c>
      <c r="I713" s="49" t="s">
        <v>402</v>
      </c>
      <c r="J713" s="71" t="s">
        <v>402</v>
      </c>
      <c r="K713" s="65" t="s">
        <v>402</v>
      </c>
      <c r="L713" s="50" t="s">
        <v>612</v>
      </c>
      <c r="M713" s="30"/>
      <c r="N713" s="30"/>
      <c r="O713" s="30"/>
      <c r="P713" s="30"/>
      <c r="Q713" s="30"/>
      <c r="R713" s="30"/>
      <c r="S713" s="30"/>
      <c r="T713" s="30"/>
      <c r="U713" s="30"/>
      <c r="V713" s="30"/>
      <c r="W713" s="30"/>
      <c r="X713" s="30"/>
      <c r="Y713" s="30"/>
      <c r="Z713" s="30"/>
      <c r="AA713" s="30"/>
      <c r="AB713" s="30"/>
      <c r="AC713" s="30"/>
      <c r="AD713" s="30"/>
      <c r="AE713" s="30"/>
    </row>
    <row r="714" spans="1:31" ht="13">
      <c r="A714" s="30" t="s">
        <v>744</v>
      </c>
      <c r="B714" s="30" t="s">
        <v>381</v>
      </c>
      <c r="C714" s="30" t="s">
        <v>745</v>
      </c>
      <c r="D714" s="30" t="s">
        <v>84</v>
      </c>
      <c r="E714" s="30" t="s">
        <v>746</v>
      </c>
      <c r="F714" s="48">
        <v>1998</v>
      </c>
      <c r="G714" s="49">
        <v>5329</v>
      </c>
      <c r="H714" s="49" t="s">
        <v>402</v>
      </c>
      <c r="I714" s="49" t="s">
        <v>402</v>
      </c>
      <c r="J714" s="71" t="s">
        <v>402</v>
      </c>
      <c r="K714" s="65" t="s">
        <v>402</v>
      </c>
      <c r="L714" s="50" t="s">
        <v>612</v>
      </c>
      <c r="M714" s="30"/>
      <c r="N714" s="30"/>
      <c r="O714" s="30"/>
      <c r="P714" s="30"/>
      <c r="Q714" s="30"/>
      <c r="R714" s="30"/>
      <c r="S714" s="30"/>
      <c r="T714" s="30"/>
      <c r="U714" s="30"/>
      <c r="V714" s="30"/>
      <c r="W714" s="30"/>
      <c r="X714" s="30"/>
      <c r="Y714" s="30"/>
      <c r="Z714" s="30"/>
      <c r="AA714" s="30"/>
      <c r="AB714" s="30"/>
      <c r="AC714" s="30"/>
      <c r="AD714" s="30"/>
      <c r="AE714" s="30"/>
    </row>
    <row r="715" spans="1:31" ht="13">
      <c r="A715" s="30" t="s">
        <v>744</v>
      </c>
      <c r="B715" s="30" t="s">
        <v>381</v>
      </c>
      <c r="C715" s="30" t="s">
        <v>745</v>
      </c>
      <c r="D715" s="30" t="s">
        <v>84</v>
      </c>
      <c r="E715" s="30" t="s">
        <v>746</v>
      </c>
      <c r="F715" s="48">
        <v>1999</v>
      </c>
      <c r="G715" s="49">
        <v>4407</v>
      </c>
      <c r="H715" s="49" t="s">
        <v>402</v>
      </c>
      <c r="I715" s="49" t="s">
        <v>402</v>
      </c>
      <c r="J715" s="71" t="s">
        <v>402</v>
      </c>
      <c r="K715" s="65" t="s">
        <v>402</v>
      </c>
      <c r="L715" s="50" t="s">
        <v>612</v>
      </c>
      <c r="M715" s="30"/>
      <c r="N715" s="30"/>
      <c r="O715" s="30"/>
      <c r="P715" s="30"/>
      <c r="Q715" s="30"/>
      <c r="R715" s="30"/>
      <c r="S715" s="30"/>
      <c r="T715" s="30"/>
      <c r="U715" s="30"/>
      <c r="V715" s="30"/>
      <c r="W715" s="30"/>
      <c r="X715" s="30"/>
      <c r="Y715" s="30"/>
      <c r="Z715" s="30"/>
      <c r="AA715" s="30"/>
      <c r="AB715" s="30"/>
      <c r="AC715" s="30"/>
      <c r="AD715" s="30"/>
      <c r="AE715" s="30"/>
    </row>
    <row r="716" spans="1:31" ht="13">
      <c r="A716" s="30" t="s">
        <v>744</v>
      </c>
      <c r="B716" s="30" t="s">
        <v>381</v>
      </c>
      <c r="C716" s="30" t="s">
        <v>745</v>
      </c>
      <c r="D716" s="30" t="s">
        <v>84</v>
      </c>
      <c r="E716" s="30" t="s">
        <v>746</v>
      </c>
      <c r="F716" s="48">
        <v>2000</v>
      </c>
      <c r="G716" s="49">
        <v>4560</v>
      </c>
      <c r="H716" s="49" t="s">
        <v>402</v>
      </c>
      <c r="I716" s="49" t="s">
        <v>402</v>
      </c>
      <c r="J716" s="71" t="s">
        <v>402</v>
      </c>
      <c r="K716" s="65" t="s">
        <v>402</v>
      </c>
      <c r="L716" s="50" t="s">
        <v>612</v>
      </c>
      <c r="M716" s="30"/>
      <c r="N716" s="30"/>
      <c r="O716" s="30"/>
      <c r="P716" s="30"/>
      <c r="Q716" s="30"/>
      <c r="R716" s="30"/>
      <c r="S716" s="30"/>
      <c r="T716" s="30"/>
      <c r="U716" s="30"/>
      <c r="V716" s="30"/>
      <c r="W716" s="30"/>
      <c r="X716" s="30"/>
      <c r="Y716" s="30"/>
      <c r="Z716" s="30"/>
      <c r="AA716" s="30"/>
      <c r="AB716" s="30"/>
      <c r="AC716" s="30"/>
      <c r="AD716" s="30"/>
      <c r="AE716" s="30"/>
    </row>
    <row r="717" spans="1:31" ht="13">
      <c r="A717" s="30" t="s">
        <v>744</v>
      </c>
      <c r="B717" s="30" t="s">
        <v>381</v>
      </c>
      <c r="C717" s="30" t="s">
        <v>745</v>
      </c>
      <c r="D717" s="30" t="s">
        <v>84</v>
      </c>
      <c r="E717" s="30" t="s">
        <v>746</v>
      </c>
      <c r="F717" s="48">
        <v>2001</v>
      </c>
      <c r="G717" s="49">
        <v>4479</v>
      </c>
      <c r="H717" s="49" t="s">
        <v>402</v>
      </c>
      <c r="I717" s="49" t="s">
        <v>402</v>
      </c>
      <c r="J717" s="71" t="s">
        <v>402</v>
      </c>
      <c r="K717" s="65" t="s">
        <v>402</v>
      </c>
      <c r="L717" s="50" t="s">
        <v>612</v>
      </c>
      <c r="M717" s="30"/>
      <c r="N717" s="30"/>
      <c r="O717" s="30"/>
      <c r="P717" s="30"/>
      <c r="Q717" s="30"/>
      <c r="R717" s="30"/>
      <c r="S717" s="30"/>
      <c r="T717" s="30"/>
      <c r="U717" s="30"/>
      <c r="V717" s="30"/>
      <c r="W717" s="30"/>
      <c r="X717" s="30"/>
      <c r="Y717" s="30"/>
      <c r="Z717" s="30"/>
      <c r="AA717" s="30"/>
      <c r="AB717" s="30"/>
      <c r="AC717" s="30"/>
      <c r="AD717" s="30"/>
      <c r="AE717" s="30"/>
    </row>
    <row r="718" spans="1:31" ht="13">
      <c r="A718" s="30" t="s">
        <v>744</v>
      </c>
      <c r="B718" s="30" t="s">
        <v>381</v>
      </c>
      <c r="C718" s="30" t="s">
        <v>745</v>
      </c>
      <c r="D718" s="30" t="s">
        <v>84</v>
      </c>
      <c r="E718" s="30" t="s">
        <v>746</v>
      </c>
      <c r="F718" s="48">
        <v>2002</v>
      </c>
      <c r="G718" s="49">
        <v>5258</v>
      </c>
      <c r="H718" s="49" t="s">
        <v>402</v>
      </c>
      <c r="I718" s="49" t="s">
        <v>402</v>
      </c>
      <c r="J718" s="71" t="s">
        <v>402</v>
      </c>
      <c r="K718" s="65" t="s">
        <v>402</v>
      </c>
      <c r="L718" s="50" t="s">
        <v>612</v>
      </c>
      <c r="M718" s="30"/>
      <c r="N718" s="30"/>
      <c r="O718" s="30"/>
      <c r="P718" s="30"/>
      <c r="Q718" s="30"/>
      <c r="R718" s="30"/>
      <c r="S718" s="30"/>
      <c r="T718" s="30"/>
      <c r="U718" s="30"/>
      <c r="V718" s="30"/>
      <c r="W718" s="30"/>
      <c r="X718" s="30"/>
      <c r="Y718" s="30"/>
      <c r="Z718" s="30"/>
      <c r="AA718" s="30"/>
      <c r="AB718" s="30"/>
      <c r="AC718" s="30"/>
      <c r="AD718" s="30"/>
      <c r="AE718" s="30"/>
    </row>
    <row r="719" spans="1:31" ht="13">
      <c r="A719" s="30" t="s">
        <v>744</v>
      </c>
      <c r="B719" s="30" t="s">
        <v>381</v>
      </c>
      <c r="C719" s="30" t="s">
        <v>745</v>
      </c>
      <c r="D719" s="30" t="s">
        <v>84</v>
      </c>
      <c r="E719" s="30" t="s">
        <v>746</v>
      </c>
      <c r="F719" s="48">
        <v>2003</v>
      </c>
      <c r="G719" s="49">
        <v>5491</v>
      </c>
      <c r="H719" s="49" t="s">
        <v>402</v>
      </c>
      <c r="I719" s="49" t="s">
        <v>402</v>
      </c>
      <c r="J719" s="71" t="s">
        <v>402</v>
      </c>
      <c r="K719" s="65" t="s">
        <v>402</v>
      </c>
      <c r="L719" s="50" t="s">
        <v>612</v>
      </c>
      <c r="M719" s="30"/>
      <c r="N719" s="30"/>
      <c r="O719" s="30"/>
      <c r="P719" s="30"/>
      <c r="Q719" s="30"/>
      <c r="R719" s="30"/>
      <c r="S719" s="30"/>
      <c r="T719" s="30"/>
      <c r="U719" s="30"/>
      <c r="V719" s="30"/>
      <c r="W719" s="30"/>
      <c r="X719" s="30"/>
      <c r="Y719" s="30"/>
      <c r="Z719" s="30"/>
      <c r="AA719" s="30"/>
      <c r="AB719" s="30"/>
      <c r="AC719" s="30"/>
      <c r="AD719" s="30"/>
      <c r="AE719" s="30"/>
    </row>
    <row r="720" spans="1:31" ht="13">
      <c r="A720" s="18" t="s">
        <v>318</v>
      </c>
      <c r="B720" s="18" t="s">
        <v>75</v>
      </c>
      <c r="C720" s="18" t="s">
        <v>747</v>
      </c>
      <c r="D720" s="18" t="s">
        <v>748</v>
      </c>
      <c r="E720" s="18" t="s">
        <v>611</v>
      </c>
      <c r="F720" s="18">
        <v>2013</v>
      </c>
      <c r="G720" s="40">
        <v>1288</v>
      </c>
      <c r="H720" s="40" t="s">
        <v>402</v>
      </c>
      <c r="I720" s="49" t="s">
        <v>402</v>
      </c>
      <c r="J720" s="71" t="s">
        <v>402</v>
      </c>
      <c r="K720" s="65" t="s">
        <v>402</v>
      </c>
      <c r="L720" s="38" t="s">
        <v>637</v>
      </c>
    </row>
    <row r="721" spans="1:12" ht="13">
      <c r="A721" s="18" t="s">
        <v>318</v>
      </c>
      <c r="B721" s="18" t="s">
        <v>75</v>
      </c>
      <c r="C721" s="18" t="s">
        <v>747</v>
      </c>
      <c r="D721" s="18" t="s">
        <v>748</v>
      </c>
      <c r="E721" s="18" t="s">
        <v>611</v>
      </c>
      <c r="F721" s="18">
        <v>2014</v>
      </c>
      <c r="G721" s="40">
        <v>1309</v>
      </c>
      <c r="H721" s="40">
        <f t="shared" ref="H721:I721" si="682">F721-F720</f>
        <v>1</v>
      </c>
      <c r="I721" s="40">
        <f t="shared" si="682"/>
        <v>21</v>
      </c>
      <c r="J721" s="66">
        <f t="shared" ref="J721:J727" si="683">I721/G720</f>
        <v>1.6304347826086956E-2</v>
      </c>
      <c r="K721" s="65">
        <f t="shared" ref="K721:K727" si="684">J721/H721</f>
        <v>1.6304347826086956E-2</v>
      </c>
      <c r="L721" s="38" t="s">
        <v>637</v>
      </c>
    </row>
    <row r="722" spans="1:12" ht="13">
      <c r="A722" s="18" t="s">
        <v>318</v>
      </c>
      <c r="B722" s="18" t="s">
        <v>75</v>
      </c>
      <c r="C722" s="18" t="s">
        <v>747</v>
      </c>
      <c r="D722" s="18" t="s">
        <v>748</v>
      </c>
      <c r="E722" s="18" t="s">
        <v>611</v>
      </c>
      <c r="F722" s="18">
        <v>2015</v>
      </c>
      <c r="G722" s="40">
        <v>1333</v>
      </c>
      <c r="H722" s="40">
        <f t="shared" ref="H722:I722" si="685">F722-F721</f>
        <v>1</v>
      </c>
      <c r="I722" s="40">
        <f t="shared" si="685"/>
        <v>24</v>
      </c>
      <c r="J722" s="66">
        <f t="shared" si="683"/>
        <v>1.8334606569900689E-2</v>
      </c>
      <c r="K722" s="65">
        <f t="shared" si="684"/>
        <v>1.8334606569900689E-2</v>
      </c>
      <c r="L722" s="38" t="s">
        <v>637</v>
      </c>
    </row>
    <row r="723" spans="1:12" ht="13">
      <c r="A723" s="18" t="s">
        <v>318</v>
      </c>
      <c r="B723" s="18" t="s">
        <v>75</v>
      </c>
      <c r="C723" s="18" t="s">
        <v>747</v>
      </c>
      <c r="D723" s="18" t="s">
        <v>748</v>
      </c>
      <c r="E723" s="18" t="s">
        <v>611</v>
      </c>
      <c r="F723" s="18">
        <v>2016</v>
      </c>
      <c r="G723" s="40">
        <v>1416</v>
      </c>
      <c r="H723" s="40">
        <f t="shared" ref="H723:I723" si="686">F723-F722</f>
        <v>1</v>
      </c>
      <c r="I723" s="40">
        <f t="shared" si="686"/>
        <v>83</v>
      </c>
      <c r="J723" s="66">
        <f t="shared" si="683"/>
        <v>6.2265566391597901E-2</v>
      </c>
      <c r="K723" s="65">
        <f t="shared" si="684"/>
        <v>6.2265566391597901E-2</v>
      </c>
      <c r="L723" s="38" t="s">
        <v>637</v>
      </c>
    </row>
    <row r="724" spans="1:12" ht="13">
      <c r="A724" s="18" t="s">
        <v>318</v>
      </c>
      <c r="B724" s="18" t="s">
        <v>75</v>
      </c>
      <c r="C724" s="18" t="s">
        <v>747</v>
      </c>
      <c r="D724" s="18" t="s">
        <v>748</v>
      </c>
      <c r="E724" s="18" t="s">
        <v>611</v>
      </c>
      <c r="F724" s="18">
        <v>2017</v>
      </c>
      <c r="G724" s="40">
        <v>1358</v>
      </c>
      <c r="H724" s="40">
        <f t="shared" ref="H724:I724" si="687">F724-F723</f>
        <v>1</v>
      </c>
      <c r="I724" s="40">
        <f t="shared" si="687"/>
        <v>-58</v>
      </c>
      <c r="J724" s="66">
        <f t="shared" si="683"/>
        <v>-4.0960451977401127E-2</v>
      </c>
      <c r="K724" s="65">
        <f t="shared" si="684"/>
        <v>-4.0960451977401127E-2</v>
      </c>
      <c r="L724" s="38" t="s">
        <v>637</v>
      </c>
    </row>
    <row r="725" spans="1:12" ht="13">
      <c r="A725" s="18" t="s">
        <v>318</v>
      </c>
      <c r="B725" s="18" t="s">
        <v>75</v>
      </c>
      <c r="C725" s="18" t="s">
        <v>747</v>
      </c>
      <c r="D725" s="18" t="s">
        <v>748</v>
      </c>
      <c r="E725" s="18" t="s">
        <v>611</v>
      </c>
      <c r="F725" s="18">
        <v>2018</v>
      </c>
      <c r="G725" s="40">
        <v>1437</v>
      </c>
      <c r="H725" s="40">
        <f t="shared" ref="H725:I725" si="688">F725-F724</f>
        <v>1</v>
      </c>
      <c r="I725" s="40">
        <f t="shared" si="688"/>
        <v>79</v>
      </c>
      <c r="J725" s="66">
        <f t="shared" si="683"/>
        <v>5.8173784977908691E-2</v>
      </c>
      <c r="K725" s="65">
        <f t="shared" si="684"/>
        <v>5.8173784977908691E-2</v>
      </c>
      <c r="L725" s="38" t="s">
        <v>637</v>
      </c>
    </row>
    <row r="726" spans="1:12" ht="13">
      <c r="A726" s="18" t="s">
        <v>318</v>
      </c>
      <c r="B726" s="18" t="s">
        <v>75</v>
      </c>
      <c r="C726" s="18" t="s">
        <v>747</v>
      </c>
      <c r="D726" s="18" t="s">
        <v>748</v>
      </c>
      <c r="E726" s="18" t="s">
        <v>611</v>
      </c>
      <c r="F726" s="18">
        <v>2019</v>
      </c>
      <c r="G726" s="40">
        <v>1435</v>
      </c>
      <c r="H726" s="40">
        <f t="shared" ref="H726:I726" si="689">F726-F725</f>
        <v>1</v>
      </c>
      <c r="I726" s="40">
        <f t="shared" si="689"/>
        <v>-2</v>
      </c>
      <c r="J726" s="66">
        <f t="shared" si="683"/>
        <v>-1.3917884481558804E-3</v>
      </c>
      <c r="K726" s="65">
        <f t="shared" si="684"/>
        <v>-1.3917884481558804E-3</v>
      </c>
      <c r="L726" s="38" t="s">
        <v>637</v>
      </c>
    </row>
    <row r="727" spans="1:12" ht="13">
      <c r="A727" s="18" t="s">
        <v>318</v>
      </c>
      <c r="B727" s="18" t="s">
        <v>75</v>
      </c>
      <c r="C727" s="18" t="s">
        <v>747</v>
      </c>
      <c r="D727" s="18" t="s">
        <v>748</v>
      </c>
      <c r="E727" s="18" t="s">
        <v>611</v>
      </c>
      <c r="F727" s="18">
        <v>2020</v>
      </c>
      <c r="G727" s="40">
        <v>1465</v>
      </c>
      <c r="H727" s="40">
        <f t="shared" ref="H727:I727" si="690">F727-F726</f>
        <v>1</v>
      </c>
      <c r="I727" s="40">
        <f t="shared" si="690"/>
        <v>30</v>
      </c>
      <c r="J727" s="66">
        <f t="shared" si="683"/>
        <v>2.0905923344947737E-2</v>
      </c>
      <c r="K727" s="65">
        <f t="shared" si="684"/>
        <v>2.0905923344947737E-2</v>
      </c>
      <c r="L727" s="38" t="s">
        <v>637</v>
      </c>
    </row>
    <row r="728" spans="1:12" ht="13">
      <c r="A728" s="18" t="s">
        <v>371</v>
      </c>
      <c r="B728" s="18" t="s">
        <v>292</v>
      </c>
      <c r="C728" s="18" t="s">
        <v>749</v>
      </c>
      <c r="D728" s="18" t="s">
        <v>636</v>
      </c>
      <c r="E728" s="18" t="s">
        <v>611</v>
      </c>
      <c r="F728" s="37">
        <v>1991.32</v>
      </c>
      <c r="G728" s="37">
        <v>568.44547563805099</v>
      </c>
      <c r="H728" s="37" t="s">
        <v>402</v>
      </c>
      <c r="I728" s="37" t="s">
        <v>402</v>
      </c>
      <c r="J728" s="65" t="s">
        <v>402</v>
      </c>
      <c r="K728" s="65" t="s">
        <v>402</v>
      </c>
      <c r="L728" s="38" t="s">
        <v>637</v>
      </c>
    </row>
    <row r="729" spans="1:12" ht="13">
      <c r="A729" s="18" t="s">
        <v>371</v>
      </c>
      <c r="B729" s="18" t="s">
        <v>292</v>
      </c>
      <c r="C729" s="18" t="s">
        <v>749</v>
      </c>
      <c r="D729" s="18" t="s">
        <v>636</v>
      </c>
      <c r="E729" s="18" t="s">
        <v>611</v>
      </c>
      <c r="F729" s="37">
        <v>1993.2962962962999</v>
      </c>
      <c r="G729" s="37">
        <v>707.65661252900304</v>
      </c>
      <c r="H729" s="37">
        <f t="shared" ref="H729:I729" si="691">F729-F728</f>
        <v>1.9762962963000064</v>
      </c>
      <c r="I729" s="37">
        <f t="shared" si="691"/>
        <v>139.21113689095205</v>
      </c>
      <c r="J729" s="65">
        <f t="shared" ref="J729:J734" si="692">I729/G728</f>
        <v>0.24489795918367485</v>
      </c>
      <c r="K729" s="65">
        <f t="shared" ref="K729:K734" si="693">J729/H729</f>
        <v>0.12391763301999266</v>
      </c>
      <c r="L729" s="38" t="s">
        <v>637</v>
      </c>
    </row>
    <row r="730" spans="1:12" ht="13">
      <c r="A730" s="18" t="s">
        <v>371</v>
      </c>
      <c r="B730" s="18" t="s">
        <v>292</v>
      </c>
      <c r="C730" s="18" t="s">
        <v>749</v>
      </c>
      <c r="D730" s="18" t="s">
        <v>636</v>
      </c>
      <c r="E730" s="18" t="s">
        <v>611</v>
      </c>
      <c r="F730" s="37">
        <v>1996.2607407407399</v>
      </c>
      <c r="G730" s="37">
        <v>1751.7401392111401</v>
      </c>
      <c r="H730" s="37">
        <f t="shared" ref="H730:I730" si="694">F730-F729</f>
        <v>2.9644444444400051</v>
      </c>
      <c r="I730" s="37">
        <f t="shared" si="694"/>
        <v>1044.0835266821371</v>
      </c>
      <c r="J730" s="65">
        <f t="shared" si="692"/>
        <v>1.4754098360655759</v>
      </c>
      <c r="K730" s="65">
        <f t="shared" si="693"/>
        <v>0.49770196868853328</v>
      </c>
      <c r="L730" s="38" t="s">
        <v>637</v>
      </c>
    </row>
    <row r="731" spans="1:12" ht="13">
      <c r="A731" s="18" t="s">
        <v>371</v>
      </c>
      <c r="B731" s="18" t="s">
        <v>292</v>
      </c>
      <c r="C731" s="18" t="s">
        <v>749</v>
      </c>
      <c r="D731" s="18" t="s">
        <v>636</v>
      </c>
      <c r="E731" s="18" t="s">
        <v>611</v>
      </c>
      <c r="F731" s="37">
        <v>2001.24444444444</v>
      </c>
      <c r="G731" s="37">
        <v>1287.7030162413</v>
      </c>
      <c r="H731" s="37">
        <f t="shared" ref="H731:I731" si="695">F731-F730</f>
        <v>4.98370370370003</v>
      </c>
      <c r="I731" s="37">
        <f t="shared" si="695"/>
        <v>-464.03712296984008</v>
      </c>
      <c r="J731" s="65">
        <f t="shared" si="692"/>
        <v>-0.26490066225165659</v>
      </c>
      <c r="K731" s="65">
        <f t="shared" si="693"/>
        <v>-5.3153373073721762E-2</v>
      </c>
      <c r="L731" s="38" t="s">
        <v>637</v>
      </c>
    </row>
    <row r="732" spans="1:12" ht="13">
      <c r="A732" s="18" t="s">
        <v>371</v>
      </c>
      <c r="B732" s="18" t="s">
        <v>292</v>
      </c>
      <c r="C732" s="18" t="s">
        <v>749</v>
      </c>
      <c r="D732" s="18" t="s">
        <v>636</v>
      </c>
      <c r="E732" s="18" t="s">
        <v>611</v>
      </c>
      <c r="F732" s="37">
        <v>2005.24</v>
      </c>
      <c r="G732" s="37">
        <v>1624.1299303944299</v>
      </c>
      <c r="H732" s="37">
        <f t="shared" ref="H732:I732" si="696">F732-F731</f>
        <v>3.9955555555600313</v>
      </c>
      <c r="I732" s="37">
        <f t="shared" si="696"/>
        <v>336.42691415312993</v>
      </c>
      <c r="J732" s="65">
        <f t="shared" si="692"/>
        <v>0.26126126126125931</v>
      </c>
      <c r="K732" s="65">
        <f t="shared" si="693"/>
        <v>6.5387968613701331E-2</v>
      </c>
      <c r="L732" s="38" t="s">
        <v>637</v>
      </c>
    </row>
    <row r="733" spans="1:12" ht="13">
      <c r="A733" s="18" t="s">
        <v>371</v>
      </c>
      <c r="B733" s="18" t="s">
        <v>292</v>
      </c>
      <c r="C733" s="18" t="s">
        <v>749</v>
      </c>
      <c r="D733" s="18" t="s">
        <v>636</v>
      </c>
      <c r="E733" s="18" t="s">
        <v>611</v>
      </c>
      <c r="F733" s="37">
        <v>2008.2903703703701</v>
      </c>
      <c r="G733" s="37">
        <v>1310.9048723897899</v>
      </c>
      <c r="H733" s="37">
        <f t="shared" ref="H733:I733" si="697">F733-F732</f>
        <v>3.0503703703700467</v>
      </c>
      <c r="I733" s="37">
        <f t="shared" si="697"/>
        <v>-313.22505800464</v>
      </c>
      <c r="J733" s="65">
        <f t="shared" si="692"/>
        <v>-0.19285714285714281</v>
      </c>
      <c r="K733" s="65">
        <f t="shared" si="693"/>
        <v>-6.3224172621945227E-2</v>
      </c>
      <c r="L733" s="38" t="s">
        <v>637</v>
      </c>
    </row>
    <row r="734" spans="1:12" ht="13">
      <c r="A734" s="18" t="s">
        <v>371</v>
      </c>
      <c r="B734" s="18" t="s">
        <v>292</v>
      </c>
      <c r="C734" s="18" t="s">
        <v>749</v>
      </c>
      <c r="D734" s="18" t="s">
        <v>636</v>
      </c>
      <c r="E734" s="18" t="s">
        <v>611</v>
      </c>
      <c r="F734" s="37">
        <v>2014.2622222222201</v>
      </c>
      <c r="G734" s="37">
        <v>3062.64501160093</v>
      </c>
      <c r="H734" s="37">
        <f t="shared" ref="H734:I734" si="698">F734-F733</f>
        <v>5.9718518518500332</v>
      </c>
      <c r="I734" s="37">
        <f t="shared" si="698"/>
        <v>1751.7401392111401</v>
      </c>
      <c r="J734" s="65">
        <f t="shared" si="692"/>
        <v>1.3362831858407116</v>
      </c>
      <c r="K734" s="65">
        <f t="shared" si="693"/>
        <v>0.22376361955910568</v>
      </c>
      <c r="L734" s="38" t="s">
        <v>637</v>
      </c>
    </row>
    <row r="735" spans="1:12" ht="13">
      <c r="A735" s="18" t="s">
        <v>371</v>
      </c>
      <c r="B735" s="18" t="s">
        <v>292</v>
      </c>
      <c r="C735" s="18" t="s">
        <v>749</v>
      </c>
      <c r="D735" s="18" t="s">
        <v>751</v>
      </c>
      <c r="E735" s="18" t="s">
        <v>611</v>
      </c>
      <c r="F735" s="37">
        <v>1989.04296296296</v>
      </c>
      <c r="G735" s="37">
        <v>499</v>
      </c>
      <c r="H735" s="37" t="s">
        <v>402</v>
      </c>
      <c r="I735" s="37" t="s">
        <v>402</v>
      </c>
      <c r="J735" s="65" t="s">
        <v>402</v>
      </c>
      <c r="K735" s="65" t="s">
        <v>402</v>
      </c>
      <c r="L735" s="38" t="s">
        <v>612</v>
      </c>
    </row>
    <row r="736" spans="1:12" ht="13">
      <c r="A736" s="18" t="s">
        <v>371</v>
      </c>
      <c r="B736" s="18" t="s">
        <v>292</v>
      </c>
      <c r="C736" s="18" t="s">
        <v>749</v>
      </c>
      <c r="D736" s="18" t="s">
        <v>751</v>
      </c>
      <c r="E736" s="18" t="s">
        <v>611</v>
      </c>
      <c r="F736" s="37">
        <v>1990.03111111111</v>
      </c>
      <c r="G736" s="37">
        <v>552</v>
      </c>
      <c r="H736" s="37">
        <f t="shared" ref="H736:I736" si="699">F736-F735</f>
        <v>0.98814814815000318</v>
      </c>
      <c r="I736" s="37">
        <f t="shared" si="699"/>
        <v>53</v>
      </c>
      <c r="J736" s="65">
        <f t="shared" ref="J736:J764" si="700">I736/G735</f>
        <v>0.10621242484969939</v>
      </c>
      <c r="K736" s="65">
        <f t="shared" ref="K736:K764" si="701">J736/H736</f>
        <v>0.10748633699162294</v>
      </c>
      <c r="L736" s="38" t="s">
        <v>612</v>
      </c>
    </row>
    <row r="737" spans="1:12" ht="13">
      <c r="A737" s="18" t="s">
        <v>371</v>
      </c>
      <c r="B737" s="18" t="s">
        <v>292</v>
      </c>
      <c r="C737" s="18" t="s">
        <v>749</v>
      </c>
      <c r="D737" s="18" t="s">
        <v>751</v>
      </c>
      <c r="E737" s="18" t="s">
        <v>611</v>
      </c>
      <c r="F737" s="37">
        <v>1991.01925925926</v>
      </c>
      <c r="G737" s="37">
        <v>682</v>
      </c>
      <c r="H737" s="37">
        <f t="shared" ref="H737:I737" si="702">F737-F736</f>
        <v>0.98814814815000318</v>
      </c>
      <c r="I737" s="37">
        <f t="shared" si="702"/>
        <v>130</v>
      </c>
      <c r="J737" s="65">
        <f t="shared" si="700"/>
        <v>0.23550724637681159</v>
      </c>
      <c r="K737" s="65">
        <f t="shared" si="701"/>
        <v>0.23833192099557629</v>
      </c>
      <c r="L737" s="38" t="s">
        <v>612</v>
      </c>
    </row>
    <row r="738" spans="1:12" ht="13">
      <c r="A738" s="18" t="s">
        <v>371</v>
      </c>
      <c r="B738" s="18" t="s">
        <v>292</v>
      </c>
      <c r="C738" s="18" t="s">
        <v>749</v>
      </c>
      <c r="D738" s="18" t="s">
        <v>751</v>
      </c>
      <c r="E738" s="18" t="s">
        <v>611</v>
      </c>
      <c r="F738" s="37">
        <v>1992.00740740741</v>
      </c>
      <c r="G738" s="37">
        <v>759</v>
      </c>
      <c r="H738" s="37">
        <f t="shared" ref="H738:I738" si="703">F738-F737</f>
        <v>0.98814814815000318</v>
      </c>
      <c r="I738" s="37">
        <f t="shared" si="703"/>
        <v>77</v>
      </c>
      <c r="J738" s="65">
        <f t="shared" si="700"/>
        <v>0.11290322580645161</v>
      </c>
      <c r="K738" s="65">
        <f t="shared" si="701"/>
        <v>0.11425738743510011</v>
      </c>
      <c r="L738" s="38" t="s">
        <v>612</v>
      </c>
    </row>
    <row r="739" spans="1:12" ht="13">
      <c r="A739" s="18" t="s">
        <v>371</v>
      </c>
      <c r="B739" s="18" t="s">
        <v>292</v>
      </c>
      <c r="C739" s="18" t="s">
        <v>749</v>
      </c>
      <c r="D739" s="18" t="s">
        <v>751</v>
      </c>
      <c r="E739" s="18" t="s">
        <v>611</v>
      </c>
      <c r="F739" s="37">
        <v>1992.99555555556</v>
      </c>
      <c r="G739" s="37">
        <v>793</v>
      </c>
      <c r="H739" s="37">
        <f t="shared" ref="H739:I739" si="704">F739-F738</f>
        <v>0.98814814815000318</v>
      </c>
      <c r="I739" s="37">
        <f t="shared" si="704"/>
        <v>34</v>
      </c>
      <c r="J739" s="65">
        <f t="shared" si="700"/>
        <v>4.4795783926218712E-2</v>
      </c>
      <c r="K739" s="65">
        <f t="shared" si="701"/>
        <v>4.5333064692864869E-2</v>
      </c>
      <c r="L739" s="38" t="s">
        <v>612</v>
      </c>
    </row>
    <row r="740" spans="1:12" ht="13">
      <c r="A740" s="18" t="s">
        <v>371</v>
      </c>
      <c r="B740" s="18" t="s">
        <v>292</v>
      </c>
      <c r="C740" s="18" t="s">
        <v>749</v>
      </c>
      <c r="D740" s="18" t="s">
        <v>751</v>
      </c>
      <c r="E740" s="18" t="s">
        <v>611</v>
      </c>
      <c r="F740" s="37">
        <v>1994.0266666666701</v>
      </c>
      <c r="G740" s="37">
        <v>804</v>
      </c>
      <c r="H740" s="37">
        <f t="shared" ref="H740:I740" si="705">F740-F739</f>
        <v>1.0311111111100217</v>
      </c>
      <c r="I740" s="37">
        <f t="shared" si="705"/>
        <v>11</v>
      </c>
      <c r="J740" s="65">
        <f t="shared" si="700"/>
        <v>1.3871374527112233E-2</v>
      </c>
      <c r="K740" s="65">
        <f t="shared" si="701"/>
        <v>1.3452841675015301E-2</v>
      </c>
      <c r="L740" s="38" t="s">
        <v>612</v>
      </c>
    </row>
    <row r="741" spans="1:12" ht="13">
      <c r="A741" s="18" t="s">
        <v>371</v>
      </c>
      <c r="B741" s="18" t="s">
        <v>292</v>
      </c>
      <c r="C741" s="18" t="s">
        <v>749</v>
      </c>
      <c r="D741" s="18" t="s">
        <v>751</v>
      </c>
      <c r="E741" s="18" t="s">
        <v>611</v>
      </c>
      <c r="F741" s="37">
        <v>1995.0148148148101</v>
      </c>
      <c r="G741" s="37">
        <v>892</v>
      </c>
      <c r="H741" s="37">
        <f t="shared" ref="H741:I741" si="706">F741-F740</f>
        <v>0.98814814813999874</v>
      </c>
      <c r="I741" s="37">
        <f t="shared" si="706"/>
        <v>88</v>
      </c>
      <c r="J741" s="65">
        <f t="shared" si="700"/>
        <v>0.10945273631840796</v>
      </c>
      <c r="K741" s="65">
        <f t="shared" si="701"/>
        <v>0.11076551276691855</v>
      </c>
      <c r="L741" s="38" t="s">
        <v>612</v>
      </c>
    </row>
    <row r="742" spans="1:12" ht="13">
      <c r="A742" s="18" t="s">
        <v>371</v>
      </c>
      <c r="B742" s="18" t="s">
        <v>292</v>
      </c>
      <c r="C742" s="18" t="s">
        <v>749</v>
      </c>
      <c r="D742" s="18" t="s">
        <v>751</v>
      </c>
      <c r="E742" s="18" t="s">
        <v>611</v>
      </c>
      <c r="F742" s="37">
        <v>1996.0029629629601</v>
      </c>
      <c r="G742" s="37">
        <v>919</v>
      </c>
      <c r="H742" s="37">
        <f t="shared" ref="H742:I742" si="707">F742-F741</f>
        <v>0.98814814815000318</v>
      </c>
      <c r="I742" s="37">
        <f t="shared" si="707"/>
        <v>27</v>
      </c>
      <c r="J742" s="65">
        <f t="shared" si="700"/>
        <v>3.0269058295964126E-2</v>
      </c>
      <c r="K742" s="65">
        <f t="shared" si="701"/>
        <v>3.0632105471870209E-2</v>
      </c>
      <c r="L742" s="38" t="s">
        <v>612</v>
      </c>
    </row>
    <row r="743" spans="1:12" ht="13">
      <c r="A743" s="18" t="s">
        <v>371</v>
      </c>
      <c r="B743" s="18" t="s">
        <v>292</v>
      </c>
      <c r="C743" s="18" t="s">
        <v>749</v>
      </c>
      <c r="D743" s="18" t="s">
        <v>751</v>
      </c>
      <c r="E743" s="18" t="s">
        <v>611</v>
      </c>
      <c r="F743" s="37">
        <v>1996.9911111111101</v>
      </c>
      <c r="G743" s="37">
        <v>1016</v>
      </c>
      <c r="H743" s="37">
        <f t="shared" ref="H743:I743" si="708">F743-F742</f>
        <v>0.98814814815000318</v>
      </c>
      <c r="I743" s="37">
        <f t="shared" si="708"/>
        <v>97</v>
      </c>
      <c r="J743" s="65">
        <f t="shared" si="700"/>
        <v>0.10554951033732318</v>
      </c>
      <c r="K743" s="65">
        <f t="shared" si="701"/>
        <v>0.10681547148059881</v>
      </c>
      <c r="L743" s="38" t="s">
        <v>612</v>
      </c>
    </row>
    <row r="744" spans="1:12" ht="13">
      <c r="A744" s="18" t="s">
        <v>371</v>
      </c>
      <c r="B744" s="18" t="s">
        <v>292</v>
      </c>
      <c r="C744" s="18" t="s">
        <v>749</v>
      </c>
      <c r="D744" s="18" t="s">
        <v>751</v>
      </c>
      <c r="E744" s="18" t="s">
        <v>611</v>
      </c>
      <c r="F744" s="37">
        <v>1998.0222222222201</v>
      </c>
      <c r="G744" s="37">
        <v>1090</v>
      </c>
      <c r="H744" s="37">
        <f t="shared" ref="H744:I744" si="709">F744-F743</f>
        <v>1.0311111111100217</v>
      </c>
      <c r="I744" s="37">
        <f t="shared" si="709"/>
        <v>74</v>
      </c>
      <c r="J744" s="65">
        <f t="shared" si="700"/>
        <v>7.2834645669291334E-2</v>
      </c>
      <c r="K744" s="65">
        <f t="shared" si="701"/>
        <v>7.063704860175804E-2</v>
      </c>
      <c r="L744" s="38" t="s">
        <v>612</v>
      </c>
    </row>
    <row r="745" spans="1:12" ht="13">
      <c r="A745" s="18" t="s">
        <v>371</v>
      </c>
      <c r="B745" s="18" t="s">
        <v>292</v>
      </c>
      <c r="C745" s="18" t="s">
        <v>749</v>
      </c>
      <c r="D745" s="18" t="s">
        <v>751</v>
      </c>
      <c r="E745" s="18" t="s">
        <v>611</v>
      </c>
      <c r="F745" s="37">
        <v>1999.0103703703701</v>
      </c>
      <c r="G745" s="37">
        <v>1276</v>
      </c>
      <c r="H745" s="37">
        <f t="shared" ref="H745:I745" si="710">F745-F744</f>
        <v>0.98814814815000318</v>
      </c>
      <c r="I745" s="37">
        <f t="shared" si="710"/>
        <v>186</v>
      </c>
      <c r="J745" s="65">
        <f t="shared" si="700"/>
        <v>0.17064220183486239</v>
      </c>
      <c r="K745" s="65">
        <f t="shared" si="701"/>
        <v>0.17268888491501633</v>
      </c>
      <c r="L745" s="38" t="s">
        <v>612</v>
      </c>
    </row>
    <row r="746" spans="1:12" ht="13">
      <c r="A746" s="18" t="s">
        <v>371</v>
      </c>
      <c r="B746" s="18" t="s">
        <v>292</v>
      </c>
      <c r="C746" s="18" t="s">
        <v>749</v>
      </c>
      <c r="D746" s="18" t="s">
        <v>751</v>
      </c>
      <c r="E746" s="18" t="s">
        <v>611</v>
      </c>
      <c r="F746" s="37">
        <v>2000.0414814814801</v>
      </c>
      <c r="G746" s="37">
        <v>1112</v>
      </c>
      <c r="H746" s="37">
        <f t="shared" ref="H746:I746" si="711">F746-F745</f>
        <v>1.0311111111100217</v>
      </c>
      <c r="I746" s="37">
        <f t="shared" si="711"/>
        <v>-164</v>
      </c>
      <c r="J746" s="65">
        <f t="shared" si="700"/>
        <v>-0.12852664576802508</v>
      </c>
      <c r="K746" s="65">
        <f t="shared" si="701"/>
        <v>-0.12464868662860429</v>
      </c>
      <c r="L746" s="38" t="s">
        <v>612</v>
      </c>
    </row>
    <row r="747" spans="1:12" ht="13">
      <c r="A747" s="18" t="s">
        <v>371</v>
      </c>
      <c r="B747" s="18" t="s">
        <v>292</v>
      </c>
      <c r="C747" s="18" t="s">
        <v>749</v>
      </c>
      <c r="D747" s="18" t="s">
        <v>751</v>
      </c>
      <c r="E747" s="18" t="s">
        <v>611</v>
      </c>
      <c r="F747" s="37">
        <v>2001.0296296296301</v>
      </c>
      <c r="G747" s="37">
        <v>1276</v>
      </c>
      <c r="H747" s="37">
        <f t="shared" ref="H747:I747" si="712">F747-F746</f>
        <v>0.98814814815000318</v>
      </c>
      <c r="I747" s="37">
        <f t="shared" si="712"/>
        <v>164</v>
      </c>
      <c r="J747" s="65">
        <f t="shared" si="700"/>
        <v>0.14748201438848921</v>
      </c>
      <c r="K747" s="65">
        <f t="shared" si="701"/>
        <v>0.14925091411100949</v>
      </c>
      <c r="L747" s="38" t="s">
        <v>612</v>
      </c>
    </row>
    <row r="748" spans="1:12" ht="13">
      <c r="A748" s="18" t="s">
        <v>371</v>
      </c>
      <c r="B748" s="18" t="s">
        <v>292</v>
      </c>
      <c r="C748" s="18" t="s">
        <v>749</v>
      </c>
      <c r="D748" s="18" t="s">
        <v>751</v>
      </c>
      <c r="E748" s="18" t="s">
        <v>611</v>
      </c>
      <c r="F748" s="37">
        <v>2002.0177777777801</v>
      </c>
      <c r="G748" s="37">
        <v>1304</v>
      </c>
      <c r="H748" s="37">
        <f t="shared" ref="H748:I748" si="713">F748-F747</f>
        <v>0.98814814815000318</v>
      </c>
      <c r="I748" s="37">
        <f t="shared" si="713"/>
        <v>28</v>
      </c>
      <c r="J748" s="65">
        <f t="shared" si="700"/>
        <v>2.1943573667711599E-2</v>
      </c>
      <c r="K748" s="65">
        <f t="shared" si="701"/>
        <v>2.2206764956038266E-2</v>
      </c>
      <c r="L748" s="38" t="s">
        <v>612</v>
      </c>
    </row>
    <row r="749" spans="1:12" ht="13">
      <c r="A749" s="18" t="s">
        <v>371</v>
      </c>
      <c r="B749" s="18" t="s">
        <v>292</v>
      </c>
      <c r="C749" s="18" t="s">
        <v>749</v>
      </c>
      <c r="D749" s="18" t="s">
        <v>751</v>
      </c>
      <c r="E749" s="18" t="s">
        <v>611</v>
      </c>
      <c r="F749" s="37">
        <v>2003.0059259259299</v>
      </c>
      <c r="G749" s="37">
        <v>1553</v>
      </c>
      <c r="H749" s="37">
        <f t="shared" ref="H749:I749" si="714">F749-F748</f>
        <v>0.98814814814977581</v>
      </c>
      <c r="I749" s="37">
        <f t="shared" si="714"/>
        <v>249</v>
      </c>
      <c r="J749" s="65">
        <f t="shared" si="700"/>
        <v>0.19095092024539878</v>
      </c>
      <c r="K749" s="65">
        <f t="shared" si="701"/>
        <v>0.19324118615507027</v>
      </c>
      <c r="L749" s="38" t="s">
        <v>612</v>
      </c>
    </row>
    <row r="750" spans="1:12" ht="13">
      <c r="A750" s="18" t="s">
        <v>371</v>
      </c>
      <c r="B750" s="18" t="s">
        <v>292</v>
      </c>
      <c r="C750" s="18" t="s">
        <v>749</v>
      </c>
      <c r="D750" s="18" t="s">
        <v>751</v>
      </c>
      <c r="E750" s="18" t="s">
        <v>611</v>
      </c>
      <c r="F750" s="37">
        <v>2003.9940740740701</v>
      </c>
      <c r="G750" s="37">
        <v>1535</v>
      </c>
      <c r="H750" s="37">
        <f t="shared" ref="H750:I750" si="715">F750-F749</f>
        <v>0.98814814814022611</v>
      </c>
      <c r="I750" s="37">
        <f t="shared" si="715"/>
        <v>-18</v>
      </c>
      <c r="J750" s="65">
        <f t="shared" si="700"/>
        <v>-1.159047005795235E-2</v>
      </c>
      <c r="K750" s="65">
        <f t="shared" si="701"/>
        <v>-1.1729486190675499E-2</v>
      </c>
      <c r="L750" s="38" t="s">
        <v>612</v>
      </c>
    </row>
    <row r="751" spans="1:12" ht="13">
      <c r="A751" s="18" t="s">
        <v>371</v>
      </c>
      <c r="B751" s="18" t="s">
        <v>292</v>
      </c>
      <c r="C751" s="18" t="s">
        <v>749</v>
      </c>
      <c r="D751" s="18" t="s">
        <v>751</v>
      </c>
      <c r="E751" s="18" t="s">
        <v>611</v>
      </c>
      <c r="F751" s="37">
        <v>2005.0251851851899</v>
      </c>
      <c r="G751" s="37">
        <v>1860</v>
      </c>
      <c r="H751" s="37">
        <f t="shared" ref="H751:I751" si="716">F751-F750</f>
        <v>1.0311111111197988</v>
      </c>
      <c r="I751" s="37">
        <f t="shared" si="716"/>
        <v>325</v>
      </c>
      <c r="J751" s="65">
        <f t="shared" si="700"/>
        <v>0.21172638436482086</v>
      </c>
      <c r="K751" s="65">
        <f t="shared" si="701"/>
        <v>0.20533808828311773</v>
      </c>
      <c r="L751" s="38" t="s">
        <v>612</v>
      </c>
    </row>
    <row r="752" spans="1:12" ht="13">
      <c r="A752" s="18" t="s">
        <v>371</v>
      </c>
      <c r="B752" s="18" t="s">
        <v>292</v>
      </c>
      <c r="C752" s="18" t="s">
        <v>749</v>
      </c>
      <c r="D752" s="18" t="s">
        <v>751</v>
      </c>
      <c r="E752" s="18" t="s">
        <v>611</v>
      </c>
      <c r="F752" s="37">
        <v>2006.0133333333299</v>
      </c>
      <c r="G752" s="37">
        <v>1964</v>
      </c>
      <c r="H752" s="37">
        <f t="shared" ref="H752:I752" si="717">F752-F751</f>
        <v>0.98814814813999874</v>
      </c>
      <c r="I752" s="37">
        <f t="shared" si="717"/>
        <v>104</v>
      </c>
      <c r="J752" s="65">
        <f t="shared" si="700"/>
        <v>5.5913978494623658E-2</v>
      </c>
      <c r="K752" s="65">
        <f t="shared" si="701"/>
        <v>5.658461092081294E-2</v>
      </c>
      <c r="L752" s="38" t="s">
        <v>612</v>
      </c>
    </row>
    <row r="753" spans="1:12" ht="13">
      <c r="A753" s="18" t="s">
        <v>371</v>
      </c>
      <c r="B753" s="18" t="s">
        <v>292</v>
      </c>
      <c r="C753" s="18" t="s">
        <v>749</v>
      </c>
      <c r="D753" s="18" t="s">
        <v>751</v>
      </c>
      <c r="E753" s="18" t="s">
        <v>611</v>
      </c>
      <c r="F753" s="37">
        <v>2007.0014814814799</v>
      </c>
      <c r="G753" s="37">
        <v>1901</v>
      </c>
      <c r="H753" s="37">
        <f t="shared" ref="H753:I753" si="718">F753-F752</f>
        <v>0.98814814815000318</v>
      </c>
      <c r="I753" s="37">
        <f t="shared" si="718"/>
        <v>-63</v>
      </c>
      <c r="J753" s="65">
        <f t="shared" si="700"/>
        <v>-3.2077393075356418E-2</v>
      </c>
      <c r="K753" s="65">
        <f t="shared" si="701"/>
        <v>-3.246212942402539E-2</v>
      </c>
      <c r="L753" s="38" t="s">
        <v>612</v>
      </c>
    </row>
    <row r="754" spans="1:12" ht="13">
      <c r="A754" s="18" t="s">
        <v>371</v>
      </c>
      <c r="B754" s="18" t="s">
        <v>292</v>
      </c>
      <c r="C754" s="18" t="s">
        <v>749</v>
      </c>
      <c r="D754" s="18" t="s">
        <v>751</v>
      </c>
      <c r="E754" s="18" t="s">
        <v>611</v>
      </c>
      <c r="F754" s="37">
        <v>2007.9896296296299</v>
      </c>
      <c r="G754" s="37">
        <v>2255</v>
      </c>
      <c r="H754" s="37">
        <f t="shared" ref="H754:I754" si="719">F754-F753</f>
        <v>0.98814814815000318</v>
      </c>
      <c r="I754" s="37">
        <f t="shared" si="719"/>
        <v>354</v>
      </c>
      <c r="J754" s="65">
        <f t="shared" si="700"/>
        <v>0.18621778011572857</v>
      </c>
      <c r="K754" s="65">
        <f t="shared" si="701"/>
        <v>0.18845127672845699</v>
      </c>
      <c r="L754" s="38" t="s">
        <v>612</v>
      </c>
    </row>
    <row r="755" spans="1:12" ht="13">
      <c r="A755" s="18" t="s">
        <v>371</v>
      </c>
      <c r="B755" s="18" t="s">
        <v>292</v>
      </c>
      <c r="C755" s="18" t="s">
        <v>749</v>
      </c>
      <c r="D755" s="18" t="s">
        <v>751</v>
      </c>
      <c r="E755" s="18" t="s">
        <v>611</v>
      </c>
      <c r="F755" s="37">
        <v>2009.0207407407399</v>
      </c>
      <c r="G755" s="37">
        <v>2308</v>
      </c>
      <c r="H755" s="37">
        <f t="shared" ref="H755:I755" si="720">F755-F754</f>
        <v>1.0311111111100217</v>
      </c>
      <c r="I755" s="37">
        <f t="shared" si="720"/>
        <v>53</v>
      </c>
      <c r="J755" s="65">
        <f t="shared" si="700"/>
        <v>2.3503325942350332E-2</v>
      </c>
      <c r="K755" s="65">
        <f t="shared" si="701"/>
        <v>2.2794173866527635E-2</v>
      </c>
      <c r="L755" s="38" t="s">
        <v>612</v>
      </c>
    </row>
    <row r="756" spans="1:12" ht="13">
      <c r="A756" s="18" t="s">
        <v>371</v>
      </c>
      <c r="B756" s="18" t="s">
        <v>292</v>
      </c>
      <c r="C756" s="18" t="s">
        <v>749</v>
      </c>
      <c r="D756" s="18" t="s">
        <v>751</v>
      </c>
      <c r="E756" s="18" t="s">
        <v>611</v>
      </c>
      <c r="F756" s="37">
        <v>2010.0088888888899</v>
      </c>
      <c r="G756" s="37">
        <v>2254</v>
      </c>
      <c r="H756" s="37">
        <f t="shared" ref="H756:I756" si="721">F756-F755</f>
        <v>0.98814814815000318</v>
      </c>
      <c r="I756" s="37">
        <f t="shared" si="721"/>
        <v>-54</v>
      </c>
      <c r="J756" s="65">
        <f t="shared" si="700"/>
        <v>-2.3396880415944541E-2</v>
      </c>
      <c r="K756" s="65">
        <f t="shared" si="701"/>
        <v>-2.3677502669764493E-2</v>
      </c>
      <c r="L756" s="38" t="s">
        <v>612</v>
      </c>
    </row>
    <row r="757" spans="1:12" ht="13">
      <c r="A757" s="18" t="s">
        <v>371</v>
      </c>
      <c r="B757" s="18" t="s">
        <v>292</v>
      </c>
      <c r="C757" s="18" t="s">
        <v>749</v>
      </c>
      <c r="D757" s="18" t="s">
        <v>751</v>
      </c>
      <c r="E757" s="18" t="s">
        <v>611</v>
      </c>
      <c r="F757" s="37">
        <v>2010.9970370370399</v>
      </c>
      <c r="G757" s="37">
        <v>2320</v>
      </c>
      <c r="H757" s="37">
        <f t="shared" ref="H757:I757" si="722">F757-F756</f>
        <v>0.98814814815000318</v>
      </c>
      <c r="I757" s="37">
        <f t="shared" si="722"/>
        <v>66</v>
      </c>
      <c r="J757" s="65">
        <f t="shared" si="700"/>
        <v>2.9281277728482696E-2</v>
      </c>
      <c r="K757" s="65">
        <f t="shared" si="701"/>
        <v>2.9632477461302421E-2</v>
      </c>
      <c r="L757" s="38" t="s">
        <v>612</v>
      </c>
    </row>
    <row r="758" spans="1:12" ht="13">
      <c r="A758" s="18" t="s">
        <v>371</v>
      </c>
      <c r="B758" s="18" t="s">
        <v>292</v>
      </c>
      <c r="C758" s="18" t="s">
        <v>749</v>
      </c>
      <c r="D758" s="18" t="s">
        <v>751</v>
      </c>
      <c r="E758" s="18" t="s">
        <v>611</v>
      </c>
      <c r="F758" s="37">
        <v>2011.9851851851899</v>
      </c>
      <c r="G758" s="37">
        <v>2373</v>
      </c>
      <c r="H758" s="37">
        <f t="shared" ref="H758:I758" si="723">F758-F757</f>
        <v>0.98814814815000318</v>
      </c>
      <c r="I758" s="37">
        <f t="shared" si="723"/>
        <v>53</v>
      </c>
      <c r="J758" s="65">
        <f t="shared" si="700"/>
        <v>2.2844827586206897E-2</v>
      </c>
      <c r="K758" s="65">
        <f t="shared" si="701"/>
        <v>2.3118828516732696E-2</v>
      </c>
      <c r="L758" s="38" t="s">
        <v>612</v>
      </c>
    </row>
    <row r="759" spans="1:12" ht="13">
      <c r="A759" s="18" t="s">
        <v>371</v>
      </c>
      <c r="B759" s="18" t="s">
        <v>292</v>
      </c>
      <c r="C759" s="18" t="s">
        <v>749</v>
      </c>
      <c r="D759" s="18" t="s">
        <v>751</v>
      </c>
      <c r="E759" s="18" t="s">
        <v>611</v>
      </c>
      <c r="F759" s="37">
        <v>2013.0162962963</v>
      </c>
      <c r="G759" s="37">
        <v>2210</v>
      </c>
      <c r="H759" s="37">
        <f t="shared" ref="H759:I759" si="724">F759-F758</f>
        <v>1.0311111111100217</v>
      </c>
      <c r="I759" s="37">
        <f t="shared" si="724"/>
        <v>-163</v>
      </c>
      <c r="J759" s="65">
        <f t="shared" si="700"/>
        <v>-6.8689422671723552E-2</v>
      </c>
      <c r="K759" s="65">
        <f t="shared" si="701"/>
        <v>-6.6616896987733307E-2</v>
      </c>
      <c r="L759" s="38" t="s">
        <v>612</v>
      </c>
    </row>
    <row r="760" spans="1:12" ht="13">
      <c r="A760" s="18" t="s">
        <v>371</v>
      </c>
      <c r="B760" s="18" t="s">
        <v>292</v>
      </c>
      <c r="C760" s="18" t="s">
        <v>749</v>
      </c>
      <c r="D760" s="18" t="s">
        <v>751</v>
      </c>
      <c r="E760" s="18" t="s">
        <v>611</v>
      </c>
      <c r="F760" s="37">
        <v>2014.00444444444</v>
      </c>
      <c r="G760" s="37">
        <v>2322</v>
      </c>
      <c r="H760" s="37">
        <f t="shared" ref="H760:I760" si="725">F760-F759</f>
        <v>0.98814814813999874</v>
      </c>
      <c r="I760" s="37">
        <f t="shared" si="725"/>
        <v>112</v>
      </c>
      <c r="J760" s="65">
        <f t="shared" si="700"/>
        <v>5.0678733031674209E-2</v>
      </c>
      <c r="K760" s="65">
        <f t="shared" si="701"/>
        <v>5.1286573908039298E-2</v>
      </c>
      <c r="L760" s="38" t="s">
        <v>612</v>
      </c>
    </row>
    <row r="761" spans="1:12" ht="13">
      <c r="A761" s="18" t="s">
        <v>371</v>
      </c>
      <c r="B761" s="18" t="s">
        <v>292</v>
      </c>
      <c r="C761" s="18" t="s">
        <v>749</v>
      </c>
      <c r="D761" s="18" t="s">
        <v>751</v>
      </c>
      <c r="E761" s="18" t="s">
        <v>611</v>
      </c>
      <c r="F761" s="37">
        <v>2014.99259259259</v>
      </c>
      <c r="G761" s="37">
        <v>3021</v>
      </c>
      <c r="H761" s="37">
        <f t="shared" ref="H761:I761" si="726">F761-F760</f>
        <v>0.98814814815000318</v>
      </c>
      <c r="I761" s="37">
        <f t="shared" si="726"/>
        <v>699</v>
      </c>
      <c r="J761" s="65">
        <f t="shared" si="700"/>
        <v>0.30103359173126615</v>
      </c>
      <c r="K761" s="65">
        <f t="shared" si="701"/>
        <v>0.3046441895325685</v>
      </c>
      <c r="L761" s="38" t="s">
        <v>612</v>
      </c>
    </row>
    <row r="762" spans="1:12" ht="13">
      <c r="A762" s="18" t="s">
        <v>371</v>
      </c>
      <c r="B762" s="18" t="s">
        <v>292</v>
      </c>
      <c r="C762" s="18" t="s">
        <v>749</v>
      </c>
      <c r="D762" s="18" t="s">
        <v>751</v>
      </c>
      <c r="E762" s="18" t="s">
        <v>611</v>
      </c>
      <c r="F762" s="37">
        <v>2015.98074074074</v>
      </c>
      <c r="G762" s="37">
        <v>4303</v>
      </c>
      <c r="H762" s="37">
        <f t="shared" ref="H762:I762" si="727">F762-F761</f>
        <v>0.98814814815000318</v>
      </c>
      <c r="I762" s="37">
        <f t="shared" si="727"/>
        <v>1282</v>
      </c>
      <c r="J762" s="65">
        <f t="shared" si="700"/>
        <v>0.42436279377689506</v>
      </c>
      <c r="K762" s="65">
        <f t="shared" si="701"/>
        <v>0.42945260239710109</v>
      </c>
      <c r="L762" s="38" t="s">
        <v>612</v>
      </c>
    </row>
    <row r="763" spans="1:12" ht="13">
      <c r="A763" s="18" t="s">
        <v>371</v>
      </c>
      <c r="B763" s="18" t="s">
        <v>292</v>
      </c>
      <c r="C763" s="18" t="s">
        <v>749</v>
      </c>
      <c r="D763" s="18" t="s">
        <v>751</v>
      </c>
      <c r="E763" s="18" t="s">
        <v>611</v>
      </c>
      <c r="F763" s="37">
        <v>2017.01185185185</v>
      </c>
      <c r="G763" s="37">
        <v>4674</v>
      </c>
      <c r="H763" s="37">
        <f t="shared" ref="H763:I763" si="728">F763-F762</f>
        <v>1.0311111111100217</v>
      </c>
      <c r="I763" s="37">
        <f t="shared" si="728"/>
        <v>371</v>
      </c>
      <c r="J763" s="65">
        <f t="shared" si="700"/>
        <v>8.6218917034627002E-2</v>
      </c>
      <c r="K763" s="65">
        <f t="shared" si="701"/>
        <v>8.3617484193153319E-2</v>
      </c>
      <c r="L763" s="38" t="s">
        <v>612</v>
      </c>
    </row>
    <row r="764" spans="1:12" ht="13">
      <c r="A764" s="18" t="s">
        <v>371</v>
      </c>
      <c r="B764" s="18" t="s">
        <v>292</v>
      </c>
      <c r="C764" s="18" t="s">
        <v>749</v>
      </c>
      <c r="D764" s="18" t="s">
        <v>751</v>
      </c>
      <c r="E764" s="18" t="s">
        <v>611</v>
      </c>
      <c r="F764" s="37">
        <v>2018</v>
      </c>
      <c r="G764" s="37">
        <v>5612</v>
      </c>
      <c r="H764" s="37">
        <f t="shared" ref="H764:I764" si="729">F764-F763</f>
        <v>0.98814814815000318</v>
      </c>
      <c r="I764" s="37">
        <f t="shared" si="729"/>
        <v>938</v>
      </c>
      <c r="J764" s="65">
        <f t="shared" si="700"/>
        <v>0.20068463842533163</v>
      </c>
      <c r="K764" s="65">
        <f t="shared" si="701"/>
        <v>0.20309165057997683</v>
      </c>
      <c r="L764" s="38" t="s">
        <v>612</v>
      </c>
    </row>
    <row r="765" spans="1:12" ht="13">
      <c r="A765" s="18" t="s">
        <v>297</v>
      </c>
      <c r="B765" s="18" t="s">
        <v>292</v>
      </c>
      <c r="C765" s="18" t="s">
        <v>752</v>
      </c>
      <c r="D765" s="18" t="s">
        <v>751</v>
      </c>
      <c r="E765" s="18" t="s">
        <v>753</v>
      </c>
      <c r="F765" s="37">
        <v>2000</v>
      </c>
      <c r="G765" s="37">
        <v>448.15905922288903</v>
      </c>
      <c r="H765" s="37" t="s">
        <v>402</v>
      </c>
      <c r="I765" s="37" t="s">
        <v>402</v>
      </c>
      <c r="J765" s="65" t="s">
        <v>402</v>
      </c>
      <c r="K765" s="65" t="s">
        <v>402</v>
      </c>
      <c r="L765" s="38" t="s">
        <v>637</v>
      </c>
    </row>
    <row r="766" spans="1:12" ht="13">
      <c r="A766" s="18" t="s">
        <v>297</v>
      </c>
      <c r="B766" s="18" t="s">
        <v>292</v>
      </c>
      <c r="C766" s="18" t="s">
        <v>752</v>
      </c>
      <c r="D766" s="18" t="s">
        <v>751</v>
      </c>
      <c r="E766" s="18" t="s">
        <v>753</v>
      </c>
      <c r="F766" s="37">
        <v>2000.9787234042601</v>
      </c>
      <c r="G766" s="37">
        <v>427.023701279021</v>
      </c>
      <c r="H766" s="37" t="s">
        <v>402</v>
      </c>
      <c r="I766" s="37" t="s">
        <v>402</v>
      </c>
      <c r="J766" s="65" t="s">
        <v>402</v>
      </c>
      <c r="K766" s="65" t="s">
        <v>402</v>
      </c>
      <c r="L766" s="38" t="s">
        <v>637</v>
      </c>
    </row>
    <row r="767" spans="1:12" ht="13">
      <c r="A767" s="18" t="s">
        <v>297</v>
      </c>
      <c r="B767" s="18" t="s">
        <v>292</v>
      </c>
      <c r="C767" s="18" t="s">
        <v>752</v>
      </c>
      <c r="D767" s="18" t="s">
        <v>751</v>
      </c>
      <c r="E767" s="18" t="s">
        <v>753</v>
      </c>
      <c r="F767" s="37">
        <v>2001.9787234042601</v>
      </c>
      <c r="G767" s="37">
        <v>462.72170697702597</v>
      </c>
      <c r="H767" s="37" t="s">
        <v>402</v>
      </c>
      <c r="I767" s="37" t="s">
        <v>402</v>
      </c>
      <c r="J767" s="65" t="s">
        <v>402</v>
      </c>
      <c r="K767" s="65" t="s">
        <v>402</v>
      </c>
      <c r="L767" s="38" t="s">
        <v>637</v>
      </c>
    </row>
    <row r="768" spans="1:12" ht="13">
      <c r="A768" s="18" t="s">
        <v>297</v>
      </c>
      <c r="B768" s="18" t="s">
        <v>292</v>
      </c>
      <c r="C768" s="18" t="s">
        <v>752</v>
      </c>
      <c r="D768" s="18" t="s">
        <v>751</v>
      </c>
      <c r="E768" s="18" t="s">
        <v>753</v>
      </c>
      <c r="F768" s="37">
        <v>2003</v>
      </c>
      <c r="G768" s="37">
        <v>483.45820452203498</v>
      </c>
      <c r="H768" s="37" t="s">
        <v>402</v>
      </c>
      <c r="I768" s="37" t="s">
        <v>402</v>
      </c>
      <c r="J768" s="65" t="s">
        <v>402</v>
      </c>
      <c r="K768" s="65" t="s">
        <v>402</v>
      </c>
      <c r="L768" s="38" t="s">
        <v>637</v>
      </c>
    </row>
    <row r="769" spans="1:12" ht="13">
      <c r="A769" s="18" t="s">
        <v>297</v>
      </c>
      <c r="B769" s="18" t="s">
        <v>292</v>
      </c>
      <c r="C769" s="18" t="s">
        <v>752</v>
      </c>
      <c r="D769" s="18" t="s">
        <v>751</v>
      </c>
      <c r="E769" s="18" t="s">
        <v>753</v>
      </c>
      <c r="F769" s="37">
        <v>2003.9787234042601</v>
      </c>
      <c r="G769" s="37">
        <v>495.228829484149</v>
      </c>
      <c r="H769" s="37" t="s">
        <v>402</v>
      </c>
      <c r="I769" s="37" t="s">
        <v>402</v>
      </c>
      <c r="J769" s="65" t="s">
        <v>402</v>
      </c>
      <c r="K769" s="65" t="s">
        <v>402</v>
      </c>
      <c r="L769" s="38" t="s">
        <v>637</v>
      </c>
    </row>
    <row r="770" spans="1:12" ht="13">
      <c r="A770" s="18" t="s">
        <v>297</v>
      </c>
      <c r="B770" s="18" t="s">
        <v>292</v>
      </c>
      <c r="C770" s="18" t="s">
        <v>752</v>
      </c>
      <c r="D770" s="18" t="s">
        <v>751</v>
      </c>
      <c r="E770" s="18" t="s">
        <v>753</v>
      </c>
      <c r="F770" s="37">
        <v>2004.9787234042601</v>
      </c>
      <c r="G770" s="37">
        <v>495.02939928471801</v>
      </c>
      <c r="H770" s="37" t="s">
        <v>402</v>
      </c>
      <c r="I770" s="37" t="s">
        <v>402</v>
      </c>
      <c r="J770" s="65" t="s">
        <v>402</v>
      </c>
      <c r="K770" s="65" t="s">
        <v>402</v>
      </c>
      <c r="L770" s="38" t="s">
        <v>637</v>
      </c>
    </row>
    <row r="771" spans="1:12" ht="13">
      <c r="A771" s="18" t="s">
        <v>297</v>
      </c>
      <c r="B771" s="18" t="s">
        <v>292</v>
      </c>
      <c r="C771" s="18" t="s">
        <v>752</v>
      </c>
      <c r="D771" s="18" t="s">
        <v>751</v>
      </c>
      <c r="E771" s="18" t="s">
        <v>753</v>
      </c>
      <c r="F771" s="37">
        <v>2005.9787234042601</v>
      </c>
      <c r="G771" s="37">
        <v>488.84706310238198</v>
      </c>
      <c r="H771" s="37" t="s">
        <v>402</v>
      </c>
      <c r="I771" s="37" t="s">
        <v>402</v>
      </c>
      <c r="J771" s="65" t="s">
        <v>402</v>
      </c>
      <c r="K771" s="65" t="s">
        <v>402</v>
      </c>
      <c r="L771" s="38" t="s">
        <v>637</v>
      </c>
    </row>
    <row r="772" spans="1:12" ht="13">
      <c r="A772" s="18" t="s">
        <v>297</v>
      </c>
      <c r="B772" s="18" t="s">
        <v>292</v>
      </c>
      <c r="C772" s="18" t="s">
        <v>752</v>
      </c>
      <c r="D772" s="18" t="s">
        <v>751</v>
      </c>
      <c r="E772" s="18" t="s">
        <v>753</v>
      </c>
      <c r="F772" s="37">
        <v>2006.9787234042601</v>
      </c>
      <c r="G772" s="37">
        <v>539.50233375765299</v>
      </c>
      <c r="H772" s="37" t="s">
        <v>402</v>
      </c>
      <c r="I772" s="37" t="s">
        <v>402</v>
      </c>
      <c r="J772" s="65" t="s">
        <v>402</v>
      </c>
      <c r="K772" s="65" t="s">
        <v>402</v>
      </c>
      <c r="L772" s="38" t="s">
        <v>637</v>
      </c>
    </row>
    <row r="773" spans="1:12" ht="13">
      <c r="A773" s="18" t="s">
        <v>297</v>
      </c>
      <c r="B773" s="18" t="s">
        <v>292</v>
      </c>
      <c r="C773" s="18" t="s">
        <v>752</v>
      </c>
      <c r="D773" s="18" t="s">
        <v>751</v>
      </c>
      <c r="E773" s="18" t="s">
        <v>753</v>
      </c>
      <c r="F773" s="37">
        <v>2008</v>
      </c>
      <c r="G773" s="37">
        <v>584.17045523428499</v>
      </c>
      <c r="H773" s="37" t="s">
        <v>402</v>
      </c>
      <c r="I773" s="37" t="s">
        <v>402</v>
      </c>
      <c r="J773" s="65" t="s">
        <v>402</v>
      </c>
      <c r="K773" s="65" t="s">
        <v>402</v>
      </c>
      <c r="L773" s="38" t="s">
        <v>637</v>
      </c>
    </row>
    <row r="774" spans="1:12" ht="13">
      <c r="A774" s="18" t="s">
        <v>297</v>
      </c>
      <c r="B774" s="18" t="s">
        <v>292</v>
      </c>
      <c r="C774" s="18" t="s">
        <v>752</v>
      </c>
      <c r="D774" s="18" t="s">
        <v>751</v>
      </c>
      <c r="E774" s="18" t="s">
        <v>753</v>
      </c>
      <c r="F774" s="37">
        <v>2008.9787234042601</v>
      </c>
      <c r="G774" s="37">
        <v>607.90689216221097</v>
      </c>
      <c r="H774" s="37" t="s">
        <v>402</v>
      </c>
      <c r="I774" s="37" t="s">
        <v>402</v>
      </c>
      <c r="J774" s="65" t="s">
        <v>402</v>
      </c>
      <c r="K774" s="65" t="s">
        <v>402</v>
      </c>
      <c r="L774" s="38" t="s">
        <v>637</v>
      </c>
    </row>
    <row r="775" spans="1:12" ht="13">
      <c r="A775" s="18" t="s">
        <v>297</v>
      </c>
      <c r="B775" s="18" t="s">
        <v>292</v>
      </c>
      <c r="C775" s="18" t="s">
        <v>752</v>
      </c>
      <c r="D775" s="18" t="s">
        <v>751</v>
      </c>
      <c r="E775" s="18" t="s">
        <v>753</v>
      </c>
      <c r="F775" s="37">
        <v>2010</v>
      </c>
      <c r="G775" s="37">
        <v>628.64338970721894</v>
      </c>
      <c r="H775" s="37" t="s">
        <v>402</v>
      </c>
      <c r="I775" s="37" t="s">
        <v>402</v>
      </c>
      <c r="J775" s="65" t="s">
        <v>402</v>
      </c>
      <c r="K775" s="65" t="s">
        <v>402</v>
      </c>
      <c r="L775" s="38" t="s">
        <v>637</v>
      </c>
    </row>
    <row r="776" spans="1:12" ht="13">
      <c r="A776" s="18" t="s">
        <v>297</v>
      </c>
      <c r="B776" s="18" t="s">
        <v>292</v>
      </c>
      <c r="C776" s="18" t="s">
        <v>752</v>
      </c>
      <c r="D776" s="18" t="s">
        <v>751</v>
      </c>
      <c r="E776" s="18" t="s">
        <v>753</v>
      </c>
      <c r="F776" s="37">
        <v>2011</v>
      </c>
      <c r="G776" s="37">
        <v>622.46105352488303</v>
      </c>
      <c r="H776" s="37" t="s">
        <v>402</v>
      </c>
      <c r="I776" s="37" t="s">
        <v>402</v>
      </c>
      <c r="J776" s="65" t="s">
        <v>402</v>
      </c>
      <c r="K776" s="65" t="s">
        <v>402</v>
      </c>
      <c r="L776" s="38" t="s">
        <v>637</v>
      </c>
    </row>
    <row r="777" spans="1:12" ht="13">
      <c r="A777" s="18" t="s">
        <v>297</v>
      </c>
      <c r="B777" s="18" t="s">
        <v>292</v>
      </c>
      <c r="C777" s="18" t="s">
        <v>752</v>
      </c>
      <c r="D777" s="18" t="s">
        <v>751</v>
      </c>
      <c r="E777" s="18" t="s">
        <v>753</v>
      </c>
      <c r="F777" s="37">
        <v>2011.9787234042601</v>
      </c>
      <c r="G777" s="37">
        <v>616.28296053828001</v>
      </c>
      <c r="H777" s="37" t="s">
        <v>402</v>
      </c>
      <c r="I777" s="37" t="s">
        <v>402</v>
      </c>
      <c r="J777" s="65" t="s">
        <v>402</v>
      </c>
      <c r="K777" s="65" t="s">
        <v>402</v>
      </c>
      <c r="L777" s="38" t="s">
        <v>637</v>
      </c>
    </row>
    <row r="778" spans="1:12" ht="13">
      <c r="A778" s="18" t="s">
        <v>297</v>
      </c>
      <c r="B778" s="18" t="s">
        <v>292</v>
      </c>
      <c r="C778" s="18" t="s">
        <v>752</v>
      </c>
      <c r="D778" s="18" t="s">
        <v>751</v>
      </c>
      <c r="E778" s="18" t="s">
        <v>753</v>
      </c>
      <c r="F778" s="37">
        <v>2012.9787234042601</v>
      </c>
      <c r="G778" s="37">
        <v>571.21173546705495</v>
      </c>
      <c r="H778" s="37" t="s">
        <v>402</v>
      </c>
      <c r="I778" s="37" t="s">
        <v>402</v>
      </c>
      <c r="J778" s="65" t="s">
        <v>402</v>
      </c>
      <c r="K778" s="65" t="s">
        <v>402</v>
      </c>
      <c r="L778" s="38" t="s">
        <v>637</v>
      </c>
    </row>
    <row r="779" spans="1:12" ht="13">
      <c r="A779" s="18" t="s">
        <v>297</v>
      </c>
      <c r="B779" s="18" t="s">
        <v>292</v>
      </c>
      <c r="C779" s="18" t="s">
        <v>752</v>
      </c>
      <c r="D779" s="18" t="s">
        <v>751</v>
      </c>
      <c r="E779" s="18" t="s">
        <v>753</v>
      </c>
      <c r="F779" s="37">
        <v>2014</v>
      </c>
      <c r="G779" s="37">
        <v>582.97387403770404</v>
      </c>
      <c r="H779" s="37" t="s">
        <v>402</v>
      </c>
      <c r="I779" s="37" t="s">
        <v>402</v>
      </c>
      <c r="J779" s="65" t="s">
        <v>402</v>
      </c>
      <c r="K779" s="65" t="s">
        <v>402</v>
      </c>
      <c r="L779" s="38" t="s">
        <v>637</v>
      </c>
    </row>
    <row r="780" spans="1:12" ht="13">
      <c r="A780" s="18" t="s">
        <v>297</v>
      </c>
      <c r="B780" s="18" t="s">
        <v>292</v>
      </c>
      <c r="C780" s="18" t="s">
        <v>752</v>
      </c>
      <c r="D780" s="18" t="s">
        <v>751</v>
      </c>
      <c r="E780" s="18" t="s">
        <v>753</v>
      </c>
      <c r="F780" s="37">
        <v>2015</v>
      </c>
      <c r="G780" s="37">
        <v>609.69752076135103</v>
      </c>
      <c r="H780" s="37" t="s">
        <v>402</v>
      </c>
      <c r="I780" s="37" t="s">
        <v>402</v>
      </c>
      <c r="J780" s="65" t="s">
        <v>402</v>
      </c>
      <c r="K780" s="65" t="s">
        <v>402</v>
      </c>
      <c r="L780" s="38" t="s">
        <v>637</v>
      </c>
    </row>
    <row r="781" spans="1:12" ht="13">
      <c r="A781" s="18" t="s">
        <v>297</v>
      </c>
      <c r="B781" s="18" t="s">
        <v>292</v>
      </c>
      <c r="C781" s="18" t="s">
        <v>752</v>
      </c>
      <c r="D781" s="18" t="s">
        <v>751</v>
      </c>
      <c r="E781" s="18" t="s">
        <v>753</v>
      </c>
      <c r="F781" s="37">
        <v>2016</v>
      </c>
      <c r="G781" s="37">
        <v>621.46390252773199</v>
      </c>
      <c r="H781" s="37" t="s">
        <v>402</v>
      </c>
      <c r="I781" s="37" t="s">
        <v>402</v>
      </c>
      <c r="J781" s="65" t="s">
        <v>402</v>
      </c>
      <c r="K781" s="65" t="s">
        <v>402</v>
      </c>
      <c r="L781" s="38" t="s">
        <v>637</v>
      </c>
    </row>
    <row r="782" spans="1:12" ht="13">
      <c r="A782" s="18" t="s">
        <v>297</v>
      </c>
      <c r="B782" s="18" t="s">
        <v>292</v>
      </c>
      <c r="C782" s="18" t="s">
        <v>752</v>
      </c>
      <c r="D782" s="18" t="s">
        <v>751</v>
      </c>
      <c r="E782" s="18" t="s">
        <v>755</v>
      </c>
      <c r="F782" s="37">
        <v>2000</v>
      </c>
      <c r="G782" s="37">
        <v>448.15905922288903</v>
      </c>
      <c r="H782" s="37" t="s">
        <v>402</v>
      </c>
      <c r="I782" s="37" t="s">
        <v>402</v>
      </c>
      <c r="J782" s="65" t="s">
        <v>402</v>
      </c>
      <c r="K782" s="65" t="s">
        <v>402</v>
      </c>
      <c r="L782" s="38" t="s">
        <v>637</v>
      </c>
    </row>
    <row r="783" spans="1:12" ht="13">
      <c r="A783" s="18" t="s">
        <v>297</v>
      </c>
      <c r="B783" s="18" t="s">
        <v>292</v>
      </c>
      <c r="C783" s="18" t="s">
        <v>752</v>
      </c>
      <c r="D783" s="18" t="s">
        <v>751</v>
      </c>
      <c r="E783" s="18" t="s">
        <v>755</v>
      </c>
      <c r="F783" s="37">
        <v>2000.9787200000001</v>
      </c>
      <c r="G783" s="37">
        <v>465.912590167909</v>
      </c>
      <c r="H783" s="37" t="s">
        <v>402</v>
      </c>
      <c r="I783" s="37" t="s">
        <v>402</v>
      </c>
      <c r="J783" s="65" t="s">
        <v>402</v>
      </c>
      <c r="K783" s="65" t="s">
        <v>402</v>
      </c>
      <c r="L783" s="38" t="s">
        <v>637</v>
      </c>
    </row>
    <row r="784" spans="1:12" ht="13">
      <c r="A784" s="18" t="s">
        <v>297</v>
      </c>
      <c r="B784" s="18" t="s">
        <v>292</v>
      </c>
      <c r="C784" s="18" t="s">
        <v>752</v>
      </c>
      <c r="D784" s="18" t="s">
        <v>751</v>
      </c>
      <c r="E784" s="18" t="s">
        <v>755</v>
      </c>
      <c r="F784" s="37">
        <v>2002</v>
      </c>
      <c r="G784" s="37">
        <v>498.61489967872899</v>
      </c>
      <c r="H784" s="37" t="s">
        <v>402</v>
      </c>
      <c r="I784" s="37" t="s">
        <v>402</v>
      </c>
      <c r="J784" s="65" t="s">
        <v>402</v>
      </c>
      <c r="K784" s="65" t="s">
        <v>402</v>
      </c>
      <c r="L784" s="38" t="s">
        <v>637</v>
      </c>
    </row>
    <row r="785" spans="1:12" ht="13">
      <c r="A785" s="18" t="s">
        <v>297</v>
      </c>
      <c r="B785" s="18" t="s">
        <v>292</v>
      </c>
      <c r="C785" s="18" t="s">
        <v>752</v>
      </c>
      <c r="D785" s="18" t="s">
        <v>751</v>
      </c>
      <c r="E785" s="18" t="s">
        <v>755</v>
      </c>
      <c r="F785" s="37">
        <v>2002.9787200000001</v>
      </c>
      <c r="G785" s="37">
        <v>522.35133660665599</v>
      </c>
      <c r="H785" s="37" t="s">
        <v>402</v>
      </c>
      <c r="I785" s="37" t="s">
        <v>402</v>
      </c>
      <c r="J785" s="65" t="s">
        <v>402</v>
      </c>
      <c r="K785" s="65" t="s">
        <v>402</v>
      </c>
      <c r="L785" s="38" t="s">
        <v>637</v>
      </c>
    </row>
    <row r="786" spans="1:12" ht="13">
      <c r="A786" s="18" t="s">
        <v>297</v>
      </c>
      <c r="B786" s="18" t="s">
        <v>292</v>
      </c>
      <c r="C786" s="18" t="s">
        <v>752</v>
      </c>
      <c r="D786" s="18" t="s">
        <v>751</v>
      </c>
      <c r="E786" s="18" t="s">
        <v>755</v>
      </c>
      <c r="F786" s="37">
        <v>2003.9787200000001</v>
      </c>
      <c r="G786" s="37">
        <v>534.11771837303695</v>
      </c>
      <c r="H786" s="37" t="s">
        <v>402</v>
      </c>
      <c r="I786" s="37" t="s">
        <v>402</v>
      </c>
      <c r="J786" s="65" t="s">
        <v>402</v>
      </c>
      <c r="K786" s="65" t="s">
        <v>402</v>
      </c>
      <c r="L786" s="38" t="s">
        <v>637</v>
      </c>
    </row>
    <row r="787" spans="1:12" ht="13">
      <c r="A787" s="18" t="s">
        <v>297</v>
      </c>
      <c r="B787" s="18" t="s">
        <v>292</v>
      </c>
      <c r="C787" s="18" t="s">
        <v>752</v>
      </c>
      <c r="D787" s="18" t="s">
        <v>751</v>
      </c>
      <c r="E787" s="18" t="s">
        <v>755</v>
      </c>
      <c r="F787" s="37">
        <v>2004.9787200000001</v>
      </c>
      <c r="G787" s="37">
        <v>548.87555313087296</v>
      </c>
      <c r="H787" s="37" t="s">
        <v>402</v>
      </c>
      <c r="I787" s="37" t="s">
        <v>402</v>
      </c>
      <c r="J787" s="65" t="s">
        <v>402</v>
      </c>
      <c r="K787" s="65" t="s">
        <v>402</v>
      </c>
      <c r="L787" s="38" t="s">
        <v>637</v>
      </c>
    </row>
    <row r="788" spans="1:12" ht="13">
      <c r="A788" s="18" t="s">
        <v>297</v>
      </c>
      <c r="B788" s="18" t="s">
        <v>292</v>
      </c>
      <c r="C788" s="18" t="s">
        <v>752</v>
      </c>
      <c r="D788" s="18" t="s">
        <v>751</v>
      </c>
      <c r="E788" s="18" t="s">
        <v>755</v>
      </c>
      <c r="F788" s="37">
        <v>2006</v>
      </c>
      <c r="G788" s="37">
        <v>554.65478571861604</v>
      </c>
      <c r="H788" s="37" t="s">
        <v>402</v>
      </c>
      <c r="I788" s="37" t="s">
        <v>402</v>
      </c>
      <c r="J788" s="65" t="s">
        <v>402</v>
      </c>
      <c r="K788" s="65" t="s">
        <v>402</v>
      </c>
      <c r="L788" s="38" t="s">
        <v>637</v>
      </c>
    </row>
    <row r="789" spans="1:12" ht="13">
      <c r="A789" s="18" t="s">
        <v>297</v>
      </c>
      <c r="B789" s="18" t="s">
        <v>292</v>
      </c>
      <c r="C789" s="18" t="s">
        <v>752</v>
      </c>
      <c r="D789" s="18" t="s">
        <v>751</v>
      </c>
      <c r="E789" s="18" t="s">
        <v>755</v>
      </c>
      <c r="F789" s="37">
        <v>2006.9787200000001</v>
      </c>
      <c r="G789" s="37">
        <v>602.32284657816604</v>
      </c>
      <c r="H789" s="37" t="s">
        <v>402</v>
      </c>
      <c r="I789" s="37" t="s">
        <v>402</v>
      </c>
      <c r="J789" s="65" t="s">
        <v>402</v>
      </c>
      <c r="K789" s="65" t="s">
        <v>402</v>
      </c>
      <c r="L789" s="38" t="s">
        <v>637</v>
      </c>
    </row>
    <row r="790" spans="1:12" ht="13">
      <c r="A790" s="18" t="s">
        <v>297</v>
      </c>
      <c r="B790" s="18" t="s">
        <v>292</v>
      </c>
      <c r="C790" s="18" t="s">
        <v>752</v>
      </c>
      <c r="D790" s="18" t="s">
        <v>751</v>
      </c>
      <c r="E790" s="18" t="s">
        <v>755</v>
      </c>
      <c r="F790" s="37">
        <v>2007.9787200000001</v>
      </c>
      <c r="G790" s="37">
        <v>652.97811723343705</v>
      </c>
      <c r="H790" s="37" t="s">
        <v>402</v>
      </c>
      <c r="I790" s="37" t="s">
        <v>402</v>
      </c>
      <c r="J790" s="65" t="s">
        <v>402</v>
      </c>
      <c r="K790" s="65" t="s">
        <v>402</v>
      </c>
      <c r="L790" s="38" t="s">
        <v>637</v>
      </c>
    </row>
    <row r="791" spans="1:12" ht="13">
      <c r="A791" s="18" t="s">
        <v>297</v>
      </c>
      <c r="B791" s="18" t="s">
        <v>292</v>
      </c>
      <c r="C791" s="18" t="s">
        <v>752</v>
      </c>
      <c r="D791" s="18" t="s">
        <v>751</v>
      </c>
      <c r="E791" s="18" t="s">
        <v>755</v>
      </c>
      <c r="F791" s="37">
        <v>2008.9787200000001</v>
      </c>
      <c r="G791" s="37">
        <v>685.68466993998902</v>
      </c>
      <c r="H791" s="37" t="s">
        <v>402</v>
      </c>
      <c r="I791" s="37" t="s">
        <v>402</v>
      </c>
      <c r="J791" s="65" t="s">
        <v>402</v>
      </c>
      <c r="K791" s="65" t="s">
        <v>402</v>
      </c>
      <c r="L791" s="38" t="s">
        <v>637</v>
      </c>
    </row>
    <row r="792" spans="1:12" ht="13">
      <c r="A792" s="18" t="s">
        <v>297</v>
      </c>
      <c r="B792" s="18" t="s">
        <v>292</v>
      </c>
      <c r="C792" s="18" t="s">
        <v>752</v>
      </c>
      <c r="D792" s="18" t="s">
        <v>751</v>
      </c>
      <c r="E792" s="18" t="s">
        <v>755</v>
      </c>
      <c r="F792" s="37">
        <v>2010</v>
      </c>
      <c r="G792" s="37">
        <v>718.38697945080901</v>
      </c>
      <c r="H792" s="37" t="s">
        <v>402</v>
      </c>
      <c r="I792" s="37" t="s">
        <v>402</v>
      </c>
      <c r="J792" s="65" t="s">
        <v>402</v>
      </c>
      <c r="K792" s="65" t="s">
        <v>402</v>
      </c>
      <c r="L792" s="38" t="s">
        <v>637</v>
      </c>
    </row>
    <row r="793" spans="1:12" ht="13">
      <c r="A793" s="18" t="s">
        <v>297</v>
      </c>
      <c r="B793" s="18" t="s">
        <v>292</v>
      </c>
      <c r="C793" s="18" t="s">
        <v>752</v>
      </c>
      <c r="D793" s="18" t="s">
        <v>751</v>
      </c>
      <c r="E793" s="18" t="s">
        <v>755</v>
      </c>
      <c r="F793" s="37">
        <v>2011</v>
      </c>
      <c r="G793" s="37">
        <v>718.18754925137898</v>
      </c>
      <c r="H793" s="37" t="s">
        <v>402</v>
      </c>
      <c r="I793" s="37" t="s">
        <v>402</v>
      </c>
      <c r="J793" s="65" t="s">
        <v>402</v>
      </c>
      <c r="K793" s="65" t="s">
        <v>402</v>
      </c>
      <c r="L793" s="38" t="s">
        <v>637</v>
      </c>
    </row>
    <row r="794" spans="1:12" ht="13">
      <c r="A794" s="18" t="s">
        <v>297</v>
      </c>
      <c r="B794" s="18" t="s">
        <v>292</v>
      </c>
      <c r="C794" s="18" t="s">
        <v>752</v>
      </c>
      <c r="D794" s="18" t="s">
        <v>751</v>
      </c>
      <c r="E794" s="18" t="s">
        <v>755</v>
      </c>
      <c r="F794" s="37">
        <v>2012</v>
      </c>
      <c r="G794" s="37">
        <v>714.99666606049595</v>
      </c>
      <c r="H794" s="37" t="s">
        <v>402</v>
      </c>
      <c r="I794" s="37" t="s">
        <v>402</v>
      </c>
      <c r="J794" s="65" t="s">
        <v>402</v>
      </c>
      <c r="K794" s="65" t="s">
        <v>402</v>
      </c>
      <c r="L794" s="38" t="s">
        <v>637</v>
      </c>
    </row>
    <row r="795" spans="1:12" ht="13">
      <c r="A795" s="18" t="s">
        <v>297</v>
      </c>
      <c r="B795" s="18" t="s">
        <v>292</v>
      </c>
      <c r="C795" s="18" t="s">
        <v>752</v>
      </c>
      <c r="D795" s="18" t="s">
        <v>751</v>
      </c>
      <c r="E795" s="18" t="s">
        <v>755</v>
      </c>
      <c r="F795" s="37">
        <v>2012.9787200000001</v>
      </c>
      <c r="G795" s="37">
        <v>687.87840213372101</v>
      </c>
      <c r="H795" s="37" t="s">
        <v>402</v>
      </c>
      <c r="I795" s="37" t="s">
        <v>402</v>
      </c>
      <c r="J795" s="65" t="s">
        <v>402</v>
      </c>
      <c r="K795" s="65" t="s">
        <v>402</v>
      </c>
      <c r="L795" s="38" t="s">
        <v>637</v>
      </c>
    </row>
    <row r="796" spans="1:12" ht="13">
      <c r="A796" s="18" t="s">
        <v>297</v>
      </c>
      <c r="B796" s="18" t="s">
        <v>292</v>
      </c>
      <c r="C796" s="18" t="s">
        <v>752</v>
      </c>
      <c r="D796" s="18" t="s">
        <v>751</v>
      </c>
      <c r="E796" s="18" t="s">
        <v>755</v>
      </c>
      <c r="F796" s="37">
        <v>2014</v>
      </c>
      <c r="G796" s="37">
        <v>711.60635267018199</v>
      </c>
      <c r="H796" s="37" t="s">
        <v>402</v>
      </c>
      <c r="I796" s="37" t="s">
        <v>402</v>
      </c>
      <c r="J796" s="65" t="s">
        <v>402</v>
      </c>
      <c r="K796" s="65" t="s">
        <v>402</v>
      </c>
      <c r="L796" s="38" t="s">
        <v>637</v>
      </c>
    </row>
    <row r="797" spans="1:12" ht="13">
      <c r="A797" s="18" t="s">
        <v>297</v>
      </c>
      <c r="B797" s="18" t="s">
        <v>292</v>
      </c>
      <c r="C797" s="18" t="s">
        <v>752</v>
      </c>
      <c r="D797" s="18" t="s">
        <v>751</v>
      </c>
      <c r="E797" s="18" t="s">
        <v>755</v>
      </c>
      <c r="F797" s="37">
        <v>2015</v>
      </c>
      <c r="G797" s="37">
        <v>741.32145238528199</v>
      </c>
      <c r="H797" s="37" t="s">
        <v>402</v>
      </c>
      <c r="I797" s="37" t="s">
        <v>402</v>
      </c>
      <c r="J797" s="65" t="s">
        <v>402</v>
      </c>
      <c r="K797" s="65" t="s">
        <v>402</v>
      </c>
      <c r="L797" s="38" t="s">
        <v>637</v>
      </c>
    </row>
    <row r="798" spans="1:12" ht="13">
      <c r="A798" s="18" t="s">
        <v>297</v>
      </c>
      <c r="B798" s="18" t="s">
        <v>292</v>
      </c>
      <c r="C798" s="18" t="s">
        <v>752</v>
      </c>
      <c r="D798" s="18" t="s">
        <v>751</v>
      </c>
      <c r="E798" s="18" t="s">
        <v>755</v>
      </c>
      <c r="F798" s="37">
        <v>2015.9787200000001</v>
      </c>
      <c r="G798" s="37">
        <v>765.05788931320797</v>
      </c>
      <c r="H798" s="37" t="s">
        <v>402</v>
      </c>
      <c r="I798" s="37" t="s">
        <v>402</v>
      </c>
      <c r="J798" s="65" t="s">
        <v>402</v>
      </c>
      <c r="K798" s="65" t="s">
        <v>402</v>
      </c>
      <c r="L798" s="38" t="s">
        <v>637</v>
      </c>
    </row>
    <row r="799" spans="1:12" ht="13">
      <c r="A799" s="18" t="s">
        <v>297</v>
      </c>
      <c r="B799" s="18" t="s">
        <v>292</v>
      </c>
      <c r="C799" s="18" t="s">
        <v>752</v>
      </c>
      <c r="D799" s="18" t="s">
        <v>751</v>
      </c>
      <c r="E799" s="18" t="s">
        <v>756</v>
      </c>
      <c r="F799" s="37">
        <v>2000</v>
      </c>
      <c r="G799" s="37">
        <v>896.87700794083798</v>
      </c>
      <c r="H799" s="37" t="s">
        <v>402</v>
      </c>
      <c r="I799" s="37" t="s">
        <v>402</v>
      </c>
      <c r="J799" s="65" t="s">
        <v>402</v>
      </c>
      <c r="K799" s="65" t="s">
        <v>402</v>
      </c>
      <c r="L799" s="38" t="s">
        <v>637</v>
      </c>
    </row>
    <row r="800" spans="1:12" ht="13">
      <c r="A800" s="18" t="s">
        <v>297</v>
      </c>
      <c r="B800" s="18" t="s">
        <v>292</v>
      </c>
      <c r="C800" s="18" t="s">
        <v>752</v>
      </c>
      <c r="D800" s="18" t="s">
        <v>751</v>
      </c>
      <c r="E800" s="18" t="s">
        <v>756</v>
      </c>
      <c r="F800" s="37">
        <v>2001</v>
      </c>
      <c r="G800" s="37">
        <v>893.68612474995496</v>
      </c>
      <c r="H800" s="37">
        <f t="shared" ref="H800:I800" si="730">F800-F799</f>
        <v>1</v>
      </c>
      <c r="I800" s="37">
        <f t="shared" si="730"/>
        <v>-3.190883190883028</v>
      </c>
      <c r="J800" s="65">
        <f t="shared" ref="J800:J815" si="731">I800/G799</f>
        <v>-3.5577712023291299E-3</v>
      </c>
      <c r="K800" s="65">
        <f t="shared" ref="K800:K815" si="732">J800/H800</f>
        <v>-3.5577712023291299E-3</v>
      </c>
      <c r="L800" s="38" t="s">
        <v>637</v>
      </c>
    </row>
    <row r="801" spans="1:12" ht="13">
      <c r="A801" s="18" t="s">
        <v>297</v>
      </c>
      <c r="B801" s="18" t="s">
        <v>292</v>
      </c>
      <c r="C801" s="18" t="s">
        <v>752</v>
      </c>
      <c r="D801" s="18" t="s">
        <v>751</v>
      </c>
      <c r="E801" s="18" t="s">
        <v>756</v>
      </c>
      <c r="F801" s="37">
        <v>2002</v>
      </c>
      <c r="G801" s="37">
        <v>962.29011335394296</v>
      </c>
      <c r="H801" s="37">
        <f t="shared" ref="H801:I801" si="733">F801-F800</f>
        <v>1</v>
      </c>
      <c r="I801" s="37">
        <f t="shared" si="733"/>
        <v>68.603988603988</v>
      </c>
      <c r="J801" s="65">
        <f t="shared" si="731"/>
        <v>7.6765193846086349E-2</v>
      </c>
      <c r="K801" s="65">
        <f t="shared" si="732"/>
        <v>7.6765193846086349E-2</v>
      </c>
      <c r="L801" s="38" t="s">
        <v>637</v>
      </c>
    </row>
    <row r="802" spans="1:12" ht="13">
      <c r="A802" s="18" t="s">
        <v>297</v>
      </c>
      <c r="B802" s="18" t="s">
        <v>292</v>
      </c>
      <c r="C802" s="18" t="s">
        <v>752</v>
      </c>
      <c r="D802" s="18" t="s">
        <v>751</v>
      </c>
      <c r="E802" s="18" t="s">
        <v>756</v>
      </c>
      <c r="F802" s="37">
        <v>2003</v>
      </c>
      <c r="G802" s="37">
        <v>1009.9539310177601</v>
      </c>
      <c r="H802" s="37">
        <f t="shared" ref="H802:I802" si="734">F802-F801</f>
        <v>1</v>
      </c>
      <c r="I802" s="37">
        <f t="shared" si="734"/>
        <v>47.663817663817099</v>
      </c>
      <c r="J802" s="65">
        <f t="shared" si="731"/>
        <v>4.9531650593074024E-2</v>
      </c>
      <c r="K802" s="65">
        <f t="shared" si="732"/>
        <v>4.9531650593074024E-2</v>
      </c>
      <c r="L802" s="38" t="s">
        <v>637</v>
      </c>
    </row>
    <row r="803" spans="1:12" ht="13">
      <c r="A803" s="18" t="s">
        <v>297</v>
      </c>
      <c r="B803" s="18" t="s">
        <v>292</v>
      </c>
      <c r="C803" s="18" t="s">
        <v>752</v>
      </c>
      <c r="D803" s="18" t="s">
        <v>751</v>
      </c>
      <c r="E803" s="18" t="s">
        <v>756</v>
      </c>
      <c r="F803" s="37">
        <v>2004.0212765957399</v>
      </c>
      <c r="G803" s="37">
        <v>1027.69897557132</v>
      </c>
      <c r="H803" s="37">
        <f t="shared" ref="H803:I803" si="735">F803-F802</f>
        <v>1.0212765957398915</v>
      </c>
      <c r="I803" s="37">
        <f t="shared" si="735"/>
        <v>17.745044553559978</v>
      </c>
      <c r="J803" s="65">
        <f t="shared" si="731"/>
        <v>1.7570152467922748E-2</v>
      </c>
      <c r="K803" s="65">
        <f t="shared" si="732"/>
        <v>1.7204107624921704E-2</v>
      </c>
      <c r="L803" s="38" t="s">
        <v>637</v>
      </c>
    </row>
    <row r="804" spans="1:12" ht="13">
      <c r="A804" s="18" t="s">
        <v>297</v>
      </c>
      <c r="B804" s="18" t="s">
        <v>292</v>
      </c>
      <c r="C804" s="18" t="s">
        <v>752</v>
      </c>
      <c r="D804" s="18" t="s">
        <v>751</v>
      </c>
      <c r="E804" s="18" t="s">
        <v>756</v>
      </c>
      <c r="F804" s="37">
        <v>2004.9787234042601</v>
      </c>
      <c r="G804" s="37">
        <v>1045.4567497120699</v>
      </c>
      <c r="H804" s="37">
        <f t="shared" ref="H804:I804" si="736">F804-F803</f>
        <v>0.95744680852021702</v>
      </c>
      <c r="I804" s="37">
        <f t="shared" si="736"/>
        <v>17.757774140749916</v>
      </c>
      <c r="J804" s="65">
        <f t="shared" si="731"/>
        <v>1.7279159134004182E-2</v>
      </c>
      <c r="K804" s="65">
        <f t="shared" si="732"/>
        <v>1.8047121762001593E-2</v>
      </c>
      <c r="L804" s="38" t="s">
        <v>637</v>
      </c>
    </row>
    <row r="805" spans="1:12" ht="13">
      <c r="A805" s="18" t="s">
        <v>297</v>
      </c>
      <c r="B805" s="18" t="s">
        <v>292</v>
      </c>
      <c r="C805" s="18" t="s">
        <v>752</v>
      </c>
      <c r="D805" s="18" t="s">
        <v>751</v>
      </c>
      <c r="E805" s="18" t="s">
        <v>756</v>
      </c>
      <c r="F805" s="37">
        <v>2006.0212765957399</v>
      </c>
      <c r="G805" s="37">
        <v>1045.24883312117</v>
      </c>
      <c r="H805" s="37">
        <f t="shared" ref="H805:I805" si="737">F805-F804</f>
        <v>1.042553191479783</v>
      </c>
      <c r="I805" s="37">
        <f t="shared" si="737"/>
        <v>-0.20791659089991299</v>
      </c>
      <c r="J805" s="65">
        <f t="shared" si="731"/>
        <v>-1.9887631980679781E-4</v>
      </c>
      <c r="K805" s="65">
        <f t="shared" si="732"/>
        <v>-1.9075891900010973E-4</v>
      </c>
      <c r="L805" s="38" t="s">
        <v>637</v>
      </c>
    </row>
    <row r="806" spans="1:12" ht="13">
      <c r="A806" s="18" t="s">
        <v>297</v>
      </c>
      <c r="B806" s="18" t="s">
        <v>292</v>
      </c>
      <c r="C806" s="18" t="s">
        <v>752</v>
      </c>
      <c r="D806" s="18" t="s">
        <v>751</v>
      </c>
      <c r="E806" s="18" t="s">
        <v>756</v>
      </c>
      <c r="F806" s="37">
        <v>2006.95744680851</v>
      </c>
      <c r="G806" s="37">
        <v>1140.78862823544</v>
      </c>
      <c r="H806" s="37">
        <f t="shared" ref="H806:I806" si="738">F806-F805</f>
        <v>0.93617021277009371</v>
      </c>
      <c r="I806" s="37">
        <f t="shared" si="738"/>
        <v>95.539795114269964</v>
      </c>
      <c r="J806" s="65">
        <f t="shared" si="731"/>
        <v>9.1403876365958647E-2</v>
      </c>
      <c r="K806" s="65">
        <f t="shared" si="732"/>
        <v>9.7635958845024448E-2</v>
      </c>
      <c r="L806" s="38" t="s">
        <v>637</v>
      </c>
    </row>
    <row r="807" spans="1:12" ht="13">
      <c r="A807" s="18" t="s">
        <v>297</v>
      </c>
      <c r="B807" s="18" t="s">
        <v>292</v>
      </c>
      <c r="C807" s="18" t="s">
        <v>752</v>
      </c>
      <c r="D807" s="18" t="s">
        <v>751</v>
      </c>
      <c r="E807" s="18" t="s">
        <v>756</v>
      </c>
      <c r="F807" s="37">
        <v>2008</v>
      </c>
      <c r="G807" s="37">
        <v>1242.2901133539399</v>
      </c>
      <c r="H807" s="37">
        <f t="shared" ref="H807:I807" si="739">F807-F806</f>
        <v>1.0425531914900148</v>
      </c>
      <c r="I807" s="37">
        <f t="shared" si="739"/>
        <v>101.50148511849989</v>
      </c>
      <c r="J807" s="65">
        <f t="shared" si="731"/>
        <v>8.8974839515626417E-2</v>
      </c>
      <c r="K807" s="65">
        <f t="shared" si="732"/>
        <v>8.5343213412894331E-2</v>
      </c>
      <c r="L807" s="38" t="s">
        <v>637</v>
      </c>
    </row>
    <row r="808" spans="1:12" ht="13">
      <c r="A808" s="18" t="s">
        <v>297</v>
      </c>
      <c r="B808" s="18" t="s">
        <v>292</v>
      </c>
      <c r="C808" s="18" t="s">
        <v>752</v>
      </c>
      <c r="D808" s="18" t="s">
        <v>751</v>
      </c>
      <c r="E808" s="18" t="s">
        <v>756</v>
      </c>
      <c r="F808" s="37">
        <v>2009</v>
      </c>
      <c r="G808" s="37">
        <v>1295.93683700067</v>
      </c>
      <c r="H808" s="37">
        <f t="shared" ref="H808:I808" si="740">F808-F807</f>
        <v>1</v>
      </c>
      <c r="I808" s="37">
        <f t="shared" si="740"/>
        <v>53.646723646730152</v>
      </c>
      <c r="J808" s="65">
        <f t="shared" si="731"/>
        <v>4.3183732261938806E-2</v>
      </c>
      <c r="K808" s="65">
        <f t="shared" si="732"/>
        <v>4.3183732261938806E-2</v>
      </c>
      <c r="L808" s="38" t="s">
        <v>637</v>
      </c>
    </row>
    <row r="809" spans="1:12" ht="13">
      <c r="A809" s="18" t="s">
        <v>297</v>
      </c>
      <c r="B809" s="18" t="s">
        <v>292</v>
      </c>
      <c r="C809" s="18" t="s">
        <v>752</v>
      </c>
      <c r="D809" s="18" t="s">
        <v>751</v>
      </c>
      <c r="E809" s="18" t="s">
        <v>756</v>
      </c>
      <c r="F809" s="37">
        <v>2010</v>
      </c>
      <c r="G809" s="37">
        <v>1349.58356064739</v>
      </c>
      <c r="H809" s="37">
        <f t="shared" ref="H809:I809" si="741">F809-F808</f>
        <v>1</v>
      </c>
      <c r="I809" s="37">
        <f t="shared" si="741"/>
        <v>53.64672364671992</v>
      </c>
      <c r="J809" s="65">
        <f t="shared" si="731"/>
        <v>4.1396094404477661E-2</v>
      </c>
      <c r="K809" s="65">
        <f t="shared" si="732"/>
        <v>4.1396094404477661E-2</v>
      </c>
      <c r="L809" s="38" t="s">
        <v>637</v>
      </c>
    </row>
    <row r="810" spans="1:12" ht="13">
      <c r="A810" s="18" t="s">
        <v>297</v>
      </c>
      <c r="B810" s="18" t="s">
        <v>292</v>
      </c>
      <c r="C810" s="18" t="s">
        <v>752</v>
      </c>
      <c r="D810" s="18" t="s">
        <v>751</v>
      </c>
      <c r="E810" s="18" t="s">
        <v>756</v>
      </c>
      <c r="F810" s="37">
        <v>2010.9787234042601</v>
      </c>
      <c r="G810" s="37">
        <v>1340.4140146693301</v>
      </c>
      <c r="H810" s="37">
        <f t="shared" ref="H810:I810" si="742">F810-F809</f>
        <v>0.97872340426010851</v>
      </c>
      <c r="I810" s="37">
        <f t="shared" si="742"/>
        <v>-9.1695459780598867</v>
      </c>
      <c r="J810" s="65">
        <f t="shared" si="731"/>
        <v>-6.7943521582770998E-3</v>
      </c>
      <c r="K810" s="65">
        <f t="shared" si="732"/>
        <v>-6.9420554660317617E-3</v>
      </c>
      <c r="L810" s="38" t="s">
        <v>637</v>
      </c>
    </row>
    <row r="811" spans="1:12" ht="13">
      <c r="A811" s="18" t="s">
        <v>297</v>
      </c>
      <c r="B811" s="18" t="s">
        <v>292</v>
      </c>
      <c r="C811" s="18" t="s">
        <v>752</v>
      </c>
      <c r="D811" s="18" t="s">
        <v>751</v>
      </c>
      <c r="E811" s="18" t="s">
        <v>756</v>
      </c>
      <c r="F811" s="37">
        <v>2011.9787234042601</v>
      </c>
      <c r="G811" s="37">
        <v>1337.2231314784499</v>
      </c>
      <c r="H811" s="37">
        <f t="shared" ref="H811:I811" si="743">F811-F810</f>
        <v>1</v>
      </c>
      <c r="I811" s="37">
        <f t="shared" si="743"/>
        <v>-3.1908831908801858</v>
      </c>
      <c r="J811" s="65">
        <f t="shared" si="731"/>
        <v>-2.3805206122582598E-3</v>
      </c>
      <c r="K811" s="65">
        <f t="shared" si="732"/>
        <v>-2.3805206122582598E-3</v>
      </c>
      <c r="L811" s="38" t="s">
        <v>637</v>
      </c>
    </row>
    <row r="812" spans="1:12" ht="13">
      <c r="A812" s="18" t="s">
        <v>297</v>
      </c>
      <c r="B812" s="18" t="s">
        <v>292</v>
      </c>
      <c r="C812" s="18" t="s">
        <v>752</v>
      </c>
      <c r="D812" s="18" t="s">
        <v>751</v>
      </c>
      <c r="E812" s="18" t="s">
        <v>756</v>
      </c>
      <c r="F812" s="37">
        <v>2013</v>
      </c>
      <c r="G812" s="37">
        <v>1262.23313329696</v>
      </c>
      <c r="H812" s="37">
        <f t="shared" ref="H812:I812" si="744">F812-F811</f>
        <v>1.0212765957398915</v>
      </c>
      <c r="I812" s="37">
        <f t="shared" si="744"/>
        <v>-74.989998181489909</v>
      </c>
      <c r="J812" s="65">
        <f t="shared" si="731"/>
        <v>-5.6078896944132331E-2</v>
      </c>
      <c r="K812" s="65">
        <f t="shared" si="732"/>
        <v>-5.4910586591387082E-2</v>
      </c>
      <c r="L812" s="38" t="s">
        <v>637</v>
      </c>
    </row>
    <row r="813" spans="1:12" ht="13">
      <c r="A813" s="18" t="s">
        <v>297</v>
      </c>
      <c r="B813" s="18" t="s">
        <v>292</v>
      </c>
      <c r="C813" s="18" t="s">
        <v>752</v>
      </c>
      <c r="D813" s="18" t="s">
        <v>751</v>
      </c>
      <c r="E813" s="18" t="s">
        <v>756</v>
      </c>
      <c r="F813" s="37">
        <v>2014</v>
      </c>
      <c r="G813" s="37">
        <v>1291.94823301206</v>
      </c>
      <c r="H813" s="37">
        <f t="shared" ref="H813:I813" si="745">F813-F812</f>
        <v>1</v>
      </c>
      <c r="I813" s="37">
        <f t="shared" si="745"/>
        <v>29.715099715099996</v>
      </c>
      <c r="J813" s="65">
        <f t="shared" si="731"/>
        <v>2.3541688877619611E-2</v>
      </c>
      <c r="K813" s="65">
        <f t="shared" si="732"/>
        <v>2.3541688877619611E-2</v>
      </c>
      <c r="L813" s="38" t="s">
        <v>637</v>
      </c>
    </row>
    <row r="814" spans="1:12" ht="13">
      <c r="A814" s="18" t="s">
        <v>297</v>
      </c>
      <c r="B814" s="18" t="s">
        <v>292</v>
      </c>
      <c r="C814" s="18" t="s">
        <v>752</v>
      </c>
      <c r="D814" s="18" t="s">
        <v>751</v>
      </c>
      <c r="E814" s="18" t="s">
        <v>756</v>
      </c>
      <c r="F814" s="37">
        <v>2015</v>
      </c>
      <c r="G814" s="37">
        <v>1348.5864096502401</v>
      </c>
      <c r="H814" s="37">
        <f t="shared" ref="H814:I814" si="746">F814-F813</f>
        <v>1</v>
      </c>
      <c r="I814" s="37">
        <f t="shared" si="746"/>
        <v>56.638176638180084</v>
      </c>
      <c r="J814" s="65">
        <f t="shared" si="731"/>
        <v>4.3839354542970596E-2</v>
      </c>
      <c r="K814" s="65">
        <f t="shared" si="732"/>
        <v>4.3839354542970596E-2</v>
      </c>
      <c r="L814" s="38" t="s">
        <v>637</v>
      </c>
    </row>
    <row r="815" spans="1:12" ht="13">
      <c r="A815" s="18" t="s">
        <v>297</v>
      </c>
      <c r="B815" s="18" t="s">
        <v>292</v>
      </c>
      <c r="C815" s="18" t="s">
        <v>752</v>
      </c>
      <c r="D815" s="18" t="s">
        <v>751</v>
      </c>
      <c r="E815" s="18" t="s">
        <v>756</v>
      </c>
      <c r="F815" s="37">
        <v>2016</v>
      </c>
      <c r="G815" s="37">
        <v>1390.26732133115</v>
      </c>
      <c r="H815" s="37">
        <f t="shared" ref="H815:I815" si="747">F815-F814</f>
        <v>1</v>
      </c>
      <c r="I815" s="37">
        <f t="shared" si="747"/>
        <v>41.680911680909958</v>
      </c>
      <c r="J815" s="65">
        <f t="shared" si="731"/>
        <v>3.0907112353089801E-2</v>
      </c>
      <c r="K815" s="65">
        <f t="shared" si="732"/>
        <v>3.0907112353089801E-2</v>
      </c>
      <c r="L815" s="38" t="s">
        <v>637</v>
      </c>
    </row>
    <row r="816" spans="1:12" ht="13">
      <c r="A816" s="18" t="s">
        <v>371</v>
      </c>
      <c r="B816" s="18" t="s">
        <v>292</v>
      </c>
      <c r="C816" s="18" t="s">
        <v>749</v>
      </c>
      <c r="D816" s="18" t="s">
        <v>621</v>
      </c>
      <c r="E816" s="18" t="s">
        <v>622</v>
      </c>
      <c r="F816" s="18">
        <v>1996</v>
      </c>
      <c r="G816" s="40">
        <v>1181</v>
      </c>
      <c r="H816" s="37" t="s">
        <v>402</v>
      </c>
      <c r="I816" s="37" t="s">
        <v>402</v>
      </c>
      <c r="J816" s="65" t="s">
        <v>402</v>
      </c>
      <c r="K816" s="65" t="s">
        <v>402</v>
      </c>
      <c r="L816" s="41" t="s">
        <v>623</v>
      </c>
    </row>
    <row r="817" spans="1:12" ht="13">
      <c r="A817" s="18" t="s">
        <v>371</v>
      </c>
      <c r="B817" s="18" t="s">
        <v>292</v>
      </c>
      <c r="C817" s="18" t="s">
        <v>749</v>
      </c>
      <c r="D817" s="18" t="s">
        <v>621</v>
      </c>
      <c r="E817" s="18" t="s">
        <v>622</v>
      </c>
      <c r="F817" s="18">
        <v>2001</v>
      </c>
      <c r="G817" s="40">
        <v>1364</v>
      </c>
      <c r="H817" s="40">
        <f t="shared" ref="H817:I817" si="748">F817-F816</f>
        <v>5</v>
      </c>
      <c r="I817" s="40">
        <f t="shared" si="748"/>
        <v>183</v>
      </c>
      <c r="J817" s="66">
        <f t="shared" ref="J817:J821" si="749">I817/G816</f>
        <v>0.15495342929720576</v>
      </c>
      <c r="K817" s="65">
        <f t="shared" ref="K817:K821" si="750">J817/H817</f>
        <v>3.0990685859441154E-2</v>
      </c>
      <c r="L817" s="41" t="s">
        <v>623</v>
      </c>
    </row>
    <row r="818" spans="1:12" ht="13">
      <c r="A818" s="18" t="s">
        <v>371</v>
      </c>
      <c r="B818" s="18" t="s">
        <v>292</v>
      </c>
      <c r="C818" s="18" t="s">
        <v>749</v>
      </c>
      <c r="D818" s="18" t="s">
        <v>621</v>
      </c>
      <c r="E818" s="18" t="s">
        <v>622</v>
      </c>
      <c r="F818" s="18">
        <v>2005</v>
      </c>
      <c r="G818" s="40">
        <v>1575</v>
      </c>
      <c r="H818" s="40">
        <f t="shared" ref="H818:I818" si="751">F818-F817</f>
        <v>4</v>
      </c>
      <c r="I818" s="40">
        <f t="shared" si="751"/>
        <v>211</v>
      </c>
      <c r="J818" s="66">
        <f t="shared" si="749"/>
        <v>0.15469208211143695</v>
      </c>
      <c r="K818" s="65">
        <f t="shared" si="750"/>
        <v>3.8673020527859238E-2</v>
      </c>
      <c r="L818" s="41" t="s">
        <v>623</v>
      </c>
    </row>
    <row r="819" spans="1:12" ht="13">
      <c r="A819" s="18" t="s">
        <v>371</v>
      </c>
      <c r="B819" s="18" t="s">
        <v>292</v>
      </c>
      <c r="C819" s="18" t="s">
        <v>749</v>
      </c>
      <c r="D819" s="18" t="s">
        <v>621</v>
      </c>
      <c r="E819" s="18" t="s">
        <v>622</v>
      </c>
      <c r="F819" s="18">
        <v>2008</v>
      </c>
      <c r="G819" s="40">
        <v>1727</v>
      </c>
      <c r="H819" s="40">
        <f t="shared" ref="H819:I819" si="752">F819-F818</f>
        <v>3</v>
      </c>
      <c r="I819" s="40">
        <f t="shared" si="752"/>
        <v>152</v>
      </c>
      <c r="J819" s="66">
        <f t="shared" si="749"/>
        <v>9.6507936507936515E-2</v>
      </c>
      <c r="K819" s="65">
        <f t="shared" si="750"/>
        <v>3.2169312169312174E-2</v>
      </c>
      <c r="L819" s="41" t="s">
        <v>623</v>
      </c>
    </row>
    <row r="820" spans="1:12" ht="13">
      <c r="A820" s="18" t="s">
        <v>371</v>
      </c>
      <c r="B820" s="18" t="s">
        <v>292</v>
      </c>
      <c r="C820" s="18" t="s">
        <v>749</v>
      </c>
      <c r="D820" s="18" t="s">
        <v>621</v>
      </c>
      <c r="E820" s="18" t="s">
        <v>622</v>
      </c>
      <c r="F820" s="18">
        <v>2014</v>
      </c>
      <c r="G820" s="40">
        <v>2178</v>
      </c>
      <c r="H820" s="40">
        <f t="shared" ref="H820:I820" si="753">F820-F819</f>
        <v>6</v>
      </c>
      <c r="I820" s="40">
        <f t="shared" si="753"/>
        <v>451</v>
      </c>
      <c r="J820" s="66">
        <f t="shared" si="749"/>
        <v>0.26114649681528662</v>
      </c>
      <c r="K820" s="65">
        <f t="shared" si="750"/>
        <v>4.3524416135881101E-2</v>
      </c>
      <c r="L820" s="41" t="s">
        <v>623</v>
      </c>
    </row>
    <row r="821" spans="1:12" ht="13">
      <c r="A821" s="18" t="s">
        <v>371</v>
      </c>
      <c r="B821" s="18" t="s">
        <v>292</v>
      </c>
      <c r="C821" s="18" t="s">
        <v>749</v>
      </c>
      <c r="D821" s="18" t="s">
        <v>621</v>
      </c>
      <c r="E821" s="18" t="s">
        <v>622</v>
      </c>
      <c r="F821" s="18">
        <v>2018</v>
      </c>
      <c r="G821" s="40">
        <v>4784</v>
      </c>
      <c r="H821" s="40">
        <f t="shared" ref="H821:I821" si="754">F821-F820</f>
        <v>4</v>
      </c>
      <c r="I821" s="40">
        <f t="shared" si="754"/>
        <v>2606</v>
      </c>
      <c r="J821" s="66">
        <f t="shared" si="749"/>
        <v>1.1965105601469237</v>
      </c>
      <c r="K821" s="65">
        <f t="shared" si="750"/>
        <v>0.29912764003673092</v>
      </c>
      <c r="L821" s="41" t="s">
        <v>623</v>
      </c>
    </row>
    <row r="822" spans="1:12" ht="13">
      <c r="A822" s="18" t="s">
        <v>757</v>
      </c>
      <c r="B822" s="18" t="s">
        <v>324</v>
      </c>
      <c r="C822" s="27" t="s">
        <v>758</v>
      </c>
      <c r="D822" s="18" t="s">
        <v>139</v>
      </c>
      <c r="E822" s="18" t="s">
        <v>611</v>
      </c>
      <c r="F822" s="37">
        <v>1974</v>
      </c>
      <c r="G822" s="37">
        <v>72</v>
      </c>
      <c r="H822" s="37" t="s">
        <v>402</v>
      </c>
      <c r="I822" s="37" t="s">
        <v>402</v>
      </c>
      <c r="J822" s="65" t="s">
        <v>402</v>
      </c>
      <c r="K822" s="65" t="s">
        <v>402</v>
      </c>
      <c r="L822" s="38" t="s">
        <v>612</v>
      </c>
    </row>
    <row r="823" spans="1:12" ht="13">
      <c r="A823" s="18" t="s">
        <v>757</v>
      </c>
      <c r="B823" s="18" t="s">
        <v>324</v>
      </c>
      <c r="C823" s="27" t="s">
        <v>758</v>
      </c>
      <c r="D823" s="18" t="s">
        <v>139</v>
      </c>
      <c r="E823" s="18" t="s">
        <v>611</v>
      </c>
      <c r="F823" s="37">
        <v>1975</v>
      </c>
      <c r="G823" s="37">
        <v>71</v>
      </c>
      <c r="H823" s="37">
        <f t="shared" ref="H823:I823" si="755">F823-F822</f>
        <v>1</v>
      </c>
      <c r="I823" s="37">
        <f t="shared" si="755"/>
        <v>-1</v>
      </c>
      <c r="J823" s="65">
        <f t="shared" ref="J823:J869" si="756">I823/G822</f>
        <v>-1.3888888888888888E-2</v>
      </c>
      <c r="K823" s="65">
        <f t="shared" ref="K823:K869" si="757">J823/H823</f>
        <v>-1.3888888888888888E-2</v>
      </c>
      <c r="L823" s="38" t="s">
        <v>612</v>
      </c>
    </row>
    <row r="824" spans="1:12" ht="13">
      <c r="A824" s="18" t="s">
        <v>757</v>
      </c>
      <c r="B824" s="18" t="s">
        <v>324</v>
      </c>
      <c r="C824" s="27" t="s">
        <v>758</v>
      </c>
      <c r="D824" s="18" t="s">
        <v>139</v>
      </c>
      <c r="E824" s="18" t="s">
        <v>611</v>
      </c>
      <c r="F824" s="18">
        <v>1976</v>
      </c>
      <c r="G824" s="37">
        <v>80</v>
      </c>
      <c r="H824" s="37">
        <f t="shared" ref="H824:I824" si="758">F824-F823</f>
        <v>1</v>
      </c>
      <c r="I824" s="37">
        <f t="shared" si="758"/>
        <v>9</v>
      </c>
      <c r="J824" s="65">
        <f t="shared" si="756"/>
        <v>0.12676056338028169</v>
      </c>
      <c r="K824" s="65">
        <f t="shared" si="757"/>
        <v>0.12676056338028169</v>
      </c>
      <c r="L824" s="38" t="s">
        <v>612</v>
      </c>
    </row>
    <row r="825" spans="1:12" ht="13">
      <c r="A825" s="18" t="s">
        <v>757</v>
      </c>
      <c r="B825" s="18" t="s">
        <v>324</v>
      </c>
      <c r="C825" s="27" t="s">
        <v>758</v>
      </c>
      <c r="D825" s="18" t="s">
        <v>139</v>
      </c>
      <c r="E825" s="18" t="s">
        <v>611</v>
      </c>
      <c r="F825" s="37">
        <v>1977</v>
      </c>
      <c r="G825" s="37">
        <v>80</v>
      </c>
      <c r="H825" s="37">
        <f t="shared" ref="H825:I825" si="759">F825-F824</f>
        <v>1</v>
      </c>
      <c r="I825" s="37">
        <f t="shared" si="759"/>
        <v>0</v>
      </c>
      <c r="J825" s="65">
        <f t="shared" si="756"/>
        <v>0</v>
      </c>
      <c r="K825" s="65">
        <f t="shared" si="757"/>
        <v>0</v>
      </c>
      <c r="L825" s="38" t="s">
        <v>612</v>
      </c>
    </row>
    <row r="826" spans="1:12" ht="13">
      <c r="A826" s="18" t="s">
        <v>757</v>
      </c>
      <c r="B826" s="18" t="s">
        <v>324</v>
      </c>
      <c r="C826" s="27" t="s">
        <v>758</v>
      </c>
      <c r="D826" s="18" t="s">
        <v>139</v>
      </c>
      <c r="E826" s="18" t="s">
        <v>611</v>
      </c>
      <c r="F826" s="37">
        <v>1978</v>
      </c>
      <c r="G826" s="37">
        <v>82</v>
      </c>
      <c r="H826" s="37">
        <f t="shared" ref="H826:I826" si="760">F826-F825</f>
        <v>1</v>
      </c>
      <c r="I826" s="37">
        <f t="shared" si="760"/>
        <v>2</v>
      </c>
      <c r="J826" s="65">
        <f t="shared" si="756"/>
        <v>2.5000000000000001E-2</v>
      </c>
      <c r="K826" s="65">
        <f t="shared" si="757"/>
        <v>2.5000000000000001E-2</v>
      </c>
      <c r="L826" s="38" t="s">
        <v>612</v>
      </c>
    </row>
    <row r="827" spans="1:12" ht="13">
      <c r="A827" s="18" t="s">
        <v>757</v>
      </c>
      <c r="B827" s="18" t="s">
        <v>324</v>
      </c>
      <c r="C827" s="27" t="s">
        <v>758</v>
      </c>
      <c r="D827" s="18" t="s">
        <v>139</v>
      </c>
      <c r="E827" s="18" t="s">
        <v>611</v>
      </c>
      <c r="F827" s="37">
        <v>1979</v>
      </c>
      <c r="G827" s="37">
        <v>84</v>
      </c>
      <c r="H827" s="37">
        <f t="shared" ref="H827:I827" si="761">F827-F826</f>
        <v>1</v>
      </c>
      <c r="I827" s="37">
        <f t="shared" si="761"/>
        <v>2</v>
      </c>
      <c r="J827" s="65">
        <f t="shared" si="756"/>
        <v>2.4390243902439025E-2</v>
      </c>
      <c r="K827" s="65">
        <f t="shared" si="757"/>
        <v>2.4390243902439025E-2</v>
      </c>
      <c r="L827" s="38" t="s">
        <v>612</v>
      </c>
    </row>
    <row r="828" spans="1:12" ht="13">
      <c r="A828" s="18" t="s">
        <v>757</v>
      </c>
      <c r="B828" s="18" t="s">
        <v>324</v>
      </c>
      <c r="C828" s="27" t="s">
        <v>758</v>
      </c>
      <c r="D828" s="18" t="s">
        <v>139</v>
      </c>
      <c r="E828" s="18" t="s">
        <v>611</v>
      </c>
      <c r="F828" s="37">
        <v>1980</v>
      </c>
      <c r="G828" s="37">
        <v>82</v>
      </c>
      <c r="H828" s="37">
        <f t="shared" ref="H828:I828" si="762">F828-F827</f>
        <v>1</v>
      </c>
      <c r="I828" s="37">
        <f t="shared" si="762"/>
        <v>-2</v>
      </c>
      <c r="J828" s="65">
        <f t="shared" si="756"/>
        <v>-2.3809523809523808E-2</v>
      </c>
      <c r="K828" s="65">
        <f t="shared" si="757"/>
        <v>-2.3809523809523808E-2</v>
      </c>
      <c r="L828" s="38" t="s">
        <v>612</v>
      </c>
    </row>
    <row r="829" spans="1:12" ht="13">
      <c r="A829" s="18" t="s">
        <v>757</v>
      </c>
      <c r="B829" s="18" t="s">
        <v>324</v>
      </c>
      <c r="C829" s="27" t="s">
        <v>758</v>
      </c>
      <c r="D829" s="18" t="s">
        <v>139</v>
      </c>
      <c r="E829" s="18" t="s">
        <v>611</v>
      </c>
      <c r="F829" s="37">
        <v>1981</v>
      </c>
      <c r="G829" s="37">
        <v>79</v>
      </c>
      <c r="H829" s="37">
        <f t="shared" ref="H829:I829" si="763">F829-F828</f>
        <v>1</v>
      </c>
      <c r="I829" s="37">
        <f t="shared" si="763"/>
        <v>-3</v>
      </c>
      <c r="J829" s="65">
        <f t="shared" si="756"/>
        <v>-3.6585365853658534E-2</v>
      </c>
      <c r="K829" s="65">
        <f t="shared" si="757"/>
        <v>-3.6585365853658534E-2</v>
      </c>
      <c r="L829" s="38" t="s">
        <v>612</v>
      </c>
    </row>
    <row r="830" spans="1:12" ht="13">
      <c r="A830" s="18" t="s">
        <v>757</v>
      </c>
      <c r="B830" s="18" t="s">
        <v>324</v>
      </c>
      <c r="C830" s="27" t="s">
        <v>758</v>
      </c>
      <c r="D830" s="18" t="s">
        <v>139</v>
      </c>
      <c r="E830" s="18" t="s">
        <v>611</v>
      </c>
      <c r="F830" s="37">
        <v>1982</v>
      </c>
      <c r="G830" s="37">
        <v>76</v>
      </c>
      <c r="H830" s="37">
        <f t="shared" ref="H830:I830" si="764">F830-F829</f>
        <v>1</v>
      </c>
      <c r="I830" s="37">
        <f t="shared" si="764"/>
        <v>-3</v>
      </c>
      <c r="J830" s="65">
        <f t="shared" si="756"/>
        <v>-3.7974683544303799E-2</v>
      </c>
      <c r="K830" s="65">
        <f t="shared" si="757"/>
        <v>-3.7974683544303799E-2</v>
      </c>
      <c r="L830" s="38" t="s">
        <v>612</v>
      </c>
    </row>
    <row r="831" spans="1:12" ht="13">
      <c r="A831" s="18" t="s">
        <v>757</v>
      </c>
      <c r="B831" s="18" t="s">
        <v>324</v>
      </c>
      <c r="C831" s="27" t="s">
        <v>758</v>
      </c>
      <c r="D831" s="18" t="s">
        <v>139</v>
      </c>
      <c r="E831" s="18" t="s">
        <v>611</v>
      </c>
      <c r="F831" s="37">
        <v>1983</v>
      </c>
      <c r="G831" s="37">
        <v>74</v>
      </c>
      <c r="H831" s="37">
        <f t="shared" ref="H831:I831" si="765">F831-F830</f>
        <v>1</v>
      </c>
      <c r="I831" s="37">
        <f t="shared" si="765"/>
        <v>-2</v>
      </c>
      <c r="J831" s="65">
        <f t="shared" si="756"/>
        <v>-2.6315789473684209E-2</v>
      </c>
      <c r="K831" s="65">
        <f t="shared" si="757"/>
        <v>-2.6315789473684209E-2</v>
      </c>
      <c r="L831" s="38" t="s">
        <v>612</v>
      </c>
    </row>
    <row r="832" spans="1:12" ht="13">
      <c r="A832" s="18" t="s">
        <v>757</v>
      </c>
      <c r="B832" s="18" t="s">
        <v>324</v>
      </c>
      <c r="C832" s="27" t="s">
        <v>758</v>
      </c>
      <c r="D832" s="18" t="s">
        <v>139</v>
      </c>
      <c r="E832" s="18" t="s">
        <v>611</v>
      </c>
      <c r="F832" s="37">
        <v>1984</v>
      </c>
      <c r="G832" s="37">
        <v>77</v>
      </c>
      <c r="H832" s="37">
        <f t="shared" ref="H832:I832" si="766">F832-F831</f>
        <v>1</v>
      </c>
      <c r="I832" s="37">
        <f t="shared" si="766"/>
        <v>3</v>
      </c>
      <c r="J832" s="65">
        <f t="shared" si="756"/>
        <v>4.0540540540540543E-2</v>
      </c>
      <c r="K832" s="65">
        <f t="shared" si="757"/>
        <v>4.0540540540540543E-2</v>
      </c>
      <c r="L832" s="38" t="s">
        <v>612</v>
      </c>
    </row>
    <row r="833" spans="1:12" ht="13">
      <c r="A833" s="18" t="s">
        <v>757</v>
      </c>
      <c r="B833" s="18" t="s">
        <v>324</v>
      </c>
      <c r="C833" s="27" t="s">
        <v>758</v>
      </c>
      <c r="D833" s="18" t="s">
        <v>139</v>
      </c>
      <c r="E833" s="18" t="s">
        <v>611</v>
      </c>
      <c r="F833" s="37">
        <v>1985</v>
      </c>
      <c r="G833" s="37">
        <v>81</v>
      </c>
      <c r="H833" s="37">
        <f t="shared" ref="H833:I833" si="767">F833-F832</f>
        <v>1</v>
      </c>
      <c r="I833" s="37">
        <f t="shared" si="767"/>
        <v>4</v>
      </c>
      <c r="J833" s="65">
        <f t="shared" si="756"/>
        <v>5.1948051948051951E-2</v>
      </c>
      <c r="K833" s="65">
        <f t="shared" si="757"/>
        <v>5.1948051948051951E-2</v>
      </c>
      <c r="L833" s="38" t="s">
        <v>612</v>
      </c>
    </row>
    <row r="834" spans="1:12" ht="13">
      <c r="A834" s="18" t="s">
        <v>757</v>
      </c>
      <c r="B834" s="18" t="s">
        <v>324</v>
      </c>
      <c r="C834" s="27" t="s">
        <v>758</v>
      </c>
      <c r="D834" s="18" t="s">
        <v>139</v>
      </c>
      <c r="E834" s="18" t="s">
        <v>611</v>
      </c>
      <c r="F834" s="37">
        <v>1986</v>
      </c>
      <c r="G834" s="37">
        <v>84</v>
      </c>
      <c r="H834" s="37">
        <f t="shared" ref="H834:I834" si="768">F834-F833</f>
        <v>1</v>
      </c>
      <c r="I834" s="37">
        <f t="shared" si="768"/>
        <v>3</v>
      </c>
      <c r="J834" s="65">
        <f t="shared" si="756"/>
        <v>3.7037037037037035E-2</v>
      </c>
      <c r="K834" s="65">
        <f t="shared" si="757"/>
        <v>3.7037037037037035E-2</v>
      </c>
      <c r="L834" s="38" t="s">
        <v>612</v>
      </c>
    </row>
    <row r="835" spans="1:12" ht="13">
      <c r="A835" s="18" t="s">
        <v>757</v>
      </c>
      <c r="B835" s="18" t="s">
        <v>324</v>
      </c>
      <c r="C835" s="27" t="s">
        <v>758</v>
      </c>
      <c r="D835" s="18" t="s">
        <v>139</v>
      </c>
      <c r="E835" s="18" t="s">
        <v>611</v>
      </c>
      <c r="F835" s="37">
        <v>1987</v>
      </c>
      <c r="G835" s="37">
        <v>85</v>
      </c>
      <c r="H835" s="37">
        <f t="shared" ref="H835:I835" si="769">F835-F834</f>
        <v>1</v>
      </c>
      <c r="I835" s="37">
        <f t="shared" si="769"/>
        <v>1</v>
      </c>
      <c r="J835" s="65">
        <f t="shared" si="756"/>
        <v>1.1904761904761904E-2</v>
      </c>
      <c r="K835" s="65">
        <f t="shared" si="757"/>
        <v>1.1904761904761904E-2</v>
      </c>
      <c r="L835" s="38" t="s">
        <v>612</v>
      </c>
    </row>
    <row r="836" spans="1:12" ht="13">
      <c r="A836" s="18" t="s">
        <v>757</v>
      </c>
      <c r="B836" s="18" t="s">
        <v>324</v>
      </c>
      <c r="C836" s="27" t="s">
        <v>758</v>
      </c>
      <c r="D836" s="18" t="s">
        <v>139</v>
      </c>
      <c r="E836" s="18" t="s">
        <v>611</v>
      </c>
      <c r="F836" s="37">
        <v>1988</v>
      </c>
      <c r="G836" s="37">
        <v>85</v>
      </c>
      <c r="H836" s="37">
        <f t="shared" ref="H836:I836" si="770">F836-F835</f>
        <v>1</v>
      </c>
      <c r="I836" s="37">
        <f t="shared" si="770"/>
        <v>0</v>
      </c>
      <c r="J836" s="65">
        <f t="shared" si="756"/>
        <v>0</v>
      </c>
      <c r="K836" s="65">
        <f t="shared" si="757"/>
        <v>0</v>
      </c>
      <c r="L836" s="38" t="s">
        <v>612</v>
      </c>
    </row>
    <row r="837" spans="1:12" ht="13">
      <c r="A837" s="18" t="s">
        <v>757</v>
      </c>
      <c r="B837" s="18" t="s">
        <v>324</v>
      </c>
      <c r="C837" s="27" t="s">
        <v>758</v>
      </c>
      <c r="D837" s="18" t="s">
        <v>139</v>
      </c>
      <c r="E837" s="18" t="s">
        <v>611</v>
      </c>
      <c r="F837" s="37">
        <v>1989</v>
      </c>
      <c r="G837" s="37">
        <v>88</v>
      </c>
      <c r="H837" s="37">
        <f t="shared" ref="H837:I837" si="771">F837-F836</f>
        <v>1</v>
      </c>
      <c r="I837" s="37">
        <f t="shared" si="771"/>
        <v>3</v>
      </c>
      <c r="J837" s="65">
        <f t="shared" si="756"/>
        <v>3.5294117647058823E-2</v>
      </c>
      <c r="K837" s="65">
        <f t="shared" si="757"/>
        <v>3.5294117647058823E-2</v>
      </c>
      <c r="L837" s="38" t="s">
        <v>612</v>
      </c>
    </row>
    <row r="838" spans="1:12" ht="13">
      <c r="A838" s="18" t="s">
        <v>757</v>
      </c>
      <c r="B838" s="18" t="s">
        <v>324</v>
      </c>
      <c r="C838" s="27" t="s">
        <v>758</v>
      </c>
      <c r="D838" s="18" t="s">
        <v>139</v>
      </c>
      <c r="E838" s="18" t="s">
        <v>611</v>
      </c>
      <c r="F838" s="37">
        <v>1990</v>
      </c>
      <c r="G838" s="37">
        <v>92</v>
      </c>
      <c r="H838" s="37">
        <f t="shared" ref="H838:I838" si="772">F838-F837</f>
        <v>1</v>
      </c>
      <c r="I838" s="37">
        <f t="shared" si="772"/>
        <v>4</v>
      </c>
      <c r="J838" s="65">
        <f t="shared" si="756"/>
        <v>4.5454545454545456E-2</v>
      </c>
      <c r="K838" s="65">
        <f t="shared" si="757"/>
        <v>4.5454545454545456E-2</v>
      </c>
      <c r="L838" s="38" t="s">
        <v>612</v>
      </c>
    </row>
    <row r="839" spans="1:12" ht="13">
      <c r="A839" s="18" t="s">
        <v>757</v>
      </c>
      <c r="B839" s="18" t="s">
        <v>324</v>
      </c>
      <c r="C839" s="27" t="s">
        <v>758</v>
      </c>
      <c r="D839" s="18" t="s">
        <v>139</v>
      </c>
      <c r="E839" s="18" t="s">
        <v>611</v>
      </c>
      <c r="F839" s="37">
        <v>1991</v>
      </c>
      <c r="G839" s="37">
        <v>91</v>
      </c>
      <c r="H839" s="37">
        <f t="shared" ref="H839:I839" si="773">F839-F838</f>
        <v>1</v>
      </c>
      <c r="I839" s="37">
        <f t="shared" si="773"/>
        <v>-1</v>
      </c>
      <c r="J839" s="65">
        <f t="shared" si="756"/>
        <v>-1.0869565217391304E-2</v>
      </c>
      <c r="K839" s="65">
        <f t="shared" si="757"/>
        <v>-1.0869565217391304E-2</v>
      </c>
      <c r="L839" s="38" t="s">
        <v>612</v>
      </c>
    </row>
    <row r="840" spans="1:12" ht="13">
      <c r="A840" s="18" t="s">
        <v>757</v>
      </c>
      <c r="B840" s="18" t="s">
        <v>324</v>
      </c>
      <c r="C840" s="27" t="s">
        <v>758</v>
      </c>
      <c r="D840" s="18" t="s">
        <v>139</v>
      </c>
      <c r="E840" s="18" t="s">
        <v>611</v>
      </c>
      <c r="F840" s="37">
        <v>1992</v>
      </c>
      <c r="G840" s="37">
        <v>97</v>
      </c>
      <c r="H840" s="37">
        <f t="shared" ref="H840:I840" si="774">F840-F839</f>
        <v>1</v>
      </c>
      <c r="I840" s="37">
        <f t="shared" si="774"/>
        <v>6</v>
      </c>
      <c r="J840" s="65">
        <f t="shared" si="756"/>
        <v>6.5934065934065936E-2</v>
      </c>
      <c r="K840" s="65">
        <f t="shared" si="757"/>
        <v>6.5934065934065936E-2</v>
      </c>
      <c r="L840" s="38" t="s">
        <v>612</v>
      </c>
    </row>
    <row r="841" spans="1:12" ht="13">
      <c r="A841" s="18" t="s">
        <v>757</v>
      </c>
      <c r="B841" s="18" t="s">
        <v>324</v>
      </c>
      <c r="C841" s="27" t="s">
        <v>758</v>
      </c>
      <c r="D841" s="18" t="s">
        <v>139</v>
      </c>
      <c r="E841" s="18" t="s">
        <v>611</v>
      </c>
      <c r="F841" s="37">
        <v>1993</v>
      </c>
      <c r="G841" s="37">
        <v>96</v>
      </c>
      <c r="H841" s="37">
        <f t="shared" ref="H841:I841" si="775">F841-F840</f>
        <v>1</v>
      </c>
      <c r="I841" s="37">
        <f t="shared" si="775"/>
        <v>-1</v>
      </c>
      <c r="J841" s="65">
        <f t="shared" si="756"/>
        <v>-1.0309278350515464E-2</v>
      </c>
      <c r="K841" s="65">
        <f t="shared" si="757"/>
        <v>-1.0309278350515464E-2</v>
      </c>
      <c r="L841" s="38" t="s">
        <v>612</v>
      </c>
    </row>
    <row r="842" spans="1:12" ht="13">
      <c r="A842" s="18" t="s">
        <v>757</v>
      </c>
      <c r="B842" s="18" t="s">
        <v>324</v>
      </c>
      <c r="C842" s="27" t="s">
        <v>758</v>
      </c>
      <c r="D842" s="18" t="s">
        <v>139</v>
      </c>
      <c r="E842" s="18" t="s">
        <v>611</v>
      </c>
      <c r="F842" s="37">
        <v>1994</v>
      </c>
      <c r="G842" s="37">
        <v>98</v>
      </c>
      <c r="H842" s="37">
        <f t="shared" ref="H842:I842" si="776">F842-F841</f>
        <v>1</v>
      </c>
      <c r="I842" s="37">
        <f t="shared" si="776"/>
        <v>2</v>
      </c>
      <c r="J842" s="65">
        <f t="shared" si="756"/>
        <v>2.0833333333333332E-2</v>
      </c>
      <c r="K842" s="65">
        <f t="shared" si="757"/>
        <v>2.0833333333333332E-2</v>
      </c>
      <c r="L842" s="38" t="s">
        <v>612</v>
      </c>
    </row>
    <row r="843" spans="1:12" ht="13">
      <c r="A843" s="18" t="s">
        <v>757</v>
      </c>
      <c r="B843" s="18" t="s">
        <v>324</v>
      </c>
      <c r="C843" s="27" t="s">
        <v>758</v>
      </c>
      <c r="D843" s="18" t="s">
        <v>139</v>
      </c>
      <c r="E843" s="18" t="s">
        <v>611</v>
      </c>
      <c r="F843" s="37">
        <v>1995</v>
      </c>
      <c r="G843" s="37">
        <v>97</v>
      </c>
      <c r="H843" s="37">
        <f t="shared" ref="H843:I843" si="777">F843-F842</f>
        <v>1</v>
      </c>
      <c r="I843" s="37">
        <f t="shared" si="777"/>
        <v>-1</v>
      </c>
      <c r="J843" s="65">
        <f t="shared" si="756"/>
        <v>-1.020408163265306E-2</v>
      </c>
      <c r="K843" s="65">
        <f t="shared" si="757"/>
        <v>-1.020408163265306E-2</v>
      </c>
      <c r="L843" s="38" t="s">
        <v>612</v>
      </c>
    </row>
    <row r="844" spans="1:12" ht="13">
      <c r="A844" s="18" t="s">
        <v>757</v>
      </c>
      <c r="B844" s="18" t="s">
        <v>324</v>
      </c>
      <c r="C844" s="27" t="s">
        <v>758</v>
      </c>
      <c r="D844" s="18" t="s">
        <v>139</v>
      </c>
      <c r="E844" s="18" t="s">
        <v>611</v>
      </c>
      <c r="F844" s="37">
        <v>1996</v>
      </c>
      <c r="G844" s="37">
        <v>92</v>
      </c>
      <c r="H844" s="37">
        <f t="shared" ref="H844:I844" si="778">F844-F843</f>
        <v>1</v>
      </c>
      <c r="I844" s="37">
        <f t="shared" si="778"/>
        <v>-5</v>
      </c>
      <c r="J844" s="65">
        <f t="shared" si="756"/>
        <v>-5.1546391752577317E-2</v>
      </c>
      <c r="K844" s="65">
        <f t="shared" si="757"/>
        <v>-5.1546391752577317E-2</v>
      </c>
      <c r="L844" s="38" t="s">
        <v>612</v>
      </c>
    </row>
    <row r="845" spans="1:12" ht="13">
      <c r="A845" s="18" t="s">
        <v>757</v>
      </c>
      <c r="B845" s="18" t="s">
        <v>324</v>
      </c>
      <c r="C845" s="27" t="s">
        <v>758</v>
      </c>
      <c r="D845" s="18" t="s">
        <v>139</v>
      </c>
      <c r="E845" s="18" t="s">
        <v>611</v>
      </c>
      <c r="F845" s="37">
        <v>1997</v>
      </c>
      <c r="G845" s="37">
        <v>89</v>
      </c>
      <c r="H845" s="37">
        <f t="shared" ref="H845:I845" si="779">F845-F844</f>
        <v>1</v>
      </c>
      <c r="I845" s="37">
        <f t="shared" si="779"/>
        <v>-3</v>
      </c>
      <c r="J845" s="65">
        <f t="shared" si="756"/>
        <v>-3.2608695652173912E-2</v>
      </c>
      <c r="K845" s="65">
        <f t="shared" si="757"/>
        <v>-3.2608695652173912E-2</v>
      </c>
      <c r="L845" s="38" t="s">
        <v>612</v>
      </c>
    </row>
    <row r="846" spans="1:12" ht="13">
      <c r="A846" s="18" t="s">
        <v>757</v>
      </c>
      <c r="B846" s="18" t="s">
        <v>324</v>
      </c>
      <c r="C846" s="27" t="s">
        <v>758</v>
      </c>
      <c r="D846" s="18" t="s">
        <v>139</v>
      </c>
      <c r="E846" s="18" t="s">
        <v>611</v>
      </c>
      <c r="F846" s="37">
        <v>1998</v>
      </c>
      <c r="G846" s="37">
        <v>85</v>
      </c>
      <c r="H846" s="37">
        <f t="shared" ref="H846:I846" si="780">F846-F845</f>
        <v>1</v>
      </c>
      <c r="I846" s="37">
        <f t="shared" si="780"/>
        <v>-4</v>
      </c>
      <c r="J846" s="65">
        <f t="shared" si="756"/>
        <v>-4.49438202247191E-2</v>
      </c>
      <c r="K846" s="65">
        <f t="shared" si="757"/>
        <v>-4.49438202247191E-2</v>
      </c>
      <c r="L846" s="38" t="s">
        <v>612</v>
      </c>
    </row>
    <row r="847" spans="1:12" ht="13">
      <c r="A847" s="18" t="s">
        <v>757</v>
      </c>
      <c r="B847" s="18" t="s">
        <v>324</v>
      </c>
      <c r="C847" s="27" t="s">
        <v>758</v>
      </c>
      <c r="D847" s="18" t="s">
        <v>139</v>
      </c>
      <c r="E847" s="18" t="s">
        <v>611</v>
      </c>
      <c r="F847" s="37">
        <v>1999</v>
      </c>
      <c r="G847" s="37">
        <v>82</v>
      </c>
      <c r="H847" s="37">
        <f t="shared" ref="H847:I847" si="781">F847-F846</f>
        <v>1</v>
      </c>
      <c r="I847" s="37">
        <f t="shared" si="781"/>
        <v>-3</v>
      </c>
      <c r="J847" s="65">
        <f t="shared" si="756"/>
        <v>-3.5294117647058823E-2</v>
      </c>
      <c r="K847" s="65">
        <f t="shared" si="757"/>
        <v>-3.5294117647058823E-2</v>
      </c>
      <c r="L847" s="38" t="s">
        <v>612</v>
      </c>
    </row>
    <row r="848" spans="1:12" ht="13">
      <c r="A848" s="18" t="s">
        <v>757</v>
      </c>
      <c r="B848" s="18" t="s">
        <v>324</v>
      </c>
      <c r="C848" s="27" t="s">
        <v>758</v>
      </c>
      <c r="D848" s="18" t="s">
        <v>139</v>
      </c>
      <c r="E848" s="18" t="s">
        <v>611</v>
      </c>
      <c r="F848" s="37">
        <v>2000</v>
      </c>
      <c r="G848" s="37">
        <v>78</v>
      </c>
      <c r="H848" s="37">
        <f t="shared" ref="H848:I848" si="782">F848-F847</f>
        <v>1</v>
      </c>
      <c r="I848" s="37">
        <f t="shared" si="782"/>
        <v>-4</v>
      </c>
      <c r="J848" s="65">
        <f t="shared" si="756"/>
        <v>-4.878048780487805E-2</v>
      </c>
      <c r="K848" s="65">
        <f t="shared" si="757"/>
        <v>-4.878048780487805E-2</v>
      </c>
      <c r="L848" s="38" t="s">
        <v>612</v>
      </c>
    </row>
    <row r="849" spans="1:12" ht="13">
      <c r="A849" s="18" t="s">
        <v>757</v>
      </c>
      <c r="B849" s="18" t="s">
        <v>324</v>
      </c>
      <c r="C849" s="27" t="s">
        <v>758</v>
      </c>
      <c r="D849" s="18" t="s">
        <v>139</v>
      </c>
      <c r="E849" s="18" t="s">
        <v>611</v>
      </c>
      <c r="F849" s="37">
        <v>2001</v>
      </c>
      <c r="G849" s="37">
        <v>79</v>
      </c>
      <c r="H849" s="37">
        <f t="shared" ref="H849:I849" si="783">F849-F848</f>
        <v>1</v>
      </c>
      <c r="I849" s="37">
        <f t="shared" si="783"/>
        <v>1</v>
      </c>
      <c r="J849" s="65">
        <f t="shared" si="756"/>
        <v>1.282051282051282E-2</v>
      </c>
      <c r="K849" s="65">
        <f t="shared" si="757"/>
        <v>1.282051282051282E-2</v>
      </c>
      <c r="L849" s="38" t="s">
        <v>612</v>
      </c>
    </row>
    <row r="850" spans="1:12" ht="13">
      <c r="A850" s="18" t="s">
        <v>757</v>
      </c>
      <c r="B850" s="18" t="s">
        <v>324</v>
      </c>
      <c r="C850" s="27" t="s">
        <v>758</v>
      </c>
      <c r="D850" s="18" t="s">
        <v>139</v>
      </c>
      <c r="E850" s="18" t="s">
        <v>611</v>
      </c>
      <c r="F850" s="37">
        <v>2002</v>
      </c>
      <c r="G850" s="37">
        <v>82</v>
      </c>
      <c r="H850" s="37">
        <f t="shared" ref="H850:I850" si="784">F850-F849</f>
        <v>1</v>
      </c>
      <c r="I850" s="37">
        <f t="shared" si="784"/>
        <v>3</v>
      </c>
      <c r="J850" s="65">
        <f t="shared" si="756"/>
        <v>3.7974683544303799E-2</v>
      </c>
      <c r="K850" s="65">
        <f t="shared" si="757"/>
        <v>3.7974683544303799E-2</v>
      </c>
      <c r="L850" s="38" t="s">
        <v>612</v>
      </c>
    </row>
    <row r="851" spans="1:12" ht="13">
      <c r="A851" s="18" t="s">
        <v>757</v>
      </c>
      <c r="B851" s="18" t="s">
        <v>324</v>
      </c>
      <c r="C851" s="27" t="s">
        <v>758</v>
      </c>
      <c r="D851" s="18" t="s">
        <v>139</v>
      </c>
      <c r="E851" s="18" t="s">
        <v>611</v>
      </c>
      <c r="F851" s="37">
        <v>2003</v>
      </c>
      <c r="G851" s="37">
        <v>83</v>
      </c>
      <c r="H851" s="37">
        <f t="shared" ref="H851:I851" si="785">F851-F850</f>
        <v>1</v>
      </c>
      <c r="I851" s="37">
        <f t="shared" si="785"/>
        <v>1</v>
      </c>
      <c r="J851" s="65">
        <f t="shared" si="756"/>
        <v>1.2195121951219513E-2</v>
      </c>
      <c r="K851" s="65">
        <f t="shared" si="757"/>
        <v>1.2195121951219513E-2</v>
      </c>
      <c r="L851" s="38" t="s">
        <v>612</v>
      </c>
    </row>
    <row r="852" spans="1:12" ht="13">
      <c r="A852" s="18" t="s">
        <v>757</v>
      </c>
      <c r="B852" s="18" t="s">
        <v>324</v>
      </c>
      <c r="C852" s="27" t="s">
        <v>758</v>
      </c>
      <c r="D852" s="18" t="s">
        <v>139</v>
      </c>
      <c r="E852" s="18" t="s">
        <v>611</v>
      </c>
      <c r="F852" s="37">
        <v>2004</v>
      </c>
      <c r="G852" s="37">
        <v>88</v>
      </c>
      <c r="H852" s="37">
        <f t="shared" ref="H852:I852" si="786">F852-F851</f>
        <v>1</v>
      </c>
      <c r="I852" s="37">
        <f t="shared" si="786"/>
        <v>5</v>
      </c>
      <c r="J852" s="65">
        <f t="shared" si="756"/>
        <v>6.0240963855421686E-2</v>
      </c>
      <c r="K852" s="65">
        <f t="shared" si="757"/>
        <v>6.0240963855421686E-2</v>
      </c>
      <c r="L852" s="38" t="s">
        <v>612</v>
      </c>
    </row>
    <row r="853" spans="1:12" ht="13">
      <c r="A853" s="18" t="s">
        <v>757</v>
      </c>
      <c r="B853" s="18" t="s">
        <v>324</v>
      </c>
      <c r="C853" s="27" t="s">
        <v>758</v>
      </c>
      <c r="D853" s="18" t="s">
        <v>139</v>
      </c>
      <c r="E853" s="18" t="s">
        <v>611</v>
      </c>
      <c r="F853" s="37">
        <v>2005</v>
      </c>
      <c r="G853" s="37">
        <v>89</v>
      </c>
      <c r="H853" s="37">
        <f t="shared" ref="H853:I853" si="787">F853-F852</f>
        <v>1</v>
      </c>
      <c r="I853" s="37">
        <f t="shared" si="787"/>
        <v>1</v>
      </c>
      <c r="J853" s="65">
        <f t="shared" si="756"/>
        <v>1.1363636363636364E-2</v>
      </c>
      <c r="K853" s="65">
        <f t="shared" si="757"/>
        <v>1.1363636363636364E-2</v>
      </c>
      <c r="L853" s="38" t="s">
        <v>612</v>
      </c>
    </row>
    <row r="854" spans="1:12" ht="13">
      <c r="A854" s="18" t="s">
        <v>757</v>
      </c>
      <c r="B854" s="18" t="s">
        <v>324</v>
      </c>
      <c r="C854" s="27" t="s">
        <v>758</v>
      </c>
      <c r="D854" s="18" t="s">
        <v>139</v>
      </c>
      <c r="E854" s="18" t="s">
        <v>611</v>
      </c>
      <c r="F854" s="37">
        <v>2006</v>
      </c>
      <c r="G854" s="37">
        <v>86</v>
      </c>
      <c r="H854" s="37">
        <f t="shared" ref="H854:I854" si="788">F854-F853</f>
        <v>1</v>
      </c>
      <c r="I854" s="37">
        <f t="shared" si="788"/>
        <v>-3</v>
      </c>
      <c r="J854" s="65">
        <f t="shared" si="756"/>
        <v>-3.3707865168539325E-2</v>
      </c>
      <c r="K854" s="65">
        <f t="shared" si="757"/>
        <v>-3.3707865168539325E-2</v>
      </c>
      <c r="L854" s="38" t="s">
        <v>612</v>
      </c>
    </row>
    <row r="855" spans="1:12" ht="13">
      <c r="A855" s="18" t="s">
        <v>757</v>
      </c>
      <c r="B855" s="18" t="s">
        <v>324</v>
      </c>
      <c r="C855" s="27" t="s">
        <v>758</v>
      </c>
      <c r="D855" s="18" t="s">
        <v>139</v>
      </c>
      <c r="E855" s="18" t="s">
        <v>611</v>
      </c>
      <c r="F855" s="37">
        <v>2007</v>
      </c>
      <c r="G855" s="37">
        <v>85</v>
      </c>
      <c r="H855" s="37">
        <f t="shared" ref="H855:I855" si="789">F855-F854</f>
        <v>1</v>
      </c>
      <c r="I855" s="37">
        <f t="shared" si="789"/>
        <v>-1</v>
      </c>
      <c r="J855" s="65">
        <f t="shared" si="756"/>
        <v>-1.1627906976744186E-2</v>
      </c>
      <c r="K855" s="65">
        <f t="shared" si="757"/>
        <v>-1.1627906976744186E-2</v>
      </c>
      <c r="L855" s="38" t="s">
        <v>612</v>
      </c>
    </row>
    <row r="856" spans="1:12" ht="13">
      <c r="A856" s="18" t="s">
        <v>757</v>
      </c>
      <c r="B856" s="18" t="s">
        <v>324</v>
      </c>
      <c r="C856" s="27" t="s">
        <v>758</v>
      </c>
      <c r="D856" s="18" t="s">
        <v>139</v>
      </c>
      <c r="E856" s="18" t="s">
        <v>611</v>
      </c>
      <c r="F856" s="37">
        <v>2008</v>
      </c>
      <c r="G856" s="37">
        <v>85</v>
      </c>
      <c r="H856" s="37">
        <f t="shared" ref="H856:I856" si="790">F856-F855</f>
        <v>1</v>
      </c>
      <c r="I856" s="37">
        <f t="shared" si="790"/>
        <v>0</v>
      </c>
      <c r="J856" s="65">
        <f t="shared" si="756"/>
        <v>0</v>
      </c>
      <c r="K856" s="65">
        <f t="shared" si="757"/>
        <v>0</v>
      </c>
      <c r="L856" s="38" t="s">
        <v>612</v>
      </c>
    </row>
    <row r="857" spans="1:12" ht="13">
      <c r="A857" s="18" t="s">
        <v>757</v>
      </c>
      <c r="B857" s="18" t="s">
        <v>324</v>
      </c>
      <c r="C857" s="27" t="s">
        <v>758</v>
      </c>
      <c r="D857" s="18" t="s">
        <v>139</v>
      </c>
      <c r="E857" s="18" t="s">
        <v>611</v>
      </c>
      <c r="F857" s="37">
        <v>2009</v>
      </c>
      <c r="G857" s="37">
        <v>86</v>
      </c>
      <c r="H857" s="37">
        <f t="shared" ref="H857:I857" si="791">F857-F856</f>
        <v>1</v>
      </c>
      <c r="I857" s="37">
        <f t="shared" si="791"/>
        <v>1</v>
      </c>
      <c r="J857" s="65">
        <f t="shared" si="756"/>
        <v>1.1764705882352941E-2</v>
      </c>
      <c r="K857" s="65">
        <f t="shared" si="757"/>
        <v>1.1764705882352941E-2</v>
      </c>
      <c r="L857" s="38" t="s">
        <v>612</v>
      </c>
    </row>
    <row r="858" spans="1:12" ht="13">
      <c r="A858" s="18" t="s">
        <v>757</v>
      </c>
      <c r="B858" s="18" t="s">
        <v>324</v>
      </c>
      <c r="C858" s="27" t="s">
        <v>758</v>
      </c>
      <c r="D858" s="18" t="s">
        <v>139</v>
      </c>
      <c r="E858" s="18" t="s">
        <v>611</v>
      </c>
      <c r="F858" s="37">
        <v>2010</v>
      </c>
      <c r="G858" s="37">
        <v>87</v>
      </c>
      <c r="H858" s="37">
        <f t="shared" ref="H858:I858" si="792">F858-F857</f>
        <v>1</v>
      </c>
      <c r="I858" s="37">
        <f t="shared" si="792"/>
        <v>1</v>
      </c>
      <c r="J858" s="65">
        <f t="shared" si="756"/>
        <v>1.1627906976744186E-2</v>
      </c>
      <c r="K858" s="65">
        <f t="shared" si="757"/>
        <v>1.1627906976744186E-2</v>
      </c>
      <c r="L858" s="38" t="s">
        <v>612</v>
      </c>
    </row>
    <row r="859" spans="1:12" ht="13">
      <c r="A859" s="18" t="s">
        <v>757</v>
      </c>
      <c r="B859" s="18" t="s">
        <v>324</v>
      </c>
      <c r="C859" s="27" t="s">
        <v>758</v>
      </c>
      <c r="D859" s="18" t="s">
        <v>139</v>
      </c>
      <c r="E859" s="18" t="s">
        <v>611</v>
      </c>
      <c r="F859" s="37">
        <v>2011</v>
      </c>
      <c r="G859" s="37">
        <v>84</v>
      </c>
      <c r="H859" s="37">
        <f t="shared" ref="H859:I859" si="793">F859-F858</f>
        <v>1</v>
      </c>
      <c r="I859" s="37">
        <f t="shared" si="793"/>
        <v>-3</v>
      </c>
      <c r="J859" s="65">
        <f t="shared" si="756"/>
        <v>-3.4482758620689655E-2</v>
      </c>
      <c r="K859" s="65">
        <f t="shared" si="757"/>
        <v>-3.4482758620689655E-2</v>
      </c>
      <c r="L859" s="38" t="s">
        <v>612</v>
      </c>
    </row>
    <row r="860" spans="1:12" ht="13">
      <c r="A860" s="18" t="s">
        <v>757</v>
      </c>
      <c r="B860" s="18" t="s">
        <v>324</v>
      </c>
      <c r="C860" s="27" t="s">
        <v>758</v>
      </c>
      <c r="D860" s="18" t="s">
        <v>139</v>
      </c>
      <c r="E860" s="18" t="s">
        <v>611</v>
      </c>
      <c r="F860" s="37">
        <v>2012</v>
      </c>
      <c r="G860" s="37">
        <v>82</v>
      </c>
      <c r="H860" s="37">
        <f t="shared" ref="H860:I860" si="794">F860-F859</f>
        <v>1</v>
      </c>
      <c r="I860" s="37">
        <f t="shared" si="794"/>
        <v>-2</v>
      </c>
      <c r="J860" s="65">
        <f t="shared" si="756"/>
        <v>-2.3809523809523808E-2</v>
      </c>
      <c r="K860" s="65">
        <f t="shared" si="757"/>
        <v>-2.3809523809523808E-2</v>
      </c>
      <c r="L860" s="38" t="s">
        <v>612</v>
      </c>
    </row>
    <row r="861" spans="1:12" ht="13">
      <c r="A861" s="18" t="s">
        <v>757</v>
      </c>
      <c r="B861" s="18" t="s">
        <v>324</v>
      </c>
      <c r="C861" s="27" t="s">
        <v>758</v>
      </c>
      <c r="D861" s="18" t="s">
        <v>139</v>
      </c>
      <c r="E861" s="18" t="s">
        <v>611</v>
      </c>
      <c r="F861" s="37">
        <v>2013</v>
      </c>
      <c r="G861" s="37">
        <v>78</v>
      </c>
      <c r="H861" s="37">
        <f t="shared" ref="H861:I861" si="795">F861-F860</f>
        <v>1</v>
      </c>
      <c r="I861" s="37">
        <f t="shared" si="795"/>
        <v>-4</v>
      </c>
      <c r="J861" s="65">
        <f t="shared" si="756"/>
        <v>-4.878048780487805E-2</v>
      </c>
      <c r="K861" s="65">
        <f t="shared" si="757"/>
        <v>-4.878048780487805E-2</v>
      </c>
      <c r="L861" s="38" t="s">
        <v>612</v>
      </c>
    </row>
    <row r="862" spans="1:12" ht="13">
      <c r="A862" s="18" t="s">
        <v>757</v>
      </c>
      <c r="B862" s="18" t="s">
        <v>324</v>
      </c>
      <c r="C862" s="27" t="s">
        <v>758</v>
      </c>
      <c r="D862" s="18" t="s">
        <v>139</v>
      </c>
      <c r="E862" s="18" t="s">
        <v>611</v>
      </c>
      <c r="F862" s="37">
        <v>2014</v>
      </c>
      <c r="G862" s="37">
        <v>81</v>
      </c>
      <c r="H862" s="37">
        <f t="shared" ref="H862:I862" si="796">F862-F861</f>
        <v>1</v>
      </c>
      <c r="I862" s="37">
        <f t="shared" si="796"/>
        <v>3</v>
      </c>
      <c r="J862" s="65">
        <f t="shared" si="756"/>
        <v>3.8461538461538464E-2</v>
      </c>
      <c r="K862" s="65">
        <f t="shared" si="757"/>
        <v>3.8461538461538464E-2</v>
      </c>
      <c r="L862" s="38" t="s">
        <v>612</v>
      </c>
    </row>
    <row r="863" spans="1:12" ht="13">
      <c r="A863" s="18" t="s">
        <v>757</v>
      </c>
      <c r="B863" s="18" t="s">
        <v>324</v>
      </c>
      <c r="C863" s="27" t="s">
        <v>758</v>
      </c>
      <c r="D863" s="18" t="s">
        <v>139</v>
      </c>
      <c r="E863" s="18" t="s">
        <v>611</v>
      </c>
      <c r="F863" s="37">
        <v>2015</v>
      </c>
      <c r="G863" s="37">
        <v>83</v>
      </c>
      <c r="H863" s="37">
        <f t="shared" ref="H863:I863" si="797">F863-F862</f>
        <v>1</v>
      </c>
      <c r="I863" s="37">
        <f t="shared" si="797"/>
        <v>2</v>
      </c>
      <c r="J863" s="65">
        <f t="shared" si="756"/>
        <v>2.4691358024691357E-2</v>
      </c>
      <c r="K863" s="65">
        <f t="shared" si="757"/>
        <v>2.4691358024691357E-2</v>
      </c>
      <c r="L863" s="38" t="s">
        <v>612</v>
      </c>
    </row>
    <row r="864" spans="1:12" ht="13">
      <c r="A864" s="18" t="s">
        <v>757</v>
      </c>
      <c r="B864" s="18" t="s">
        <v>324</v>
      </c>
      <c r="C864" s="27" t="s">
        <v>758</v>
      </c>
      <c r="D864" s="18" t="s">
        <v>139</v>
      </c>
      <c r="E864" s="18" t="s">
        <v>611</v>
      </c>
      <c r="F864" s="37">
        <v>2016</v>
      </c>
      <c r="G864" s="37">
        <v>77</v>
      </c>
      <c r="H864" s="37">
        <f t="shared" ref="H864:I864" si="798">F864-F863</f>
        <v>1</v>
      </c>
      <c r="I864" s="37">
        <f t="shared" si="798"/>
        <v>-6</v>
      </c>
      <c r="J864" s="65">
        <f t="shared" si="756"/>
        <v>-7.2289156626506021E-2</v>
      </c>
      <c r="K864" s="65">
        <f t="shared" si="757"/>
        <v>-7.2289156626506021E-2</v>
      </c>
      <c r="L864" s="38" t="s">
        <v>612</v>
      </c>
    </row>
    <row r="865" spans="1:31" ht="13">
      <c r="A865" s="18" t="s">
        <v>757</v>
      </c>
      <c r="B865" s="18" t="s">
        <v>324</v>
      </c>
      <c r="C865" s="27" t="s">
        <v>758</v>
      </c>
      <c r="D865" s="18" t="s">
        <v>139</v>
      </c>
      <c r="E865" s="18" t="s">
        <v>611</v>
      </c>
      <c r="F865" s="37">
        <v>2017</v>
      </c>
      <c r="G865" s="37">
        <v>75</v>
      </c>
      <c r="H865" s="37">
        <f t="shared" ref="H865:I865" si="799">F865-F864</f>
        <v>1</v>
      </c>
      <c r="I865" s="37">
        <f t="shared" si="799"/>
        <v>-2</v>
      </c>
      <c r="J865" s="65">
        <f t="shared" si="756"/>
        <v>-2.5974025974025976E-2</v>
      </c>
      <c r="K865" s="65">
        <f t="shared" si="757"/>
        <v>-2.5974025974025976E-2</v>
      </c>
      <c r="L865" s="38" t="s">
        <v>612</v>
      </c>
    </row>
    <row r="866" spans="1:31" ht="13">
      <c r="A866" s="18" t="s">
        <v>757</v>
      </c>
      <c r="B866" s="18" t="s">
        <v>324</v>
      </c>
      <c r="C866" s="27" t="s">
        <v>758</v>
      </c>
      <c r="D866" s="18" t="s">
        <v>139</v>
      </c>
      <c r="E866" s="18" t="s">
        <v>611</v>
      </c>
      <c r="F866" s="37">
        <v>2018</v>
      </c>
      <c r="G866" s="37">
        <v>73</v>
      </c>
      <c r="H866" s="37">
        <f t="shared" ref="H866:I866" si="800">F866-F865</f>
        <v>1</v>
      </c>
      <c r="I866" s="37">
        <f t="shared" si="800"/>
        <v>-2</v>
      </c>
      <c r="J866" s="65">
        <f t="shared" si="756"/>
        <v>-2.6666666666666668E-2</v>
      </c>
      <c r="K866" s="65">
        <f t="shared" si="757"/>
        <v>-2.6666666666666668E-2</v>
      </c>
      <c r="L866" s="38" t="s">
        <v>612</v>
      </c>
    </row>
    <row r="867" spans="1:31" ht="13">
      <c r="A867" s="18" t="s">
        <v>757</v>
      </c>
      <c r="B867" s="18" t="s">
        <v>324</v>
      </c>
      <c r="C867" s="27" t="s">
        <v>758</v>
      </c>
      <c r="D867" s="18" t="s">
        <v>139</v>
      </c>
      <c r="E867" s="18" t="s">
        <v>611</v>
      </c>
      <c r="F867" s="37">
        <v>2019</v>
      </c>
      <c r="G867" s="37">
        <v>72</v>
      </c>
      <c r="H867" s="37">
        <f t="shared" ref="H867:I867" si="801">F867-F866</f>
        <v>1</v>
      </c>
      <c r="I867" s="37">
        <f t="shared" si="801"/>
        <v>-1</v>
      </c>
      <c r="J867" s="65">
        <f t="shared" si="756"/>
        <v>-1.3698630136986301E-2</v>
      </c>
      <c r="K867" s="65">
        <f t="shared" si="757"/>
        <v>-1.3698630136986301E-2</v>
      </c>
      <c r="L867" s="38" t="s">
        <v>612</v>
      </c>
    </row>
    <row r="868" spans="1:31" ht="13">
      <c r="A868" s="18" t="s">
        <v>757</v>
      </c>
      <c r="B868" s="18" t="s">
        <v>324</v>
      </c>
      <c r="C868" s="27" t="s">
        <v>758</v>
      </c>
      <c r="D868" s="18" t="s">
        <v>139</v>
      </c>
      <c r="E868" s="18" t="s">
        <v>611</v>
      </c>
      <c r="F868" s="37">
        <v>2020</v>
      </c>
      <c r="G868" s="37">
        <v>74</v>
      </c>
      <c r="H868" s="37">
        <f t="shared" ref="H868:I868" si="802">F868-F867</f>
        <v>1</v>
      </c>
      <c r="I868" s="37">
        <f t="shared" si="802"/>
        <v>2</v>
      </c>
      <c r="J868" s="65">
        <f t="shared" si="756"/>
        <v>2.7777777777777776E-2</v>
      </c>
      <c r="K868" s="65">
        <f t="shared" si="757"/>
        <v>2.7777777777777776E-2</v>
      </c>
      <c r="L868" s="38" t="s">
        <v>612</v>
      </c>
    </row>
    <row r="869" spans="1:31" ht="13">
      <c r="A869" s="18" t="s">
        <v>757</v>
      </c>
      <c r="B869" s="18" t="s">
        <v>324</v>
      </c>
      <c r="C869" s="27" t="s">
        <v>758</v>
      </c>
      <c r="D869" s="18" t="s">
        <v>139</v>
      </c>
      <c r="E869" s="18" t="s">
        <v>611</v>
      </c>
      <c r="F869" s="37">
        <v>2021</v>
      </c>
      <c r="G869" s="37">
        <v>73</v>
      </c>
      <c r="H869" s="37">
        <f t="shared" ref="H869:I869" si="803">F869-F868</f>
        <v>1</v>
      </c>
      <c r="I869" s="37">
        <f t="shared" si="803"/>
        <v>-1</v>
      </c>
      <c r="J869" s="65">
        <f t="shared" si="756"/>
        <v>-1.3513513513513514E-2</v>
      </c>
      <c r="K869" s="65">
        <f t="shared" si="757"/>
        <v>-1.3513513513513514E-2</v>
      </c>
      <c r="L869" s="38" t="s">
        <v>612</v>
      </c>
    </row>
    <row r="870" spans="1:31" ht="16">
      <c r="A870" s="42" t="s">
        <v>407</v>
      </c>
      <c r="B870" s="42" t="s">
        <v>561</v>
      </c>
      <c r="C870" s="18" t="s">
        <v>760</v>
      </c>
      <c r="D870" s="27" t="s">
        <v>636</v>
      </c>
      <c r="E870" s="42" t="s">
        <v>761</v>
      </c>
      <c r="F870" s="43">
        <v>1991</v>
      </c>
      <c r="G870" s="38">
        <v>23739</v>
      </c>
      <c r="H870" s="38" t="s">
        <v>402</v>
      </c>
      <c r="I870" s="38" t="s">
        <v>402</v>
      </c>
      <c r="J870" s="67" t="s">
        <v>402</v>
      </c>
      <c r="K870" s="65" t="s">
        <v>402</v>
      </c>
      <c r="L870" s="38" t="s">
        <v>734</v>
      </c>
      <c r="M870" s="27"/>
      <c r="N870" s="27"/>
      <c r="O870" s="27"/>
      <c r="P870" s="27"/>
      <c r="Q870" s="27"/>
      <c r="R870" s="27"/>
      <c r="S870" s="27"/>
      <c r="T870" s="27"/>
      <c r="U870" s="27"/>
      <c r="V870" s="27"/>
      <c r="W870" s="27"/>
      <c r="X870" s="27"/>
      <c r="Y870" s="27"/>
      <c r="Z870" s="27"/>
      <c r="AA870" s="27"/>
      <c r="AB870" s="27"/>
      <c r="AC870" s="27"/>
      <c r="AD870" s="27"/>
      <c r="AE870" s="27"/>
    </row>
    <row r="871" spans="1:31" ht="16">
      <c r="A871" s="42" t="s">
        <v>407</v>
      </c>
      <c r="B871" s="42" t="s">
        <v>561</v>
      </c>
      <c r="C871" s="18" t="s">
        <v>760</v>
      </c>
      <c r="D871" s="27" t="s">
        <v>636</v>
      </c>
      <c r="E871" s="42" t="s">
        <v>761</v>
      </c>
      <c r="F871" s="43">
        <v>1993</v>
      </c>
      <c r="G871" s="38">
        <v>12729</v>
      </c>
      <c r="H871" s="38">
        <f t="shared" ref="H871:I871" si="804">F871-F870</f>
        <v>2</v>
      </c>
      <c r="I871" s="38">
        <f t="shared" si="804"/>
        <v>-11010</v>
      </c>
      <c r="J871" s="67">
        <f t="shared" ref="J871:J876" si="805">I871/G870</f>
        <v>-0.46379375710855553</v>
      </c>
      <c r="K871" s="65">
        <f t="shared" ref="K871:K876" si="806">J871/H871</f>
        <v>-0.23189687855427776</v>
      </c>
      <c r="L871" s="38" t="s">
        <v>734</v>
      </c>
      <c r="M871" s="27"/>
      <c r="N871" s="27"/>
      <c r="O871" s="27"/>
      <c r="P871" s="27"/>
      <c r="Q871" s="27"/>
      <c r="R871" s="27"/>
      <c r="S871" s="27"/>
      <c r="T871" s="27"/>
      <c r="U871" s="27"/>
      <c r="V871" s="27"/>
      <c r="W871" s="27"/>
      <c r="X871" s="27"/>
      <c r="Y871" s="27"/>
      <c r="Z871" s="27"/>
      <c r="AA871" s="27"/>
      <c r="AB871" s="27"/>
      <c r="AC871" s="27"/>
      <c r="AD871" s="27"/>
      <c r="AE871" s="27"/>
    </row>
    <row r="872" spans="1:31" ht="16">
      <c r="A872" s="42" t="s">
        <v>407</v>
      </c>
      <c r="B872" s="42" t="s">
        <v>561</v>
      </c>
      <c r="C872" s="18" t="s">
        <v>760</v>
      </c>
      <c r="D872" s="27" t="s">
        <v>636</v>
      </c>
      <c r="E872" s="42" t="s">
        <v>761</v>
      </c>
      <c r="F872" s="43">
        <v>1996</v>
      </c>
      <c r="G872" s="38">
        <v>70183</v>
      </c>
      <c r="H872" s="38">
        <f t="shared" ref="H872:I872" si="807">F872-F871</f>
        <v>3</v>
      </c>
      <c r="I872" s="38">
        <f t="shared" si="807"/>
        <v>57454</v>
      </c>
      <c r="J872" s="67">
        <f t="shared" si="805"/>
        <v>4.5136302930316603</v>
      </c>
      <c r="K872" s="65">
        <f t="shared" si="806"/>
        <v>1.5045434310105534</v>
      </c>
      <c r="L872" s="38" t="s">
        <v>734</v>
      </c>
      <c r="M872" s="27"/>
      <c r="N872" s="27"/>
      <c r="O872" s="27"/>
      <c r="P872" s="27"/>
      <c r="Q872" s="27"/>
      <c r="R872" s="27"/>
      <c r="S872" s="27"/>
      <c r="T872" s="27"/>
      <c r="U872" s="27"/>
      <c r="V872" s="27"/>
      <c r="W872" s="27"/>
      <c r="X872" s="27"/>
      <c r="Y872" s="27"/>
      <c r="Z872" s="27"/>
      <c r="AA872" s="27"/>
      <c r="AB872" s="27"/>
      <c r="AC872" s="27"/>
      <c r="AD872" s="27"/>
      <c r="AE872" s="27"/>
    </row>
    <row r="873" spans="1:31" ht="16">
      <c r="A873" s="42" t="s">
        <v>407</v>
      </c>
      <c r="B873" s="42" t="s">
        <v>561</v>
      </c>
      <c r="C873" s="18" t="s">
        <v>760</v>
      </c>
      <c r="D873" s="27" t="s">
        <v>636</v>
      </c>
      <c r="E873" s="42" t="s">
        <v>761</v>
      </c>
      <c r="F873" s="43">
        <v>2001</v>
      </c>
      <c r="G873" s="38">
        <v>34060</v>
      </c>
      <c r="H873" s="38">
        <f t="shared" ref="H873:I873" si="808">F873-F872</f>
        <v>5</v>
      </c>
      <c r="I873" s="38">
        <f t="shared" si="808"/>
        <v>-36123</v>
      </c>
      <c r="J873" s="67">
        <f t="shared" si="805"/>
        <v>-0.51469729136685527</v>
      </c>
      <c r="K873" s="65">
        <f t="shared" si="806"/>
        <v>-0.10293945827337106</v>
      </c>
      <c r="L873" s="38" t="s">
        <v>734</v>
      </c>
      <c r="M873" s="27"/>
      <c r="N873" s="27"/>
      <c r="O873" s="27"/>
      <c r="P873" s="27"/>
      <c r="Q873" s="27"/>
      <c r="R873" s="27"/>
      <c r="S873" s="27"/>
      <c r="T873" s="27"/>
      <c r="U873" s="27"/>
      <c r="V873" s="27"/>
      <c r="W873" s="27"/>
      <c r="X873" s="27"/>
      <c r="Y873" s="27"/>
      <c r="Z873" s="27"/>
      <c r="AA873" s="27"/>
      <c r="AB873" s="27"/>
      <c r="AC873" s="27"/>
      <c r="AD873" s="27"/>
      <c r="AE873" s="27"/>
    </row>
    <row r="874" spans="1:31" ht="16">
      <c r="A874" s="42" t="s">
        <v>407</v>
      </c>
      <c r="B874" s="42" t="s">
        <v>561</v>
      </c>
      <c r="C874" s="18" t="s">
        <v>760</v>
      </c>
      <c r="D874" s="27" t="s">
        <v>636</v>
      </c>
      <c r="E874" s="42" t="s">
        <v>761</v>
      </c>
      <c r="F874" s="43">
        <v>2005</v>
      </c>
      <c r="G874" s="38">
        <v>15138</v>
      </c>
      <c r="H874" s="38">
        <f t="shared" ref="H874:I874" si="809">F874-F873</f>
        <v>4</v>
      </c>
      <c r="I874" s="38">
        <f t="shared" si="809"/>
        <v>-18922</v>
      </c>
      <c r="J874" s="67">
        <f t="shared" si="805"/>
        <v>-0.55554903112155019</v>
      </c>
      <c r="K874" s="65">
        <f t="shared" si="806"/>
        <v>-0.13888725778038755</v>
      </c>
      <c r="L874" s="38" t="s">
        <v>734</v>
      </c>
      <c r="M874" s="27"/>
      <c r="N874" s="27"/>
      <c r="O874" s="27"/>
      <c r="P874" s="27"/>
      <c r="Q874" s="27"/>
      <c r="R874" s="27"/>
      <c r="S874" s="27"/>
      <c r="T874" s="27"/>
      <c r="U874" s="27"/>
      <c r="V874" s="27"/>
      <c r="W874" s="27"/>
      <c r="X874" s="27"/>
      <c r="Y874" s="27"/>
      <c r="Z874" s="27"/>
      <c r="AA874" s="27"/>
      <c r="AB874" s="27"/>
      <c r="AC874" s="27"/>
      <c r="AD874" s="27"/>
      <c r="AE874" s="27"/>
    </row>
    <row r="875" spans="1:31" ht="16">
      <c r="A875" s="42" t="s">
        <v>407</v>
      </c>
      <c r="B875" s="42" t="s">
        <v>561</v>
      </c>
      <c r="C875" s="18" t="s">
        <v>760</v>
      </c>
      <c r="D875" s="27" t="s">
        <v>636</v>
      </c>
      <c r="E875" s="42" t="s">
        <v>761</v>
      </c>
      <c r="F875" s="43">
        <v>2008</v>
      </c>
      <c r="G875" s="38">
        <v>113876</v>
      </c>
      <c r="H875" s="38">
        <f t="shared" ref="H875:I875" si="810">F875-F874</f>
        <v>3</v>
      </c>
      <c r="I875" s="38">
        <f t="shared" si="810"/>
        <v>98738</v>
      </c>
      <c r="J875" s="67">
        <f t="shared" si="805"/>
        <v>6.5225260932752018</v>
      </c>
      <c r="K875" s="65">
        <f t="shared" si="806"/>
        <v>2.1741753644250674</v>
      </c>
      <c r="L875" s="38" t="s">
        <v>734</v>
      </c>
      <c r="M875" s="27"/>
      <c r="N875" s="27"/>
      <c r="O875" s="27"/>
      <c r="P875" s="27"/>
      <c r="Q875" s="27"/>
      <c r="R875" s="27"/>
      <c r="S875" s="27"/>
      <c r="T875" s="27"/>
      <c r="U875" s="27"/>
      <c r="V875" s="27"/>
      <c r="W875" s="27"/>
      <c r="X875" s="27"/>
      <c r="Y875" s="27"/>
      <c r="Z875" s="27"/>
      <c r="AA875" s="27"/>
      <c r="AB875" s="27"/>
      <c r="AC875" s="27"/>
      <c r="AD875" s="27"/>
      <c r="AE875" s="27"/>
    </row>
    <row r="876" spans="1:31" ht="16">
      <c r="A876" s="42" t="s">
        <v>407</v>
      </c>
      <c r="B876" s="42" t="s">
        <v>561</v>
      </c>
      <c r="C876" s="18" t="s">
        <v>760</v>
      </c>
      <c r="D876" s="27" t="s">
        <v>636</v>
      </c>
      <c r="E876" s="42" t="s">
        <v>761</v>
      </c>
      <c r="F876" s="43">
        <v>2014</v>
      </c>
      <c r="G876" s="38">
        <v>89794</v>
      </c>
      <c r="H876" s="38">
        <f t="shared" ref="H876:I876" si="811">F876-F875</f>
        <v>6</v>
      </c>
      <c r="I876" s="38">
        <f t="shared" si="811"/>
        <v>-24082</v>
      </c>
      <c r="J876" s="67">
        <f t="shared" si="805"/>
        <v>-0.21147564017000947</v>
      </c>
      <c r="K876" s="65">
        <f t="shared" si="806"/>
        <v>-3.5245940028334914E-2</v>
      </c>
      <c r="L876" s="38" t="s">
        <v>734</v>
      </c>
      <c r="M876" s="27"/>
      <c r="N876" s="27"/>
      <c r="O876" s="27"/>
      <c r="P876" s="27"/>
      <c r="Q876" s="27"/>
      <c r="R876" s="27"/>
      <c r="S876" s="27"/>
      <c r="T876" s="27"/>
      <c r="U876" s="27"/>
      <c r="V876" s="27"/>
      <c r="W876" s="27"/>
      <c r="X876" s="27"/>
      <c r="Y876" s="27"/>
      <c r="Z876" s="27"/>
      <c r="AA876" s="27"/>
      <c r="AB876" s="27"/>
      <c r="AC876" s="27"/>
      <c r="AD876" s="27"/>
      <c r="AE876" s="27"/>
    </row>
    <row r="877" spans="1:31" ht="13">
      <c r="A877" s="42" t="s">
        <v>407</v>
      </c>
      <c r="B877" s="18" t="s">
        <v>561</v>
      </c>
      <c r="C877" s="18" t="s">
        <v>760</v>
      </c>
      <c r="D877" s="18" t="s">
        <v>621</v>
      </c>
      <c r="E877" s="18" t="s">
        <v>622</v>
      </c>
      <c r="F877" s="18">
        <v>1996</v>
      </c>
      <c r="G877" s="26">
        <v>57623</v>
      </c>
      <c r="H877" s="26" t="s">
        <v>402</v>
      </c>
      <c r="I877" s="26" t="s">
        <v>402</v>
      </c>
      <c r="J877" s="66" t="s">
        <v>402</v>
      </c>
      <c r="K877" s="65" t="s">
        <v>402</v>
      </c>
      <c r="L877" s="41" t="s">
        <v>623</v>
      </c>
    </row>
    <row r="878" spans="1:31" ht="13">
      <c r="A878" s="42" t="s">
        <v>407</v>
      </c>
      <c r="B878" s="18" t="s">
        <v>561</v>
      </c>
      <c r="C878" s="18" t="s">
        <v>760</v>
      </c>
      <c r="D878" s="18" t="s">
        <v>621</v>
      </c>
      <c r="E878" s="18" t="s">
        <v>622</v>
      </c>
      <c r="F878" s="18">
        <v>2001</v>
      </c>
      <c r="G878" s="26">
        <v>53044</v>
      </c>
      <c r="H878" s="26">
        <f t="shared" ref="H878:I878" si="812">F878-F877</f>
        <v>5</v>
      </c>
      <c r="I878" s="26">
        <f t="shared" si="812"/>
        <v>-4579</v>
      </c>
      <c r="J878" s="66">
        <f t="shared" ref="J878:J882" si="813">I878/G877</f>
        <v>-7.9464797042847479E-2</v>
      </c>
      <c r="K878" s="65">
        <f t="shared" ref="K878:K882" si="814">J878/H878</f>
        <v>-1.5892959408569496E-2</v>
      </c>
      <c r="L878" s="41" t="s">
        <v>623</v>
      </c>
    </row>
    <row r="879" spans="1:31" ht="13">
      <c r="A879" s="42" t="s">
        <v>407</v>
      </c>
      <c r="B879" s="18" t="s">
        <v>561</v>
      </c>
      <c r="C879" s="18" t="s">
        <v>760</v>
      </c>
      <c r="D879" s="18" t="s">
        <v>621</v>
      </c>
      <c r="E879" s="18" t="s">
        <v>622</v>
      </c>
      <c r="F879" s="18">
        <v>2005</v>
      </c>
      <c r="G879" s="26">
        <v>52356</v>
      </c>
      <c r="H879" s="26">
        <f t="shared" ref="H879:I879" si="815">F879-F878</f>
        <v>4</v>
      </c>
      <c r="I879" s="26">
        <f t="shared" si="815"/>
        <v>-688</v>
      </c>
      <c r="J879" s="66">
        <f t="shared" si="813"/>
        <v>-1.2970364225925646E-2</v>
      </c>
      <c r="K879" s="65">
        <f t="shared" si="814"/>
        <v>-3.2425910564814115E-3</v>
      </c>
      <c r="L879" s="41" t="s">
        <v>623</v>
      </c>
    </row>
    <row r="880" spans="1:31" ht="13">
      <c r="A880" s="42" t="s">
        <v>407</v>
      </c>
      <c r="B880" s="18" t="s">
        <v>561</v>
      </c>
      <c r="C880" s="18" t="s">
        <v>760</v>
      </c>
      <c r="D880" s="18" t="s">
        <v>621</v>
      </c>
      <c r="E880" s="18" t="s">
        <v>622</v>
      </c>
      <c r="F880" s="18">
        <v>2008</v>
      </c>
      <c r="G880" s="26">
        <v>58624</v>
      </c>
      <c r="H880" s="26">
        <f t="shared" ref="H880:I880" si="816">F880-F879</f>
        <v>3</v>
      </c>
      <c r="I880" s="26">
        <f t="shared" si="816"/>
        <v>6268</v>
      </c>
      <c r="J880" s="66">
        <f t="shared" si="813"/>
        <v>0.11971884788753916</v>
      </c>
      <c r="K880" s="65">
        <f t="shared" si="814"/>
        <v>3.9906282629179717E-2</v>
      </c>
      <c r="L880" s="41" t="s">
        <v>623</v>
      </c>
    </row>
    <row r="881" spans="1:12" ht="13">
      <c r="A881" s="42" t="s">
        <v>407</v>
      </c>
      <c r="B881" s="18" t="s">
        <v>561</v>
      </c>
      <c r="C881" s="18" t="s">
        <v>760</v>
      </c>
      <c r="D881" s="18" t="s">
        <v>621</v>
      </c>
      <c r="E881" s="18" t="s">
        <v>622</v>
      </c>
      <c r="F881" s="18">
        <v>2014</v>
      </c>
      <c r="G881" s="26">
        <v>58794</v>
      </c>
      <c r="H881" s="26">
        <f t="shared" ref="H881:I881" si="817">F881-F880</f>
        <v>6</v>
      </c>
      <c r="I881" s="26">
        <f t="shared" si="817"/>
        <v>170</v>
      </c>
      <c r="J881" s="66">
        <f t="shared" si="813"/>
        <v>2.8998362445414845E-3</v>
      </c>
      <c r="K881" s="65">
        <f t="shared" si="814"/>
        <v>4.8330604075691409E-4</v>
      </c>
      <c r="L881" s="41" t="s">
        <v>623</v>
      </c>
    </row>
    <row r="882" spans="1:12" ht="13">
      <c r="A882" s="42" t="s">
        <v>407</v>
      </c>
      <c r="B882" s="18" t="s">
        <v>561</v>
      </c>
      <c r="C882" s="18" t="s">
        <v>760</v>
      </c>
      <c r="D882" s="18" t="s">
        <v>621</v>
      </c>
      <c r="E882" s="18" t="s">
        <v>622</v>
      </c>
      <c r="F882" s="18">
        <v>2018</v>
      </c>
      <c r="G882" s="26">
        <v>83379</v>
      </c>
      <c r="H882" s="26">
        <f t="shared" ref="H882:I882" si="818">F882-F881</f>
        <v>4</v>
      </c>
      <c r="I882" s="26">
        <f t="shared" si="818"/>
        <v>24585</v>
      </c>
      <c r="J882" s="66">
        <f t="shared" si="813"/>
        <v>0.41815491376671088</v>
      </c>
      <c r="K882" s="65">
        <f t="shared" si="814"/>
        <v>0.10453872844167772</v>
      </c>
      <c r="L882" s="41" t="s">
        <v>623</v>
      </c>
    </row>
    <row r="883" spans="1:12" ht="13">
      <c r="A883" s="18" t="s">
        <v>371</v>
      </c>
      <c r="B883" s="18" t="s">
        <v>372</v>
      </c>
      <c r="C883" s="18" t="s">
        <v>764</v>
      </c>
      <c r="D883" s="18" t="s">
        <v>636</v>
      </c>
      <c r="E883" s="18" t="s">
        <v>611</v>
      </c>
      <c r="F883" s="18">
        <v>1991</v>
      </c>
      <c r="G883" s="40">
        <v>1702</v>
      </c>
      <c r="H883" s="40" t="s">
        <v>402</v>
      </c>
      <c r="I883" s="40" t="s">
        <v>402</v>
      </c>
      <c r="J883" s="66" t="s">
        <v>402</v>
      </c>
      <c r="K883" s="65" t="s">
        <v>402</v>
      </c>
      <c r="L883" s="38" t="s">
        <v>612</v>
      </c>
    </row>
    <row r="884" spans="1:12" ht="13">
      <c r="A884" s="18" t="s">
        <v>371</v>
      </c>
      <c r="B884" s="18" t="s">
        <v>372</v>
      </c>
      <c r="C884" s="18" t="s">
        <v>764</v>
      </c>
      <c r="D884" s="18" t="s">
        <v>636</v>
      </c>
      <c r="E884" s="18" t="s">
        <v>611</v>
      </c>
      <c r="F884" s="18">
        <v>1993</v>
      </c>
      <c r="G884" s="40">
        <v>2438</v>
      </c>
      <c r="H884" s="40">
        <f t="shared" ref="H884:I884" si="819">F884-F883</f>
        <v>2</v>
      </c>
      <c r="I884" s="40">
        <f t="shared" si="819"/>
        <v>736</v>
      </c>
      <c r="J884" s="66">
        <f t="shared" ref="J884:J889" si="820">I884/G883</f>
        <v>0.43243243243243246</v>
      </c>
      <c r="K884" s="65">
        <f t="shared" ref="K884:K889" si="821">J884/H884</f>
        <v>0.21621621621621623</v>
      </c>
      <c r="L884" s="38" t="s">
        <v>612</v>
      </c>
    </row>
    <row r="885" spans="1:12" ht="13">
      <c r="A885" s="18" t="s">
        <v>371</v>
      </c>
      <c r="B885" s="18" t="s">
        <v>372</v>
      </c>
      <c r="C885" s="18" t="s">
        <v>764</v>
      </c>
      <c r="D885" s="18" t="s">
        <v>636</v>
      </c>
      <c r="E885" s="18" t="s">
        <v>611</v>
      </c>
      <c r="F885" s="18">
        <v>1996</v>
      </c>
      <c r="G885" s="40">
        <v>2657</v>
      </c>
      <c r="H885" s="40">
        <f t="shared" ref="H885:I885" si="822">F885-F884</f>
        <v>3</v>
      </c>
      <c r="I885" s="40">
        <f t="shared" si="822"/>
        <v>219</v>
      </c>
      <c r="J885" s="66">
        <f t="shared" si="820"/>
        <v>8.9827727645611158E-2</v>
      </c>
      <c r="K885" s="65">
        <f t="shared" si="821"/>
        <v>2.9942575881870385E-2</v>
      </c>
      <c r="L885" s="38" t="s">
        <v>612</v>
      </c>
    </row>
    <row r="886" spans="1:12" ht="13">
      <c r="A886" s="18" t="s">
        <v>371</v>
      </c>
      <c r="B886" s="18" t="s">
        <v>372</v>
      </c>
      <c r="C886" s="18" t="s">
        <v>764</v>
      </c>
      <c r="D886" s="18" t="s">
        <v>636</v>
      </c>
      <c r="E886" s="18" t="s">
        <v>611</v>
      </c>
      <c r="F886" s="18">
        <v>2001</v>
      </c>
      <c r="G886" s="40">
        <v>1078</v>
      </c>
      <c r="H886" s="40">
        <f t="shared" ref="H886:I886" si="823">F886-F885</f>
        <v>5</v>
      </c>
      <c r="I886" s="40">
        <f t="shared" si="823"/>
        <v>-1579</v>
      </c>
      <c r="J886" s="66">
        <f t="shared" si="820"/>
        <v>-0.59427926232593153</v>
      </c>
      <c r="K886" s="65">
        <f t="shared" si="821"/>
        <v>-0.1188558524651863</v>
      </c>
      <c r="L886" s="38" t="s">
        <v>612</v>
      </c>
    </row>
    <row r="887" spans="1:12" ht="13">
      <c r="A887" s="18" t="s">
        <v>371</v>
      </c>
      <c r="B887" s="18" t="s">
        <v>372</v>
      </c>
      <c r="C887" s="18" t="s">
        <v>764</v>
      </c>
      <c r="D887" s="18" t="s">
        <v>636</v>
      </c>
      <c r="E887" s="18" t="s">
        <v>611</v>
      </c>
      <c r="F887" s="18">
        <v>2005</v>
      </c>
      <c r="G887" s="40">
        <v>1227</v>
      </c>
      <c r="H887" s="40">
        <f t="shared" ref="H887:I887" si="824">F887-F886</f>
        <v>4</v>
      </c>
      <c r="I887" s="40">
        <f t="shared" si="824"/>
        <v>149</v>
      </c>
      <c r="J887" s="66">
        <f t="shared" si="820"/>
        <v>0.13821892393320964</v>
      </c>
      <c r="K887" s="65">
        <f t="shared" si="821"/>
        <v>3.455473098330241E-2</v>
      </c>
      <c r="L887" s="38" t="s">
        <v>612</v>
      </c>
    </row>
    <row r="888" spans="1:12" ht="13">
      <c r="A888" s="18" t="s">
        <v>371</v>
      </c>
      <c r="B888" s="18" t="s">
        <v>372</v>
      </c>
      <c r="C888" s="18" t="s">
        <v>764</v>
      </c>
      <c r="D888" s="18" t="s">
        <v>636</v>
      </c>
      <c r="E888" s="18" t="s">
        <v>611</v>
      </c>
      <c r="F888" s="18">
        <v>2008</v>
      </c>
      <c r="G888" s="40">
        <v>1148</v>
      </c>
      <c r="H888" s="40">
        <f t="shared" ref="H888:I888" si="825">F888-F887</f>
        <v>3</v>
      </c>
      <c r="I888" s="40">
        <f t="shared" si="825"/>
        <v>-79</v>
      </c>
      <c r="J888" s="66">
        <f t="shared" si="820"/>
        <v>-6.4384678076609622E-2</v>
      </c>
      <c r="K888" s="65">
        <f t="shared" si="821"/>
        <v>-2.1461559358869873E-2</v>
      </c>
      <c r="L888" s="38" t="s">
        <v>612</v>
      </c>
    </row>
    <row r="889" spans="1:12" ht="13">
      <c r="A889" s="18" t="s">
        <v>371</v>
      </c>
      <c r="B889" s="18" t="s">
        <v>372</v>
      </c>
      <c r="C889" s="18" t="s">
        <v>764</v>
      </c>
      <c r="D889" s="18" t="s">
        <v>636</v>
      </c>
      <c r="E889" s="18" t="s">
        <v>611</v>
      </c>
      <c r="F889" s="18">
        <v>2014</v>
      </c>
      <c r="G889" s="40">
        <v>3044</v>
      </c>
      <c r="H889" s="40">
        <f t="shared" ref="H889:I889" si="826">F889-F888</f>
        <v>6</v>
      </c>
      <c r="I889" s="40">
        <f t="shared" si="826"/>
        <v>1896</v>
      </c>
      <c r="J889" s="66">
        <f t="shared" si="820"/>
        <v>1.6515679442508711</v>
      </c>
      <c r="K889" s="65">
        <f t="shared" si="821"/>
        <v>0.27526132404181186</v>
      </c>
      <c r="L889" s="38" t="s">
        <v>612</v>
      </c>
    </row>
    <row r="890" spans="1:12" ht="13">
      <c r="A890" s="18" t="s">
        <v>371</v>
      </c>
      <c r="B890" s="18" t="s">
        <v>577</v>
      </c>
      <c r="C890" s="18" t="s">
        <v>772</v>
      </c>
      <c r="D890" s="18" t="s">
        <v>636</v>
      </c>
      <c r="E890" s="18" t="s">
        <v>611</v>
      </c>
      <c r="F890" s="18">
        <v>1991</v>
      </c>
      <c r="G890" s="59">
        <v>385</v>
      </c>
      <c r="H890" s="59" t="s">
        <v>402</v>
      </c>
      <c r="I890" s="59" t="s">
        <v>402</v>
      </c>
      <c r="J890" s="74" t="s">
        <v>402</v>
      </c>
      <c r="K890" s="65" t="s">
        <v>402</v>
      </c>
      <c r="L890" s="41" t="s">
        <v>734</v>
      </c>
    </row>
    <row r="891" spans="1:12" ht="13">
      <c r="A891" s="18" t="s">
        <v>371</v>
      </c>
      <c r="B891" s="18" t="s">
        <v>577</v>
      </c>
      <c r="C891" s="18" t="s">
        <v>772</v>
      </c>
      <c r="D891" s="18" t="s">
        <v>636</v>
      </c>
      <c r="E891" s="18" t="s">
        <v>611</v>
      </c>
      <c r="F891" s="18">
        <v>1996</v>
      </c>
      <c r="G891" s="59">
        <v>1414</v>
      </c>
      <c r="H891" s="59">
        <f t="shared" ref="H891:I891" si="827">F891-F890</f>
        <v>5</v>
      </c>
      <c r="I891" s="59">
        <f t="shared" si="827"/>
        <v>1029</v>
      </c>
      <c r="J891" s="74">
        <f t="shared" ref="J891:J895" si="828">I891/G890</f>
        <v>2.6727272727272728</v>
      </c>
      <c r="K891" s="65">
        <f t="shared" ref="K891:K895" si="829">J891/H891</f>
        <v>0.53454545454545455</v>
      </c>
      <c r="L891" s="41" t="s">
        <v>734</v>
      </c>
    </row>
    <row r="892" spans="1:12" ht="13">
      <c r="A892" s="18" t="s">
        <v>371</v>
      </c>
      <c r="B892" s="18" t="s">
        <v>577</v>
      </c>
      <c r="C892" s="18" t="s">
        <v>772</v>
      </c>
      <c r="D892" s="18" t="s">
        <v>636</v>
      </c>
      <c r="E892" s="18" t="s">
        <v>611</v>
      </c>
      <c r="F892" s="18">
        <v>2001</v>
      </c>
      <c r="G892" s="59">
        <v>959</v>
      </c>
      <c r="H892" s="59">
        <f t="shared" ref="H892:I892" si="830">F892-F891</f>
        <v>5</v>
      </c>
      <c r="I892" s="59">
        <f t="shared" si="830"/>
        <v>-455</v>
      </c>
      <c r="J892" s="74">
        <f t="shared" si="828"/>
        <v>-0.32178217821782179</v>
      </c>
      <c r="K892" s="65">
        <f t="shared" si="829"/>
        <v>-6.4356435643564358E-2</v>
      </c>
      <c r="L892" s="41" t="s">
        <v>734</v>
      </c>
    </row>
    <row r="893" spans="1:12" ht="13">
      <c r="A893" s="18" t="s">
        <v>371</v>
      </c>
      <c r="B893" s="18" t="s">
        <v>577</v>
      </c>
      <c r="C893" s="18" t="s">
        <v>772</v>
      </c>
      <c r="D893" s="18" t="s">
        <v>636</v>
      </c>
      <c r="E893" s="18" t="s">
        <v>611</v>
      </c>
      <c r="F893" s="18">
        <v>2005</v>
      </c>
      <c r="G893" s="59">
        <v>1347</v>
      </c>
      <c r="H893" s="59">
        <f t="shared" ref="H893:I893" si="831">F893-F892</f>
        <v>4</v>
      </c>
      <c r="I893" s="59">
        <f t="shared" si="831"/>
        <v>388</v>
      </c>
      <c r="J893" s="74">
        <f t="shared" si="828"/>
        <v>0.4045881126173097</v>
      </c>
      <c r="K893" s="65">
        <f t="shared" si="829"/>
        <v>0.10114702815432743</v>
      </c>
      <c r="L893" s="41" t="s">
        <v>734</v>
      </c>
    </row>
    <row r="894" spans="1:12" ht="13">
      <c r="A894" s="18" t="s">
        <v>371</v>
      </c>
      <c r="B894" s="18" t="s">
        <v>577</v>
      </c>
      <c r="C894" s="18" t="s">
        <v>772</v>
      </c>
      <c r="D894" s="18" t="s">
        <v>636</v>
      </c>
      <c r="E894" s="18" t="s">
        <v>611</v>
      </c>
      <c r="F894" s="18">
        <v>2008</v>
      </c>
      <c r="G894" s="59">
        <v>609</v>
      </c>
      <c r="H894" s="59">
        <f t="shared" ref="H894:I894" si="832">F894-F893</f>
        <v>3</v>
      </c>
      <c r="I894" s="59">
        <f t="shared" si="832"/>
        <v>-738</v>
      </c>
      <c r="J894" s="74">
        <f t="shared" si="828"/>
        <v>-0.54788418708240538</v>
      </c>
      <c r="K894" s="65">
        <f t="shared" si="829"/>
        <v>-0.18262806236080179</v>
      </c>
      <c r="L894" s="41" t="s">
        <v>734</v>
      </c>
    </row>
    <row r="895" spans="1:12" ht="13">
      <c r="A895" s="18" t="s">
        <v>371</v>
      </c>
      <c r="B895" s="18" t="s">
        <v>577</v>
      </c>
      <c r="C895" s="18" t="s">
        <v>772</v>
      </c>
      <c r="D895" s="18" t="s">
        <v>636</v>
      </c>
      <c r="E895" s="18" t="s">
        <v>611</v>
      </c>
      <c r="F895" s="18">
        <v>2014</v>
      </c>
      <c r="G895" s="59">
        <v>692</v>
      </c>
      <c r="H895" s="59">
        <f t="shared" ref="H895:I895" si="833">F895-F894</f>
        <v>6</v>
      </c>
      <c r="I895" s="59">
        <f t="shared" si="833"/>
        <v>83</v>
      </c>
      <c r="J895" s="74">
        <f t="shared" si="828"/>
        <v>0.13628899835796388</v>
      </c>
      <c r="K895" s="65">
        <f t="shared" si="829"/>
        <v>2.2714833059660645E-2</v>
      </c>
      <c r="L895" s="41" t="s">
        <v>734</v>
      </c>
    </row>
    <row r="896" spans="1:12" ht="13">
      <c r="A896" s="18" t="s">
        <v>371</v>
      </c>
      <c r="B896" s="18" t="s">
        <v>577</v>
      </c>
      <c r="C896" s="18" t="s">
        <v>772</v>
      </c>
      <c r="D896" s="18" t="s">
        <v>621</v>
      </c>
      <c r="E896" s="18" t="s">
        <v>611</v>
      </c>
      <c r="F896" s="18">
        <v>1996</v>
      </c>
      <c r="G896" s="59">
        <v>847</v>
      </c>
      <c r="H896" s="59" t="s">
        <v>402</v>
      </c>
      <c r="I896" s="59" t="s">
        <v>402</v>
      </c>
      <c r="J896" s="74" t="s">
        <v>402</v>
      </c>
      <c r="K896" s="65" t="s">
        <v>402</v>
      </c>
      <c r="L896" s="41" t="s">
        <v>623</v>
      </c>
    </row>
    <row r="897" spans="1:12" ht="13">
      <c r="A897" s="18" t="s">
        <v>371</v>
      </c>
      <c r="B897" s="18" t="s">
        <v>577</v>
      </c>
      <c r="C897" s="18" t="s">
        <v>772</v>
      </c>
      <c r="D897" s="18" t="s">
        <v>621</v>
      </c>
      <c r="E897" s="18" t="s">
        <v>622</v>
      </c>
      <c r="F897" s="18">
        <v>2001</v>
      </c>
      <c r="G897" s="40">
        <v>812</v>
      </c>
      <c r="H897" s="40">
        <f t="shared" ref="H897:I897" si="834">F897-F896</f>
        <v>5</v>
      </c>
      <c r="I897" s="40">
        <f t="shared" si="834"/>
        <v>-35</v>
      </c>
      <c r="J897" s="66">
        <f t="shared" ref="J897:J901" si="835">I897/G896</f>
        <v>-4.1322314049586778E-2</v>
      </c>
      <c r="K897" s="65">
        <f t="shared" ref="K897:K901" si="836">J897/H897</f>
        <v>-8.2644628099173556E-3</v>
      </c>
      <c r="L897" s="41" t="s">
        <v>623</v>
      </c>
    </row>
    <row r="898" spans="1:12" ht="13">
      <c r="A898" s="18" t="s">
        <v>371</v>
      </c>
      <c r="B898" s="18" t="s">
        <v>577</v>
      </c>
      <c r="C898" s="18" t="s">
        <v>772</v>
      </c>
      <c r="D898" s="18" t="s">
        <v>621</v>
      </c>
      <c r="E898" s="18" t="s">
        <v>622</v>
      </c>
      <c r="F898" s="18">
        <v>2005</v>
      </c>
      <c r="G898" s="40">
        <v>819</v>
      </c>
      <c r="H898" s="40">
        <f t="shared" ref="H898:I898" si="837">F898-F897</f>
        <v>4</v>
      </c>
      <c r="I898" s="40">
        <f t="shared" si="837"/>
        <v>7</v>
      </c>
      <c r="J898" s="66">
        <f t="shared" si="835"/>
        <v>8.6206896551724137E-3</v>
      </c>
      <c r="K898" s="65">
        <f t="shared" si="836"/>
        <v>2.1551724137931034E-3</v>
      </c>
      <c r="L898" s="41" t="s">
        <v>623</v>
      </c>
    </row>
    <row r="899" spans="1:12" ht="13">
      <c r="A899" s="18" t="s">
        <v>371</v>
      </c>
      <c r="B899" s="18" t="s">
        <v>577</v>
      </c>
      <c r="C899" s="18" t="s">
        <v>772</v>
      </c>
      <c r="D899" s="18" t="s">
        <v>621</v>
      </c>
      <c r="E899" s="18" t="s">
        <v>622</v>
      </c>
      <c r="F899" s="18">
        <v>2008</v>
      </c>
      <c r="G899" s="40">
        <v>804</v>
      </c>
      <c r="H899" s="40">
        <f t="shared" ref="H899:I899" si="838">F899-F898</f>
        <v>3</v>
      </c>
      <c r="I899" s="40">
        <f t="shared" si="838"/>
        <v>-15</v>
      </c>
      <c r="J899" s="66">
        <f t="shared" si="835"/>
        <v>-1.8315018315018316E-2</v>
      </c>
      <c r="K899" s="65">
        <f t="shared" si="836"/>
        <v>-6.105006105006105E-3</v>
      </c>
      <c r="L899" s="41" t="s">
        <v>623</v>
      </c>
    </row>
    <row r="900" spans="1:12" ht="13">
      <c r="A900" s="18" t="s">
        <v>371</v>
      </c>
      <c r="B900" s="18" t="s">
        <v>577</v>
      </c>
      <c r="C900" s="18" t="s">
        <v>772</v>
      </c>
      <c r="D900" s="18" t="s">
        <v>621</v>
      </c>
      <c r="E900" s="18" t="s">
        <v>622</v>
      </c>
      <c r="F900" s="18">
        <v>2014</v>
      </c>
      <c r="G900" s="40">
        <v>1062</v>
      </c>
      <c r="H900" s="40">
        <f t="shared" ref="H900:I900" si="839">F900-F899</f>
        <v>6</v>
      </c>
      <c r="I900" s="40">
        <f t="shared" si="839"/>
        <v>258</v>
      </c>
      <c r="J900" s="66">
        <f t="shared" si="835"/>
        <v>0.32089552238805968</v>
      </c>
      <c r="K900" s="65">
        <f t="shared" si="836"/>
        <v>5.3482587064676616E-2</v>
      </c>
      <c r="L900" s="41" t="s">
        <v>623</v>
      </c>
    </row>
    <row r="901" spans="1:12" ht="13">
      <c r="A901" s="18" t="s">
        <v>371</v>
      </c>
      <c r="B901" s="18" t="s">
        <v>577</v>
      </c>
      <c r="C901" s="18" t="s">
        <v>772</v>
      </c>
      <c r="D901" s="18" t="s">
        <v>621</v>
      </c>
      <c r="E901" s="18" t="s">
        <v>622</v>
      </c>
      <c r="F901" s="18">
        <v>2018</v>
      </c>
      <c r="G901" s="40">
        <v>915</v>
      </c>
      <c r="H901" s="40">
        <f t="shared" ref="H901:I901" si="840">F901-F900</f>
        <v>4</v>
      </c>
      <c r="I901" s="40">
        <f t="shared" si="840"/>
        <v>-147</v>
      </c>
      <c r="J901" s="66">
        <f t="shared" si="835"/>
        <v>-0.1384180790960452</v>
      </c>
      <c r="K901" s="65">
        <f t="shared" si="836"/>
        <v>-3.46045197740113E-2</v>
      </c>
      <c r="L901" s="41" t="s">
        <v>623</v>
      </c>
    </row>
    <row r="902" spans="1:12" ht="13">
      <c r="A902" s="18" t="s">
        <v>774</v>
      </c>
      <c r="B902" s="18" t="s">
        <v>301</v>
      </c>
      <c r="C902" s="18" t="s">
        <v>775</v>
      </c>
      <c r="D902" s="18" t="s">
        <v>751</v>
      </c>
      <c r="E902" s="18" t="s">
        <v>776</v>
      </c>
      <c r="F902" s="37">
        <v>1990</v>
      </c>
      <c r="G902" s="37">
        <v>117.460317460317</v>
      </c>
      <c r="H902" s="37" t="s">
        <v>402</v>
      </c>
      <c r="I902" s="37" t="s">
        <v>402</v>
      </c>
      <c r="J902" s="65" t="s">
        <v>402</v>
      </c>
      <c r="K902" s="65" t="s">
        <v>402</v>
      </c>
      <c r="L902" s="38" t="s">
        <v>637</v>
      </c>
    </row>
    <row r="903" spans="1:12" ht="13">
      <c r="A903" s="18" t="s">
        <v>774</v>
      </c>
      <c r="B903" s="18" t="s">
        <v>301</v>
      </c>
      <c r="C903" s="18" t="s">
        <v>775</v>
      </c>
      <c r="D903" s="18" t="s">
        <v>751</v>
      </c>
      <c r="E903" s="18" t="s">
        <v>776</v>
      </c>
      <c r="F903" s="37">
        <v>1991.0370370370399</v>
      </c>
      <c r="G903" s="37">
        <v>121.428571428571</v>
      </c>
      <c r="H903" s="37" t="s">
        <v>402</v>
      </c>
      <c r="I903" s="37" t="s">
        <v>402</v>
      </c>
      <c r="J903" s="65" t="s">
        <v>402</v>
      </c>
      <c r="K903" s="65" t="s">
        <v>402</v>
      </c>
      <c r="L903" s="38" t="s">
        <v>637</v>
      </c>
    </row>
    <row r="904" spans="1:12" ht="13">
      <c r="A904" s="18" t="s">
        <v>774</v>
      </c>
      <c r="B904" s="18" t="s">
        <v>301</v>
      </c>
      <c r="C904" s="18" t="s">
        <v>775</v>
      </c>
      <c r="D904" s="18" t="s">
        <v>751</v>
      </c>
      <c r="E904" s="18" t="s">
        <v>776</v>
      </c>
      <c r="F904" s="37">
        <v>1992.0370370370399</v>
      </c>
      <c r="G904" s="37">
        <v>123.80952380952399</v>
      </c>
      <c r="H904" s="37" t="s">
        <v>402</v>
      </c>
      <c r="I904" s="37" t="s">
        <v>402</v>
      </c>
      <c r="J904" s="65" t="s">
        <v>402</v>
      </c>
      <c r="K904" s="65" t="s">
        <v>402</v>
      </c>
      <c r="L904" s="38" t="s">
        <v>637</v>
      </c>
    </row>
    <row r="905" spans="1:12" ht="13">
      <c r="A905" s="18" t="s">
        <v>774</v>
      </c>
      <c r="B905" s="18" t="s">
        <v>301</v>
      </c>
      <c r="C905" s="18" t="s">
        <v>775</v>
      </c>
      <c r="D905" s="18" t="s">
        <v>751</v>
      </c>
      <c r="E905" s="18" t="s">
        <v>776</v>
      </c>
      <c r="F905" s="37">
        <v>1993</v>
      </c>
      <c r="G905" s="37">
        <v>119.04761904761899</v>
      </c>
      <c r="H905" s="37" t="s">
        <v>402</v>
      </c>
      <c r="I905" s="37" t="s">
        <v>402</v>
      </c>
      <c r="J905" s="65" t="s">
        <v>402</v>
      </c>
      <c r="K905" s="65" t="s">
        <v>402</v>
      </c>
      <c r="L905" s="38" t="s">
        <v>637</v>
      </c>
    </row>
    <row r="906" spans="1:12" ht="13">
      <c r="A906" s="18" t="s">
        <v>774</v>
      </c>
      <c r="B906" s="18" t="s">
        <v>301</v>
      </c>
      <c r="C906" s="18" t="s">
        <v>775</v>
      </c>
      <c r="D906" s="18" t="s">
        <v>751</v>
      </c>
      <c r="E906" s="18" t="s">
        <v>776</v>
      </c>
      <c r="F906" s="37">
        <v>1994.0370370370399</v>
      </c>
      <c r="G906" s="37">
        <v>123.80952380952399</v>
      </c>
      <c r="H906" s="37" t="s">
        <v>402</v>
      </c>
      <c r="I906" s="37" t="s">
        <v>402</v>
      </c>
      <c r="J906" s="65" t="s">
        <v>402</v>
      </c>
      <c r="K906" s="65" t="s">
        <v>402</v>
      </c>
      <c r="L906" s="38" t="s">
        <v>637</v>
      </c>
    </row>
    <row r="907" spans="1:12" ht="13">
      <c r="A907" s="18" t="s">
        <v>774</v>
      </c>
      <c r="B907" s="18" t="s">
        <v>301</v>
      </c>
      <c r="C907" s="18" t="s">
        <v>775</v>
      </c>
      <c r="D907" s="18" t="s">
        <v>751</v>
      </c>
      <c r="E907" s="18" t="s">
        <v>776</v>
      </c>
      <c r="F907" s="37">
        <v>1995.0370370370399</v>
      </c>
      <c r="G907" s="37">
        <v>126.19047619047601</v>
      </c>
      <c r="H907" s="37" t="s">
        <v>402</v>
      </c>
      <c r="I907" s="37" t="s">
        <v>402</v>
      </c>
      <c r="J907" s="65" t="s">
        <v>402</v>
      </c>
      <c r="K907" s="65" t="s">
        <v>402</v>
      </c>
      <c r="L907" s="38" t="s">
        <v>637</v>
      </c>
    </row>
    <row r="908" spans="1:12" ht="13">
      <c r="A908" s="18" t="s">
        <v>774</v>
      </c>
      <c r="B908" s="18" t="s">
        <v>301</v>
      </c>
      <c r="C908" s="18" t="s">
        <v>775</v>
      </c>
      <c r="D908" s="18" t="s">
        <v>751</v>
      </c>
      <c r="E908" s="18" t="s">
        <v>776</v>
      </c>
      <c r="F908" s="37">
        <v>1996</v>
      </c>
      <c r="G908" s="37">
        <v>134.12698412698401</v>
      </c>
      <c r="H908" s="37" t="s">
        <v>402</v>
      </c>
      <c r="I908" s="37" t="s">
        <v>402</v>
      </c>
      <c r="J908" s="65" t="s">
        <v>402</v>
      </c>
      <c r="K908" s="65" t="s">
        <v>402</v>
      </c>
      <c r="L908" s="38" t="s">
        <v>637</v>
      </c>
    </row>
    <row r="909" spans="1:12" ht="13">
      <c r="A909" s="18" t="s">
        <v>774</v>
      </c>
      <c r="B909" s="18" t="s">
        <v>301</v>
      </c>
      <c r="C909" s="18" t="s">
        <v>775</v>
      </c>
      <c r="D909" s="18" t="s">
        <v>751</v>
      </c>
      <c r="E909" s="18" t="s">
        <v>776</v>
      </c>
      <c r="F909" s="37">
        <v>1997</v>
      </c>
      <c r="G909" s="37">
        <v>137.30158730158701</v>
      </c>
      <c r="H909" s="37" t="s">
        <v>402</v>
      </c>
      <c r="I909" s="37" t="s">
        <v>402</v>
      </c>
      <c r="J909" s="65" t="s">
        <v>402</v>
      </c>
      <c r="K909" s="65" t="s">
        <v>402</v>
      </c>
      <c r="L909" s="38" t="s">
        <v>637</v>
      </c>
    </row>
    <row r="910" spans="1:12" ht="13">
      <c r="A910" s="18" t="s">
        <v>774</v>
      </c>
      <c r="B910" s="18" t="s">
        <v>301</v>
      </c>
      <c r="C910" s="18" t="s">
        <v>775</v>
      </c>
      <c r="D910" s="18" t="s">
        <v>751</v>
      </c>
      <c r="E910" s="18" t="s">
        <v>776</v>
      </c>
      <c r="F910" s="37">
        <v>1998</v>
      </c>
      <c r="G910" s="37">
        <v>134.12698412698401</v>
      </c>
      <c r="H910" s="37" t="s">
        <v>402</v>
      </c>
      <c r="I910" s="37" t="s">
        <v>402</v>
      </c>
      <c r="J910" s="65" t="s">
        <v>402</v>
      </c>
      <c r="K910" s="65" t="s">
        <v>402</v>
      </c>
      <c r="L910" s="38" t="s">
        <v>637</v>
      </c>
    </row>
    <row r="911" spans="1:12" ht="13">
      <c r="A911" s="18" t="s">
        <v>774</v>
      </c>
      <c r="B911" s="18" t="s">
        <v>301</v>
      </c>
      <c r="C911" s="18" t="s">
        <v>775</v>
      </c>
      <c r="D911" s="18" t="s">
        <v>751</v>
      </c>
      <c r="E911" s="18" t="s">
        <v>776</v>
      </c>
      <c r="F911" s="37">
        <v>1999.0370370370399</v>
      </c>
      <c r="G911" s="37">
        <v>130.95238095238099</v>
      </c>
      <c r="H911" s="37" t="s">
        <v>402</v>
      </c>
      <c r="I911" s="37" t="s">
        <v>402</v>
      </c>
      <c r="J911" s="65" t="s">
        <v>402</v>
      </c>
      <c r="K911" s="65" t="s">
        <v>402</v>
      </c>
      <c r="L911" s="38" t="s">
        <v>637</v>
      </c>
    </row>
    <row r="912" spans="1:12" ht="13">
      <c r="A912" s="18" t="s">
        <v>774</v>
      </c>
      <c r="B912" s="18" t="s">
        <v>301</v>
      </c>
      <c r="C912" s="18" t="s">
        <v>775</v>
      </c>
      <c r="D912" s="18" t="s">
        <v>751</v>
      </c>
      <c r="E912" s="18" t="s">
        <v>776</v>
      </c>
      <c r="F912" s="37">
        <v>2000</v>
      </c>
      <c r="G912" s="37">
        <v>126.984126984127</v>
      </c>
      <c r="H912" s="37" t="s">
        <v>402</v>
      </c>
      <c r="I912" s="37" t="s">
        <v>402</v>
      </c>
      <c r="J912" s="65" t="s">
        <v>402</v>
      </c>
      <c r="K912" s="65" t="s">
        <v>402</v>
      </c>
      <c r="L912" s="38" t="s">
        <v>637</v>
      </c>
    </row>
    <row r="913" spans="1:12" ht="13">
      <c r="A913" s="18" t="s">
        <v>774</v>
      </c>
      <c r="B913" s="18" t="s">
        <v>301</v>
      </c>
      <c r="C913" s="18" t="s">
        <v>775</v>
      </c>
      <c r="D913" s="18" t="s">
        <v>751</v>
      </c>
      <c r="E913" s="18" t="s">
        <v>776</v>
      </c>
      <c r="F913" s="37">
        <v>2001</v>
      </c>
      <c r="G913" s="37">
        <v>140.47619047619</v>
      </c>
      <c r="H913" s="37" t="s">
        <v>402</v>
      </c>
      <c r="I913" s="37" t="s">
        <v>402</v>
      </c>
      <c r="J913" s="65" t="s">
        <v>402</v>
      </c>
      <c r="K913" s="65" t="s">
        <v>402</v>
      </c>
      <c r="L913" s="38" t="s">
        <v>637</v>
      </c>
    </row>
    <row r="914" spans="1:12" ht="13">
      <c r="A914" s="18" t="s">
        <v>774</v>
      </c>
      <c r="B914" s="18" t="s">
        <v>301</v>
      </c>
      <c r="C914" s="18" t="s">
        <v>775</v>
      </c>
      <c r="D914" s="18" t="s">
        <v>751</v>
      </c>
      <c r="E914" s="18" t="s">
        <v>776</v>
      </c>
      <c r="F914" s="37">
        <v>2002.0370370370399</v>
      </c>
      <c r="G914" s="37">
        <v>146.031746031746</v>
      </c>
      <c r="H914" s="37" t="s">
        <v>402</v>
      </c>
      <c r="I914" s="37" t="s">
        <v>402</v>
      </c>
      <c r="J914" s="65" t="s">
        <v>402</v>
      </c>
      <c r="K914" s="65" t="s">
        <v>402</v>
      </c>
      <c r="L914" s="38" t="s">
        <v>637</v>
      </c>
    </row>
    <row r="915" spans="1:12" ht="13">
      <c r="A915" s="18" t="s">
        <v>774</v>
      </c>
      <c r="B915" s="18" t="s">
        <v>301</v>
      </c>
      <c r="C915" s="18" t="s">
        <v>775</v>
      </c>
      <c r="D915" s="18" t="s">
        <v>751</v>
      </c>
      <c r="E915" s="18" t="s">
        <v>776</v>
      </c>
      <c r="F915" s="37">
        <v>2003.0370370370399</v>
      </c>
      <c r="G915" s="37">
        <v>148.41269841269801</v>
      </c>
      <c r="H915" s="37" t="s">
        <v>402</v>
      </c>
      <c r="I915" s="37" t="s">
        <v>402</v>
      </c>
      <c r="J915" s="65" t="s">
        <v>402</v>
      </c>
      <c r="K915" s="65" t="s">
        <v>402</v>
      </c>
      <c r="L915" s="38" t="s">
        <v>637</v>
      </c>
    </row>
    <row r="916" spans="1:12" ht="13">
      <c r="A916" s="18" t="s">
        <v>774</v>
      </c>
      <c r="B916" s="18" t="s">
        <v>301</v>
      </c>
      <c r="C916" s="18" t="s">
        <v>775</v>
      </c>
      <c r="D916" s="18" t="s">
        <v>751</v>
      </c>
      <c r="E916" s="18" t="s">
        <v>776</v>
      </c>
      <c r="F916" s="37">
        <v>2004</v>
      </c>
      <c r="G916" s="37">
        <v>150</v>
      </c>
      <c r="H916" s="37" t="s">
        <v>402</v>
      </c>
      <c r="I916" s="37" t="s">
        <v>402</v>
      </c>
      <c r="J916" s="65" t="s">
        <v>402</v>
      </c>
      <c r="K916" s="65" t="s">
        <v>402</v>
      </c>
      <c r="L916" s="38" t="s">
        <v>637</v>
      </c>
    </row>
    <row r="917" spans="1:12" ht="13">
      <c r="A917" s="18" t="s">
        <v>774</v>
      </c>
      <c r="B917" s="18" t="s">
        <v>301</v>
      </c>
      <c r="C917" s="18" t="s">
        <v>775</v>
      </c>
      <c r="D917" s="18" t="s">
        <v>751</v>
      </c>
      <c r="E917" s="18" t="s">
        <v>776</v>
      </c>
      <c r="F917" s="37">
        <v>2005</v>
      </c>
      <c r="G917" s="37">
        <v>162.69841269841299</v>
      </c>
      <c r="H917" s="37" t="s">
        <v>402</v>
      </c>
      <c r="I917" s="37" t="s">
        <v>402</v>
      </c>
      <c r="J917" s="65" t="s">
        <v>402</v>
      </c>
      <c r="K917" s="65" t="s">
        <v>402</v>
      </c>
      <c r="L917" s="38" t="s">
        <v>637</v>
      </c>
    </row>
    <row r="918" spans="1:12" ht="13">
      <c r="A918" s="18" t="s">
        <v>774</v>
      </c>
      <c r="B918" s="18" t="s">
        <v>301</v>
      </c>
      <c r="C918" s="18" t="s">
        <v>775</v>
      </c>
      <c r="D918" s="18" t="s">
        <v>751</v>
      </c>
      <c r="E918" s="18" t="s">
        <v>776</v>
      </c>
      <c r="F918" s="37">
        <v>2006</v>
      </c>
      <c r="G918" s="37">
        <v>161.90476190476201</v>
      </c>
      <c r="H918" s="37" t="s">
        <v>402</v>
      </c>
      <c r="I918" s="37" t="s">
        <v>402</v>
      </c>
      <c r="J918" s="65" t="s">
        <v>402</v>
      </c>
      <c r="K918" s="65" t="s">
        <v>402</v>
      </c>
      <c r="L918" s="38" t="s">
        <v>637</v>
      </c>
    </row>
    <row r="919" spans="1:12" ht="13">
      <c r="A919" s="18" t="s">
        <v>774</v>
      </c>
      <c r="B919" s="18" t="s">
        <v>301</v>
      </c>
      <c r="C919" s="18" t="s">
        <v>775</v>
      </c>
      <c r="D919" s="18" t="s">
        <v>751</v>
      </c>
      <c r="E919" s="18" t="s">
        <v>776</v>
      </c>
      <c r="F919" s="37">
        <v>2007</v>
      </c>
      <c r="G919" s="37">
        <v>161.90476190476201</v>
      </c>
      <c r="H919" s="37" t="s">
        <v>402</v>
      </c>
      <c r="I919" s="37" t="s">
        <v>402</v>
      </c>
      <c r="J919" s="65" t="s">
        <v>402</v>
      </c>
      <c r="K919" s="65" t="s">
        <v>402</v>
      </c>
      <c r="L919" s="38" t="s">
        <v>637</v>
      </c>
    </row>
    <row r="920" spans="1:12" ht="13">
      <c r="A920" s="18" t="s">
        <v>774</v>
      </c>
      <c r="B920" s="18" t="s">
        <v>301</v>
      </c>
      <c r="C920" s="18" t="s">
        <v>775</v>
      </c>
      <c r="D920" s="18" t="s">
        <v>751</v>
      </c>
      <c r="E920" s="18" t="s">
        <v>776</v>
      </c>
      <c r="F920" s="37">
        <v>2008.0370370370399</v>
      </c>
      <c r="G920" s="37">
        <v>169.84126984126999</v>
      </c>
      <c r="H920" s="37" t="s">
        <v>402</v>
      </c>
      <c r="I920" s="37" t="s">
        <v>402</v>
      </c>
      <c r="J920" s="65" t="s">
        <v>402</v>
      </c>
      <c r="K920" s="65" t="s">
        <v>402</v>
      </c>
      <c r="L920" s="38" t="s">
        <v>637</v>
      </c>
    </row>
    <row r="921" spans="1:12" ht="13">
      <c r="A921" s="18" t="s">
        <v>774</v>
      </c>
      <c r="B921" s="18" t="s">
        <v>301</v>
      </c>
      <c r="C921" s="18" t="s">
        <v>775</v>
      </c>
      <c r="D921" s="18" t="s">
        <v>751</v>
      </c>
      <c r="E921" s="18" t="s">
        <v>776</v>
      </c>
      <c r="F921" s="37">
        <v>2009</v>
      </c>
      <c r="G921" s="37">
        <v>188.09523809523799</v>
      </c>
      <c r="H921" s="37" t="s">
        <v>402</v>
      </c>
      <c r="I921" s="37" t="s">
        <v>402</v>
      </c>
      <c r="J921" s="65" t="s">
        <v>402</v>
      </c>
      <c r="K921" s="65" t="s">
        <v>402</v>
      </c>
      <c r="L921" s="38" t="s">
        <v>637</v>
      </c>
    </row>
    <row r="922" spans="1:12" ht="13">
      <c r="A922" s="18" t="s">
        <v>774</v>
      </c>
      <c r="B922" s="18" t="s">
        <v>301</v>
      </c>
      <c r="C922" s="18" t="s">
        <v>775</v>
      </c>
      <c r="D922" s="18" t="s">
        <v>751</v>
      </c>
      <c r="E922" s="18" t="s">
        <v>776</v>
      </c>
      <c r="F922" s="37">
        <v>2010</v>
      </c>
      <c r="G922" s="37">
        <v>196.031746031746</v>
      </c>
      <c r="H922" s="37" t="s">
        <v>402</v>
      </c>
      <c r="I922" s="37" t="s">
        <v>402</v>
      </c>
      <c r="J922" s="65" t="s">
        <v>402</v>
      </c>
      <c r="K922" s="65" t="s">
        <v>402</v>
      </c>
      <c r="L922" s="38" t="s">
        <v>637</v>
      </c>
    </row>
    <row r="923" spans="1:12" ht="13">
      <c r="A923" s="18" t="s">
        <v>774</v>
      </c>
      <c r="B923" s="18" t="s">
        <v>301</v>
      </c>
      <c r="C923" s="18" t="s">
        <v>775</v>
      </c>
      <c r="D923" s="18" t="s">
        <v>751</v>
      </c>
      <c r="E923" s="18" t="s">
        <v>776</v>
      </c>
      <c r="F923" s="37">
        <v>2011</v>
      </c>
      <c r="G923" s="37">
        <v>200</v>
      </c>
      <c r="H923" s="37" t="s">
        <v>402</v>
      </c>
      <c r="I923" s="37" t="s">
        <v>402</v>
      </c>
      <c r="J923" s="65" t="s">
        <v>402</v>
      </c>
      <c r="K923" s="65" t="s">
        <v>402</v>
      </c>
      <c r="L923" s="38" t="s">
        <v>637</v>
      </c>
    </row>
    <row r="924" spans="1:12" ht="13">
      <c r="A924" s="18" t="s">
        <v>774</v>
      </c>
      <c r="B924" s="18" t="s">
        <v>301</v>
      </c>
      <c r="C924" s="18" t="s">
        <v>775</v>
      </c>
      <c r="D924" s="18" t="s">
        <v>751</v>
      </c>
      <c r="E924" s="18" t="s">
        <v>776</v>
      </c>
      <c r="F924" s="37">
        <v>2012</v>
      </c>
      <c r="G924" s="37">
        <v>193.65079365079399</v>
      </c>
      <c r="H924" s="37" t="s">
        <v>402</v>
      </c>
      <c r="I924" s="37" t="s">
        <v>402</v>
      </c>
      <c r="J924" s="65" t="s">
        <v>402</v>
      </c>
      <c r="K924" s="65" t="s">
        <v>402</v>
      </c>
      <c r="L924" s="38" t="s">
        <v>637</v>
      </c>
    </row>
    <row r="925" spans="1:12" ht="13">
      <c r="A925" s="18" t="s">
        <v>774</v>
      </c>
      <c r="B925" s="18" t="s">
        <v>301</v>
      </c>
      <c r="C925" s="18" t="s">
        <v>775</v>
      </c>
      <c r="D925" s="18" t="s">
        <v>751</v>
      </c>
      <c r="E925" s="18" t="s">
        <v>776</v>
      </c>
      <c r="F925" s="37">
        <v>2013.0370370370399</v>
      </c>
      <c r="G925" s="37">
        <v>199.20634920634899</v>
      </c>
      <c r="H925" s="37" t="s">
        <v>402</v>
      </c>
      <c r="I925" s="37" t="s">
        <v>402</v>
      </c>
      <c r="J925" s="65" t="s">
        <v>402</v>
      </c>
      <c r="K925" s="65" t="s">
        <v>402</v>
      </c>
      <c r="L925" s="38" t="s">
        <v>637</v>
      </c>
    </row>
    <row r="926" spans="1:12" ht="13">
      <c r="A926" s="18" t="s">
        <v>774</v>
      </c>
      <c r="B926" s="18" t="s">
        <v>301</v>
      </c>
      <c r="C926" s="18" t="s">
        <v>775</v>
      </c>
      <c r="D926" s="18" t="s">
        <v>751</v>
      </c>
      <c r="E926" s="18" t="s">
        <v>776</v>
      </c>
      <c r="F926" s="37">
        <v>2014</v>
      </c>
      <c r="G926" s="37">
        <v>192.06349206349199</v>
      </c>
      <c r="H926" s="37" t="s">
        <v>402</v>
      </c>
      <c r="I926" s="37" t="s">
        <v>402</v>
      </c>
      <c r="J926" s="65" t="s">
        <v>402</v>
      </c>
      <c r="K926" s="65" t="s">
        <v>402</v>
      </c>
      <c r="L926" s="38" t="s">
        <v>637</v>
      </c>
    </row>
    <row r="927" spans="1:12" ht="13">
      <c r="A927" s="18" t="s">
        <v>774</v>
      </c>
      <c r="B927" s="18" t="s">
        <v>301</v>
      </c>
      <c r="C927" s="18" t="s">
        <v>775</v>
      </c>
      <c r="D927" s="18" t="s">
        <v>751</v>
      </c>
      <c r="E927" s="18" t="s">
        <v>776</v>
      </c>
      <c r="F927" s="37">
        <v>2015</v>
      </c>
      <c r="G927" s="37">
        <v>192.06349206349199</v>
      </c>
      <c r="H927" s="37" t="s">
        <v>402</v>
      </c>
      <c r="I927" s="37" t="s">
        <v>402</v>
      </c>
      <c r="J927" s="65" t="s">
        <v>402</v>
      </c>
      <c r="K927" s="65" t="s">
        <v>402</v>
      </c>
      <c r="L927" s="38" t="s">
        <v>637</v>
      </c>
    </row>
    <row r="928" spans="1:12" ht="13">
      <c r="A928" s="18" t="s">
        <v>774</v>
      </c>
      <c r="B928" s="18" t="s">
        <v>301</v>
      </c>
      <c r="C928" s="18" t="s">
        <v>775</v>
      </c>
      <c r="D928" s="18" t="s">
        <v>751</v>
      </c>
      <c r="E928" s="18" t="s">
        <v>776</v>
      </c>
      <c r="F928" s="37">
        <v>2016.0370370370399</v>
      </c>
      <c r="G928" s="37">
        <v>184.920634920635</v>
      </c>
      <c r="H928" s="37" t="s">
        <v>402</v>
      </c>
      <c r="I928" s="37" t="s">
        <v>402</v>
      </c>
      <c r="J928" s="65" t="s">
        <v>402</v>
      </c>
      <c r="K928" s="65" t="s">
        <v>402</v>
      </c>
      <c r="L928" s="38" t="s">
        <v>637</v>
      </c>
    </row>
    <row r="929" spans="1:12" ht="13">
      <c r="A929" s="18" t="s">
        <v>774</v>
      </c>
      <c r="B929" s="18" t="s">
        <v>301</v>
      </c>
      <c r="C929" s="18" t="s">
        <v>775</v>
      </c>
      <c r="D929" s="18" t="s">
        <v>751</v>
      </c>
      <c r="E929" s="18" t="s">
        <v>776</v>
      </c>
      <c r="F929" s="37">
        <v>2017</v>
      </c>
      <c r="G929" s="37">
        <v>177.777777777778</v>
      </c>
      <c r="H929" s="37" t="s">
        <v>402</v>
      </c>
      <c r="I929" s="37" t="s">
        <v>402</v>
      </c>
      <c r="J929" s="65" t="s">
        <v>402</v>
      </c>
      <c r="K929" s="65" t="s">
        <v>402</v>
      </c>
      <c r="L929" s="38" t="s">
        <v>637</v>
      </c>
    </row>
    <row r="930" spans="1:12" ht="13">
      <c r="A930" s="18" t="s">
        <v>774</v>
      </c>
      <c r="B930" s="18" t="s">
        <v>301</v>
      </c>
      <c r="C930" s="18" t="s">
        <v>775</v>
      </c>
      <c r="D930" s="18" t="s">
        <v>751</v>
      </c>
      <c r="E930" s="18" t="s">
        <v>776</v>
      </c>
      <c r="F930" s="37">
        <v>2018.0370370370399</v>
      </c>
      <c r="G930" s="37">
        <v>157.142857142857</v>
      </c>
      <c r="H930" s="37" t="s">
        <v>402</v>
      </c>
      <c r="I930" s="37" t="s">
        <v>402</v>
      </c>
      <c r="J930" s="65" t="s">
        <v>402</v>
      </c>
      <c r="K930" s="65" t="s">
        <v>402</v>
      </c>
      <c r="L930" s="38" t="s">
        <v>637</v>
      </c>
    </row>
    <row r="931" spans="1:12" ht="13">
      <c r="A931" s="18" t="s">
        <v>774</v>
      </c>
      <c r="B931" s="18" t="s">
        <v>301</v>
      </c>
      <c r="C931" s="18" t="s">
        <v>775</v>
      </c>
      <c r="D931" s="18" t="s">
        <v>751</v>
      </c>
      <c r="E931" s="18" t="s">
        <v>776</v>
      </c>
      <c r="F931" s="37">
        <v>2019</v>
      </c>
      <c r="G931" s="37">
        <v>150.79365079365101</v>
      </c>
      <c r="H931" s="37" t="s">
        <v>402</v>
      </c>
      <c r="I931" s="37" t="s">
        <v>402</v>
      </c>
      <c r="J931" s="65" t="s">
        <v>402</v>
      </c>
      <c r="K931" s="65" t="s">
        <v>402</v>
      </c>
      <c r="L931" s="38" t="s">
        <v>637</v>
      </c>
    </row>
    <row r="932" spans="1:12" ht="13">
      <c r="A932" s="18" t="s">
        <v>774</v>
      </c>
      <c r="B932" s="18" t="s">
        <v>301</v>
      </c>
      <c r="C932" s="18" t="s">
        <v>775</v>
      </c>
      <c r="D932" s="18" t="s">
        <v>751</v>
      </c>
      <c r="E932" s="18" t="s">
        <v>776</v>
      </c>
      <c r="F932" s="37">
        <v>2020</v>
      </c>
      <c r="G932" s="37">
        <v>138.09523809523799</v>
      </c>
      <c r="H932" s="37" t="s">
        <v>402</v>
      </c>
      <c r="I932" s="37" t="s">
        <v>402</v>
      </c>
      <c r="J932" s="65" t="s">
        <v>402</v>
      </c>
      <c r="K932" s="65" t="s">
        <v>402</v>
      </c>
      <c r="L932" s="38" t="s">
        <v>637</v>
      </c>
    </row>
    <row r="933" spans="1:12" ht="13">
      <c r="A933" s="18" t="s">
        <v>774</v>
      </c>
      <c r="B933" s="18" t="s">
        <v>301</v>
      </c>
      <c r="C933" s="18" t="s">
        <v>775</v>
      </c>
      <c r="D933" s="18" t="s">
        <v>751</v>
      </c>
      <c r="E933" s="18" t="s">
        <v>777</v>
      </c>
      <c r="F933" s="37">
        <v>1990</v>
      </c>
      <c r="G933" s="37">
        <v>145.23809523809501</v>
      </c>
      <c r="H933" s="37" t="s">
        <v>402</v>
      </c>
      <c r="I933" s="37" t="s">
        <v>402</v>
      </c>
      <c r="J933" s="65" t="s">
        <v>402</v>
      </c>
      <c r="K933" s="65" t="s">
        <v>402</v>
      </c>
      <c r="L933" s="38" t="s">
        <v>637</v>
      </c>
    </row>
    <row r="934" spans="1:12" ht="13">
      <c r="A934" s="18" t="s">
        <v>774</v>
      </c>
      <c r="B934" s="18" t="s">
        <v>301</v>
      </c>
      <c r="C934" s="18" t="s">
        <v>775</v>
      </c>
      <c r="D934" s="18" t="s">
        <v>751</v>
      </c>
      <c r="E934" s="18" t="s">
        <v>777</v>
      </c>
      <c r="F934" s="37">
        <v>1991.0370370370399</v>
      </c>
      <c r="G934" s="37">
        <v>149.20634920634899</v>
      </c>
      <c r="H934" s="37" t="s">
        <v>402</v>
      </c>
      <c r="I934" s="37" t="s">
        <v>402</v>
      </c>
      <c r="J934" s="65" t="s">
        <v>402</v>
      </c>
      <c r="K934" s="65" t="s">
        <v>402</v>
      </c>
      <c r="L934" s="38" t="s">
        <v>637</v>
      </c>
    </row>
    <row r="935" spans="1:12" ht="13">
      <c r="A935" s="18" t="s">
        <v>774</v>
      </c>
      <c r="B935" s="18" t="s">
        <v>301</v>
      </c>
      <c r="C935" s="18" t="s">
        <v>775</v>
      </c>
      <c r="D935" s="18" t="s">
        <v>751</v>
      </c>
      <c r="E935" s="18" t="s">
        <v>777</v>
      </c>
      <c r="F935" s="37">
        <v>1992.0370370370399</v>
      </c>
      <c r="G935" s="37">
        <v>155.555555555556</v>
      </c>
      <c r="H935" s="37" t="s">
        <v>402</v>
      </c>
      <c r="I935" s="37" t="s">
        <v>402</v>
      </c>
      <c r="J935" s="65" t="s">
        <v>402</v>
      </c>
      <c r="K935" s="65" t="s">
        <v>402</v>
      </c>
      <c r="L935" s="38" t="s">
        <v>637</v>
      </c>
    </row>
    <row r="936" spans="1:12" ht="13">
      <c r="A936" s="18" t="s">
        <v>774</v>
      </c>
      <c r="B936" s="18" t="s">
        <v>301</v>
      </c>
      <c r="C936" s="18" t="s">
        <v>775</v>
      </c>
      <c r="D936" s="18" t="s">
        <v>751</v>
      </c>
      <c r="E936" s="18" t="s">
        <v>777</v>
      </c>
      <c r="F936" s="37">
        <v>1993.0370370370399</v>
      </c>
      <c r="G936" s="37">
        <v>157.93650793650801</v>
      </c>
      <c r="H936" s="37" t="s">
        <v>402</v>
      </c>
      <c r="I936" s="37" t="s">
        <v>402</v>
      </c>
      <c r="J936" s="65" t="s">
        <v>402</v>
      </c>
      <c r="K936" s="65" t="s">
        <v>402</v>
      </c>
      <c r="L936" s="38" t="s">
        <v>637</v>
      </c>
    </row>
    <row r="937" spans="1:12" ht="13">
      <c r="A937" s="18" t="s">
        <v>774</v>
      </c>
      <c r="B937" s="18" t="s">
        <v>301</v>
      </c>
      <c r="C937" s="18" t="s">
        <v>775</v>
      </c>
      <c r="D937" s="18" t="s">
        <v>751</v>
      </c>
      <c r="E937" s="18" t="s">
        <v>777</v>
      </c>
      <c r="F937" s="37">
        <v>1994.0370370370399</v>
      </c>
      <c r="G937" s="37">
        <v>161.90476190476201</v>
      </c>
      <c r="H937" s="37" t="s">
        <v>402</v>
      </c>
      <c r="I937" s="37" t="s">
        <v>402</v>
      </c>
      <c r="J937" s="65" t="s">
        <v>402</v>
      </c>
      <c r="K937" s="65" t="s">
        <v>402</v>
      </c>
      <c r="L937" s="38" t="s">
        <v>637</v>
      </c>
    </row>
    <row r="938" spans="1:12" ht="13">
      <c r="A938" s="18" t="s">
        <v>774</v>
      </c>
      <c r="B938" s="18" t="s">
        <v>301</v>
      </c>
      <c r="C938" s="18" t="s">
        <v>775</v>
      </c>
      <c r="D938" s="18" t="s">
        <v>751</v>
      </c>
      <c r="E938" s="18" t="s">
        <v>777</v>
      </c>
      <c r="F938" s="37">
        <v>1995</v>
      </c>
      <c r="G938" s="37">
        <v>165.87301587301599</v>
      </c>
      <c r="H938" s="37" t="s">
        <v>402</v>
      </c>
      <c r="I938" s="37" t="s">
        <v>402</v>
      </c>
      <c r="J938" s="65" t="s">
        <v>402</v>
      </c>
      <c r="K938" s="65" t="s">
        <v>402</v>
      </c>
      <c r="L938" s="38" t="s">
        <v>637</v>
      </c>
    </row>
    <row r="939" spans="1:12" ht="13">
      <c r="A939" s="18" t="s">
        <v>774</v>
      </c>
      <c r="B939" s="18" t="s">
        <v>301</v>
      </c>
      <c r="C939" s="18" t="s">
        <v>775</v>
      </c>
      <c r="D939" s="18" t="s">
        <v>751</v>
      </c>
      <c r="E939" s="18" t="s">
        <v>777</v>
      </c>
      <c r="F939" s="37">
        <v>1996.0370370370399</v>
      </c>
      <c r="G939" s="37">
        <v>169.04761904761901</v>
      </c>
      <c r="H939" s="37" t="s">
        <v>402</v>
      </c>
      <c r="I939" s="37" t="s">
        <v>402</v>
      </c>
      <c r="J939" s="65" t="s">
        <v>402</v>
      </c>
      <c r="K939" s="65" t="s">
        <v>402</v>
      </c>
      <c r="L939" s="38" t="s">
        <v>637</v>
      </c>
    </row>
    <row r="940" spans="1:12" ht="13">
      <c r="A940" s="18" t="s">
        <v>774</v>
      </c>
      <c r="B940" s="18" t="s">
        <v>301</v>
      </c>
      <c r="C940" s="18" t="s">
        <v>775</v>
      </c>
      <c r="D940" s="18" t="s">
        <v>751</v>
      </c>
      <c r="E940" s="18" t="s">
        <v>777</v>
      </c>
      <c r="F940" s="37">
        <v>1997.0370370370399</v>
      </c>
      <c r="G940" s="37">
        <v>177.777777777778</v>
      </c>
      <c r="H940" s="37" t="s">
        <v>402</v>
      </c>
      <c r="I940" s="37" t="s">
        <v>402</v>
      </c>
      <c r="J940" s="65" t="s">
        <v>402</v>
      </c>
      <c r="K940" s="65" t="s">
        <v>402</v>
      </c>
      <c r="L940" s="38" t="s">
        <v>637</v>
      </c>
    </row>
    <row r="941" spans="1:12" ht="13">
      <c r="A941" s="18" t="s">
        <v>774</v>
      </c>
      <c r="B941" s="18" t="s">
        <v>301</v>
      </c>
      <c r="C941" s="18" t="s">
        <v>775</v>
      </c>
      <c r="D941" s="18" t="s">
        <v>751</v>
      </c>
      <c r="E941" s="18" t="s">
        <v>777</v>
      </c>
      <c r="F941" s="37">
        <v>1998</v>
      </c>
      <c r="G941" s="37">
        <v>179.365079365079</v>
      </c>
      <c r="H941" s="37" t="s">
        <v>402</v>
      </c>
      <c r="I941" s="37" t="s">
        <v>402</v>
      </c>
      <c r="J941" s="65" t="s">
        <v>402</v>
      </c>
      <c r="K941" s="65" t="s">
        <v>402</v>
      </c>
      <c r="L941" s="38" t="s">
        <v>637</v>
      </c>
    </row>
    <row r="942" spans="1:12" ht="13">
      <c r="A942" s="18" t="s">
        <v>774</v>
      </c>
      <c r="B942" s="18" t="s">
        <v>301</v>
      </c>
      <c r="C942" s="18" t="s">
        <v>775</v>
      </c>
      <c r="D942" s="18" t="s">
        <v>751</v>
      </c>
      <c r="E942" s="18" t="s">
        <v>777</v>
      </c>
      <c r="F942" s="37">
        <v>1999.0370370370399</v>
      </c>
      <c r="G942" s="37">
        <v>179.365079365079</v>
      </c>
      <c r="H942" s="37" t="s">
        <v>402</v>
      </c>
      <c r="I942" s="37" t="s">
        <v>402</v>
      </c>
      <c r="J942" s="65" t="s">
        <v>402</v>
      </c>
      <c r="K942" s="65" t="s">
        <v>402</v>
      </c>
      <c r="L942" s="38" t="s">
        <v>637</v>
      </c>
    </row>
    <row r="943" spans="1:12" ht="13">
      <c r="A943" s="18" t="s">
        <v>774</v>
      </c>
      <c r="B943" s="18" t="s">
        <v>301</v>
      </c>
      <c r="C943" s="18" t="s">
        <v>775</v>
      </c>
      <c r="D943" s="18" t="s">
        <v>751</v>
      </c>
      <c r="E943" s="18" t="s">
        <v>777</v>
      </c>
      <c r="F943" s="37">
        <v>2000</v>
      </c>
      <c r="G943" s="37">
        <v>181.746031746032</v>
      </c>
      <c r="H943" s="37" t="s">
        <v>402</v>
      </c>
      <c r="I943" s="37" t="s">
        <v>402</v>
      </c>
      <c r="J943" s="65" t="s">
        <v>402</v>
      </c>
      <c r="K943" s="65" t="s">
        <v>402</v>
      </c>
      <c r="L943" s="38" t="s">
        <v>637</v>
      </c>
    </row>
    <row r="944" spans="1:12" ht="13">
      <c r="A944" s="18" t="s">
        <v>774</v>
      </c>
      <c r="B944" s="18" t="s">
        <v>301</v>
      </c>
      <c r="C944" s="18" t="s">
        <v>775</v>
      </c>
      <c r="D944" s="18" t="s">
        <v>751</v>
      </c>
      <c r="E944" s="18" t="s">
        <v>777</v>
      </c>
      <c r="F944" s="37">
        <v>2001</v>
      </c>
      <c r="G944" s="37">
        <v>192.06349206349199</v>
      </c>
      <c r="H944" s="37" t="s">
        <v>402</v>
      </c>
      <c r="I944" s="37" t="s">
        <v>402</v>
      </c>
      <c r="J944" s="65" t="s">
        <v>402</v>
      </c>
      <c r="K944" s="65" t="s">
        <v>402</v>
      </c>
      <c r="L944" s="38" t="s">
        <v>637</v>
      </c>
    </row>
    <row r="945" spans="1:12" ht="13">
      <c r="A945" s="18" t="s">
        <v>774</v>
      </c>
      <c r="B945" s="18" t="s">
        <v>301</v>
      </c>
      <c r="C945" s="18" t="s">
        <v>775</v>
      </c>
      <c r="D945" s="18" t="s">
        <v>751</v>
      </c>
      <c r="E945" s="18" t="s">
        <v>777</v>
      </c>
      <c r="F945" s="37">
        <v>2002</v>
      </c>
      <c r="G945" s="37">
        <v>199.20634920634899</v>
      </c>
      <c r="H945" s="37" t="s">
        <v>402</v>
      </c>
      <c r="I945" s="37" t="s">
        <v>402</v>
      </c>
      <c r="J945" s="65" t="s">
        <v>402</v>
      </c>
      <c r="K945" s="65" t="s">
        <v>402</v>
      </c>
      <c r="L945" s="38" t="s">
        <v>637</v>
      </c>
    </row>
    <row r="946" spans="1:12" ht="13">
      <c r="A946" s="18" t="s">
        <v>774</v>
      </c>
      <c r="B946" s="18" t="s">
        <v>301</v>
      </c>
      <c r="C946" s="18" t="s">
        <v>775</v>
      </c>
      <c r="D946" s="18" t="s">
        <v>751</v>
      </c>
      <c r="E946" s="18" t="s">
        <v>777</v>
      </c>
      <c r="F946" s="37">
        <v>2003.0370370370399</v>
      </c>
      <c r="G946" s="37">
        <v>211.111111111111</v>
      </c>
      <c r="H946" s="37" t="s">
        <v>402</v>
      </c>
      <c r="I946" s="37" t="s">
        <v>402</v>
      </c>
      <c r="J946" s="65" t="s">
        <v>402</v>
      </c>
      <c r="K946" s="65" t="s">
        <v>402</v>
      </c>
      <c r="L946" s="38" t="s">
        <v>637</v>
      </c>
    </row>
    <row r="947" spans="1:12" ht="13">
      <c r="A947" s="18" t="s">
        <v>774</v>
      </c>
      <c r="B947" s="18" t="s">
        <v>301</v>
      </c>
      <c r="C947" s="18" t="s">
        <v>775</v>
      </c>
      <c r="D947" s="18" t="s">
        <v>751</v>
      </c>
      <c r="E947" s="18" t="s">
        <v>777</v>
      </c>
      <c r="F947" s="37">
        <v>2004</v>
      </c>
      <c r="G947" s="37">
        <v>218.253968253968</v>
      </c>
      <c r="H947" s="37" t="s">
        <v>402</v>
      </c>
      <c r="I947" s="37" t="s">
        <v>402</v>
      </c>
      <c r="J947" s="65" t="s">
        <v>402</v>
      </c>
      <c r="K947" s="65" t="s">
        <v>402</v>
      </c>
      <c r="L947" s="38" t="s">
        <v>637</v>
      </c>
    </row>
    <row r="948" spans="1:12" ht="13">
      <c r="A948" s="18" t="s">
        <v>774</v>
      </c>
      <c r="B948" s="18" t="s">
        <v>301</v>
      </c>
      <c r="C948" s="18" t="s">
        <v>775</v>
      </c>
      <c r="D948" s="18" t="s">
        <v>751</v>
      </c>
      <c r="E948" s="18" t="s">
        <v>777</v>
      </c>
      <c r="F948" s="37">
        <v>2005</v>
      </c>
      <c r="G948" s="37">
        <v>229.365079365079</v>
      </c>
      <c r="H948" s="37" t="s">
        <v>402</v>
      </c>
      <c r="I948" s="37" t="s">
        <v>402</v>
      </c>
      <c r="J948" s="65" t="s">
        <v>402</v>
      </c>
      <c r="K948" s="65" t="s">
        <v>402</v>
      </c>
      <c r="L948" s="38" t="s">
        <v>637</v>
      </c>
    </row>
    <row r="949" spans="1:12" ht="13">
      <c r="A949" s="18" t="s">
        <v>774</v>
      </c>
      <c r="B949" s="18" t="s">
        <v>301</v>
      </c>
      <c r="C949" s="18" t="s">
        <v>775</v>
      </c>
      <c r="D949" s="18" t="s">
        <v>751</v>
      </c>
      <c r="E949" s="18" t="s">
        <v>777</v>
      </c>
      <c r="F949" s="37">
        <v>2006.0370370370399</v>
      </c>
      <c r="G949" s="37">
        <v>240.47619047619</v>
      </c>
      <c r="H949" s="37" t="s">
        <v>402</v>
      </c>
      <c r="I949" s="37" t="s">
        <v>402</v>
      </c>
      <c r="J949" s="65" t="s">
        <v>402</v>
      </c>
      <c r="K949" s="65" t="s">
        <v>402</v>
      </c>
      <c r="L949" s="38" t="s">
        <v>637</v>
      </c>
    </row>
    <row r="950" spans="1:12" ht="13">
      <c r="A950" s="18" t="s">
        <v>774</v>
      </c>
      <c r="B950" s="18" t="s">
        <v>301</v>
      </c>
      <c r="C950" s="18" t="s">
        <v>775</v>
      </c>
      <c r="D950" s="18" t="s">
        <v>751</v>
      </c>
      <c r="E950" s="18" t="s">
        <v>777</v>
      </c>
      <c r="F950" s="37">
        <v>2007.0370370370399</v>
      </c>
      <c r="G950" s="37">
        <v>250</v>
      </c>
      <c r="H950" s="37" t="s">
        <v>402</v>
      </c>
      <c r="I950" s="37" t="s">
        <v>402</v>
      </c>
      <c r="J950" s="65" t="s">
        <v>402</v>
      </c>
      <c r="K950" s="65" t="s">
        <v>402</v>
      </c>
      <c r="L950" s="38" t="s">
        <v>637</v>
      </c>
    </row>
    <row r="951" spans="1:12" ht="13">
      <c r="A951" s="18" t="s">
        <v>774</v>
      </c>
      <c r="B951" s="18" t="s">
        <v>301</v>
      </c>
      <c r="C951" s="18" t="s">
        <v>775</v>
      </c>
      <c r="D951" s="18" t="s">
        <v>751</v>
      </c>
      <c r="E951" s="18" t="s">
        <v>777</v>
      </c>
      <c r="F951" s="37">
        <v>2008.0370370370399</v>
      </c>
      <c r="G951" s="37">
        <v>261.11111111111097</v>
      </c>
      <c r="H951" s="37" t="s">
        <v>402</v>
      </c>
      <c r="I951" s="37" t="s">
        <v>402</v>
      </c>
      <c r="J951" s="65" t="s">
        <v>402</v>
      </c>
      <c r="K951" s="65" t="s">
        <v>402</v>
      </c>
      <c r="L951" s="38" t="s">
        <v>637</v>
      </c>
    </row>
    <row r="952" spans="1:12" ht="13">
      <c r="A952" s="18" t="s">
        <v>774</v>
      </c>
      <c r="B952" s="18" t="s">
        <v>301</v>
      </c>
      <c r="C952" s="18" t="s">
        <v>775</v>
      </c>
      <c r="D952" s="18" t="s">
        <v>751</v>
      </c>
      <c r="E952" s="18" t="s">
        <v>777</v>
      </c>
      <c r="F952" s="37">
        <v>2009.0370370370399</v>
      </c>
      <c r="G952" s="37">
        <v>273.01587301587301</v>
      </c>
      <c r="H952" s="37" t="s">
        <v>402</v>
      </c>
      <c r="I952" s="37" t="s">
        <v>402</v>
      </c>
      <c r="J952" s="65" t="s">
        <v>402</v>
      </c>
      <c r="K952" s="65" t="s">
        <v>402</v>
      </c>
      <c r="L952" s="38" t="s">
        <v>637</v>
      </c>
    </row>
    <row r="953" spans="1:12" ht="13">
      <c r="A953" s="18" t="s">
        <v>774</v>
      </c>
      <c r="B953" s="18" t="s">
        <v>301</v>
      </c>
      <c r="C953" s="18" t="s">
        <v>775</v>
      </c>
      <c r="D953" s="18" t="s">
        <v>751</v>
      </c>
      <c r="E953" s="18" t="s">
        <v>777</v>
      </c>
      <c r="F953" s="37">
        <v>2010</v>
      </c>
      <c r="G953" s="37">
        <v>280.95238095238102</v>
      </c>
      <c r="H953" s="37" t="s">
        <v>402</v>
      </c>
      <c r="I953" s="37" t="s">
        <v>402</v>
      </c>
      <c r="J953" s="65" t="s">
        <v>402</v>
      </c>
      <c r="K953" s="65" t="s">
        <v>402</v>
      </c>
      <c r="L953" s="38" t="s">
        <v>637</v>
      </c>
    </row>
    <row r="954" spans="1:12" ht="13">
      <c r="A954" s="18" t="s">
        <v>774</v>
      </c>
      <c r="B954" s="18" t="s">
        <v>301</v>
      </c>
      <c r="C954" s="18" t="s">
        <v>775</v>
      </c>
      <c r="D954" s="18" t="s">
        <v>751</v>
      </c>
      <c r="E954" s="18" t="s">
        <v>777</v>
      </c>
      <c r="F954" s="37">
        <v>2011.0370370370399</v>
      </c>
      <c r="G954" s="37">
        <v>280.95238095238102</v>
      </c>
      <c r="H954" s="37" t="s">
        <v>402</v>
      </c>
      <c r="I954" s="37" t="s">
        <v>402</v>
      </c>
      <c r="J954" s="65" t="s">
        <v>402</v>
      </c>
      <c r="K954" s="65" t="s">
        <v>402</v>
      </c>
      <c r="L954" s="38" t="s">
        <v>637</v>
      </c>
    </row>
    <row r="955" spans="1:12" ht="13">
      <c r="A955" s="18" t="s">
        <v>774</v>
      </c>
      <c r="B955" s="18" t="s">
        <v>301</v>
      </c>
      <c r="C955" s="18" t="s">
        <v>775</v>
      </c>
      <c r="D955" s="18" t="s">
        <v>751</v>
      </c>
      <c r="E955" s="18" t="s">
        <v>777</v>
      </c>
      <c r="F955" s="37">
        <v>2012</v>
      </c>
      <c r="G955" s="37">
        <v>278.57142857142901</v>
      </c>
      <c r="H955" s="37" t="s">
        <v>402</v>
      </c>
      <c r="I955" s="37" t="s">
        <v>402</v>
      </c>
      <c r="J955" s="65" t="s">
        <v>402</v>
      </c>
      <c r="K955" s="65" t="s">
        <v>402</v>
      </c>
      <c r="L955" s="38" t="s">
        <v>637</v>
      </c>
    </row>
    <row r="956" spans="1:12" ht="13">
      <c r="A956" s="18" t="s">
        <v>774</v>
      </c>
      <c r="B956" s="18" t="s">
        <v>301</v>
      </c>
      <c r="C956" s="18" t="s">
        <v>775</v>
      </c>
      <c r="D956" s="18" t="s">
        <v>751</v>
      </c>
      <c r="E956" s="18" t="s">
        <v>777</v>
      </c>
      <c r="F956" s="37">
        <v>2013</v>
      </c>
      <c r="G956" s="37">
        <v>279.365079365079</v>
      </c>
      <c r="H956" s="37" t="s">
        <v>402</v>
      </c>
      <c r="I956" s="37" t="s">
        <v>402</v>
      </c>
      <c r="J956" s="65" t="s">
        <v>402</v>
      </c>
      <c r="K956" s="65" t="s">
        <v>402</v>
      </c>
      <c r="L956" s="38" t="s">
        <v>637</v>
      </c>
    </row>
    <row r="957" spans="1:12" ht="13">
      <c r="A957" s="18" t="s">
        <v>774</v>
      </c>
      <c r="B957" s="18" t="s">
        <v>301</v>
      </c>
      <c r="C957" s="18" t="s">
        <v>775</v>
      </c>
      <c r="D957" s="18" t="s">
        <v>751</v>
      </c>
      <c r="E957" s="18" t="s">
        <v>777</v>
      </c>
      <c r="F957" s="37">
        <v>2014.0370370370399</v>
      </c>
      <c r="G957" s="37">
        <v>280.15873015873001</v>
      </c>
      <c r="H957" s="37" t="s">
        <v>402</v>
      </c>
      <c r="I957" s="37" t="s">
        <v>402</v>
      </c>
      <c r="J957" s="65" t="s">
        <v>402</v>
      </c>
      <c r="K957" s="65" t="s">
        <v>402</v>
      </c>
      <c r="L957" s="38" t="s">
        <v>637</v>
      </c>
    </row>
    <row r="958" spans="1:12" ht="13">
      <c r="A958" s="18" t="s">
        <v>774</v>
      </c>
      <c r="B958" s="18" t="s">
        <v>301</v>
      </c>
      <c r="C958" s="18" t="s">
        <v>775</v>
      </c>
      <c r="D958" s="18" t="s">
        <v>751</v>
      </c>
      <c r="E958" s="18" t="s">
        <v>777</v>
      </c>
      <c r="F958" s="37">
        <v>2015</v>
      </c>
      <c r="G958" s="37">
        <v>275.39682539682502</v>
      </c>
      <c r="H958" s="37" t="s">
        <v>402</v>
      </c>
      <c r="I958" s="37" t="s">
        <v>402</v>
      </c>
      <c r="J958" s="65" t="s">
        <v>402</v>
      </c>
      <c r="K958" s="65" t="s">
        <v>402</v>
      </c>
      <c r="L958" s="38" t="s">
        <v>637</v>
      </c>
    </row>
    <row r="959" spans="1:12" ht="13">
      <c r="A959" s="18" t="s">
        <v>774</v>
      </c>
      <c r="B959" s="18" t="s">
        <v>301</v>
      </c>
      <c r="C959" s="18" t="s">
        <v>775</v>
      </c>
      <c r="D959" s="18" t="s">
        <v>751</v>
      </c>
      <c r="E959" s="18" t="s">
        <v>777</v>
      </c>
      <c r="F959" s="37">
        <v>2016.0370370370399</v>
      </c>
      <c r="G959" s="37">
        <v>265.87301587301602</v>
      </c>
      <c r="H959" s="37" t="s">
        <v>402</v>
      </c>
      <c r="I959" s="37" t="s">
        <v>402</v>
      </c>
      <c r="J959" s="65" t="s">
        <v>402</v>
      </c>
      <c r="K959" s="65" t="s">
        <v>402</v>
      </c>
      <c r="L959" s="38" t="s">
        <v>637</v>
      </c>
    </row>
    <row r="960" spans="1:12" ht="13">
      <c r="A960" s="18" t="s">
        <v>774</v>
      </c>
      <c r="B960" s="18" t="s">
        <v>301</v>
      </c>
      <c r="C960" s="18" t="s">
        <v>775</v>
      </c>
      <c r="D960" s="18" t="s">
        <v>751</v>
      </c>
      <c r="E960" s="18" t="s">
        <v>777</v>
      </c>
      <c r="F960" s="37">
        <v>2017</v>
      </c>
      <c r="G960" s="37">
        <v>250</v>
      </c>
      <c r="H960" s="37" t="s">
        <v>402</v>
      </c>
      <c r="I960" s="37" t="s">
        <v>402</v>
      </c>
      <c r="J960" s="65" t="s">
        <v>402</v>
      </c>
      <c r="K960" s="65" t="s">
        <v>402</v>
      </c>
      <c r="L960" s="38" t="s">
        <v>637</v>
      </c>
    </row>
    <row r="961" spans="1:12" ht="13">
      <c r="A961" s="18" t="s">
        <v>774</v>
      </c>
      <c r="B961" s="18" t="s">
        <v>301</v>
      </c>
      <c r="C961" s="18" t="s">
        <v>775</v>
      </c>
      <c r="D961" s="18" t="s">
        <v>751</v>
      </c>
      <c r="E961" s="18" t="s">
        <v>777</v>
      </c>
      <c r="F961" s="37">
        <v>2018.0370370370399</v>
      </c>
      <c r="G961" s="37">
        <v>227.777777777778</v>
      </c>
      <c r="H961" s="37" t="s">
        <v>402</v>
      </c>
      <c r="I961" s="37" t="s">
        <v>402</v>
      </c>
      <c r="J961" s="65" t="s">
        <v>402</v>
      </c>
      <c r="K961" s="65" t="s">
        <v>402</v>
      </c>
      <c r="L961" s="38" t="s">
        <v>637</v>
      </c>
    </row>
    <row r="962" spans="1:12" ht="13">
      <c r="A962" s="18" t="s">
        <v>774</v>
      </c>
      <c r="B962" s="18" t="s">
        <v>301</v>
      </c>
      <c r="C962" s="18" t="s">
        <v>775</v>
      </c>
      <c r="D962" s="18" t="s">
        <v>751</v>
      </c>
      <c r="E962" s="18" t="s">
        <v>777</v>
      </c>
      <c r="F962" s="37">
        <v>2019.0370370370399</v>
      </c>
      <c r="G962" s="37">
        <v>215.079365079365</v>
      </c>
      <c r="H962" s="37" t="s">
        <v>402</v>
      </c>
      <c r="I962" s="37" t="s">
        <v>402</v>
      </c>
      <c r="J962" s="65" t="s">
        <v>402</v>
      </c>
      <c r="K962" s="65" t="s">
        <v>402</v>
      </c>
      <c r="L962" s="38" t="s">
        <v>637</v>
      </c>
    </row>
    <row r="963" spans="1:12" ht="13">
      <c r="A963" s="18" t="s">
        <v>774</v>
      </c>
      <c r="B963" s="18" t="s">
        <v>301</v>
      </c>
      <c r="C963" s="18" t="s">
        <v>775</v>
      </c>
      <c r="D963" s="18" t="s">
        <v>751</v>
      </c>
      <c r="E963" s="18" t="s">
        <v>777</v>
      </c>
      <c r="F963" s="37">
        <v>2020</v>
      </c>
      <c r="G963" s="37">
        <v>199.20634920634899</v>
      </c>
      <c r="H963" s="37" t="s">
        <v>402</v>
      </c>
      <c r="I963" s="37" t="s">
        <v>402</v>
      </c>
      <c r="J963" s="65" t="s">
        <v>402</v>
      </c>
      <c r="K963" s="65" t="s">
        <v>402</v>
      </c>
      <c r="L963" s="38" t="s">
        <v>637</v>
      </c>
    </row>
    <row r="964" spans="1:12" ht="13">
      <c r="A964" s="18" t="s">
        <v>774</v>
      </c>
      <c r="B964" s="18" t="s">
        <v>301</v>
      </c>
      <c r="C964" s="18" t="s">
        <v>775</v>
      </c>
      <c r="D964" s="18" t="s">
        <v>751</v>
      </c>
      <c r="E964" s="18" t="s">
        <v>622</v>
      </c>
      <c r="F964" s="18">
        <v>1990</v>
      </c>
      <c r="G964" s="40">
        <v>262</v>
      </c>
      <c r="H964" s="40" t="s">
        <v>402</v>
      </c>
      <c r="I964" s="37" t="s">
        <v>402</v>
      </c>
      <c r="J964" s="65" t="s">
        <v>402</v>
      </c>
      <c r="K964" s="65" t="s">
        <v>402</v>
      </c>
      <c r="L964" s="38" t="s">
        <v>637</v>
      </c>
    </row>
    <row r="965" spans="1:12" ht="13">
      <c r="A965" s="18" t="s">
        <v>774</v>
      </c>
      <c r="B965" s="18" t="s">
        <v>301</v>
      </c>
      <c r="C965" s="18" t="s">
        <v>775</v>
      </c>
      <c r="D965" s="18" t="s">
        <v>751</v>
      </c>
      <c r="E965" s="18" t="s">
        <v>622</v>
      </c>
      <c r="F965" s="18">
        <v>1991</v>
      </c>
      <c r="G965" s="40">
        <v>270</v>
      </c>
      <c r="H965" s="40">
        <f t="shared" ref="H965:I965" si="841">F965-F964</f>
        <v>1</v>
      </c>
      <c r="I965" s="40">
        <f t="shared" si="841"/>
        <v>8</v>
      </c>
      <c r="J965" s="66">
        <f t="shared" ref="J965:J994" si="842">I965/G964</f>
        <v>3.0534351145038167E-2</v>
      </c>
      <c r="K965" s="65">
        <f t="shared" ref="K965:K994" si="843">J965/H965</f>
        <v>3.0534351145038167E-2</v>
      </c>
      <c r="L965" s="38" t="s">
        <v>637</v>
      </c>
    </row>
    <row r="966" spans="1:12" ht="13">
      <c r="A966" s="18" t="s">
        <v>774</v>
      </c>
      <c r="B966" s="18" t="s">
        <v>301</v>
      </c>
      <c r="C966" s="18" t="s">
        <v>775</v>
      </c>
      <c r="D966" s="18" t="s">
        <v>751</v>
      </c>
      <c r="E966" s="18" t="s">
        <v>622</v>
      </c>
      <c r="F966" s="18">
        <v>1992</v>
      </c>
      <c r="G966" s="40">
        <v>281</v>
      </c>
      <c r="H966" s="40">
        <f t="shared" ref="H966:I966" si="844">F966-F965</f>
        <v>1</v>
      </c>
      <c r="I966" s="40">
        <f t="shared" si="844"/>
        <v>11</v>
      </c>
      <c r="J966" s="66">
        <f t="shared" si="842"/>
        <v>4.0740740740740744E-2</v>
      </c>
      <c r="K966" s="65">
        <f t="shared" si="843"/>
        <v>4.0740740740740744E-2</v>
      </c>
      <c r="L966" s="38" t="s">
        <v>637</v>
      </c>
    </row>
    <row r="967" spans="1:12" ht="13">
      <c r="A967" s="18" t="s">
        <v>774</v>
      </c>
      <c r="B967" s="18" t="s">
        <v>301</v>
      </c>
      <c r="C967" s="18" t="s">
        <v>775</v>
      </c>
      <c r="D967" s="18" t="s">
        <v>751</v>
      </c>
      <c r="E967" s="18" t="s">
        <v>622</v>
      </c>
      <c r="F967" s="18">
        <v>1993</v>
      </c>
      <c r="G967" s="40">
        <v>276</v>
      </c>
      <c r="H967" s="40">
        <f t="shared" ref="H967:I967" si="845">F967-F966</f>
        <v>1</v>
      </c>
      <c r="I967" s="40">
        <f t="shared" si="845"/>
        <v>-5</v>
      </c>
      <c r="J967" s="66">
        <f t="shared" si="842"/>
        <v>-1.7793594306049824E-2</v>
      </c>
      <c r="K967" s="65">
        <f t="shared" si="843"/>
        <v>-1.7793594306049824E-2</v>
      </c>
      <c r="L967" s="38" t="s">
        <v>637</v>
      </c>
    </row>
    <row r="968" spans="1:12" ht="13">
      <c r="A968" s="18" t="s">
        <v>774</v>
      </c>
      <c r="B968" s="18" t="s">
        <v>301</v>
      </c>
      <c r="C968" s="18" t="s">
        <v>775</v>
      </c>
      <c r="D968" s="18" t="s">
        <v>751</v>
      </c>
      <c r="E968" s="18" t="s">
        <v>622</v>
      </c>
      <c r="F968" s="18">
        <v>1994</v>
      </c>
      <c r="G968" s="40">
        <v>286</v>
      </c>
      <c r="H968" s="40">
        <f t="shared" ref="H968:I968" si="846">F968-F967</f>
        <v>1</v>
      </c>
      <c r="I968" s="40">
        <f t="shared" si="846"/>
        <v>10</v>
      </c>
      <c r="J968" s="66">
        <f t="shared" si="842"/>
        <v>3.6231884057971016E-2</v>
      </c>
      <c r="K968" s="65">
        <f t="shared" si="843"/>
        <v>3.6231884057971016E-2</v>
      </c>
      <c r="L968" s="38" t="s">
        <v>637</v>
      </c>
    </row>
    <row r="969" spans="1:12" ht="13">
      <c r="A969" s="18" t="s">
        <v>774</v>
      </c>
      <c r="B969" s="18" t="s">
        <v>301</v>
      </c>
      <c r="C969" s="18" t="s">
        <v>775</v>
      </c>
      <c r="D969" s="18" t="s">
        <v>751</v>
      </c>
      <c r="E969" s="18" t="s">
        <v>622</v>
      </c>
      <c r="F969" s="18">
        <v>1995</v>
      </c>
      <c r="G969" s="40">
        <v>292</v>
      </c>
      <c r="H969" s="40">
        <f t="shared" ref="H969:I969" si="847">F969-F968</f>
        <v>1</v>
      </c>
      <c r="I969" s="40">
        <f t="shared" si="847"/>
        <v>6</v>
      </c>
      <c r="J969" s="66">
        <f t="shared" si="842"/>
        <v>2.097902097902098E-2</v>
      </c>
      <c r="K969" s="65">
        <f t="shared" si="843"/>
        <v>2.097902097902098E-2</v>
      </c>
      <c r="L969" s="38" t="s">
        <v>637</v>
      </c>
    </row>
    <row r="970" spans="1:12" ht="13">
      <c r="A970" s="18" t="s">
        <v>774</v>
      </c>
      <c r="B970" s="18" t="s">
        <v>301</v>
      </c>
      <c r="C970" s="18" t="s">
        <v>775</v>
      </c>
      <c r="D970" s="18" t="s">
        <v>751</v>
      </c>
      <c r="E970" s="18" t="s">
        <v>622</v>
      </c>
      <c r="F970" s="18">
        <v>1996</v>
      </c>
      <c r="G970" s="40">
        <v>303</v>
      </c>
      <c r="H970" s="40">
        <f t="shared" ref="H970:I970" si="848">F970-F969</f>
        <v>1</v>
      </c>
      <c r="I970" s="40">
        <f t="shared" si="848"/>
        <v>11</v>
      </c>
      <c r="J970" s="66">
        <f t="shared" si="842"/>
        <v>3.7671232876712327E-2</v>
      </c>
      <c r="K970" s="65">
        <f t="shared" si="843"/>
        <v>3.7671232876712327E-2</v>
      </c>
      <c r="L970" s="38" t="s">
        <v>637</v>
      </c>
    </row>
    <row r="971" spans="1:12" ht="13">
      <c r="A971" s="18" t="s">
        <v>774</v>
      </c>
      <c r="B971" s="18" t="s">
        <v>301</v>
      </c>
      <c r="C971" s="18" t="s">
        <v>775</v>
      </c>
      <c r="D971" s="18" t="s">
        <v>751</v>
      </c>
      <c r="E971" s="18" t="s">
        <v>622</v>
      </c>
      <c r="F971" s="18">
        <v>1997</v>
      </c>
      <c r="G971" s="40">
        <v>313</v>
      </c>
      <c r="H971" s="40">
        <f t="shared" ref="H971:I971" si="849">F971-F970</f>
        <v>1</v>
      </c>
      <c r="I971" s="40">
        <f t="shared" si="849"/>
        <v>10</v>
      </c>
      <c r="J971" s="66">
        <f t="shared" si="842"/>
        <v>3.3003300330033E-2</v>
      </c>
      <c r="K971" s="65">
        <f t="shared" si="843"/>
        <v>3.3003300330033E-2</v>
      </c>
      <c r="L971" s="38" t="s">
        <v>637</v>
      </c>
    </row>
    <row r="972" spans="1:12" ht="13">
      <c r="A972" s="18" t="s">
        <v>774</v>
      </c>
      <c r="B972" s="18" t="s">
        <v>301</v>
      </c>
      <c r="C972" s="18" t="s">
        <v>775</v>
      </c>
      <c r="D972" s="18" t="s">
        <v>751</v>
      </c>
      <c r="E972" s="18" t="s">
        <v>622</v>
      </c>
      <c r="F972" s="18">
        <v>1998</v>
      </c>
      <c r="G972" s="40">
        <v>312</v>
      </c>
      <c r="H972" s="40">
        <f t="shared" ref="H972:I972" si="850">F972-F971</f>
        <v>1</v>
      </c>
      <c r="I972" s="40">
        <f t="shared" si="850"/>
        <v>-1</v>
      </c>
      <c r="J972" s="66">
        <f t="shared" si="842"/>
        <v>-3.1948881789137379E-3</v>
      </c>
      <c r="K972" s="65">
        <f t="shared" si="843"/>
        <v>-3.1948881789137379E-3</v>
      </c>
      <c r="L972" s="38" t="s">
        <v>637</v>
      </c>
    </row>
    <row r="973" spans="1:12" ht="13">
      <c r="A973" s="18" t="s">
        <v>774</v>
      </c>
      <c r="B973" s="18" t="s">
        <v>301</v>
      </c>
      <c r="C973" s="18" t="s">
        <v>775</v>
      </c>
      <c r="D973" s="18" t="s">
        <v>751</v>
      </c>
      <c r="E973" s="18" t="s">
        <v>622</v>
      </c>
      <c r="F973" s="18">
        <v>1999</v>
      </c>
      <c r="G973" s="40">
        <v>311</v>
      </c>
      <c r="H973" s="40">
        <f t="shared" ref="H973:I973" si="851">F973-F972</f>
        <v>1</v>
      </c>
      <c r="I973" s="40">
        <f t="shared" si="851"/>
        <v>-1</v>
      </c>
      <c r="J973" s="66">
        <f t="shared" si="842"/>
        <v>-3.205128205128205E-3</v>
      </c>
      <c r="K973" s="65">
        <f t="shared" si="843"/>
        <v>-3.205128205128205E-3</v>
      </c>
      <c r="L973" s="38" t="s">
        <v>637</v>
      </c>
    </row>
    <row r="974" spans="1:12" ht="13">
      <c r="A974" s="18" t="s">
        <v>774</v>
      </c>
      <c r="B974" s="18" t="s">
        <v>301</v>
      </c>
      <c r="C974" s="18" t="s">
        <v>775</v>
      </c>
      <c r="D974" s="18" t="s">
        <v>751</v>
      </c>
      <c r="E974" s="18" t="s">
        <v>622</v>
      </c>
      <c r="F974" s="18">
        <v>2000</v>
      </c>
      <c r="G974" s="40">
        <v>308</v>
      </c>
      <c r="H974" s="40">
        <f t="shared" ref="H974:I974" si="852">F974-F973</f>
        <v>1</v>
      </c>
      <c r="I974" s="40">
        <f t="shared" si="852"/>
        <v>-3</v>
      </c>
      <c r="J974" s="66">
        <f t="shared" si="842"/>
        <v>-9.6463022508038593E-3</v>
      </c>
      <c r="K974" s="65">
        <f t="shared" si="843"/>
        <v>-9.6463022508038593E-3</v>
      </c>
      <c r="L974" s="38" t="s">
        <v>637</v>
      </c>
    </row>
    <row r="975" spans="1:12" ht="13">
      <c r="A975" s="18" t="s">
        <v>774</v>
      </c>
      <c r="B975" s="18" t="s">
        <v>301</v>
      </c>
      <c r="C975" s="18" t="s">
        <v>775</v>
      </c>
      <c r="D975" s="18" t="s">
        <v>751</v>
      </c>
      <c r="E975" s="18" t="s">
        <v>622</v>
      </c>
      <c r="F975" s="18">
        <v>2001</v>
      </c>
      <c r="G975" s="40">
        <v>333</v>
      </c>
      <c r="H975" s="40">
        <f t="shared" ref="H975:I975" si="853">F975-F974</f>
        <v>1</v>
      </c>
      <c r="I975" s="40">
        <f t="shared" si="853"/>
        <v>25</v>
      </c>
      <c r="J975" s="66">
        <f t="shared" si="842"/>
        <v>8.1168831168831168E-2</v>
      </c>
      <c r="K975" s="65">
        <f t="shared" si="843"/>
        <v>8.1168831168831168E-2</v>
      </c>
      <c r="L975" s="38" t="s">
        <v>637</v>
      </c>
    </row>
    <row r="976" spans="1:12" ht="13">
      <c r="A976" s="18" t="s">
        <v>774</v>
      </c>
      <c r="B976" s="18" t="s">
        <v>301</v>
      </c>
      <c r="C976" s="18" t="s">
        <v>775</v>
      </c>
      <c r="D976" s="18" t="s">
        <v>751</v>
      </c>
      <c r="E976" s="18" t="s">
        <v>622</v>
      </c>
      <c r="F976" s="18">
        <v>2002</v>
      </c>
      <c r="G976" s="40">
        <v>346</v>
      </c>
      <c r="H976" s="40">
        <f t="shared" ref="H976:I976" si="854">F976-F975</f>
        <v>1</v>
      </c>
      <c r="I976" s="40">
        <f t="shared" si="854"/>
        <v>13</v>
      </c>
      <c r="J976" s="66">
        <f t="shared" si="842"/>
        <v>3.903903903903904E-2</v>
      </c>
      <c r="K976" s="65">
        <f t="shared" si="843"/>
        <v>3.903903903903904E-2</v>
      </c>
      <c r="L976" s="38" t="s">
        <v>637</v>
      </c>
    </row>
    <row r="977" spans="1:12" ht="13">
      <c r="A977" s="18" t="s">
        <v>774</v>
      </c>
      <c r="B977" s="18" t="s">
        <v>301</v>
      </c>
      <c r="C977" s="18" t="s">
        <v>775</v>
      </c>
      <c r="D977" s="18" t="s">
        <v>751</v>
      </c>
      <c r="E977" s="18" t="s">
        <v>622</v>
      </c>
      <c r="F977" s="18">
        <v>2003</v>
      </c>
      <c r="G977" s="40">
        <v>359</v>
      </c>
      <c r="H977" s="40">
        <f t="shared" ref="H977:I977" si="855">F977-F976</f>
        <v>1</v>
      </c>
      <c r="I977" s="40">
        <f t="shared" si="855"/>
        <v>13</v>
      </c>
      <c r="J977" s="66">
        <f t="shared" si="842"/>
        <v>3.7572254335260118E-2</v>
      </c>
      <c r="K977" s="65">
        <f t="shared" si="843"/>
        <v>3.7572254335260118E-2</v>
      </c>
      <c r="L977" s="38" t="s">
        <v>637</v>
      </c>
    </row>
    <row r="978" spans="1:12" ht="13">
      <c r="A978" s="18" t="s">
        <v>774</v>
      </c>
      <c r="B978" s="18" t="s">
        <v>301</v>
      </c>
      <c r="C978" s="18" t="s">
        <v>775</v>
      </c>
      <c r="D978" s="18" t="s">
        <v>751</v>
      </c>
      <c r="E978" s="18" t="s">
        <v>622</v>
      </c>
      <c r="F978" s="18">
        <v>2004</v>
      </c>
      <c r="G978" s="40">
        <v>368</v>
      </c>
      <c r="H978" s="40">
        <f t="shared" ref="H978:I978" si="856">F978-F977</f>
        <v>1</v>
      </c>
      <c r="I978" s="40">
        <f t="shared" si="856"/>
        <v>9</v>
      </c>
      <c r="J978" s="66">
        <f t="shared" si="842"/>
        <v>2.5069637883008356E-2</v>
      </c>
      <c r="K978" s="65">
        <f t="shared" si="843"/>
        <v>2.5069637883008356E-2</v>
      </c>
      <c r="L978" s="38" t="s">
        <v>637</v>
      </c>
    </row>
    <row r="979" spans="1:12" ht="13">
      <c r="A979" s="18" t="s">
        <v>774</v>
      </c>
      <c r="B979" s="18" t="s">
        <v>301</v>
      </c>
      <c r="C979" s="18" t="s">
        <v>775</v>
      </c>
      <c r="D979" s="18" t="s">
        <v>751</v>
      </c>
      <c r="E979" s="18" t="s">
        <v>622</v>
      </c>
      <c r="F979" s="18">
        <v>2005</v>
      </c>
      <c r="G979" s="40">
        <v>391</v>
      </c>
      <c r="H979" s="40">
        <f t="shared" ref="H979:I979" si="857">F979-F978</f>
        <v>1</v>
      </c>
      <c r="I979" s="40">
        <f t="shared" si="857"/>
        <v>23</v>
      </c>
      <c r="J979" s="66">
        <f t="shared" si="842"/>
        <v>6.25E-2</v>
      </c>
      <c r="K979" s="65">
        <f t="shared" si="843"/>
        <v>6.25E-2</v>
      </c>
      <c r="L979" s="38" t="s">
        <v>637</v>
      </c>
    </row>
    <row r="980" spans="1:12" ht="13">
      <c r="A980" s="18" t="s">
        <v>774</v>
      </c>
      <c r="B980" s="18" t="s">
        <v>301</v>
      </c>
      <c r="C980" s="18" t="s">
        <v>775</v>
      </c>
      <c r="D980" s="18" t="s">
        <v>751</v>
      </c>
      <c r="E980" s="18" t="s">
        <v>622</v>
      </c>
      <c r="F980" s="18">
        <v>2006</v>
      </c>
      <c r="G980" s="40">
        <v>403</v>
      </c>
      <c r="H980" s="40">
        <f t="shared" ref="H980:I980" si="858">F980-F979</f>
        <v>1</v>
      </c>
      <c r="I980" s="40">
        <f t="shared" si="858"/>
        <v>12</v>
      </c>
      <c r="J980" s="66">
        <f t="shared" si="842"/>
        <v>3.0690537084398978E-2</v>
      </c>
      <c r="K980" s="65">
        <f t="shared" si="843"/>
        <v>3.0690537084398978E-2</v>
      </c>
      <c r="L980" s="38" t="s">
        <v>637</v>
      </c>
    </row>
    <row r="981" spans="1:12" ht="13">
      <c r="A981" s="18" t="s">
        <v>774</v>
      </c>
      <c r="B981" s="18" t="s">
        <v>301</v>
      </c>
      <c r="C981" s="18" t="s">
        <v>775</v>
      </c>
      <c r="D981" s="18" t="s">
        <v>751</v>
      </c>
      <c r="E981" s="18" t="s">
        <v>622</v>
      </c>
      <c r="F981" s="18">
        <v>2007</v>
      </c>
      <c r="G981" s="40">
        <v>412</v>
      </c>
      <c r="H981" s="40">
        <f t="shared" ref="H981:I981" si="859">F981-F980</f>
        <v>1</v>
      </c>
      <c r="I981" s="40">
        <f t="shared" si="859"/>
        <v>9</v>
      </c>
      <c r="J981" s="66">
        <f t="shared" si="842"/>
        <v>2.2332506203473945E-2</v>
      </c>
      <c r="K981" s="65">
        <f t="shared" si="843"/>
        <v>2.2332506203473945E-2</v>
      </c>
      <c r="L981" s="38" t="s">
        <v>637</v>
      </c>
    </row>
    <row r="982" spans="1:12" ht="13">
      <c r="A982" s="18" t="s">
        <v>774</v>
      </c>
      <c r="B982" s="18" t="s">
        <v>301</v>
      </c>
      <c r="C982" s="18" t="s">
        <v>775</v>
      </c>
      <c r="D982" s="18" t="s">
        <v>751</v>
      </c>
      <c r="E982" s="18" t="s">
        <v>622</v>
      </c>
      <c r="F982" s="18">
        <v>2008</v>
      </c>
      <c r="G982" s="40">
        <v>432</v>
      </c>
      <c r="H982" s="40">
        <f t="shared" ref="H982:I982" si="860">F982-F981</f>
        <v>1</v>
      </c>
      <c r="I982" s="40">
        <f t="shared" si="860"/>
        <v>20</v>
      </c>
      <c r="J982" s="66">
        <f t="shared" si="842"/>
        <v>4.8543689320388349E-2</v>
      </c>
      <c r="K982" s="65">
        <f t="shared" si="843"/>
        <v>4.8543689320388349E-2</v>
      </c>
      <c r="L982" s="38" t="s">
        <v>637</v>
      </c>
    </row>
    <row r="983" spans="1:12" ht="13">
      <c r="A983" s="18" t="s">
        <v>774</v>
      </c>
      <c r="B983" s="18" t="s">
        <v>301</v>
      </c>
      <c r="C983" s="18" t="s">
        <v>775</v>
      </c>
      <c r="D983" s="18" t="s">
        <v>751</v>
      </c>
      <c r="E983" s="18" t="s">
        <v>622</v>
      </c>
      <c r="F983" s="18">
        <v>2009</v>
      </c>
      <c r="G983" s="40">
        <v>461</v>
      </c>
      <c r="H983" s="40">
        <f t="shared" ref="H983:I983" si="861">F983-F982</f>
        <v>1</v>
      </c>
      <c r="I983" s="40">
        <f t="shared" si="861"/>
        <v>29</v>
      </c>
      <c r="J983" s="66">
        <f t="shared" si="842"/>
        <v>6.7129629629629636E-2</v>
      </c>
      <c r="K983" s="65">
        <f t="shared" si="843"/>
        <v>6.7129629629629636E-2</v>
      </c>
      <c r="L983" s="38" t="s">
        <v>637</v>
      </c>
    </row>
    <row r="984" spans="1:12" ht="13">
      <c r="A984" s="18" t="s">
        <v>774</v>
      </c>
      <c r="B984" s="18" t="s">
        <v>301</v>
      </c>
      <c r="C984" s="18" t="s">
        <v>775</v>
      </c>
      <c r="D984" s="18" t="s">
        <v>751</v>
      </c>
      <c r="E984" s="18" t="s">
        <v>622</v>
      </c>
      <c r="F984" s="18">
        <v>2010</v>
      </c>
      <c r="G984" s="40">
        <v>475</v>
      </c>
      <c r="H984" s="40">
        <f t="shared" ref="H984:I984" si="862">F984-F983</f>
        <v>1</v>
      </c>
      <c r="I984" s="40">
        <f t="shared" si="862"/>
        <v>14</v>
      </c>
      <c r="J984" s="66">
        <f t="shared" si="842"/>
        <v>3.0368763557483729E-2</v>
      </c>
      <c r="K984" s="65">
        <f t="shared" si="843"/>
        <v>3.0368763557483729E-2</v>
      </c>
      <c r="L984" s="38" t="s">
        <v>637</v>
      </c>
    </row>
    <row r="985" spans="1:12" ht="13">
      <c r="A985" s="18" t="s">
        <v>774</v>
      </c>
      <c r="B985" s="18" t="s">
        <v>301</v>
      </c>
      <c r="C985" s="18" t="s">
        <v>775</v>
      </c>
      <c r="D985" s="18" t="s">
        <v>751</v>
      </c>
      <c r="E985" s="18" t="s">
        <v>622</v>
      </c>
      <c r="F985" s="18">
        <v>2011</v>
      </c>
      <c r="G985" s="40">
        <v>481</v>
      </c>
      <c r="H985" s="40">
        <f t="shared" ref="H985:I985" si="863">F985-F984</f>
        <v>1</v>
      </c>
      <c r="I985" s="40">
        <f t="shared" si="863"/>
        <v>6</v>
      </c>
      <c r="J985" s="66">
        <f t="shared" si="842"/>
        <v>1.2631578947368421E-2</v>
      </c>
      <c r="K985" s="65">
        <f t="shared" si="843"/>
        <v>1.2631578947368421E-2</v>
      </c>
      <c r="L985" s="38" t="s">
        <v>637</v>
      </c>
    </row>
    <row r="986" spans="1:12" ht="13">
      <c r="A986" s="18" t="s">
        <v>774</v>
      </c>
      <c r="B986" s="18" t="s">
        <v>301</v>
      </c>
      <c r="C986" s="18" t="s">
        <v>775</v>
      </c>
      <c r="D986" s="18" t="s">
        <v>751</v>
      </c>
      <c r="E986" s="18" t="s">
        <v>622</v>
      </c>
      <c r="F986" s="18">
        <v>2012</v>
      </c>
      <c r="G986" s="40">
        <v>473</v>
      </c>
      <c r="H986" s="40">
        <f t="shared" ref="H986:I986" si="864">F986-F985</f>
        <v>1</v>
      </c>
      <c r="I986" s="40">
        <f t="shared" si="864"/>
        <v>-8</v>
      </c>
      <c r="J986" s="66">
        <f t="shared" si="842"/>
        <v>-1.6632016632016633E-2</v>
      </c>
      <c r="K986" s="65">
        <f t="shared" si="843"/>
        <v>-1.6632016632016633E-2</v>
      </c>
      <c r="L986" s="38" t="s">
        <v>637</v>
      </c>
    </row>
    <row r="987" spans="1:12" ht="13">
      <c r="A987" s="18" t="s">
        <v>774</v>
      </c>
      <c r="B987" s="18" t="s">
        <v>301</v>
      </c>
      <c r="C987" s="18" t="s">
        <v>775</v>
      </c>
      <c r="D987" s="18" t="s">
        <v>751</v>
      </c>
      <c r="E987" s="18" t="s">
        <v>622</v>
      </c>
      <c r="F987" s="18">
        <v>2013</v>
      </c>
      <c r="G987" s="40">
        <v>478</v>
      </c>
      <c r="H987" s="40">
        <f t="shared" ref="H987:I987" si="865">F987-F986</f>
        <v>1</v>
      </c>
      <c r="I987" s="40">
        <f t="shared" si="865"/>
        <v>5</v>
      </c>
      <c r="J987" s="66">
        <f t="shared" si="842"/>
        <v>1.0570824524312896E-2</v>
      </c>
      <c r="K987" s="65">
        <f t="shared" si="843"/>
        <v>1.0570824524312896E-2</v>
      </c>
      <c r="L987" s="38" t="s">
        <v>637</v>
      </c>
    </row>
    <row r="988" spans="1:12" ht="13">
      <c r="A988" s="18" t="s">
        <v>774</v>
      </c>
      <c r="B988" s="18" t="s">
        <v>301</v>
      </c>
      <c r="C988" s="18" t="s">
        <v>775</v>
      </c>
      <c r="D988" s="18" t="s">
        <v>751</v>
      </c>
      <c r="E988" s="18" t="s">
        <v>622</v>
      </c>
      <c r="F988" s="18">
        <v>2014</v>
      </c>
      <c r="G988" s="40">
        <v>473</v>
      </c>
      <c r="H988" s="40">
        <f t="shared" ref="H988:I988" si="866">F988-F987</f>
        <v>1</v>
      </c>
      <c r="I988" s="40">
        <f t="shared" si="866"/>
        <v>-5</v>
      </c>
      <c r="J988" s="66">
        <f t="shared" si="842"/>
        <v>-1.0460251046025104E-2</v>
      </c>
      <c r="K988" s="65">
        <f t="shared" si="843"/>
        <v>-1.0460251046025104E-2</v>
      </c>
      <c r="L988" s="38" t="s">
        <v>637</v>
      </c>
    </row>
    <row r="989" spans="1:12" ht="13">
      <c r="A989" s="18" t="s">
        <v>774</v>
      </c>
      <c r="B989" s="18" t="s">
        <v>301</v>
      </c>
      <c r="C989" s="18" t="s">
        <v>775</v>
      </c>
      <c r="D989" s="18" t="s">
        <v>751</v>
      </c>
      <c r="E989" s="18" t="s">
        <v>622</v>
      </c>
      <c r="F989" s="18">
        <v>2015</v>
      </c>
      <c r="G989" s="40">
        <v>469</v>
      </c>
      <c r="H989" s="40">
        <f t="shared" ref="H989:I989" si="867">F989-F988</f>
        <v>1</v>
      </c>
      <c r="I989" s="40">
        <f t="shared" si="867"/>
        <v>-4</v>
      </c>
      <c r="J989" s="66">
        <f t="shared" si="842"/>
        <v>-8.4566596194503175E-3</v>
      </c>
      <c r="K989" s="65">
        <f t="shared" si="843"/>
        <v>-8.4566596194503175E-3</v>
      </c>
      <c r="L989" s="38" t="s">
        <v>637</v>
      </c>
    </row>
    <row r="990" spans="1:12" ht="13">
      <c r="A990" s="18" t="s">
        <v>774</v>
      </c>
      <c r="B990" s="18" t="s">
        <v>301</v>
      </c>
      <c r="C990" s="18" t="s">
        <v>775</v>
      </c>
      <c r="D990" s="18" t="s">
        <v>751</v>
      </c>
      <c r="E990" s="18" t="s">
        <v>622</v>
      </c>
      <c r="F990" s="18">
        <v>2016</v>
      </c>
      <c r="G990" s="40">
        <v>452</v>
      </c>
      <c r="H990" s="40">
        <f t="shared" ref="H990:I990" si="868">F990-F989</f>
        <v>1</v>
      </c>
      <c r="I990" s="40">
        <f t="shared" si="868"/>
        <v>-17</v>
      </c>
      <c r="J990" s="66">
        <f t="shared" si="842"/>
        <v>-3.6247334754797439E-2</v>
      </c>
      <c r="K990" s="65">
        <f t="shared" si="843"/>
        <v>-3.6247334754797439E-2</v>
      </c>
      <c r="L990" s="38" t="s">
        <v>637</v>
      </c>
    </row>
    <row r="991" spans="1:12" ht="13">
      <c r="A991" s="18" t="s">
        <v>774</v>
      </c>
      <c r="B991" s="18" t="s">
        <v>301</v>
      </c>
      <c r="C991" s="18" t="s">
        <v>775</v>
      </c>
      <c r="D991" s="18" t="s">
        <v>751</v>
      </c>
      <c r="E991" s="18" t="s">
        <v>622</v>
      </c>
      <c r="F991" s="18">
        <v>2017</v>
      </c>
      <c r="G991" s="40">
        <v>429</v>
      </c>
      <c r="H991" s="40">
        <f t="shared" ref="H991:I991" si="869">F991-F990</f>
        <v>1</v>
      </c>
      <c r="I991" s="40">
        <f t="shared" si="869"/>
        <v>-23</v>
      </c>
      <c r="J991" s="66">
        <f t="shared" si="842"/>
        <v>-5.0884955752212392E-2</v>
      </c>
      <c r="K991" s="65">
        <f t="shared" si="843"/>
        <v>-5.0884955752212392E-2</v>
      </c>
      <c r="L991" s="38" t="s">
        <v>637</v>
      </c>
    </row>
    <row r="992" spans="1:12" ht="13">
      <c r="A992" s="18" t="s">
        <v>774</v>
      </c>
      <c r="B992" s="18" t="s">
        <v>301</v>
      </c>
      <c r="C992" s="18" t="s">
        <v>775</v>
      </c>
      <c r="D992" s="18" t="s">
        <v>751</v>
      </c>
      <c r="E992" s="18" t="s">
        <v>622</v>
      </c>
      <c r="F992" s="18">
        <v>2018</v>
      </c>
      <c r="G992" s="40">
        <v>385</v>
      </c>
      <c r="H992" s="40">
        <f t="shared" ref="H992:I992" si="870">F992-F991</f>
        <v>1</v>
      </c>
      <c r="I992" s="40">
        <f t="shared" si="870"/>
        <v>-44</v>
      </c>
      <c r="J992" s="66">
        <f t="shared" si="842"/>
        <v>-0.10256410256410256</v>
      </c>
      <c r="K992" s="65">
        <f t="shared" si="843"/>
        <v>-0.10256410256410256</v>
      </c>
      <c r="L992" s="38" t="s">
        <v>637</v>
      </c>
    </row>
    <row r="993" spans="1:12" ht="13">
      <c r="A993" s="18" t="s">
        <v>774</v>
      </c>
      <c r="B993" s="18" t="s">
        <v>301</v>
      </c>
      <c r="C993" s="18" t="s">
        <v>775</v>
      </c>
      <c r="D993" s="18" t="s">
        <v>751</v>
      </c>
      <c r="E993" s="18" t="s">
        <v>622</v>
      </c>
      <c r="F993" s="18">
        <v>2019</v>
      </c>
      <c r="G993" s="40">
        <v>366</v>
      </c>
      <c r="H993" s="40">
        <f t="shared" ref="H993:I993" si="871">F993-F992</f>
        <v>1</v>
      </c>
      <c r="I993" s="40">
        <f t="shared" si="871"/>
        <v>-19</v>
      </c>
      <c r="J993" s="66">
        <f t="shared" si="842"/>
        <v>-4.9350649350649353E-2</v>
      </c>
      <c r="K993" s="65">
        <f t="shared" si="843"/>
        <v>-4.9350649350649353E-2</v>
      </c>
      <c r="L993" s="38" t="s">
        <v>637</v>
      </c>
    </row>
    <row r="994" spans="1:12" ht="13">
      <c r="A994" s="18" t="s">
        <v>774</v>
      </c>
      <c r="B994" s="18" t="s">
        <v>301</v>
      </c>
      <c r="C994" s="18" t="s">
        <v>775</v>
      </c>
      <c r="D994" s="18" t="s">
        <v>751</v>
      </c>
      <c r="E994" s="18" t="s">
        <v>622</v>
      </c>
      <c r="F994" s="18">
        <v>2020</v>
      </c>
      <c r="G994" s="40">
        <v>339</v>
      </c>
      <c r="H994" s="40">
        <f t="shared" ref="H994:I994" si="872">F994-F993</f>
        <v>1</v>
      </c>
      <c r="I994" s="40">
        <f t="shared" si="872"/>
        <v>-27</v>
      </c>
      <c r="J994" s="66">
        <f t="shared" si="842"/>
        <v>-7.3770491803278687E-2</v>
      </c>
      <c r="K994" s="65">
        <f t="shared" si="843"/>
        <v>-7.3770491803278687E-2</v>
      </c>
      <c r="L994" s="38" t="s">
        <v>637</v>
      </c>
    </row>
    <row r="995" spans="1:12" ht="13">
      <c r="A995" s="18" t="s">
        <v>778</v>
      </c>
      <c r="B995" s="18" t="s">
        <v>329</v>
      </c>
      <c r="C995" s="18" t="s">
        <v>779</v>
      </c>
      <c r="D995" s="18" t="s">
        <v>780</v>
      </c>
      <c r="E995" s="18" t="s">
        <v>781</v>
      </c>
      <c r="F995" s="37">
        <v>1957.9256023231601</v>
      </c>
      <c r="G995" s="37" t="s">
        <v>402</v>
      </c>
      <c r="H995" s="37" t="s">
        <v>402</v>
      </c>
      <c r="I995" s="37" t="s">
        <v>402</v>
      </c>
      <c r="J995" s="37" t="s">
        <v>402</v>
      </c>
      <c r="K995" s="65" t="s">
        <v>402</v>
      </c>
      <c r="L995" s="37" t="s">
        <v>612</v>
      </c>
    </row>
    <row r="996" spans="1:12" ht="13">
      <c r="A996" s="18" t="s">
        <v>778</v>
      </c>
      <c r="B996" s="18" t="s">
        <v>329</v>
      </c>
      <c r="C996" s="18" t="s">
        <v>779</v>
      </c>
      <c r="D996" s="18" t="s">
        <v>780</v>
      </c>
      <c r="E996" s="18" t="s">
        <v>781</v>
      </c>
      <c r="F996" s="37">
        <v>1959</v>
      </c>
      <c r="G996" s="37" t="s">
        <v>402</v>
      </c>
      <c r="H996" s="37" t="s">
        <v>402</v>
      </c>
      <c r="I996" s="37" t="s">
        <v>402</v>
      </c>
      <c r="J996" s="37" t="s">
        <v>402</v>
      </c>
      <c r="K996" s="65" t="s">
        <v>402</v>
      </c>
      <c r="L996" s="37" t="s">
        <v>612</v>
      </c>
    </row>
    <row r="997" spans="1:12" ht="13">
      <c r="A997" s="18" t="s">
        <v>778</v>
      </c>
      <c r="B997" s="18" t="s">
        <v>329</v>
      </c>
      <c r="C997" s="18" t="s">
        <v>779</v>
      </c>
      <c r="D997" s="18" t="s">
        <v>780</v>
      </c>
      <c r="E997" s="18" t="s">
        <v>781</v>
      </c>
      <c r="F997" s="37">
        <v>1960</v>
      </c>
      <c r="G997" s="37" t="s">
        <v>402</v>
      </c>
      <c r="H997" s="37" t="s">
        <v>402</v>
      </c>
      <c r="I997" s="37" t="s">
        <v>402</v>
      </c>
      <c r="J997" s="37" t="s">
        <v>402</v>
      </c>
      <c r="K997" s="65" t="s">
        <v>402</v>
      </c>
      <c r="L997" s="37" t="s">
        <v>612</v>
      </c>
    </row>
    <row r="998" spans="1:12" ht="13">
      <c r="A998" s="18" t="s">
        <v>778</v>
      </c>
      <c r="B998" s="18" t="s">
        <v>329</v>
      </c>
      <c r="C998" s="18" t="s">
        <v>779</v>
      </c>
      <c r="D998" s="18" t="s">
        <v>780</v>
      </c>
      <c r="E998" s="18" t="s">
        <v>781</v>
      </c>
      <c r="F998" s="37">
        <v>1961</v>
      </c>
      <c r="G998" s="37">
        <v>12</v>
      </c>
      <c r="H998" s="37" t="s">
        <v>402</v>
      </c>
      <c r="I998" s="37" t="s">
        <v>402</v>
      </c>
      <c r="J998" s="37" t="s">
        <v>402</v>
      </c>
      <c r="K998" s="65" t="s">
        <v>402</v>
      </c>
      <c r="L998" s="37" t="s">
        <v>612</v>
      </c>
    </row>
    <row r="999" spans="1:12" ht="13">
      <c r="A999" s="18" t="s">
        <v>778</v>
      </c>
      <c r="B999" s="18" t="s">
        <v>329</v>
      </c>
      <c r="C999" s="18" t="s">
        <v>779</v>
      </c>
      <c r="D999" s="18" t="s">
        <v>780</v>
      </c>
      <c r="E999" s="18" t="s">
        <v>781</v>
      </c>
      <c r="F999" s="37">
        <v>1961.97513471765</v>
      </c>
      <c r="G999" s="37">
        <v>23</v>
      </c>
      <c r="H999" s="37" t="s">
        <v>402</v>
      </c>
      <c r="I999" s="37" t="s">
        <v>402</v>
      </c>
      <c r="J999" s="37" t="s">
        <v>402</v>
      </c>
      <c r="K999" s="65" t="s">
        <v>402</v>
      </c>
      <c r="L999" s="37" t="s">
        <v>612</v>
      </c>
    </row>
    <row r="1000" spans="1:12" ht="13">
      <c r="A1000" s="18" t="s">
        <v>778</v>
      </c>
      <c r="B1000" s="18" t="s">
        <v>329</v>
      </c>
      <c r="C1000" s="18" t="s">
        <v>779</v>
      </c>
      <c r="D1000" s="18" t="s">
        <v>780</v>
      </c>
      <c r="E1000" s="18" t="s">
        <v>781</v>
      </c>
      <c r="F1000" s="37">
        <v>1962.8751324310699</v>
      </c>
      <c r="G1000" s="37">
        <v>32</v>
      </c>
      <c r="H1000" s="37" t="s">
        <v>402</v>
      </c>
      <c r="I1000" s="37" t="s">
        <v>402</v>
      </c>
      <c r="J1000" s="37" t="s">
        <v>402</v>
      </c>
      <c r="K1000" s="65" t="s">
        <v>402</v>
      </c>
      <c r="L1000" s="37" t="s">
        <v>612</v>
      </c>
    </row>
    <row r="1001" spans="1:12" ht="13">
      <c r="A1001" s="18" t="s">
        <v>778</v>
      </c>
      <c r="B1001" s="18" t="s">
        <v>329</v>
      </c>
      <c r="C1001" s="18" t="s">
        <v>779</v>
      </c>
      <c r="D1001" s="18" t="s">
        <v>780</v>
      </c>
      <c r="E1001" s="18" t="s">
        <v>781</v>
      </c>
      <c r="F1001" s="37">
        <v>1963.7001303350301</v>
      </c>
      <c r="G1001" s="37">
        <v>60</v>
      </c>
      <c r="H1001" s="37" t="s">
        <v>402</v>
      </c>
      <c r="I1001" s="37" t="s">
        <v>402</v>
      </c>
      <c r="J1001" s="37" t="s">
        <v>402</v>
      </c>
      <c r="K1001" s="65" t="s">
        <v>402</v>
      </c>
      <c r="L1001" s="37" t="s">
        <v>612</v>
      </c>
    </row>
    <row r="1002" spans="1:12" ht="13">
      <c r="A1002" s="18" t="s">
        <v>778</v>
      </c>
      <c r="B1002" s="18" t="s">
        <v>329</v>
      </c>
      <c r="C1002" s="18" t="s">
        <v>779</v>
      </c>
      <c r="D1002" s="18" t="s">
        <v>780</v>
      </c>
      <c r="E1002" s="18" t="s">
        <v>781</v>
      </c>
      <c r="F1002" s="37">
        <v>1964.9001272862599</v>
      </c>
      <c r="G1002" s="37">
        <v>75</v>
      </c>
      <c r="H1002" s="37" t="s">
        <v>402</v>
      </c>
      <c r="I1002" s="37" t="s">
        <v>402</v>
      </c>
      <c r="J1002" s="37" t="s">
        <v>402</v>
      </c>
      <c r="K1002" s="65" t="s">
        <v>402</v>
      </c>
      <c r="L1002" s="37" t="s">
        <v>612</v>
      </c>
    </row>
    <row r="1003" spans="1:12" ht="13">
      <c r="A1003" s="18" t="s">
        <v>778</v>
      </c>
      <c r="B1003" s="18" t="s">
        <v>329</v>
      </c>
      <c r="C1003" s="18" t="s">
        <v>779</v>
      </c>
      <c r="D1003" s="18" t="s">
        <v>780</v>
      </c>
      <c r="E1003" s="18" t="s">
        <v>781</v>
      </c>
      <c r="F1003" s="37">
        <v>1965.8751248091301</v>
      </c>
      <c r="G1003" s="37">
        <v>100</v>
      </c>
      <c r="H1003" s="37" t="s">
        <v>402</v>
      </c>
      <c r="I1003" s="37" t="s">
        <v>402</v>
      </c>
      <c r="J1003" s="37" t="s">
        <v>402</v>
      </c>
      <c r="K1003" s="65" t="s">
        <v>402</v>
      </c>
      <c r="L1003" s="37" t="s">
        <v>612</v>
      </c>
    </row>
    <row r="1004" spans="1:12" ht="13">
      <c r="A1004" s="18" t="s">
        <v>778</v>
      </c>
      <c r="B1004" s="18" t="s">
        <v>329</v>
      </c>
      <c r="C1004" s="18" t="s">
        <v>779</v>
      </c>
      <c r="D1004" s="18" t="s">
        <v>780</v>
      </c>
      <c r="E1004" s="18" t="s">
        <v>781</v>
      </c>
      <c r="F1004" s="37">
        <v>1966.85012233201</v>
      </c>
      <c r="G1004" s="37">
        <v>143</v>
      </c>
      <c r="H1004" s="37" t="s">
        <v>402</v>
      </c>
      <c r="I1004" s="37" t="s">
        <v>402</v>
      </c>
      <c r="J1004" s="37" t="s">
        <v>402</v>
      </c>
      <c r="K1004" s="65" t="s">
        <v>402</v>
      </c>
      <c r="L1004" s="37" t="s">
        <v>612</v>
      </c>
    </row>
    <row r="1005" spans="1:12" ht="13">
      <c r="A1005" s="18" t="s">
        <v>778</v>
      </c>
      <c r="B1005" s="18" t="s">
        <v>329</v>
      </c>
      <c r="C1005" s="18" t="s">
        <v>779</v>
      </c>
      <c r="D1005" s="18" t="s">
        <v>780</v>
      </c>
      <c r="E1005" s="18" t="s">
        <v>781</v>
      </c>
      <c r="F1005" s="37">
        <v>1967.8251198548801</v>
      </c>
      <c r="G1005" s="37">
        <v>187</v>
      </c>
      <c r="H1005" s="37" t="s">
        <v>402</v>
      </c>
      <c r="I1005" s="37" t="s">
        <v>402</v>
      </c>
      <c r="J1005" s="37" t="s">
        <v>402</v>
      </c>
      <c r="K1005" s="65" t="s">
        <v>402</v>
      </c>
      <c r="L1005" s="37" t="s">
        <v>612</v>
      </c>
    </row>
    <row r="1006" spans="1:12" ht="13">
      <c r="A1006" s="18" t="s">
        <v>778</v>
      </c>
      <c r="B1006" s="18" t="s">
        <v>329</v>
      </c>
      <c r="C1006" s="18" t="s">
        <v>779</v>
      </c>
      <c r="D1006" s="18" t="s">
        <v>780</v>
      </c>
      <c r="E1006" s="18" t="s">
        <v>781</v>
      </c>
      <c r="F1006" s="37">
        <v>1968.95026943529</v>
      </c>
      <c r="G1006" s="37">
        <v>238</v>
      </c>
      <c r="H1006" s="37" t="s">
        <v>402</v>
      </c>
      <c r="I1006" s="37" t="s">
        <v>402</v>
      </c>
      <c r="J1006" s="37" t="s">
        <v>402</v>
      </c>
      <c r="K1006" s="65" t="s">
        <v>402</v>
      </c>
      <c r="L1006" s="37" t="s">
        <v>612</v>
      </c>
    </row>
    <row r="1007" spans="1:12" ht="13">
      <c r="A1007" s="18" t="s">
        <v>778</v>
      </c>
      <c r="B1007" s="18" t="s">
        <v>329</v>
      </c>
      <c r="C1007" s="18" t="s">
        <v>779</v>
      </c>
      <c r="D1007" s="18" t="s">
        <v>780</v>
      </c>
      <c r="E1007" s="18" t="s">
        <v>781</v>
      </c>
      <c r="F1007" s="37">
        <v>1969.8503052583701</v>
      </c>
      <c r="G1007" s="37">
        <v>307</v>
      </c>
      <c r="H1007" s="37" t="s">
        <v>402</v>
      </c>
      <c r="I1007" s="37" t="s">
        <v>402</v>
      </c>
      <c r="J1007" s="37" t="s">
        <v>402</v>
      </c>
      <c r="K1007" s="65" t="s">
        <v>402</v>
      </c>
      <c r="L1007" s="37" t="s">
        <v>612</v>
      </c>
    </row>
    <row r="1008" spans="1:12" ht="13">
      <c r="A1008" s="18" t="s">
        <v>778</v>
      </c>
      <c r="B1008" s="18" t="s">
        <v>329</v>
      </c>
      <c r="C1008" s="18" t="s">
        <v>779</v>
      </c>
      <c r="D1008" s="18" t="s">
        <v>780</v>
      </c>
      <c r="E1008" s="18" t="s">
        <v>781</v>
      </c>
      <c r="F1008" s="37">
        <v>1970.9754167291201</v>
      </c>
      <c r="G1008" s="37">
        <v>326</v>
      </c>
      <c r="H1008" s="37" t="s">
        <v>402</v>
      </c>
      <c r="I1008" s="37" t="s">
        <v>402</v>
      </c>
      <c r="J1008" s="37" t="s">
        <v>402</v>
      </c>
      <c r="K1008" s="65" t="s">
        <v>402</v>
      </c>
      <c r="L1008" s="37" t="s">
        <v>612</v>
      </c>
    </row>
    <row r="1009" spans="1:12" ht="13">
      <c r="A1009" s="18" t="s">
        <v>778</v>
      </c>
      <c r="B1009" s="18" t="s">
        <v>329</v>
      </c>
      <c r="C1009" s="18" t="s">
        <v>779</v>
      </c>
      <c r="D1009" s="18" t="s">
        <v>780</v>
      </c>
      <c r="E1009" s="18" t="s">
        <v>781</v>
      </c>
      <c r="F1009" s="37">
        <v>1971.950414252</v>
      </c>
      <c r="G1009" s="37">
        <v>391</v>
      </c>
      <c r="H1009" s="37" t="s">
        <v>402</v>
      </c>
      <c r="I1009" s="37" t="s">
        <v>402</v>
      </c>
      <c r="J1009" s="37" t="s">
        <v>402</v>
      </c>
      <c r="K1009" s="65" t="s">
        <v>402</v>
      </c>
      <c r="L1009" s="37" t="s">
        <v>612</v>
      </c>
    </row>
    <row r="1010" spans="1:12" ht="13">
      <c r="A1010" s="18" t="s">
        <v>778</v>
      </c>
      <c r="B1010" s="18" t="s">
        <v>329</v>
      </c>
      <c r="C1010" s="18" t="s">
        <v>779</v>
      </c>
      <c r="D1010" s="18" t="s">
        <v>780</v>
      </c>
      <c r="E1010" s="18" t="s">
        <v>781</v>
      </c>
      <c r="F1010" s="37">
        <v>1972.9254117748701</v>
      </c>
      <c r="G1010" s="37">
        <v>437</v>
      </c>
      <c r="H1010" s="37" t="s">
        <v>402</v>
      </c>
      <c r="I1010" s="37" t="s">
        <v>402</v>
      </c>
      <c r="J1010" s="37" t="s">
        <v>402</v>
      </c>
      <c r="K1010" s="65" t="s">
        <v>402</v>
      </c>
      <c r="L1010" s="37" t="s">
        <v>612</v>
      </c>
    </row>
    <row r="1011" spans="1:12" ht="13">
      <c r="A1011" s="18" t="s">
        <v>778</v>
      </c>
      <c r="B1011" s="18" t="s">
        <v>329</v>
      </c>
      <c r="C1011" s="18" t="s">
        <v>779</v>
      </c>
      <c r="D1011" s="18" t="s">
        <v>780</v>
      </c>
      <c r="E1011" s="18" t="s">
        <v>781</v>
      </c>
      <c r="F1011" s="37">
        <v>1973.90056173638</v>
      </c>
      <c r="G1011" s="37">
        <v>512</v>
      </c>
      <c r="H1011" s="37" t="s">
        <v>402</v>
      </c>
      <c r="I1011" s="37" t="s">
        <v>402</v>
      </c>
      <c r="J1011" s="37" t="s">
        <v>402</v>
      </c>
      <c r="K1011" s="65" t="s">
        <v>402</v>
      </c>
      <c r="L1011" s="37" t="s">
        <v>612</v>
      </c>
    </row>
    <row r="1012" spans="1:12" ht="13">
      <c r="A1012" s="18" t="s">
        <v>778</v>
      </c>
      <c r="B1012" s="18" t="s">
        <v>329</v>
      </c>
      <c r="C1012" s="18" t="s">
        <v>779</v>
      </c>
      <c r="D1012" s="18" t="s">
        <v>780</v>
      </c>
      <c r="E1012" s="18" t="s">
        <v>781</v>
      </c>
      <c r="F1012" s="37">
        <v>1974.8005594497999</v>
      </c>
      <c r="G1012" s="37">
        <v>657</v>
      </c>
      <c r="H1012" s="37" t="s">
        <v>402</v>
      </c>
      <c r="I1012" s="37" t="s">
        <v>402</v>
      </c>
      <c r="J1012" s="37" t="s">
        <v>402</v>
      </c>
      <c r="K1012" s="65" t="s">
        <v>402</v>
      </c>
      <c r="L1012" s="37" t="s">
        <v>612</v>
      </c>
    </row>
    <row r="1013" spans="1:12" ht="13">
      <c r="A1013" s="18" t="s">
        <v>778</v>
      </c>
      <c r="B1013" s="18" t="s">
        <v>329</v>
      </c>
      <c r="C1013" s="18" t="s">
        <v>779</v>
      </c>
      <c r="D1013" s="18" t="s">
        <v>780</v>
      </c>
      <c r="E1013" s="18" t="s">
        <v>781</v>
      </c>
      <c r="F1013" s="37">
        <v>1975.9258614688499</v>
      </c>
      <c r="G1013" s="37">
        <v>815</v>
      </c>
      <c r="H1013" s="37" t="s">
        <v>402</v>
      </c>
      <c r="I1013" s="37" t="s">
        <v>402</v>
      </c>
      <c r="J1013" s="37" t="s">
        <v>402</v>
      </c>
      <c r="K1013" s="65" t="s">
        <v>402</v>
      </c>
      <c r="L1013" s="37" t="s">
        <v>612</v>
      </c>
    </row>
    <row r="1014" spans="1:12" ht="13">
      <c r="A1014" s="18" t="s">
        <v>778</v>
      </c>
      <c r="B1014" s="18" t="s">
        <v>329</v>
      </c>
      <c r="C1014" s="18" t="s">
        <v>779</v>
      </c>
      <c r="D1014" s="18" t="s">
        <v>780</v>
      </c>
      <c r="E1014" s="18" t="s">
        <v>781</v>
      </c>
      <c r="F1014" s="37">
        <v>1976.9011638689899</v>
      </c>
      <c r="G1014" s="37">
        <v>995</v>
      </c>
      <c r="H1014" s="37" t="s">
        <v>402</v>
      </c>
      <c r="I1014" s="37" t="s">
        <v>402</v>
      </c>
      <c r="J1014" s="37" t="s">
        <v>402</v>
      </c>
      <c r="K1014" s="65" t="s">
        <v>402</v>
      </c>
      <c r="L1014" s="37" t="s">
        <v>612</v>
      </c>
    </row>
    <row r="1015" spans="1:12" ht="13">
      <c r="A1015" s="18" t="s">
        <v>778</v>
      </c>
      <c r="B1015" s="18" t="s">
        <v>329</v>
      </c>
      <c r="C1015" s="18" t="s">
        <v>779</v>
      </c>
      <c r="D1015" s="18" t="s">
        <v>780</v>
      </c>
      <c r="E1015" s="18" t="s">
        <v>781</v>
      </c>
      <c r="F1015" s="37">
        <v>1977.9514660785901</v>
      </c>
      <c r="G1015" s="37">
        <v>1131</v>
      </c>
      <c r="H1015" s="37" t="s">
        <v>402</v>
      </c>
      <c r="I1015" s="37" t="s">
        <v>402</v>
      </c>
      <c r="J1015" s="37" t="s">
        <v>402</v>
      </c>
      <c r="K1015" s="65" t="s">
        <v>402</v>
      </c>
      <c r="L1015" s="37" t="s">
        <v>612</v>
      </c>
    </row>
    <row r="1016" spans="1:12" ht="13">
      <c r="A1016" s="18" t="s">
        <v>778</v>
      </c>
      <c r="B1016" s="18" t="s">
        <v>329</v>
      </c>
      <c r="C1016" s="18" t="s">
        <v>779</v>
      </c>
      <c r="D1016" s="18" t="s">
        <v>780</v>
      </c>
      <c r="E1016" s="18" t="s">
        <v>781</v>
      </c>
      <c r="F1016" s="37">
        <v>1978.9267684787401</v>
      </c>
      <c r="G1016" s="37">
        <v>1330</v>
      </c>
      <c r="H1016" s="37" t="s">
        <v>402</v>
      </c>
      <c r="I1016" s="37" t="s">
        <v>402</v>
      </c>
      <c r="J1016" s="37" t="s">
        <v>402</v>
      </c>
      <c r="K1016" s="65" t="s">
        <v>402</v>
      </c>
      <c r="L1016" s="37" t="s">
        <v>612</v>
      </c>
    </row>
    <row r="1017" spans="1:12" ht="13">
      <c r="A1017" s="18" t="s">
        <v>778</v>
      </c>
      <c r="B1017" s="18" t="s">
        <v>329</v>
      </c>
      <c r="C1017" s="18" t="s">
        <v>779</v>
      </c>
      <c r="D1017" s="18" t="s">
        <v>780</v>
      </c>
      <c r="E1017" s="18" t="s">
        <v>781</v>
      </c>
      <c r="F1017" s="37">
        <v>1979.9773755656099</v>
      </c>
      <c r="G1017" s="37">
        <v>1600</v>
      </c>
      <c r="H1017" s="37" t="s">
        <v>402</v>
      </c>
      <c r="I1017" s="37" t="s">
        <v>402</v>
      </c>
      <c r="J1017" s="37" t="s">
        <v>402</v>
      </c>
      <c r="K1017" s="65" t="s">
        <v>402</v>
      </c>
      <c r="L1017" s="37" t="s">
        <v>612</v>
      </c>
    </row>
    <row r="1018" spans="1:12" ht="13">
      <c r="A1018" s="18" t="s">
        <v>778</v>
      </c>
      <c r="B1018" s="18" t="s">
        <v>329</v>
      </c>
      <c r="C1018" s="18" t="s">
        <v>779</v>
      </c>
      <c r="D1018" s="18" t="s">
        <v>780</v>
      </c>
      <c r="E1018" s="18" t="s">
        <v>781</v>
      </c>
      <c r="F1018" s="37">
        <v>1980.95237308848</v>
      </c>
      <c r="G1018" s="37">
        <v>1609</v>
      </c>
      <c r="H1018" s="37" t="s">
        <v>402</v>
      </c>
      <c r="I1018" s="37" t="s">
        <v>402</v>
      </c>
      <c r="J1018" s="37" t="s">
        <v>402</v>
      </c>
      <c r="K1018" s="65" t="s">
        <v>402</v>
      </c>
      <c r="L1018" s="37" t="s">
        <v>612</v>
      </c>
    </row>
    <row r="1019" spans="1:12" ht="13">
      <c r="A1019" s="18" t="s">
        <v>778</v>
      </c>
      <c r="B1019" s="18" t="s">
        <v>329</v>
      </c>
      <c r="C1019" s="18" t="s">
        <v>779</v>
      </c>
      <c r="D1019" s="18" t="s">
        <v>780</v>
      </c>
      <c r="E1019" s="18" t="s">
        <v>781</v>
      </c>
      <c r="F1019" s="37">
        <v>1981.9278279272701</v>
      </c>
      <c r="G1019" s="37">
        <v>1897</v>
      </c>
      <c r="H1019" s="37" t="s">
        <v>402</v>
      </c>
      <c r="I1019" s="37" t="s">
        <v>402</v>
      </c>
      <c r="J1019" s="37" t="s">
        <v>402</v>
      </c>
      <c r="K1019" s="65" t="s">
        <v>402</v>
      </c>
      <c r="L1019" s="37" t="s">
        <v>612</v>
      </c>
    </row>
    <row r="1020" spans="1:12" ht="13">
      <c r="A1020" s="18" t="s">
        <v>778</v>
      </c>
      <c r="B1020" s="18" t="s">
        <v>329</v>
      </c>
      <c r="C1020" s="18" t="s">
        <v>779</v>
      </c>
      <c r="D1020" s="18" t="s">
        <v>780</v>
      </c>
      <c r="E1020" s="18" t="s">
        <v>781</v>
      </c>
      <c r="F1020" s="37">
        <v>1982.9031303274101</v>
      </c>
      <c r="G1020" s="37">
        <v>2123</v>
      </c>
      <c r="H1020" s="37" t="s">
        <v>402</v>
      </c>
      <c r="I1020" s="37" t="s">
        <v>402</v>
      </c>
      <c r="J1020" s="37" t="s">
        <v>402</v>
      </c>
      <c r="K1020" s="65" t="s">
        <v>402</v>
      </c>
      <c r="L1020" s="37" t="s">
        <v>612</v>
      </c>
    </row>
    <row r="1021" spans="1:12" ht="13">
      <c r="A1021" s="18" t="s">
        <v>778</v>
      </c>
      <c r="B1021" s="18" t="s">
        <v>329</v>
      </c>
      <c r="C1021" s="18" t="s">
        <v>779</v>
      </c>
      <c r="D1021" s="18" t="s">
        <v>780</v>
      </c>
      <c r="E1021" s="18" t="s">
        <v>781</v>
      </c>
      <c r="F1021" s="37">
        <v>1983.95328009837</v>
      </c>
      <c r="G1021" s="37">
        <v>2338</v>
      </c>
      <c r="H1021" s="37" t="s">
        <v>402</v>
      </c>
      <c r="I1021" s="37" t="s">
        <v>402</v>
      </c>
      <c r="J1021" s="37" t="s">
        <v>402</v>
      </c>
      <c r="K1021" s="65" t="s">
        <v>402</v>
      </c>
      <c r="L1021" s="37" t="s">
        <v>612</v>
      </c>
    </row>
    <row r="1022" spans="1:12" ht="13">
      <c r="A1022" s="18" t="s">
        <v>778</v>
      </c>
      <c r="B1022" s="18" t="s">
        <v>329</v>
      </c>
      <c r="C1022" s="18" t="s">
        <v>779</v>
      </c>
      <c r="D1022" s="18" t="s">
        <v>780</v>
      </c>
      <c r="E1022" s="18" t="s">
        <v>781</v>
      </c>
      <c r="F1022" s="37">
        <v>1985.00282011479</v>
      </c>
      <c r="G1022" s="37">
        <v>1940</v>
      </c>
      <c r="H1022" s="37" t="s">
        <v>402</v>
      </c>
      <c r="I1022" s="37" t="s">
        <v>402</v>
      </c>
      <c r="J1022" s="37" t="s">
        <v>402</v>
      </c>
      <c r="K1022" s="65" t="s">
        <v>402</v>
      </c>
      <c r="L1022" s="37" t="s">
        <v>612</v>
      </c>
    </row>
    <row r="1023" spans="1:12" ht="13">
      <c r="A1023" s="18" t="s">
        <v>778</v>
      </c>
      <c r="B1023" s="18" t="s">
        <v>329</v>
      </c>
      <c r="C1023" s="18" t="s">
        <v>779</v>
      </c>
      <c r="D1023" s="18" t="s">
        <v>780</v>
      </c>
      <c r="E1023" s="18" t="s">
        <v>781</v>
      </c>
      <c r="F1023" s="37">
        <v>1985.90312270548</v>
      </c>
      <c r="G1023" s="37">
        <v>2183</v>
      </c>
      <c r="H1023" s="37" t="s">
        <v>402</v>
      </c>
      <c r="I1023" s="37" t="s">
        <v>402</v>
      </c>
      <c r="J1023" s="37" t="s">
        <v>402</v>
      </c>
      <c r="K1023" s="65" t="s">
        <v>402</v>
      </c>
      <c r="L1023" s="37" t="s">
        <v>612</v>
      </c>
    </row>
    <row r="1024" spans="1:12" ht="13">
      <c r="A1024" s="18" t="s">
        <v>778</v>
      </c>
      <c r="B1024" s="18" t="s">
        <v>329</v>
      </c>
      <c r="C1024" s="18" t="s">
        <v>779</v>
      </c>
      <c r="D1024" s="18" t="s">
        <v>780</v>
      </c>
      <c r="E1024" s="18" t="s">
        <v>781</v>
      </c>
      <c r="F1024" s="37">
        <v>1986.87781535108</v>
      </c>
      <c r="G1024" s="37">
        <v>1976</v>
      </c>
      <c r="H1024" s="37" t="s">
        <v>402</v>
      </c>
      <c r="I1024" s="37" t="s">
        <v>402</v>
      </c>
      <c r="J1024" s="37" t="s">
        <v>402</v>
      </c>
      <c r="K1024" s="65" t="s">
        <v>402</v>
      </c>
      <c r="L1024" s="37" t="s">
        <v>612</v>
      </c>
    </row>
    <row r="1025" spans="1:12" ht="13">
      <c r="A1025" s="18" t="s">
        <v>778</v>
      </c>
      <c r="B1025" s="18" t="s">
        <v>329</v>
      </c>
      <c r="C1025" s="18" t="s">
        <v>779</v>
      </c>
      <c r="D1025" s="18" t="s">
        <v>780</v>
      </c>
      <c r="E1025" s="18" t="s">
        <v>781</v>
      </c>
      <c r="F1025" s="37">
        <v>1987.92826999931</v>
      </c>
      <c r="G1025" s="37">
        <v>2178</v>
      </c>
      <c r="H1025" s="37" t="s">
        <v>402</v>
      </c>
      <c r="I1025" s="37" t="s">
        <v>402</v>
      </c>
      <c r="J1025" s="37" t="s">
        <v>402</v>
      </c>
      <c r="K1025" s="65" t="s">
        <v>402</v>
      </c>
      <c r="L1025" s="37" t="s">
        <v>612</v>
      </c>
    </row>
    <row r="1026" spans="1:12" ht="13">
      <c r="A1026" s="18" t="s">
        <v>778</v>
      </c>
      <c r="B1026" s="18" t="s">
        <v>329</v>
      </c>
      <c r="C1026" s="18" t="s">
        <v>779</v>
      </c>
      <c r="D1026" s="18" t="s">
        <v>780</v>
      </c>
      <c r="E1026" s="18" t="s">
        <v>781</v>
      </c>
      <c r="F1026" s="37">
        <v>1988.9787246475501</v>
      </c>
      <c r="G1026" s="37">
        <v>2396</v>
      </c>
      <c r="H1026" s="37" t="s">
        <v>402</v>
      </c>
      <c r="I1026" s="37" t="s">
        <v>402</v>
      </c>
      <c r="J1026" s="37" t="s">
        <v>402</v>
      </c>
      <c r="K1026" s="65" t="s">
        <v>402</v>
      </c>
      <c r="L1026" s="37" t="s">
        <v>612</v>
      </c>
    </row>
    <row r="1027" spans="1:12" ht="13">
      <c r="A1027" s="18" t="s">
        <v>778</v>
      </c>
      <c r="B1027" s="18" t="s">
        <v>329</v>
      </c>
      <c r="C1027" s="18" t="s">
        <v>779</v>
      </c>
      <c r="D1027" s="18" t="s">
        <v>780</v>
      </c>
      <c r="E1027" s="18" t="s">
        <v>781</v>
      </c>
      <c r="F1027" s="37">
        <v>1989.87887479961</v>
      </c>
      <c r="G1027" s="37">
        <v>2517</v>
      </c>
      <c r="H1027" s="37" t="s">
        <v>402</v>
      </c>
      <c r="I1027" s="37" t="s">
        <v>402</v>
      </c>
      <c r="J1027" s="37" t="s">
        <v>402</v>
      </c>
      <c r="K1027" s="65" t="s">
        <v>402</v>
      </c>
      <c r="L1027" s="37" t="s">
        <v>612</v>
      </c>
    </row>
    <row r="1028" spans="1:12" ht="13">
      <c r="A1028" s="18" t="s">
        <v>778</v>
      </c>
      <c r="B1028" s="18" t="s">
        <v>329</v>
      </c>
      <c r="C1028" s="18" t="s">
        <v>779</v>
      </c>
      <c r="D1028" s="18" t="s">
        <v>780</v>
      </c>
      <c r="E1028" s="18" t="s">
        <v>781</v>
      </c>
      <c r="F1028" s="37">
        <v>1990.92932944784</v>
      </c>
      <c r="G1028" s="37">
        <v>2896</v>
      </c>
      <c r="H1028" s="37" t="s">
        <v>402</v>
      </c>
      <c r="I1028" s="37" t="s">
        <v>402</v>
      </c>
      <c r="J1028" s="37" t="s">
        <v>402</v>
      </c>
      <c r="K1028" s="65" t="s">
        <v>402</v>
      </c>
      <c r="L1028" s="37" t="s">
        <v>612</v>
      </c>
    </row>
    <row r="1029" spans="1:12" ht="13">
      <c r="A1029" s="18" t="s">
        <v>778</v>
      </c>
      <c r="B1029" s="18" t="s">
        <v>329</v>
      </c>
      <c r="C1029" s="18" t="s">
        <v>779</v>
      </c>
      <c r="D1029" s="18" t="s">
        <v>780</v>
      </c>
      <c r="E1029" s="18" t="s">
        <v>781</v>
      </c>
      <c r="F1029" s="37">
        <v>1991.9800889733499</v>
      </c>
      <c r="G1029" s="37">
        <v>3224</v>
      </c>
      <c r="H1029" s="37" t="s">
        <v>402</v>
      </c>
      <c r="I1029" s="37" t="s">
        <v>402</v>
      </c>
      <c r="J1029" s="37" t="s">
        <v>402</v>
      </c>
      <c r="K1029" s="65" t="s">
        <v>402</v>
      </c>
      <c r="L1029" s="37" t="s">
        <v>612</v>
      </c>
    </row>
    <row r="1030" spans="1:12" ht="13">
      <c r="A1030" s="18" t="s">
        <v>778</v>
      </c>
      <c r="B1030" s="18" t="s">
        <v>329</v>
      </c>
      <c r="C1030" s="18" t="s">
        <v>779</v>
      </c>
      <c r="D1030" s="18" t="s">
        <v>780</v>
      </c>
      <c r="E1030" s="18" t="s">
        <v>781</v>
      </c>
      <c r="F1030" s="37">
        <v>1993.02993386704</v>
      </c>
      <c r="G1030" s="37">
        <v>3116</v>
      </c>
      <c r="H1030" s="37" t="s">
        <v>402</v>
      </c>
      <c r="I1030" s="37" t="s">
        <v>402</v>
      </c>
      <c r="J1030" s="37" t="s">
        <v>402</v>
      </c>
      <c r="K1030" s="65" t="s">
        <v>402</v>
      </c>
      <c r="L1030" s="37" t="s">
        <v>612</v>
      </c>
    </row>
    <row r="1031" spans="1:12" ht="13">
      <c r="A1031" s="18" t="s">
        <v>778</v>
      </c>
      <c r="B1031" s="18" t="s">
        <v>329</v>
      </c>
      <c r="C1031" s="18" t="s">
        <v>779</v>
      </c>
      <c r="D1031" s="18" t="s">
        <v>780</v>
      </c>
      <c r="E1031" s="18" t="s">
        <v>781</v>
      </c>
      <c r="F1031" s="37">
        <v>1993.8556939641901</v>
      </c>
      <c r="G1031" s="37">
        <v>3555</v>
      </c>
      <c r="H1031" s="37" t="s">
        <v>402</v>
      </c>
      <c r="I1031" s="37" t="s">
        <v>402</v>
      </c>
      <c r="J1031" s="37" t="s">
        <v>402</v>
      </c>
      <c r="K1031" s="65" t="s">
        <v>402</v>
      </c>
      <c r="L1031" s="37" t="s">
        <v>612</v>
      </c>
    </row>
    <row r="1032" spans="1:12" ht="13">
      <c r="A1032" s="18" t="s">
        <v>778</v>
      </c>
      <c r="B1032" s="18" t="s">
        <v>329</v>
      </c>
      <c r="C1032" s="18" t="s">
        <v>779</v>
      </c>
      <c r="D1032" s="18" t="s">
        <v>780</v>
      </c>
      <c r="E1032" s="18" t="s">
        <v>781</v>
      </c>
      <c r="F1032" s="37">
        <v>1994.9064534897</v>
      </c>
      <c r="G1032" s="37">
        <v>4062</v>
      </c>
      <c r="H1032" s="37" t="s">
        <v>402</v>
      </c>
      <c r="I1032" s="37" t="s">
        <v>402</v>
      </c>
      <c r="J1032" s="37" t="s">
        <v>402</v>
      </c>
      <c r="K1032" s="65" t="s">
        <v>402</v>
      </c>
      <c r="L1032" s="37" t="s">
        <v>612</v>
      </c>
    </row>
    <row r="1033" spans="1:12" ht="13">
      <c r="A1033" s="18" t="s">
        <v>778</v>
      </c>
      <c r="B1033" s="18" t="s">
        <v>329</v>
      </c>
      <c r="C1033" s="18" t="s">
        <v>779</v>
      </c>
      <c r="D1033" s="18" t="s">
        <v>780</v>
      </c>
      <c r="E1033" s="18" t="s">
        <v>781</v>
      </c>
      <c r="F1033" s="37">
        <v>1995.8823656443999</v>
      </c>
      <c r="G1033" s="37">
        <v>4586</v>
      </c>
      <c r="H1033" s="37" t="s">
        <v>402</v>
      </c>
      <c r="I1033" s="37" t="s">
        <v>402</v>
      </c>
      <c r="J1033" s="37" t="s">
        <v>402</v>
      </c>
      <c r="K1033" s="65" t="s">
        <v>402</v>
      </c>
      <c r="L1033" s="37" t="s">
        <v>612</v>
      </c>
    </row>
    <row r="1034" spans="1:12" ht="13">
      <c r="A1034" s="18" t="s">
        <v>778</v>
      </c>
      <c r="B1034" s="18" t="s">
        <v>329</v>
      </c>
      <c r="C1034" s="18" t="s">
        <v>779</v>
      </c>
      <c r="D1034" s="18" t="s">
        <v>780</v>
      </c>
      <c r="E1034" s="18" t="s">
        <v>781</v>
      </c>
      <c r="F1034" s="37">
        <v>1996.7828206737299</v>
      </c>
      <c r="G1034" s="37">
        <v>5052</v>
      </c>
      <c r="H1034" s="37" t="s">
        <v>402</v>
      </c>
      <c r="I1034" s="37" t="s">
        <v>402</v>
      </c>
      <c r="J1034" s="37" t="s">
        <v>402</v>
      </c>
      <c r="K1034" s="65" t="s">
        <v>402</v>
      </c>
      <c r="L1034" s="37" t="s">
        <v>612</v>
      </c>
    </row>
    <row r="1035" spans="1:12" ht="13">
      <c r="A1035" s="18" t="s">
        <v>778</v>
      </c>
      <c r="B1035" s="18" t="s">
        <v>329</v>
      </c>
      <c r="C1035" s="18" t="s">
        <v>779</v>
      </c>
      <c r="D1035" s="18" t="s">
        <v>780</v>
      </c>
      <c r="E1035" s="18" t="s">
        <v>781</v>
      </c>
      <c r="F1035" s="37">
        <v>1997.8329704446901</v>
      </c>
      <c r="G1035" s="37">
        <v>4978</v>
      </c>
      <c r="H1035" s="37" t="s">
        <v>402</v>
      </c>
      <c r="I1035" s="37" t="s">
        <v>402</v>
      </c>
      <c r="J1035" s="37" t="s">
        <v>402</v>
      </c>
      <c r="K1035" s="65" t="s">
        <v>402</v>
      </c>
      <c r="L1035" s="37" t="s">
        <v>612</v>
      </c>
    </row>
    <row r="1036" spans="1:12" ht="13">
      <c r="A1036" s="18" t="s">
        <v>778</v>
      </c>
      <c r="B1036" s="18" t="s">
        <v>329</v>
      </c>
      <c r="C1036" s="18" t="s">
        <v>779</v>
      </c>
      <c r="D1036" s="18" t="s">
        <v>780</v>
      </c>
      <c r="E1036" s="18" t="s">
        <v>781</v>
      </c>
      <c r="F1036" s="37">
        <v>1998.8835775315599</v>
      </c>
      <c r="G1036" s="37">
        <v>5524</v>
      </c>
      <c r="H1036" s="37" t="s">
        <v>402</v>
      </c>
      <c r="I1036" s="37" t="s">
        <v>402</v>
      </c>
      <c r="J1036" s="37" t="s">
        <v>402</v>
      </c>
      <c r="K1036" s="65" t="s">
        <v>402</v>
      </c>
      <c r="L1036" s="37" t="s">
        <v>612</v>
      </c>
    </row>
    <row r="1037" spans="1:12" ht="13">
      <c r="A1037" s="18" t="s">
        <v>778</v>
      </c>
      <c r="B1037" s="18" t="s">
        <v>329</v>
      </c>
      <c r="C1037" s="18" t="s">
        <v>779</v>
      </c>
      <c r="D1037" s="18" t="s">
        <v>780</v>
      </c>
      <c r="E1037" s="18" t="s">
        <v>781</v>
      </c>
      <c r="F1037" s="37">
        <v>1999.8581177385199</v>
      </c>
      <c r="G1037" s="37">
        <v>5036</v>
      </c>
      <c r="H1037" s="37" t="s">
        <v>402</v>
      </c>
      <c r="I1037" s="37" t="s">
        <v>402</v>
      </c>
      <c r="J1037" s="37" t="s">
        <v>402</v>
      </c>
      <c r="K1037" s="65" t="s">
        <v>402</v>
      </c>
      <c r="L1037" s="37" t="s">
        <v>612</v>
      </c>
    </row>
    <row r="1038" spans="1:12" ht="13">
      <c r="A1038" s="18" t="s">
        <v>778</v>
      </c>
      <c r="B1038" s="18" t="s">
        <v>329</v>
      </c>
      <c r="C1038" s="18" t="s">
        <v>779</v>
      </c>
      <c r="D1038" s="18" t="s">
        <v>780</v>
      </c>
      <c r="E1038" s="18" t="s">
        <v>781</v>
      </c>
      <c r="F1038" s="37">
        <v>2000.7584203292199</v>
      </c>
      <c r="G1038" s="37">
        <v>5238</v>
      </c>
      <c r="H1038" s="37" t="s">
        <v>402</v>
      </c>
      <c r="I1038" s="37" t="s">
        <v>402</v>
      </c>
      <c r="J1038" s="37" t="s">
        <v>402</v>
      </c>
      <c r="K1038" s="65" t="s">
        <v>402</v>
      </c>
      <c r="L1038" s="37" t="s">
        <v>612</v>
      </c>
    </row>
    <row r="1039" spans="1:12" ht="13">
      <c r="A1039" s="18" t="s">
        <v>778</v>
      </c>
      <c r="B1039" s="18" t="s">
        <v>329</v>
      </c>
      <c r="C1039" s="18" t="s">
        <v>779</v>
      </c>
      <c r="D1039" s="18" t="s">
        <v>780</v>
      </c>
      <c r="E1039" s="18" t="s">
        <v>781</v>
      </c>
      <c r="F1039" s="37">
        <v>2001.9588745963599</v>
      </c>
      <c r="G1039" s="37">
        <v>5567</v>
      </c>
      <c r="H1039" s="37" t="s">
        <v>402</v>
      </c>
      <c r="I1039" s="37" t="s">
        <v>402</v>
      </c>
      <c r="J1039" s="37" t="s">
        <v>402</v>
      </c>
      <c r="K1039" s="65" t="s">
        <v>402</v>
      </c>
      <c r="L1039" s="37" t="s">
        <v>612</v>
      </c>
    </row>
    <row r="1040" spans="1:12" ht="13">
      <c r="A1040" s="18" t="s">
        <v>778</v>
      </c>
      <c r="B1040" s="18" t="s">
        <v>329</v>
      </c>
      <c r="C1040" s="18" t="s">
        <v>779</v>
      </c>
      <c r="D1040" s="18" t="s">
        <v>780</v>
      </c>
      <c r="E1040" s="18" t="s">
        <v>781</v>
      </c>
      <c r="F1040" s="37">
        <v>2002.9349391896901</v>
      </c>
      <c r="G1040" s="37">
        <v>6192</v>
      </c>
      <c r="H1040" s="37" t="s">
        <v>402</v>
      </c>
      <c r="I1040" s="37" t="s">
        <v>402</v>
      </c>
      <c r="J1040" s="37" t="s">
        <v>402</v>
      </c>
      <c r="K1040" s="65" t="s">
        <v>402</v>
      </c>
      <c r="L1040" s="37" t="s">
        <v>612</v>
      </c>
    </row>
    <row r="1041" spans="1:12" ht="13">
      <c r="A1041" s="18" t="s">
        <v>778</v>
      </c>
      <c r="B1041" s="18" t="s">
        <v>329</v>
      </c>
      <c r="C1041" s="18" t="s">
        <v>779</v>
      </c>
      <c r="D1041" s="18" t="s">
        <v>780</v>
      </c>
      <c r="E1041" s="18" t="s">
        <v>781</v>
      </c>
      <c r="F1041" s="37">
        <v>2004.06069852465</v>
      </c>
      <c r="G1041" s="37">
        <v>6662</v>
      </c>
      <c r="H1041" s="37" t="s">
        <v>402</v>
      </c>
      <c r="I1041" s="37" t="s">
        <v>402</v>
      </c>
      <c r="J1041" s="37" t="s">
        <v>402</v>
      </c>
      <c r="K1041" s="65" t="s">
        <v>402</v>
      </c>
      <c r="L1041" s="37" t="s">
        <v>612</v>
      </c>
    </row>
    <row r="1042" spans="1:12" ht="13">
      <c r="A1042" s="18" t="s">
        <v>778</v>
      </c>
      <c r="B1042" s="18" t="s">
        <v>329</v>
      </c>
      <c r="C1042" s="18" t="s">
        <v>779</v>
      </c>
      <c r="D1042" s="18" t="s">
        <v>780</v>
      </c>
      <c r="E1042" s="18" t="s">
        <v>781</v>
      </c>
      <c r="F1042" s="37">
        <v>2004.9616108698899</v>
      </c>
      <c r="G1042" s="37">
        <v>7171</v>
      </c>
      <c r="H1042" s="37" t="s">
        <v>402</v>
      </c>
      <c r="I1042" s="37" t="s">
        <v>402</v>
      </c>
      <c r="J1042" s="37" t="s">
        <v>402</v>
      </c>
      <c r="K1042" s="65" t="s">
        <v>402</v>
      </c>
      <c r="L1042" s="37" t="s">
        <v>612</v>
      </c>
    </row>
    <row r="1043" spans="1:12" ht="13">
      <c r="A1043" s="18" t="s">
        <v>778</v>
      </c>
      <c r="B1043" s="18" t="s">
        <v>329</v>
      </c>
      <c r="C1043" s="18" t="s">
        <v>779</v>
      </c>
      <c r="D1043" s="18" t="s">
        <v>780</v>
      </c>
      <c r="E1043" s="18" t="s">
        <v>781</v>
      </c>
      <c r="F1043" s="37">
        <v>2005.9370657086699</v>
      </c>
      <c r="G1043" s="37">
        <v>7580</v>
      </c>
      <c r="H1043" s="37" t="s">
        <v>402</v>
      </c>
      <c r="I1043" s="37" t="s">
        <v>402</v>
      </c>
      <c r="J1043" s="37" t="s">
        <v>402</v>
      </c>
      <c r="K1043" s="65" t="s">
        <v>402</v>
      </c>
      <c r="L1043" s="37" t="s">
        <v>612</v>
      </c>
    </row>
    <row r="1044" spans="1:12" ht="13">
      <c r="A1044" s="18" t="s">
        <v>778</v>
      </c>
      <c r="B1044" s="18" t="s">
        <v>329</v>
      </c>
      <c r="C1044" s="18" t="s">
        <v>779</v>
      </c>
      <c r="D1044" s="18" t="s">
        <v>780</v>
      </c>
      <c r="E1044" s="18" t="s">
        <v>781</v>
      </c>
      <c r="F1044" s="37">
        <v>2006.8373682993699</v>
      </c>
      <c r="G1044" s="37">
        <v>7673</v>
      </c>
      <c r="H1044" s="37" t="s">
        <v>402</v>
      </c>
      <c r="I1044" s="37" t="s">
        <v>402</v>
      </c>
      <c r="J1044" s="37" t="s">
        <v>402</v>
      </c>
      <c r="K1044" s="65" t="s">
        <v>402</v>
      </c>
      <c r="L1044" s="37" t="s">
        <v>612</v>
      </c>
    </row>
    <row r="1045" spans="1:12" ht="13">
      <c r="A1045" s="18" t="s">
        <v>778</v>
      </c>
      <c r="B1045" s="18" t="s">
        <v>329</v>
      </c>
      <c r="C1045" s="18" t="s">
        <v>779</v>
      </c>
      <c r="D1045" s="18" t="s">
        <v>780</v>
      </c>
      <c r="E1045" s="18" t="s">
        <v>781</v>
      </c>
      <c r="F1045" s="37">
        <v>2007.88706075442</v>
      </c>
      <c r="G1045" s="37">
        <v>7392</v>
      </c>
      <c r="H1045" s="37" t="s">
        <v>402</v>
      </c>
      <c r="I1045" s="37" t="s">
        <v>402</v>
      </c>
      <c r="J1045" s="37" t="s">
        <v>402</v>
      </c>
      <c r="K1045" s="65" t="s">
        <v>402</v>
      </c>
      <c r="L1045" s="37" t="s">
        <v>612</v>
      </c>
    </row>
    <row r="1046" spans="1:12" ht="13">
      <c r="A1046" s="18" t="s">
        <v>778</v>
      </c>
      <c r="B1046" s="18" t="s">
        <v>329</v>
      </c>
      <c r="C1046" s="18" t="s">
        <v>779</v>
      </c>
      <c r="D1046" s="18" t="s">
        <v>780</v>
      </c>
      <c r="E1046" s="18" t="s">
        <v>781</v>
      </c>
      <c r="F1046" s="37">
        <v>2009.01114326437</v>
      </c>
      <c r="G1046" s="37">
        <v>7015</v>
      </c>
      <c r="H1046" s="37" t="s">
        <v>402</v>
      </c>
      <c r="I1046" s="37" t="s">
        <v>402</v>
      </c>
      <c r="J1046" s="37" t="s">
        <v>402</v>
      </c>
      <c r="K1046" s="65" t="s">
        <v>402</v>
      </c>
      <c r="L1046" s="37" t="s">
        <v>612</v>
      </c>
    </row>
    <row r="1047" spans="1:12" ht="13">
      <c r="A1047" s="18" t="s">
        <v>778</v>
      </c>
      <c r="B1047" s="18" t="s">
        <v>329</v>
      </c>
      <c r="C1047" s="18" t="s">
        <v>779</v>
      </c>
      <c r="D1047" s="18" t="s">
        <v>780</v>
      </c>
      <c r="E1047" s="18" t="s">
        <v>781</v>
      </c>
      <c r="F1047" s="37">
        <v>2009.83705580016</v>
      </c>
      <c r="G1047" s="37">
        <v>7540</v>
      </c>
      <c r="H1047" s="37" t="s">
        <v>402</v>
      </c>
      <c r="I1047" s="37" t="s">
        <v>402</v>
      </c>
      <c r="J1047" s="37" t="s">
        <v>402</v>
      </c>
      <c r="K1047" s="65" t="s">
        <v>402</v>
      </c>
      <c r="L1047" s="37" t="s">
        <v>612</v>
      </c>
    </row>
    <row r="1048" spans="1:12" ht="13">
      <c r="A1048" s="18" t="s">
        <v>731</v>
      </c>
      <c r="B1048" s="18" t="s">
        <v>329</v>
      </c>
      <c r="C1048" s="18" t="s">
        <v>782</v>
      </c>
      <c r="D1048" s="18" t="s">
        <v>780</v>
      </c>
      <c r="E1048" s="18" t="s">
        <v>781</v>
      </c>
      <c r="F1048" s="37">
        <v>1958.00029725534</v>
      </c>
      <c r="G1048" s="37">
        <v>84</v>
      </c>
      <c r="H1048" s="37" t="s">
        <v>402</v>
      </c>
      <c r="I1048" s="37" t="s">
        <v>402</v>
      </c>
      <c r="J1048" s="37" t="s">
        <v>402</v>
      </c>
      <c r="K1048" s="65" t="s">
        <v>402</v>
      </c>
      <c r="L1048" s="37" t="s">
        <v>612</v>
      </c>
    </row>
    <row r="1049" spans="1:12" ht="13">
      <c r="A1049" s="18" t="s">
        <v>731</v>
      </c>
      <c r="B1049" s="18" t="s">
        <v>329</v>
      </c>
      <c r="C1049" s="18" t="s">
        <v>782</v>
      </c>
      <c r="D1049" s="18" t="s">
        <v>780</v>
      </c>
      <c r="E1049" s="18" t="s">
        <v>781</v>
      </c>
      <c r="F1049" s="37">
        <v>1959</v>
      </c>
      <c r="G1049" s="37" t="s">
        <v>402</v>
      </c>
      <c r="H1049" s="37" t="s">
        <v>402</v>
      </c>
      <c r="I1049" s="37" t="s">
        <v>402</v>
      </c>
      <c r="J1049" s="37" t="s">
        <v>402</v>
      </c>
      <c r="K1049" s="65" t="s">
        <v>402</v>
      </c>
      <c r="L1049" s="37" t="s">
        <v>612</v>
      </c>
    </row>
    <row r="1050" spans="1:12" ht="13">
      <c r="A1050" s="18" t="s">
        <v>731</v>
      </c>
      <c r="B1050" s="18" t="s">
        <v>329</v>
      </c>
      <c r="C1050" s="18" t="s">
        <v>782</v>
      </c>
      <c r="D1050" s="18" t="s">
        <v>780</v>
      </c>
      <c r="E1050" s="18" t="s">
        <v>781</v>
      </c>
      <c r="F1050" s="37">
        <v>1960</v>
      </c>
      <c r="G1050" s="37" t="s">
        <v>402</v>
      </c>
      <c r="H1050" s="37" t="s">
        <v>402</v>
      </c>
      <c r="I1050" s="37" t="s">
        <v>402</v>
      </c>
      <c r="J1050" s="37" t="s">
        <v>402</v>
      </c>
      <c r="K1050" s="65" t="s">
        <v>402</v>
      </c>
      <c r="L1050" s="37" t="s">
        <v>612</v>
      </c>
    </row>
    <row r="1051" spans="1:12" ht="13">
      <c r="A1051" s="18" t="s">
        <v>731</v>
      </c>
      <c r="B1051" s="18" t="s">
        <v>329</v>
      </c>
      <c r="C1051" s="18" t="s">
        <v>782</v>
      </c>
      <c r="D1051" s="18" t="s">
        <v>780</v>
      </c>
      <c r="E1051" s="18" t="s">
        <v>781</v>
      </c>
      <c r="F1051" s="37">
        <v>1961</v>
      </c>
      <c r="G1051" s="37" t="s">
        <v>402</v>
      </c>
      <c r="H1051" s="37" t="s">
        <v>402</v>
      </c>
      <c r="I1051" s="37" t="s">
        <v>402</v>
      </c>
      <c r="J1051" s="37" t="s">
        <v>402</v>
      </c>
      <c r="K1051" s="65" t="s">
        <v>402</v>
      </c>
      <c r="L1051" s="37" t="s">
        <v>612</v>
      </c>
    </row>
    <row r="1052" spans="1:12" ht="13">
      <c r="A1052" s="18" t="s">
        <v>731</v>
      </c>
      <c r="B1052" s="18" t="s">
        <v>329</v>
      </c>
      <c r="C1052" s="18" t="s">
        <v>782</v>
      </c>
      <c r="D1052" s="18" t="s">
        <v>780</v>
      </c>
      <c r="E1052" s="18" t="s">
        <v>781</v>
      </c>
      <c r="F1052" s="37">
        <v>1962</v>
      </c>
      <c r="G1052" s="37" t="s">
        <v>402</v>
      </c>
      <c r="H1052" s="37" t="s">
        <v>402</v>
      </c>
      <c r="I1052" s="37" t="s">
        <v>402</v>
      </c>
      <c r="J1052" s="37" t="s">
        <v>402</v>
      </c>
      <c r="K1052" s="65" t="s">
        <v>402</v>
      </c>
      <c r="L1052" s="37" t="s">
        <v>612</v>
      </c>
    </row>
    <row r="1053" spans="1:12" ht="13">
      <c r="A1053" s="18" t="s">
        <v>731</v>
      </c>
      <c r="B1053" s="18" t="s">
        <v>329</v>
      </c>
      <c r="C1053" s="18" t="s">
        <v>782</v>
      </c>
      <c r="D1053" s="18" t="s">
        <v>780</v>
      </c>
      <c r="E1053" s="18" t="s">
        <v>781</v>
      </c>
      <c r="F1053" s="37">
        <v>1963</v>
      </c>
      <c r="G1053" s="37" t="s">
        <v>402</v>
      </c>
      <c r="H1053" s="37" t="s">
        <v>402</v>
      </c>
      <c r="I1053" s="37" t="s">
        <v>402</v>
      </c>
      <c r="J1053" s="37" t="s">
        <v>402</v>
      </c>
      <c r="K1053" s="65" t="s">
        <v>402</v>
      </c>
      <c r="L1053" s="37" t="s">
        <v>612</v>
      </c>
    </row>
    <row r="1054" spans="1:12" ht="13">
      <c r="A1054" s="18" t="s">
        <v>731</v>
      </c>
      <c r="B1054" s="18" t="s">
        <v>329</v>
      </c>
      <c r="C1054" s="18" t="s">
        <v>782</v>
      </c>
      <c r="D1054" s="18" t="s">
        <v>780</v>
      </c>
      <c r="E1054" s="18" t="s">
        <v>781</v>
      </c>
      <c r="F1054" s="37">
        <v>1963.85150190167</v>
      </c>
      <c r="G1054" s="37">
        <v>972</v>
      </c>
      <c r="H1054" s="37" t="s">
        <v>402</v>
      </c>
      <c r="I1054" s="37" t="s">
        <v>402</v>
      </c>
      <c r="J1054" s="37" t="s">
        <v>402</v>
      </c>
      <c r="K1054" s="65" t="s">
        <v>402</v>
      </c>
      <c r="L1054" s="37" t="s">
        <v>612</v>
      </c>
    </row>
    <row r="1055" spans="1:12" ht="13">
      <c r="A1055" s="18" t="s">
        <v>731</v>
      </c>
      <c r="B1055" s="18" t="s">
        <v>329</v>
      </c>
      <c r="C1055" s="18" t="s">
        <v>782</v>
      </c>
      <c r="D1055" s="18" t="s">
        <v>780</v>
      </c>
      <c r="E1055" s="18" t="s">
        <v>781</v>
      </c>
      <c r="F1055" s="37">
        <v>1965</v>
      </c>
      <c r="G1055" s="37" t="s">
        <v>402</v>
      </c>
      <c r="H1055" s="37" t="s">
        <v>402</v>
      </c>
      <c r="I1055" s="37" t="s">
        <v>402</v>
      </c>
      <c r="J1055" s="37" t="s">
        <v>402</v>
      </c>
      <c r="K1055" s="65" t="s">
        <v>402</v>
      </c>
      <c r="L1055" s="37" t="s">
        <v>612</v>
      </c>
    </row>
    <row r="1056" spans="1:12" ht="13">
      <c r="A1056" s="18" t="s">
        <v>731</v>
      </c>
      <c r="B1056" s="18" t="s">
        <v>329</v>
      </c>
      <c r="C1056" s="18" t="s">
        <v>782</v>
      </c>
      <c r="D1056" s="18" t="s">
        <v>780</v>
      </c>
      <c r="E1056" s="18" t="s">
        <v>781</v>
      </c>
      <c r="F1056" s="37">
        <v>1966</v>
      </c>
      <c r="G1056" s="37" t="s">
        <v>402</v>
      </c>
      <c r="H1056" s="37" t="s">
        <v>402</v>
      </c>
      <c r="I1056" s="37" t="s">
        <v>402</v>
      </c>
      <c r="J1056" s="37" t="s">
        <v>402</v>
      </c>
      <c r="K1056" s="65" t="s">
        <v>402</v>
      </c>
      <c r="L1056" s="37" t="s">
        <v>612</v>
      </c>
    </row>
    <row r="1057" spans="1:12" ht="13">
      <c r="A1057" s="18" t="s">
        <v>731</v>
      </c>
      <c r="B1057" s="18" t="s">
        <v>329</v>
      </c>
      <c r="C1057" s="18" t="s">
        <v>782</v>
      </c>
      <c r="D1057" s="18" t="s">
        <v>780</v>
      </c>
      <c r="E1057" s="18" t="s">
        <v>781</v>
      </c>
      <c r="F1057" s="37">
        <v>1967</v>
      </c>
      <c r="G1057" s="37" t="s">
        <v>402</v>
      </c>
      <c r="H1057" s="37" t="s">
        <v>402</v>
      </c>
      <c r="I1057" s="37" t="s">
        <v>402</v>
      </c>
      <c r="J1057" s="37" t="s">
        <v>402</v>
      </c>
      <c r="K1057" s="65" t="s">
        <v>402</v>
      </c>
      <c r="L1057" s="37" t="s">
        <v>612</v>
      </c>
    </row>
    <row r="1058" spans="1:12" ht="13">
      <c r="A1058" s="18" t="s">
        <v>731</v>
      </c>
      <c r="B1058" s="18" t="s">
        <v>329</v>
      </c>
      <c r="C1058" s="18" t="s">
        <v>782</v>
      </c>
      <c r="D1058" s="18" t="s">
        <v>780</v>
      </c>
      <c r="E1058" s="18" t="s">
        <v>781</v>
      </c>
      <c r="F1058" s="37">
        <v>1967.9778633692499</v>
      </c>
      <c r="G1058" s="37">
        <v>1823</v>
      </c>
      <c r="H1058" s="37" t="s">
        <v>402</v>
      </c>
      <c r="I1058" s="37" t="s">
        <v>402</v>
      </c>
      <c r="J1058" s="37" t="s">
        <v>402</v>
      </c>
      <c r="K1058" s="65" t="s">
        <v>402</v>
      </c>
      <c r="L1058" s="37" t="s">
        <v>612</v>
      </c>
    </row>
    <row r="1059" spans="1:12" ht="13">
      <c r="A1059" s="18" t="s">
        <v>731</v>
      </c>
      <c r="B1059" s="18" t="s">
        <v>329</v>
      </c>
      <c r="C1059" s="18" t="s">
        <v>782</v>
      </c>
      <c r="D1059" s="18" t="s">
        <v>780</v>
      </c>
      <c r="E1059" s="18" t="s">
        <v>781</v>
      </c>
      <c r="F1059" s="37">
        <v>1969</v>
      </c>
      <c r="G1059" s="37"/>
      <c r="H1059" s="37" t="s">
        <v>402</v>
      </c>
      <c r="I1059" s="37" t="s">
        <v>402</v>
      </c>
      <c r="J1059" s="37" t="s">
        <v>402</v>
      </c>
      <c r="K1059" s="65" t="s">
        <v>402</v>
      </c>
      <c r="L1059" s="37" t="s">
        <v>612</v>
      </c>
    </row>
    <row r="1060" spans="1:12" ht="13">
      <c r="A1060" s="18" t="s">
        <v>731</v>
      </c>
      <c r="B1060" s="18" t="s">
        <v>329</v>
      </c>
      <c r="C1060" s="18" t="s">
        <v>782</v>
      </c>
      <c r="D1060" s="18" t="s">
        <v>780</v>
      </c>
      <c r="E1060" s="18" t="s">
        <v>781</v>
      </c>
      <c r="F1060" s="37">
        <v>1970</v>
      </c>
      <c r="G1060" s="37"/>
      <c r="H1060" s="37" t="s">
        <v>402</v>
      </c>
      <c r="I1060" s="37" t="s">
        <v>402</v>
      </c>
      <c r="J1060" s="37" t="s">
        <v>402</v>
      </c>
      <c r="K1060" s="65" t="s">
        <v>402</v>
      </c>
      <c r="L1060" s="37" t="s">
        <v>612</v>
      </c>
    </row>
    <row r="1061" spans="1:12" ht="13">
      <c r="A1061" s="18" t="s">
        <v>731</v>
      </c>
      <c r="B1061" s="18" t="s">
        <v>329</v>
      </c>
      <c r="C1061" s="18" t="s">
        <v>782</v>
      </c>
      <c r="D1061" s="18" t="s">
        <v>780</v>
      </c>
      <c r="E1061" s="18" t="s">
        <v>781</v>
      </c>
      <c r="F1061" s="37">
        <v>1971</v>
      </c>
      <c r="G1061" s="37"/>
      <c r="H1061" s="37" t="s">
        <v>402</v>
      </c>
      <c r="I1061" s="37" t="s">
        <v>402</v>
      </c>
      <c r="J1061" s="37" t="s">
        <v>402</v>
      </c>
      <c r="K1061" s="65" t="s">
        <v>402</v>
      </c>
      <c r="L1061" s="37" t="s">
        <v>612</v>
      </c>
    </row>
    <row r="1062" spans="1:12" ht="13">
      <c r="A1062" s="18" t="s">
        <v>731</v>
      </c>
      <c r="B1062" s="18" t="s">
        <v>329</v>
      </c>
      <c r="C1062" s="18" t="s">
        <v>782</v>
      </c>
      <c r="D1062" s="18" t="s">
        <v>780</v>
      </c>
      <c r="E1062" s="18" t="s">
        <v>781</v>
      </c>
      <c r="F1062" s="37">
        <v>1972.02983478192</v>
      </c>
      <c r="G1062" s="37">
        <v>2938</v>
      </c>
      <c r="H1062" s="37" t="s">
        <v>402</v>
      </c>
      <c r="I1062" s="37" t="s">
        <v>402</v>
      </c>
      <c r="J1062" s="37" t="s">
        <v>402</v>
      </c>
      <c r="K1062" s="65" t="s">
        <v>402</v>
      </c>
      <c r="L1062" s="37" t="s">
        <v>612</v>
      </c>
    </row>
    <row r="1063" spans="1:12" ht="13">
      <c r="A1063" s="18" t="s">
        <v>731</v>
      </c>
      <c r="B1063" s="18" t="s">
        <v>329</v>
      </c>
      <c r="C1063" s="18" t="s">
        <v>782</v>
      </c>
      <c r="D1063" s="18" t="s">
        <v>780</v>
      </c>
      <c r="E1063" s="18" t="s">
        <v>781</v>
      </c>
      <c r="F1063" s="37">
        <v>1973</v>
      </c>
      <c r="G1063" s="37" t="s">
        <v>402</v>
      </c>
      <c r="H1063" s="37" t="s">
        <v>402</v>
      </c>
      <c r="I1063" s="37" t="s">
        <v>402</v>
      </c>
      <c r="J1063" s="37" t="s">
        <v>402</v>
      </c>
      <c r="K1063" s="65" t="s">
        <v>402</v>
      </c>
      <c r="L1063" s="37" t="s">
        <v>612</v>
      </c>
    </row>
    <row r="1064" spans="1:12" ht="13">
      <c r="A1064" s="18" t="s">
        <v>731</v>
      </c>
      <c r="B1064" s="18" t="s">
        <v>329</v>
      </c>
      <c r="C1064" s="18" t="s">
        <v>782</v>
      </c>
      <c r="D1064" s="18" t="s">
        <v>780</v>
      </c>
      <c r="E1064" s="18" t="s">
        <v>781</v>
      </c>
      <c r="F1064" s="37">
        <v>1974</v>
      </c>
      <c r="G1064" s="37" t="s">
        <v>402</v>
      </c>
      <c r="H1064" s="37" t="s">
        <v>402</v>
      </c>
      <c r="I1064" s="37" t="s">
        <v>402</v>
      </c>
      <c r="J1064" s="37" t="s">
        <v>402</v>
      </c>
      <c r="K1064" s="65" t="s">
        <v>402</v>
      </c>
      <c r="L1064" s="37" t="s">
        <v>612</v>
      </c>
    </row>
    <row r="1065" spans="1:12" ht="13">
      <c r="A1065" s="18" t="s">
        <v>731</v>
      </c>
      <c r="B1065" s="18" t="s">
        <v>329</v>
      </c>
      <c r="C1065" s="18" t="s">
        <v>782</v>
      </c>
      <c r="D1065" s="18" t="s">
        <v>780</v>
      </c>
      <c r="E1065" s="18" t="s">
        <v>781</v>
      </c>
      <c r="F1065" s="37">
        <v>1975</v>
      </c>
      <c r="G1065" s="37" t="s">
        <v>402</v>
      </c>
      <c r="H1065" s="37" t="s">
        <v>402</v>
      </c>
      <c r="I1065" s="37" t="s">
        <v>402</v>
      </c>
      <c r="J1065" s="37" t="s">
        <v>402</v>
      </c>
      <c r="K1065" s="65" t="s">
        <v>402</v>
      </c>
      <c r="L1065" s="37" t="s">
        <v>612</v>
      </c>
    </row>
    <row r="1066" spans="1:12" ht="13">
      <c r="A1066" s="18" t="s">
        <v>731</v>
      </c>
      <c r="B1066" s="18" t="s">
        <v>329</v>
      </c>
      <c r="C1066" s="18" t="s">
        <v>782</v>
      </c>
      <c r="D1066" s="18" t="s">
        <v>780</v>
      </c>
      <c r="E1066" s="18" t="s">
        <v>781</v>
      </c>
      <c r="F1066" s="37">
        <v>1976</v>
      </c>
      <c r="G1066" s="37" t="s">
        <v>402</v>
      </c>
      <c r="H1066" s="37" t="s">
        <v>402</v>
      </c>
      <c r="I1066" s="37" t="s">
        <v>402</v>
      </c>
      <c r="J1066" s="37" t="s">
        <v>402</v>
      </c>
      <c r="K1066" s="65" t="s">
        <v>402</v>
      </c>
      <c r="L1066" s="37" t="s">
        <v>612</v>
      </c>
    </row>
    <row r="1067" spans="1:12" ht="13">
      <c r="A1067" s="18" t="s">
        <v>731</v>
      </c>
      <c r="B1067" s="18" t="s">
        <v>329</v>
      </c>
      <c r="C1067" s="18" t="s">
        <v>782</v>
      </c>
      <c r="D1067" s="18" t="s">
        <v>780</v>
      </c>
      <c r="E1067" s="18" t="s">
        <v>781</v>
      </c>
      <c r="F1067" s="37">
        <v>1976.90909067812</v>
      </c>
      <c r="G1067" s="37">
        <v>5528</v>
      </c>
      <c r="H1067" s="37" t="s">
        <v>402</v>
      </c>
      <c r="I1067" s="37" t="s">
        <v>402</v>
      </c>
      <c r="J1067" s="37" t="s">
        <v>402</v>
      </c>
      <c r="K1067" s="65" t="s">
        <v>402</v>
      </c>
      <c r="L1067" s="37" t="s">
        <v>612</v>
      </c>
    </row>
    <row r="1068" spans="1:12" ht="13">
      <c r="A1068" s="18" t="s">
        <v>731</v>
      </c>
      <c r="B1068" s="18" t="s">
        <v>329</v>
      </c>
      <c r="C1068" s="18" t="s">
        <v>782</v>
      </c>
      <c r="D1068" s="18" t="s">
        <v>780</v>
      </c>
      <c r="E1068" s="18" t="s">
        <v>781</v>
      </c>
      <c r="F1068" s="37">
        <v>1978</v>
      </c>
      <c r="G1068" s="37" t="s">
        <v>402</v>
      </c>
      <c r="H1068" s="37" t="s">
        <v>402</v>
      </c>
      <c r="I1068" s="37" t="s">
        <v>402</v>
      </c>
      <c r="J1068" s="37" t="s">
        <v>402</v>
      </c>
      <c r="K1068" s="65" t="s">
        <v>402</v>
      </c>
      <c r="L1068" s="37" t="s">
        <v>612</v>
      </c>
    </row>
    <row r="1069" spans="1:12" ht="13">
      <c r="A1069" s="18" t="s">
        <v>731</v>
      </c>
      <c r="B1069" s="18" t="s">
        <v>329</v>
      </c>
      <c r="C1069" s="18" t="s">
        <v>782</v>
      </c>
      <c r="D1069" s="18" t="s">
        <v>780</v>
      </c>
      <c r="E1069" s="18" t="s">
        <v>781</v>
      </c>
      <c r="F1069" s="37">
        <v>1979</v>
      </c>
      <c r="G1069" s="37" t="s">
        <v>402</v>
      </c>
      <c r="H1069" s="37" t="s">
        <v>402</v>
      </c>
      <c r="I1069" s="37" t="s">
        <v>402</v>
      </c>
      <c r="J1069" s="37" t="s">
        <v>402</v>
      </c>
      <c r="K1069" s="65" t="s">
        <v>402</v>
      </c>
      <c r="L1069" s="37" t="s">
        <v>612</v>
      </c>
    </row>
    <row r="1070" spans="1:12" ht="13">
      <c r="A1070" s="18" t="s">
        <v>731</v>
      </c>
      <c r="B1070" s="27" t="s">
        <v>329</v>
      </c>
      <c r="C1070" s="27" t="s">
        <v>782</v>
      </c>
      <c r="D1070" s="18" t="s">
        <v>780</v>
      </c>
      <c r="E1070" s="18" t="s">
        <v>781</v>
      </c>
      <c r="F1070" s="37">
        <v>1979.9875889543</v>
      </c>
      <c r="G1070" s="37">
        <v>7762</v>
      </c>
      <c r="H1070" s="37" t="s">
        <v>402</v>
      </c>
      <c r="I1070" s="37" t="s">
        <v>402</v>
      </c>
      <c r="J1070" s="37" t="s">
        <v>402</v>
      </c>
      <c r="K1070" s="65" t="s">
        <v>402</v>
      </c>
      <c r="L1070" s="37" t="s">
        <v>612</v>
      </c>
    </row>
    <row r="1071" spans="1:12" ht="13">
      <c r="A1071" s="18" t="s">
        <v>731</v>
      </c>
      <c r="B1071" s="27" t="s">
        <v>329</v>
      </c>
      <c r="C1071" s="27" t="s">
        <v>782</v>
      </c>
      <c r="D1071" s="18" t="s">
        <v>780</v>
      </c>
      <c r="E1071" s="18" t="s">
        <v>781</v>
      </c>
      <c r="F1071" s="37">
        <v>1981.0395679889</v>
      </c>
      <c r="G1071" s="37">
        <v>8818</v>
      </c>
      <c r="H1071" s="37" t="s">
        <v>402</v>
      </c>
      <c r="I1071" s="37" t="s">
        <v>402</v>
      </c>
      <c r="J1071" s="37" t="s">
        <v>402</v>
      </c>
      <c r="K1071" s="65" t="s">
        <v>402</v>
      </c>
      <c r="L1071" s="37" t="s">
        <v>612</v>
      </c>
    </row>
    <row r="1072" spans="1:12" ht="13">
      <c r="A1072" s="18" t="s">
        <v>731</v>
      </c>
      <c r="B1072" s="27" t="s">
        <v>329</v>
      </c>
      <c r="C1072" s="27" t="s">
        <v>782</v>
      </c>
      <c r="D1072" s="18" t="s">
        <v>780</v>
      </c>
      <c r="E1072" s="18" t="s">
        <v>781</v>
      </c>
      <c r="F1072" s="37">
        <v>1982.0162423367799</v>
      </c>
      <c r="G1072" s="37">
        <v>9692</v>
      </c>
      <c r="H1072" s="37" t="s">
        <v>402</v>
      </c>
      <c r="I1072" s="37" t="s">
        <v>402</v>
      </c>
      <c r="J1072" s="37" t="s">
        <v>402</v>
      </c>
      <c r="K1072" s="65" t="s">
        <v>402</v>
      </c>
      <c r="L1072" s="37" t="s">
        <v>612</v>
      </c>
    </row>
    <row r="1073" spans="1:12" ht="13">
      <c r="A1073" s="18" t="s">
        <v>731</v>
      </c>
      <c r="B1073" s="27" t="s">
        <v>329</v>
      </c>
      <c r="C1073" s="27" t="s">
        <v>782</v>
      </c>
      <c r="D1073" s="18" t="s">
        <v>780</v>
      </c>
      <c r="E1073" s="18" t="s">
        <v>781</v>
      </c>
      <c r="F1073" s="37">
        <v>1982.91700224339</v>
      </c>
      <c r="G1073" s="37">
        <v>10332</v>
      </c>
      <c r="H1073" s="37" t="s">
        <v>402</v>
      </c>
      <c r="I1073" s="37" t="s">
        <v>402</v>
      </c>
      <c r="J1073" s="37" t="s">
        <v>402</v>
      </c>
      <c r="K1073" s="65" t="s">
        <v>402</v>
      </c>
      <c r="L1073" s="37" t="s">
        <v>612</v>
      </c>
    </row>
    <row r="1074" spans="1:12" ht="13">
      <c r="A1074" s="18" t="s">
        <v>731</v>
      </c>
      <c r="B1074" s="27" t="s">
        <v>329</v>
      </c>
      <c r="C1074" s="27" t="s">
        <v>782</v>
      </c>
      <c r="D1074" s="18" t="s">
        <v>780</v>
      </c>
      <c r="E1074" s="18" t="s">
        <v>781</v>
      </c>
      <c r="F1074" s="37">
        <v>1983.89398146854</v>
      </c>
      <c r="G1074" s="37">
        <v>11499</v>
      </c>
      <c r="H1074" s="37" t="s">
        <v>402</v>
      </c>
      <c r="I1074" s="37" t="s">
        <v>402</v>
      </c>
      <c r="J1074" s="37" t="s">
        <v>402</v>
      </c>
      <c r="K1074" s="65" t="s">
        <v>402</v>
      </c>
      <c r="L1074" s="37" t="s">
        <v>612</v>
      </c>
    </row>
    <row r="1075" spans="1:12" ht="13">
      <c r="A1075" s="18" t="s">
        <v>731</v>
      </c>
      <c r="B1075" s="27" t="s">
        <v>329</v>
      </c>
      <c r="C1075" s="27" t="s">
        <v>782</v>
      </c>
      <c r="D1075" s="18" t="s">
        <v>780</v>
      </c>
      <c r="E1075" s="18" t="s">
        <v>781</v>
      </c>
      <c r="F1075" s="37">
        <v>1985.02202738306</v>
      </c>
      <c r="G1075" s="37">
        <v>13139</v>
      </c>
      <c r="H1075" s="37" t="s">
        <v>402</v>
      </c>
      <c r="I1075" s="37" t="s">
        <v>402</v>
      </c>
      <c r="J1075" s="37" t="s">
        <v>402</v>
      </c>
      <c r="K1075" s="65" t="s">
        <v>402</v>
      </c>
      <c r="L1075" s="37" t="s">
        <v>612</v>
      </c>
    </row>
    <row r="1076" spans="1:12" ht="13">
      <c r="A1076" s="18" t="s">
        <v>731</v>
      </c>
      <c r="B1076" s="27" t="s">
        <v>329</v>
      </c>
      <c r="C1076" s="27" t="s">
        <v>782</v>
      </c>
      <c r="D1076" s="18" t="s">
        <v>780</v>
      </c>
      <c r="E1076" s="18" t="s">
        <v>781</v>
      </c>
      <c r="F1076" s="37">
        <v>1985.9208055873801</v>
      </c>
      <c r="G1076" s="37">
        <v>12507</v>
      </c>
      <c r="H1076" s="37" t="s">
        <v>402</v>
      </c>
      <c r="I1076" s="37" t="s">
        <v>402</v>
      </c>
      <c r="J1076" s="37" t="s">
        <v>402</v>
      </c>
      <c r="K1076" s="65" t="s">
        <v>402</v>
      </c>
      <c r="L1076" s="37" t="s">
        <v>612</v>
      </c>
    </row>
    <row r="1077" spans="1:12" ht="13">
      <c r="A1077" s="18" t="s">
        <v>731</v>
      </c>
      <c r="B1077" s="27" t="s">
        <v>329</v>
      </c>
      <c r="C1077" s="27" t="s">
        <v>782</v>
      </c>
      <c r="D1077" s="18" t="s">
        <v>780</v>
      </c>
      <c r="E1077" s="18" t="s">
        <v>781</v>
      </c>
      <c r="F1077" s="37">
        <v>1986.89656530344</v>
      </c>
      <c r="G1077" s="37">
        <v>13033</v>
      </c>
      <c r="H1077" s="37" t="s">
        <v>402</v>
      </c>
      <c r="I1077" s="37" t="s">
        <v>402</v>
      </c>
      <c r="J1077" s="37" t="s">
        <v>402</v>
      </c>
      <c r="K1077" s="65" t="s">
        <v>402</v>
      </c>
      <c r="L1077" s="37" t="s">
        <v>612</v>
      </c>
    </row>
    <row r="1078" spans="1:12" ht="13">
      <c r="A1078" s="18" t="s">
        <v>731</v>
      </c>
      <c r="B1078" s="27" t="s">
        <v>329</v>
      </c>
      <c r="C1078" s="27" t="s">
        <v>782</v>
      </c>
      <c r="D1078" s="18" t="s">
        <v>780</v>
      </c>
      <c r="E1078" s="18" t="s">
        <v>781</v>
      </c>
      <c r="F1078" s="37">
        <v>1988.0243063406899</v>
      </c>
      <c r="G1078" s="37">
        <v>14724</v>
      </c>
      <c r="H1078" s="37" t="s">
        <v>402</v>
      </c>
      <c r="I1078" s="37" t="s">
        <v>402</v>
      </c>
      <c r="J1078" s="37" t="s">
        <v>402</v>
      </c>
      <c r="K1078" s="65" t="s">
        <v>402</v>
      </c>
      <c r="L1078" s="37" t="s">
        <v>612</v>
      </c>
    </row>
    <row r="1079" spans="1:12" ht="13">
      <c r="A1079" s="18" t="s">
        <v>731</v>
      </c>
      <c r="B1079" s="27" t="s">
        <v>329</v>
      </c>
      <c r="C1079" s="27" t="s">
        <v>782</v>
      </c>
      <c r="D1079" s="18" t="s">
        <v>780</v>
      </c>
      <c r="E1079" s="18" t="s">
        <v>781</v>
      </c>
      <c r="F1079" s="37">
        <v>1989.0029623908499</v>
      </c>
      <c r="G1079" s="37">
        <v>16833</v>
      </c>
      <c r="H1079" s="37" t="s">
        <v>402</v>
      </c>
      <c r="I1079" s="37" t="s">
        <v>402</v>
      </c>
      <c r="J1079" s="37" t="s">
        <v>402</v>
      </c>
      <c r="K1079" s="65" t="s">
        <v>402</v>
      </c>
      <c r="L1079" s="37" t="s">
        <v>612</v>
      </c>
    </row>
    <row r="1080" spans="1:12" ht="13">
      <c r="A1080" s="18" t="s">
        <v>731</v>
      </c>
      <c r="B1080" s="27" t="s">
        <v>329</v>
      </c>
      <c r="C1080" s="27" t="s">
        <v>782</v>
      </c>
      <c r="D1080" s="18" t="s">
        <v>780</v>
      </c>
      <c r="E1080" s="18" t="s">
        <v>781</v>
      </c>
      <c r="F1080" s="37">
        <v>1989.90356985882</v>
      </c>
      <c r="G1080" s="37">
        <v>17287</v>
      </c>
      <c r="H1080" s="37" t="s">
        <v>402</v>
      </c>
      <c r="I1080" s="37" t="s">
        <v>402</v>
      </c>
      <c r="J1080" s="37" t="s">
        <v>402</v>
      </c>
      <c r="K1080" s="65" t="s">
        <v>402</v>
      </c>
      <c r="L1080" s="37" t="s">
        <v>612</v>
      </c>
    </row>
    <row r="1081" spans="1:12" ht="13">
      <c r="A1081" s="18" t="s">
        <v>731</v>
      </c>
      <c r="B1081" s="27" t="s">
        <v>329</v>
      </c>
      <c r="C1081" s="27" t="s">
        <v>782</v>
      </c>
      <c r="D1081" s="18" t="s">
        <v>780</v>
      </c>
      <c r="E1081" s="18" t="s">
        <v>781</v>
      </c>
      <c r="F1081" s="37">
        <v>1991.0308535801501</v>
      </c>
      <c r="G1081" s="37">
        <v>18511</v>
      </c>
      <c r="H1081" s="37" t="s">
        <v>402</v>
      </c>
      <c r="I1081" s="37" t="s">
        <v>402</v>
      </c>
      <c r="J1081" s="37" t="s">
        <v>402</v>
      </c>
      <c r="K1081" s="65" t="s">
        <v>402</v>
      </c>
      <c r="L1081" s="37" t="s">
        <v>612</v>
      </c>
    </row>
    <row r="1082" spans="1:12" ht="13">
      <c r="A1082" s="18" t="s">
        <v>731</v>
      </c>
      <c r="B1082" s="27" t="s">
        <v>329</v>
      </c>
      <c r="C1082" s="27" t="s">
        <v>782</v>
      </c>
      <c r="D1082" s="18" t="s">
        <v>780</v>
      </c>
      <c r="E1082" s="18" t="s">
        <v>781</v>
      </c>
      <c r="F1082" s="37">
        <v>1992.0081376825799</v>
      </c>
      <c r="G1082" s="37">
        <v>19833</v>
      </c>
      <c r="H1082" s="37" t="s">
        <v>402</v>
      </c>
      <c r="I1082" s="37" t="s">
        <v>402</v>
      </c>
      <c r="J1082" s="37" t="s">
        <v>402</v>
      </c>
      <c r="K1082" s="65" t="s">
        <v>402</v>
      </c>
      <c r="L1082" s="37" t="s">
        <v>612</v>
      </c>
    </row>
    <row r="1083" spans="1:12" ht="13">
      <c r="A1083" s="18" t="s">
        <v>731</v>
      </c>
      <c r="B1083" s="27" t="s">
        <v>329</v>
      </c>
      <c r="C1083" s="27" t="s">
        <v>782</v>
      </c>
      <c r="D1083" s="18" t="s">
        <v>780</v>
      </c>
      <c r="E1083" s="18" t="s">
        <v>781</v>
      </c>
      <c r="F1083" s="37">
        <v>1992.98313520545</v>
      </c>
      <c r="G1083" s="37">
        <v>19938</v>
      </c>
      <c r="H1083" s="37" t="s">
        <v>402</v>
      </c>
      <c r="I1083" s="37" t="s">
        <v>402</v>
      </c>
      <c r="J1083" s="37" t="s">
        <v>402</v>
      </c>
      <c r="K1083" s="65" t="s">
        <v>402</v>
      </c>
      <c r="L1083" s="37" t="s">
        <v>612</v>
      </c>
    </row>
    <row r="1084" spans="1:12" ht="13">
      <c r="A1084" s="18" t="s">
        <v>731</v>
      </c>
      <c r="B1084" s="27" t="s">
        <v>329</v>
      </c>
      <c r="C1084" s="27" t="s">
        <v>782</v>
      </c>
      <c r="D1084" s="18" t="s">
        <v>780</v>
      </c>
      <c r="E1084" s="18" t="s">
        <v>781</v>
      </c>
      <c r="F1084" s="37">
        <v>1994.0363337491499</v>
      </c>
      <c r="G1084" s="37">
        <v>21777</v>
      </c>
      <c r="H1084" s="37" t="s">
        <v>402</v>
      </c>
      <c r="I1084" s="37" t="s">
        <v>402</v>
      </c>
      <c r="J1084" s="37" t="s">
        <v>402</v>
      </c>
      <c r="K1084" s="65" t="s">
        <v>402</v>
      </c>
      <c r="L1084" s="37" t="s">
        <v>612</v>
      </c>
    </row>
    <row r="1085" spans="1:12" ht="13">
      <c r="A1085" s="18" t="s">
        <v>731</v>
      </c>
      <c r="B1085" s="27" t="s">
        <v>329</v>
      </c>
      <c r="C1085" s="27" t="s">
        <v>782</v>
      </c>
      <c r="D1085" s="18" t="s">
        <v>780</v>
      </c>
      <c r="E1085" s="18" t="s">
        <v>781</v>
      </c>
      <c r="F1085" s="37">
        <v>1995.01133127202</v>
      </c>
      <c r="G1085" s="37">
        <v>21833</v>
      </c>
      <c r="H1085" s="37" t="s">
        <v>402</v>
      </c>
      <c r="I1085" s="37" t="s">
        <v>402</v>
      </c>
      <c r="J1085" s="37" t="s">
        <v>402</v>
      </c>
      <c r="K1085" s="65" t="s">
        <v>402</v>
      </c>
      <c r="L1085" s="37" t="s">
        <v>612</v>
      </c>
    </row>
    <row r="1086" spans="1:12" ht="13">
      <c r="A1086" s="18" t="s">
        <v>731</v>
      </c>
      <c r="B1086" s="27" t="s">
        <v>329</v>
      </c>
      <c r="C1086" s="27" t="s">
        <v>782</v>
      </c>
      <c r="D1086" s="18" t="s">
        <v>780</v>
      </c>
      <c r="E1086" s="18" t="s">
        <v>781</v>
      </c>
      <c r="F1086" s="37">
        <v>1995.9854141630699</v>
      </c>
      <c r="G1086" s="37">
        <v>21337</v>
      </c>
      <c r="H1086" s="37" t="s">
        <v>402</v>
      </c>
      <c r="I1086" s="37" t="s">
        <v>402</v>
      </c>
      <c r="J1086" s="37" t="s">
        <v>402</v>
      </c>
      <c r="K1086" s="65" t="s">
        <v>402</v>
      </c>
      <c r="L1086" s="37" t="s">
        <v>612</v>
      </c>
    </row>
    <row r="1087" spans="1:12" ht="13">
      <c r="A1087" s="18" t="s">
        <v>731</v>
      </c>
      <c r="B1087" s="27" t="s">
        <v>329</v>
      </c>
      <c r="C1087" s="27" t="s">
        <v>782</v>
      </c>
      <c r="D1087" s="18" t="s">
        <v>780</v>
      </c>
      <c r="E1087" s="18" t="s">
        <v>781</v>
      </c>
      <c r="F1087" s="37">
        <v>1997</v>
      </c>
      <c r="G1087" s="37" t="s">
        <v>402</v>
      </c>
      <c r="H1087" s="37" t="s">
        <v>402</v>
      </c>
      <c r="I1087" s="37" t="s">
        <v>402</v>
      </c>
      <c r="J1087" s="37" t="s">
        <v>402</v>
      </c>
      <c r="K1087" s="65" t="s">
        <v>402</v>
      </c>
      <c r="L1087" s="37" t="s">
        <v>612</v>
      </c>
    </row>
    <row r="1088" spans="1:12" ht="13">
      <c r="A1088" s="18" t="s">
        <v>731</v>
      </c>
      <c r="B1088" s="27" t="s">
        <v>329</v>
      </c>
      <c r="C1088" s="27" t="s">
        <v>782</v>
      </c>
      <c r="D1088" s="18" t="s">
        <v>780</v>
      </c>
      <c r="E1088" s="18" t="s">
        <v>781</v>
      </c>
      <c r="F1088" s="37">
        <v>1998.01254315919</v>
      </c>
      <c r="G1088" s="37">
        <v>22631</v>
      </c>
      <c r="H1088" s="37" t="s">
        <v>402</v>
      </c>
      <c r="I1088" s="37" t="s">
        <v>402</v>
      </c>
      <c r="J1088" s="37" t="s">
        <v>402</v>
      </c>
      <c r="K1088" s="65" t="s">
        <v>402</v>
      </c>
      <c r="L1088" s="37" t="s">
        <v>612</v>
      </c>
    </row>
    <row r="1089" spans="1:12" ht="13">
      <c r="A1089" s="18" t="s">
        <v>731</v>
      </c>
      <c r="B1089" s="27" t="s">
        <v>329</v>
      </c>
      <c r="C1089" s="27" t="s">
        <v>782</v>
      </c>
      <c r="D1089" s="18" t="s">
        <v>780</v>
      </c>
      <c r="E1089" s="18" t="s">
        <v>781</v>
      </c>
      <c r="F1089" s="37">
        <v>1999</v>
      </c>
      <c r="G1089" s="37" t="s">
        <v>402</v>
      </c>
      <c r="H1089" s="37" t="s">
        <v>402</v>
      </c>
      <c r="I1089" s="37" t="s">
        <v>402</v>
      </c>
      <c r="J1089" s="37" t="s">
        <v>402</v>
      </c>
      <c r="K1089" s="65" t="s">
        <v>402</v>
      </c>
      <c r="L1089" s="37" t="s">
        <v>612</v>
      </c>
    </row>
    <row r="1090" spans="1:12" ht="13">
      <c r="A1090" s="18" t="s">
        <v>731</v>
      </c>
      <c r="B1090" s="27" t="s">
        <v>329</v>
      </c>
      <c r="C1090" s="27" t="s">
        <v>782</v>
      </c>
      <c r="D1090" s="18" t="s">
        <v>780</v>
      </c>
      <c r="E1090" s="18" t="s">
        <v>781</v>
      </c>
      <c r="F1090" s="37">
        <v>1999.9651296617601</v>
      </c>
      <c r="G1090" s="37">
        <v>24160</v>
      </c>
      <c r="H1090" s="37" t="s">
        <v>402</v>
      </c>
      <c r="I1090" s="37" t="s">
        <v>402</v>
      </c>
      <c r="J1090" s="37" t="s">
        <v>402</v>
      </c>
      <c r="K1090" s="65" t="s">
        <v>402</v>
      </c>
      <c r="L1090" s="37" t="s">
        <v>612</v>
      </c>
    </row>
    <row r="1091" spans="1:12" ht="13">
      <c r="A1091" s="18" t="s">
        <v>731</v>
      </c>
      <c r="B1091" s="27" t="s">
        <v>329</v>
      </c>
      <c r="C1091" s="27" t="s">
        <v>782</v>
      </c>
      <c r="D1091" s="18" t="s">
        <v>780</v>
      </c>
      <c r="E1091" s="18" t="s">
        <v>781</v>
      </c>
      <c r="F1091" s="37">
        <v>2001.0155843099999</v>
      </c>
      <c r="G1091" s="37">
        <v>24410</v>
      </c>
      <c r="H1091" s="37" t="s">
        <v>402</v>
      </c>
      <c r="I1091" s="37" t="s">
        <v>402</v>
      </c>
      <c r="J1091" s="37" t="s">
        <v>402</v>
      </c>
      <c r="K1091" s="65" t="s">
        <v>402</v>
      </c>
      <c r="L1091" s="37" t="s">
        <v>612</v>
      </c>
    </row>
    <row r="1092" spans="1:12" ht="13">
      <c r="A1092" s="18" t="s">
        <v>731</v>
      </c>
      <c r="B1092" s="27" t="s">
        <v>329</v>
      </c>
      <c r="C1092" s="27" t="s">
        <v>782</v>
      </c>
      <c r="D1092" s="18" t="s">
        <v>780</v>
      </c>
      <c r="E1092" s="18" t="s">
        <v>781</v>
      </c>
      <c r="F1092" s="37">
        <v>2002</v>
      </c>
      <c r="G1092" s="37" t="s">
        <v>402</v>
      </c>
      <c r="H1092" s="37" t="s">
        <v>402</v>
      </c>
      <c r="I1092" s="37" t="s">
        <v>402</v>
      </c>
      <c r="J1092" s="37" t="s">
        <v>402</v>
      </c>
      <c r="K1092" s="65" t="s">
        <v>402</v>
      </c>
      <c r="L1092" s="37" t="s">
        <v>612</v>
      </c>
    </row>
    <row r="1093" spans="1:12" ht="13">
      <c r="A1093" s="18" t="s">
        <v>731</v>
      </c>
      <c r="B1093" s="27" t="s">
        <v>329</v>
      </c>
      <c r="C1093" s="27" t="s">
        <v>782</v>
      </c>
      <c r="D1093" s="18" t="s">
        <v>780</v>
      </c>
      <c r="E1093" s="18" t="s">
        <v>781</v>
      </c>
      <c r="F1093" s="37">
        <v>2003</v>
      </c>
      <c r="G1093" s="37" t="s">
        <v>402</v>
      </c>
      <c r="H1093" s="37" t="s">
        <v>402</v>
      </c>
      <c r="I1093" s="37" t="s">
        <v>402</v>
      </c>
      <c r="J1093" s="37" t="s">
        <v>402</v>
      </c>
      <c r="K1093" s="65" t="s">
        <v>402</v>
      </c>
      <c r="L1093" s="37" t="s">
        <v>612</v>
      </c>
    </row>
    <row r="1094" spans="1:12" ht="13">
      <c r="A1094" s="18" t="s">
        <v>731</v>
      </c>
      <c r="B1094" s="27" t="s">
        <v>329</v>
      </c>
      <c r="C1094" s="27" t="s">
        <v>782</v>
      </c>
      <c r="D1094" s="18" t="s">
        <v>780</v>
      </c>
      <c r="E1094" s="18" t="s">
        <v>781</v>
      </c>
      <c r="F1094" s="37">
        <v>2004</v>
      </c>
      <c r="G1094" s="37" t="s">
        <v>402</v>
      </c>
      <c r="H1094" s="37" t="s">
        <v>402</v>
      </c>
      <c r="I1094" s="37" t="s">
        <v>402</v>
      </c>
      <c r="J1094" s="37" t="s">
        <v>402</v>
      </c>
      <c r="K1094" s="65" t="s">
        <v>402</v>
      </c>
      <c r="L1094" s="37" t="s">
        <v>612</v>
      </c>
    </row>
    <row r="1095" spans="1:12" ht="13">
      <c r="A1095" s="18" t="s">
        <v>731</v>
      </c>
      <c r="B1095" s="27" t="s">
        <v>329</v>
      </c>
      <c r="C1095" s="27" t="s">
        <v>782</v>
      </c>
      <c r="D1095" s="18" t="s">
        <v>780</v>
      </c>
      <c r="E1095" s="18" t="s">
        <v>781</v>
      </c>
      <c r="F1095" s="37">
        <v>2005.0753300931699</v>
      </c>
      <c r="G1095" s="37">
        <v>30207</v>
      </c>
      <c r="H1095" s="37" t="s">
        <v>402</v>
      </c>
      <c r="I1095" s="37" t="s">
        <v>402</v>
      </c>
      <c r="J1095" s="37" t="s">
        <v>402</v>
      </c>
      <c r="K1095" s="65" t="s">
        <v>402</v>
      </c>
      <c r="L1095" s="37" t="s">
        <v>612</v>
      </c>
    </row>
    <row r="1096" spans="1:12" ht="13">
      <c r="A1096" s="18" t="s">
        <v>731</v>
      </c>
      <c r="B1096" s="27" t="s">
        <v>329</v>
      </c>
      <c r="C1096" s="27" t="s">
        <v>782</v>
      </c>
      <c r="D1096" s="18" t="s">
        <v>780</v>
      </c>
      <c r="E1096" s="18" t="s">
        <v>781</v>
      </c>
      <c r="F1096" s="37">
        <v>2006</v>
      </c>
      <c r="G1096" s="37" t="s">
        <v>402</v>
      </c>
      <c r="H1096" s="37" t="s">
        <v>402</v>
      </c>
      <c r="I1096" s="37" t="s">
        <v>402</v>
      </c>
      <c r="J1096" s="37" t="s">
        <v>402</v>
      </c>
      <c r="K1096" s="65" t="s">
        <v>402</v>
      </c>
      <c r="L1096" s="37" t="s">
        <v>612</v>
      </c>
    </row>
    <row r="1097" spans="1:12" ht="13">
      <c r="A1097" s="18" t="s">
        <v>731</v>
      </c>
      <c r="B1097" s="27" t="s">
        <v>329</v>
      </c>
      <c r="C1097" s="27" t="s">
        <v>782</v>
      </c>
      <c r="D1097" s="18" t="s">
        <v>780</v>
      </c>
      <c r="E1097" s="18" t="s">
        <v>781</v>
      </c>
      <c r="F1097" s="37">
        <v>2007</v>
      </c>
      <c r="G1097" s="37" t="s">
        <v>402</v>
      </c>
      <c r="H1097" s="37" t="s">
        <v>402</v>
      </c>
      <c r="I1097" s="37" t="s">
        <v>402</v>
      </c>
      <c r="J1097" s="37" t="s">
        <v>402</v>
      </c>
      <c r="K1097" s="65" t="s">
        <v>402</v>
      </c>
      <c r="L1097" s="37" t="s">
        <v>612</v>
      </c>
    </row>
    <row r="1098" spans="1:12" ht="13">
      <c r="A1098" s="18" t="s">
        <v>731</v>
      </c>
      <c r="B1098" s="27" t="s">
        <v>329</v>
      </c>
      <c r="C1098" s="27" t="s">
        <v>782</v>
      </c>
      <c r="D1098" s="18" t="s">
        <v>780</v>
      </c>
      <c r="E1098" s="18" t="s">
        <v>781</v>
      </c>
      <c r="F1098" s="37">
        <v>2008</v>
      </c>
      <c r="G1098" s="37" t="s">
        <v>402</v>
      </c>
      <c r="H1098" s="37" t="s">
        <v>402</v>
      </c>
      <c r="I1098" s="37" t="s">
        <v>402</v>
      </c>
      <c r="J1098" s="37" t="s">
        <v>402</v>
      </c>
      <c r="K1098" s="65" t="s">
        <v>402</v>
      </c>
      <c r="L1098" s="37" t="s">
        <v>612</v>
      </c>
    </row>
    <row r="1099" spans="1:12" ht="13">
      <c r="A1099" s="18" t="s">
        <v>731</v>
      </c>
      <c r="B1099" s="27" t="s">
        <v>329</v>
      </c>
      <c r="C1099" s="27" t="s">
        <v>782</v>
      </c>
      <c r="D1099" s="18" t="s">
        <v>780</v>
      </c>
      <c r="E1099" s="18" t="s">
        <v>781</v>
      </c>
      <c r="F1099" s="37">
        <v>2009</v>
      </c>
      <c r="G1099" s="37" t="s">
        <v>402</v>
      </c>
      <c r="H1099" s="37" t="s">
        <v>402</v>
      </c>
      <c r="I1099" s="37" t="s">
        <v>402</v>
      </c>
      <c r="J1099" s="37" t="s">
        <v>402</v>
      </c>
      <c r="K1099" s="65" t="s">
        <v>402</v>
      </c>
      <c r="L1099" s="37" t="s">
        <v>612</v>
      </c>
    </row>
    <row r="1100" spans="1:12" ht="13">
      <c r="A1100" s="18" t="s">
        <v>731</v>
      </c>
      <c r="B1100" s="27" t="s">
        <v>329</v>
      </c>
      <c r="C1100" s="27" t="s">
        <v>782</v>
      </c>
      <c r="D1100" s="18" t="s">
        <v>780</v>
      </c>
      <c r="E1100" s="18" t="s">
        <v>781</v>
      </c>
      <c r="F1100" s="37">
        <v>2010.03004311473</v>
      </c>
      <c r="G1100" s="37">
        <v>33144</v>
      </c>
      <c r="H1100" s="37" t="s">
        <v>402</v>
      </c>
      <c r="I1100" s="37" t="s">
        <v>402</v>
      </c>
      <c r="J1100" s="37" t="s">
        <v>402</v>
      </c>
      <c r="K1100" s="65" t="s">
        <v>402</v>
      </c>
      <c r="L1100" s="37" t="s">
        <v>612</v>
      </c>
    </row>
    <row r="1101" spans="1:12" ht="13">
      <c r="A1101" s="18" t="s">
        <v>783</v>
      </c>
      <c r="B1101" s="27" t="s">
        <v>329</v>
      </c>
      <c r="C1101" s="18" t="s">
        <v>784</v>
      </c>
      <c r="D1101" s="18" t="s">
        <v>780</v>
      </c>
      <c r="E1101" s="18" t="s">
        <v>781</v>
      </c>
      <c r="F1101" s="37">
        <v>1958</v>
      </c>
      <c r="G1101" s="37">
        <v>132</v>
      </c>
      <c r="H1101" s="37" t="s">
        <v>402</v>
      </c>
      <c r="I1101" s="37" t="s">
        <v>402</v>
      </c>
      <c r="J1101" s="37" t="s">
        <v>402</v>
      </c>
      <c r="K1101" s="65" t="s">
        <v>402</v>
      </c>
      <c r="L1101" s="37" t="s">
        <v>612</v>
      </c>
    </row>
    <row r="1102" spans="1:12" ht="13">
      <c r="A1102" s="18" t="s">
        <v>783</v>
      </c>
      <c r="B1102" s="27" t="s">
        <v>329</v>
      </c>
      <c r="C1102" s="18" t="s">
        <v>784</v>
      </c>
      <c r="D1102" s="18" t="s">
        <v>780</v>
      </c>
      <c r="E1102" s="18" t="s">
        <v>781</v>
      </c>
      <c r="F1102" s="37">
        <v>1964</v>
      </c>
      <c r="G1102" s="37">
        <v>1032</v>
      </c>
      <c r="H1102" s="37">
        <f t="shared" ref="H1102:I1102" si="873">F1102-F1101</f>
        <v>6</v>
      </c>
      <c r="I1102" s="37">
        <f t="shared" si="873"/>
        <v>900</v>
      </c>
      <c r="J1102" s="65">
        <f t="shared" ref="J1102:J1127" si="874">I1102/G1101</f>
        <v>6.8181818181818183</v>
      </c>
      <c r="K1102" s="65">
        <f t="shared" ref="K1102:K1127" si="875">J1102/H1102</f>
        <v>1.1363636363636365</v>
      </c>
      <c r="L1102" s="37" t="s">
        <v>612</v>
      </c>
    </row>
    <row r="1103" spans="1:12" ht="13">
      <c r="A1103" s="18" t="s">
        <v>783</v>
      </c>
      <c r="B1103" s="27" t="s">
        <v>329</v>
      </c>
      <c r="C1103" s="18" t="s">
        <v>784</v>
      </c>
      <c r="D1103" s="18" t="s">
        <v>780</v>
      </c>
      <c r="E1103" s="18" t="s">
        <v>781</v>
      </c>
      <c r="F1103" s="37">
        <v>1968</v>
      </c>
      <c r="G1103" s="37">
        <v>2010</v>
      </c>
      <c r="H1103" s="37">
        <f t="shared" ref="H1103:I1103" si="876">F1103-F1102</f>
        <v>4</v>
      </c>
      <c r="I1103" s="37">
        <f t="shared" si="876"/>
        <v>978</v>
      </c>
      <c r="J1103" s="65">
        <f t="shared" si="874"/>
        <v>0.94767441860465118</v>
      </c>
      <c r="K1103" s="65">
        <f t="shared" si="875"/>
        <v>0.2369186046511628</v>
      </c>
      <c r="L1103" s="37" t="s">
        <v>612</v>
      </c>
    </row>
    <row r="1104" spans="1:12" ht="13">
      <c r="A1104" s="18" t="s">
        <v>783</v>
      </c>
      <c r="B1104" s="27" t="s">
        <v>329</v>
      </c>
      <c r="C1104" s="18" t="s">
        <v>784</v>
      </c>
      <c r="D1104" s="18" t="s">
        <v>780</v>
      </c>
      <c r="E1104" s="18" t="s">
        <v>781</v>
      </c>
      <c r="F1104" s="37">
        <v>1971.95559716566</v>
      </c>
      <c r="G1104" s="37">
        <v>3329</v>
      </c>
      <c r="H1104" s="37">
        <f t="shared" ref="H1104:I1104" si="877">F1104-F1103</f>
        <v>3.9555971656600377</v>
      </c>
      <c r="I1104" s="37">
        <f t="shared" si="877"/>
        <v>1319</v>
      </c>
      <c r="J1104" s="65">
        <f t="shared" si="874"/>
        <v>0.65621890547263684</v>
      </c>
      <c r="K1104" s="65">
        <f t="shared" si="875"/>
        <v>0.16589629276952397</v>
      </c>
      <c r="L1104" s="37" t="s">
        <v>612</v>
      </c>
    </row>
    <row r="1105" spans="1:12" ht="13">
      <c r="A1105" s="18" t="s">
        <v>783</v>
      </c>
      <c r="B1105" s="27" t="s">
        <v>329</v>
      </c>
      <c r="C1105" s="18" t="s">
        <v>784</v>
      </c>
      <c r="D1105" s="18" t="s">
        <v>780</v>
      </c>
      <c r="E1105" s="18" t="s">
        <v>781</v>
      </c>
      <c r="F1105" s="37">
        <v>1976.91076750313</v>
      </c>
      <c r="G1105" s="37">
        <v>6523</v>
      </c>
      <c r="H1105" s="37">
        <f t="shared" ref="H1105:I1105" si="878">F1105-F1104</f>
        <v>4.9551703374700082</v>
      </c>
      <c r="I1105" s="37">
        <f t="shared" si="878"/>
        <v>3194</v>
      </c>
      <c r="J1105" s="65">
        <f t="shared" si="874"/>
        <v>0.95944728146590563</v>
      </c>
      <c r="K1105" s="65">
        <f t="shared" si="875"/>
        <v>0.19362548936224391</v>
      </c>
      <c r="L1105" s="37" t="s">
        <v>612</v>
      </c>
    </row>
    <row r="1106" spans="1:12" ht="13">
      <c r="A1106" s="18" t="s">
        <v>783</v>
      </c>
      <c r="B1106" s="18" t="s">
        <v>329</v>
      </c>
      <c r="C1106" s="18" t="s">
        <v>784</v>
      </c>
      <c r="D1106" s="18" t="s">
        <v>780</v>
      </c>
      <c r="E1106" s="18" t="s">
        <v>781</v>
      </c>
      <c r="F1106" s="37">
        <v>1979.9154854789499</v>
      </c>
      <c r="G1106" s="37">
        <v>9262</v>
      </c>
      <c r="H1106" s="37">
        <f t="shared" ref="H1106:I1106" si="879">F1106-F1105</f>
        <v>3.0047179758198581</v>
      </c>
      <c r="I1106" s="37">
        <f t="shared" si="879"/>
        <v>2739</v>
      </c>
      <c r="J1106" s="65">
        <f t="shared" si="874"/>
        <v>0.41989881956155145</v>
      </c>
      <c r="K1106" s="65">
        <f t="shared" si="875"/>
        <v>0.13974649965176153</v>
      </c>
      <c r="L1106" s="37" t="s">
        <v>612</v>
      </c>
    </row>
    <row r="1107" spans="1:12" ht="13">
      <c r="A1107" s="18" t="s">
        <v>783</v>
      </c>
      <c r="B1107" s="18" t="s">
        <v>329</v>
      </c>
      <c r="C1107" s="18" t="s">
        <v>784</v>
      </c>
      <c r="D1107" s="18" t="s">
        <v>780</v>
      </c>
      <c r="E1107" s="18" t="s">
        <v>781</v>
      </c>
      <c r="F1107" s="37">
        <v>1980.9673120749201</v>
      </c>
      <c r="G1107" s="37">
        <v>10427</v>
      </c>
      <c r="H1107" s="37">
        <f t="shared" ref="H1107:I1107" si="880">F1107-F1106</f>
        <v>1.0518265959701694</v>
      </c>
      <c r="I1107" s="37">
        <f t="shared" si="880"/>
        <v>1165</v>
      </c>
      <c r="J1107" s="65">
        <f t="shared" si="874"/>
        <v>0.12578276830058302</v>
      </c>
      <c r="K1107" s="65">
        <f t="shared" si="875"/>
        <v>0.11958508064208553</v>
      </c>
      <c r="L1107" s="37" t="s">
        <v>612</v>
      </c>
    </row>
    <row r="1108" spans="1:12" ht="13">
      <c r="A1108" s="18" t="s">
        <v>783</v>
      </c>
      <c r="B1108" s="18" t="s">
        <v>329</v>
      </c>
      <c r="C1108" s="18" t="s">
        <v>784</v>
      </c>
      <c r="D1108" s="18" t="s">
        <v>780</v>
      </c>
      <c r="E1108" s="18" t="s">
        <v>781</v>
      </c>
      <c r="F1108" s="37">
        <v>1982.0192911095201</v>
      </c>
      <c r="G1108" s="37">
        <v>11589</v>
      </c>
      <c r="H1108" s="37">
        <f t="shared" ref="H1108:I1108" si="881">F1108-F1107</f>
        <v>1.0519790345999809</v>
      </c>
      <c r="I1108" s="37">
        <f t="shared" si="881"/>
        <v>1162</v>
      </c>
      <c r="J1108" s="65">
        <f t="shared" si="874"/>
        <v>0.11144145008151914</v>
      </c>
      <c r="K1108" s="65">
        <f t="shared" si="875"/>
        <v>0.10593504852869542</v>
      </c>
      <c r="L1108" s="37" t="s">
        <v>612</v>
      </c>
    </row>
    <row r="1109" spans="1:12" ht="13">
      <c r="A1109" s="18" t="s">
        <v>783</v>
      </c>
      <c r="B1109" s="18" t="s">
        <v>329</v>
      </c>
      <c r="C1109" s="18" t="s">
        <v>784</v>
      </c>
      <c r="D1109" s="18" t="s">
        <v>780</v>
      </c>
      <c r="E1109" s="18" t="s">
        <v>781</v>
      </c>
      <c r="F1109" s="37">
        <v>1982.9205083320401</v>
      </c>
      <c r="G1109" s="37">
        <v>12355</v>
      </c>
      <c r="H1109" s="37">
        <f t="shared" ref="H1109:I1109" si="882">F1109-F1108</f>
        <v>0.90121722252001746</v>
      </c>
      <c r="I1109" s="37">
        <f t="shared" si="882"/>
        <v>766</v>
      </c>
      <c r="J1109" s="65">
        <f t="shared" si="874"/>
        <v>6.6097161101044091E-2</v>
      </c>
      <c r="K1109" s="65">
        <f t="shared" si="875"/>
        <v>7.3342097165232517E-2</v>
      </c>
      <c r="L1109" s="37" t="s">
        <v>612</v>
      </c>
    </row>
    <row r="1110" spans="1:12" ht="13">
      <c r="A1110" s="18" t="s">
        <v>783</v>
      </c>
      <c r="B1110" s="18" t="s">
        <v>329</v>
      </c>
      <c r="C1110" s="18" t="s">
        <v>784</v>
      </c>
      <c r="D1110" s="18" t="s">
        <v>780</v>
      </c>
      <c r="E1110" s="18" t="s">
        <v>781</v>
      </c>
      <c r="F1110" s="37">
        <v>1983.89809731174</v>
      </c>
      <c r="G1110" s="37">
        <v>13837</v>
      </c>
      <c r="H1110" s="37">
        <f t="shared" ref="H1110:I1110" si="883">F1110-F1109</f>
        <v>0.97758897969993086</v>
      </c>
      <c r="I1110" s="37">
        <f t="shared" si="883"/>
        <v>1482</v>
      </c>
      <c r="J1110" s="65">
        <f t="shared" si="874"/>
        <v>0.11995143666531768</v>
      </c>
      <c r="K1110" s="65">
        <f t="shared" si="875"/>
        <v>0.12270129794439434</v>
      </c>
      <c r="L1110" s="37" t="s">
        <v>612</v>
      </c>
    </row>
    <row r="1111" spans="1:12" ht="13">
      <c r="A1111" s="18" t="s">
        <v>783</v>
      </c>
      <c r="B1111" s="18" t="s">
        <v>329</v>
      </c>
      <c r="C1111" s="18" t="s">
        <v>784</v>
      </c>
      <c r="D1111" s="18" t="s">
        <v>780</v>
      </c>
      <c r="E1111" s="18" t="s">
        <v>781</v>
      </c>
      <c r="F1111" s="37">
        <v>1984.95007634635</v>
      </c>
      <c r="G1111" s="37">
        <v>15079</v>
      </c>
      <c r="H1111" s="37">
        <f t="shared" ref="H1111:I1111" si="884">F1111-F1110</f>
        <v>1.0519790346099853</v>
      </c>
      <c r="I1111" s="37">
        <f t="shared" si="884"/>
        <v>1242</v>
      </c>
      <c r="J1111" s="65">
        <f t="shared" si="874"/>
        <v>8.9759340897593409E-2</v>
      </c>
      <c r="K1111" s="65">
        <f t="shared" si="875"/>
        <v>8.5324267827135092E-2</v>
      </c>
      <c r="L1111" s="37" t="s">
        <v>612</v>
      </c>
    </row>
    <row r="1112" spans="1:12" ht="13">
      <c r="A1112" s="18" t="s">
        <v>783</v>
      </c>
      <c r="B1112" s="18" t="s">
        <v>329</v>
      </c>
      <c r="C1112" s="18" t="s">
        <v>784</v>
      </c>
      <c r="D1112" s="18" t="s">
        <v>780</v>
      </c>
      <c r="E1112" s="18" t="s">
        <v>781</v>
      </c>
      <c r="F1112" s="37">
        <v>1985.92461655331</v>
      </c>
      <c r="G1112" s="37">
        <v>14690</v>
      </c>
      <c r="H1112" s="37">
        <f t="shared" ref="H1112:I1112" si="885">F1112-F1111</f>
        <v>0.97454020696000043</v>
      </c>
      <c r="I1112" s="37">
        <f t="shared" si="885"/>
        <v>-389</v>
      </c>
      <c r="J1112" s="65">
        <f t="shared" si="874"/>
        <v>-2.5797466675508987E-2</v>
      </c>
      <c r="K1112" s="65">
        <f t="shared" si="875"/>
        <v>-2.6471423642932191E-2</v>
      </c>
      <c r="L1112" s="37" t="s">
        <v>612</v>
      </c>
    </row>
    <row r="1113" spans="1:12" ht="13">
      <c r="A1113" s="18" t="s">
        <v>783</v>
      </c>
      <c r="B1113" s="18" t="s">
        <v>329</v>
      </c>
      <c r="C1113" s="18" t="s">
        <v>784</v>
      </c>
      <c r="D1113" s="18" t="s">
        <v>780</v>
      </c>
      <c r="E1113" s="18" t="s">
        <v>781</v>
      </c>
      <c r="F1113" s="37">
        <v>1986.97491876291</v>
      </c>
      <c r="G1113" s="37">
        <v>15009</v>
      </c>
      <c r="H1113" s="37">
        <f t="shared" ref="H1113:I1113" si="886">F1113-F1112</f>
        <v>1.0503022095999768</v>
      </c>
      <c r="I1113" s="37">
        <f t="shared" si="886"/>
        <v>319</v>
      </c>
      <c r="J1113" s="65">
        <f t="shared" si="874"/>
        <v>2.1715452688904017E-2</v>
      </c>
      <c r="K1113" s="65">
        <f t="shared" si="875"/>
        <v>2.0675432737759038E-2</v>
      </c>
      <c r="L1113" s="37" t="s">
        <v>612</v>
      </c>
    </row>
    <row r="1114" spans="1:12" ht="13">
      <c r="A1114" s="18" t="s">
        <v>783</v>
      </c>
      <c r="B1114" s="18" t="s">
        <v>329</v>
      </c>
      <c r="C1114" s="18" t="s">
        <v>784</v>
      </c>
      <c r="D1114" s="18" t="s">
        <v>780</v>
      </c>
      <c r="E1114" s="18" t="s">
        <v>781</v>
      </c>
      <c r="F1114" s="37">
        <v>1987.9531174971601</v>
      </c>
      <c r="G1114" s="37">
        <v>16902</v>
      </c>
      <c r="H1114" s="37">
        <f t="shared" ref="H1114:I1114" si="887">F1114-F1113</f>
        <v>0.97819873425009973</v>
      </c>
      <c r="I1114" s="37">
        <f t="shared" si="887"/>
        <v>1893</v>
      </c>
      <c r="J1114" s="65">
        <f t="shared" si="874"/>
        <v>0.12612432540475715</v>
      </c>
      <c r="K1114" s="65">
        <f t="shared" si="875"/>
        <v>0.12893527765750562</v>
      </c>
      <c r="L1114" s="37" t="s">
        <v>612</v>
      </c>
    </row>
    <row r="1115" spans="1:12" ht="13">
      <c r="A1115" s="18" t="s">
        <v>783</v>
      </c>
      <c r="B1115" s="18" t="s">
        <v>329</v>
      </c>
      <c r="C1115" s="18" t="s">
        <v>784</v>
      </c>
      <c r="D1115" s="18" t="s">
        <v>780</v>
      </c>
      <c r="E1115" s="18" t="s">
        <v>781</v>
      </c>
      <c r="F1115" s="37">
        <v>1989.0070782340499</v>
      </c>
      <c r="G1115" s="37">
        <v>19229</v>
      </c>
      <c r="H1115" s="37">
        <f t="shared" ref="H1115:I1115" si="888">F1115-F1114</f>
        <v>1.0539607368898487</v>
      </c>
      <c r="I1115" s="37">
        <f t="shared" si="888"/>
        <v>2327</v>
      </c>
      <c r="J1115" s="65">
        <f t="shared" si="874"/>
        <v>0.13767601467281979</v>
      </c>
      <c r="K1115" s="65">
        <f t="shared" si="875"/>
        <v>0.13062727087831599</v>
      </c>
      <c r="L1115" s="37" t="s">
        <v>612</v>
      </c>
    </row>
    <row r="1116" spans="1:12" ht="13">
      <c r="A1116" s="18" t="s">
        <v>783</v>
      </c>
      <c r="B1116" s="18" t="s">
        <v>329</v>
      </c>
      <c r="C1116" s="18" t="s">
        <v>784</v>
      </c>
      <c r="D1116" s="18" t="s">
        <v>780</v>
      </c>
      <c r="E1116" s="18" t="s">
        <v>781</v>
      </c>
      <c r="F1116" s="37">
        <v>1989.9079905792901</v>
      </c>
      <c r="G1116" s="37">
        <v>19804</v>
      </c>
      <c r="H1116" s="37">
        <f t="shared" ref="H1116:I1116" si="889">F1116-F1115</f>
        <v>0.90091234524015817</v>
      </c>
      <c r="I1116" s="37">
        <f t="shared" si="889"/>
        <v>575</v>
      </c>
      <c r="J1116" s="65">
        <f t="shared" si="874"/>
        <v>2.9902751053096886E-2</v>
      </c>
      <c r="K1116" s="65">
        <f t="shared" si="875"/>
        <v>3.3191632028447389E-2</v>
      </c>
      <c r="L1116" s="37" t="s">
        <v>612</v>
      </c>
    </row>
    <row r="1117" spans="1:12" ht="13">
      <c r="A1117" s="18" t="s">
        <v>783</v>
      </c>
      <c r="B1117" s="18" t="s">
        <v>329</v>
      </c>
      <c r="C1117" s="18" t="s">
        <v>784</v>
      </c>
      <c r="D1117" s="18" t="s">
        <v>780</v>
      </c>
      <c r="E1117" s="18" t="s">
        <v>781</v>
      </c>
      <c r="F1117" s="37">
        <v>1991.0355791779</v>
      </c>
      <c r="G1117" s="37">
        <v>21407</v>
      </c>
      <c r="H1117" s="37">
        <f t="shared" ref="H1117:I1117" si="890">F1117-F1116</f>
        <v>1.1275885986099183</v>
      </c>
      <c r="I1117" s="37">
        <f t="shared" si="890"/>
        <v>1603</v>
      </c>
      <c r="J1117" s="65">
        <f t="shared" si="874"/>
        <v>8.0943243789133507E-2</v>
      </c>
      <c r="K1117" s="65">
        <f t="shared" si="875"/>
        <v>7.1784375869816036E-2</v>
      </c>
      <c r="L1117" s="37" t="s">
        <v>612</v>
      </c>
    </row>
    <row r="1118" spans="1:12" ht="13">
      <c r="A1118" s="18" t="s">
        <v>783</v>
      </c>
      <c r="B1118" s="18" t="s">
        <v>329</v>
      </c>
      <c r="C1118" s="18" t="s">
        <v>784</v>
      </c>
      <c r="D1118" s="18" t="s">
        <v>780</v>
      </c>
      <c r="E1118" s="18" t="s">
        <v>781</v>
      </c>
      <c r="F1118" s="37">
        <v>1991.93847322542</v>
      </c>
      <c r="G1118" s="37">
        <v>23057</v>
      </c>
      <c r="H1118" s="37">
        <f t="shared" ref="H1118:I1118" si="891">F1118-F1117</f>
        <v>0.90289404752002156</v>
      </c>
      <c r="I1118" s="37">
        <f t="shared" si="891"/>
        <v>1650</v>
      </c>
      <c r="J1118" s="65">
        <f t="shared" si="874"/>
        <v>7.707759144205166E-2</v>
      </c>
      <c r="K1118" s="65">
        <f t="shared" si="875"/>
        <v>8.5367260592492139E-2</v>
      </c>
      <c r="L1118" s="37" t="s">
        <v>612</v>
      </c>
    </row>
    <row r="1119" spans="1:12" ht="13">
      <c r="A1119" s="18" t="s">
        <v>783</v>
      </c>
      <c r="B1119" s="18" t="s">
        <v>329</v>
      </c>
      <c r="C1119" s="18" t="s">
        <v>784</v>
      </c>
      <c r="D1119" s="18" t="s">
        <v>780</v>
      </c>
      <c r="E1119" s="18" t="s">
        <v>781</v>
      </c>
      <c r="F1119" s="37">
        <v>1992.9884705577499</v>
      </c>
      <c r="G1119" s="37">
        <v>23054</v>
      </c>
      <c r="H1119" s="37">
        <f t="shared" ref="H1119:I1119" si="892">F1119-F1118</f>
        <v>1.0499973323298946</v>
      </c>
      <c r="I1119" s="37">
        <f t="shared" si="892"/>
        <v>-3</v>
      </c>
      <c r="J1119" s="65">
        <f t="shared" si="874"/>
        <v>-1.301123303118359E-4</v>
      </c>
      <c r="K1119" s="65">
        <f t="shared" si="875"/>
        <v>-1.2391681988669701E-4</v>
      </c>
      <c r="L1119" s="37" t="s">
        <v>612</v>
      </c>
    </row>
    <row r="1120" spans="1:12" ht="13">
      <c r="A1120" s="18" t="s">
        <v>783</v>
      </c>
      <c r="B1120" s="18" t="s">
        <v>329</v>
      </c>
      <c r="C1120" s="18" t="s">
        <v>784</v>
      </c>
      <c r="D1120" s="18" t="s">
        <v>780</v>
      </c>
      <c r="E1120" s="18" t="s">
        <v>781</v>
      </c>
      <c r="F1120" s="37">
        <v>1993.9669741692701</v>
      </c>
      <c r="G1120" s="37">
        <v>25332</v>
      </c>
      <c r="H1120" s="37">
        <f t="shared" ref="H1120:I1120" si="893">F1120-F1119</f>
        <v>0.97850361152018195</v>
      </c>
      <c r="I1120" s="37">
        <f t="shared" si="893"/>
        <v>2278</v>
      </c>
      <c r="J1120" s="65">
        <f t="shared" si="874"/>
        <v>9.8811486076168992E-2</v>
      </c>
      <c r="K1120" s="65">
        <f t="shared" si="875"/>
        <v>0.10098223952659471</v>
      </c>
      <c r="L1120" s="37" t="s">
        <v>612</v>
      </c>
    </row>
    <row r="1121" spans="1:12" ht="13">
      <c r="A1121" s="18" t="s">
        <v>783</v>
      </c>
      <c r="B1121" s="18" t="s">
        <v>329</v>
      </c>
      <c r="C1121" s="18" t="s">
        <v>784</v>
      </c>
      <c r="D1121" s="18" t="s">
        <v>780</v>
      </c>
      <c r="E1121" s="18" t="s">
        <v>781</v>
      </c>
      <c r="F1121" s="37">
        <v>1995.01803857206</v>
      </c>
      <c r="G1121" s="37">
        <v>25895</v>
      </c>
      <c r="H1121" s="37">
        <f t="shared" ref="H1121:I1121" si="894">F1121-F1120</f>
        <v>1.0510644027899616</v>
      </c>
      <c r="I1121" s="37">
        <f t="shared" si="894"/>
        <v>563</v>
      </c>
      <c r="J1121" s="65">
        <f t="shared" si="874"/>
        <v>2.2224853939681037E-2</v>
      </c>
      <c r="K1121" s="65">
        <f t="shared" si="875"/>
        <v>2.1145092423154131E-2</v>
      </c>
      <c r="L1121" s="37" t="s">
        <v>612</v>
      </c>
    </row>
    <row r="1122" spans="1:12" ht="13">
      <c r="A1122" s="18" t="s">
        <v>783</v>
      </c>
      <c r="B1122" s="18" t="s">
        <v>329</v>
      </c>
      <c r="C1122" s="18" t="s">
        <v>784</v>
      </c>
      <c r="D1122" s="18" t="s">
        <v>780</v>
      </c>
      <c r="E1122" s="18" t="s">
        <v>781</v>
      </c>
      <c r="F1122" s="37">
        <v>1995.99318853357</v>
      </c>
      <c r="G1122" s="37">
        <v>25923</v>
      </c>
      <c r="H1122" s="37">
        <f t="shared" ref="H1122:I1122" si="895">F1122-F1121</f>
        <v>0.97514996150994193</v>
      </c>
      <c r="I1122" s="37">
        <f t="shared" si="895"/>
        <v>28</v>
      </c>
      <c r="J1122" s="65">
        <f t="shared" si="874"/>
        <v>1.0812898242904035E-3</v>
      </c>
      <c r="K1122" s="65">
        <f t="shared" si="875"/>
        <v>1.1088446566886107E-3</v>
      </c>
      <c r="L1122" s="37" t="s">
        <v>612</v>
      </c>
    </row>
    <row r="1123" spans="1:12" ht="13">
      <c r="A1123" s="18" t="s">
        <v>783</v>
      </c>
      <c r="B1123" s="18" t="s">
        <v>329</v>
      </c>
      <c r="C1123" s="18" t="s">
        <v>784</v>
      </c>
      <c r="D1123" s="18" t="s">
        <v>780</v>
      </c>
      <c r="E1123" s="18" t="s">
        <v>781</v>
      </c>
      <c r="F1123" s="37">
        <v>1998.0210797228699</v>
      </c>
      <c r="G1123" s="37">
        <v>27609</v>
      </c>
      <c r="H1123" s="37">
        <f t="shared" ref="H1123:I1123" si="896">F1123-F1122</f>
        <v>2.0278911892999076</v>
      </c>
      <c r="I1123" s="37">
        <f t="shared" si="896"/>
        <v>1686</v>
      </c>
      <c r="J1123" s="65">
        <f t="shared" si="874"/>
        <v>6.5038768661034599E-2</v>
      </c>
      <c r="K1123" s="65">
        <f t="shared" si="875"/>
        <v>3.2072119551684646E-2</v>
      </c>
      <c r="L1123" s="37" t="s">
        <v>612</v>
      </c>
    </row>
    <row r="1124" spans="1:12" ht="13">
      <c r="A1124" s="18" t="s">
        <v>783</v>
      </c>
      <c r="B1124" s="18" t="s">
        <v>329</v>
      </c>
      <c r="C1124" s="18" t="s">
        <v>784</v>
      </c>
      <c r="D1124" s="18" t="s">
        <v>780</v>
      </c>
      <c r="E1124" s="18" t="s">
        <v>781</v>
      </c>
      <c r="F1124" s="37">
        <v>2000.0486660348899</v>
      </c>
      <c r="G1124" s="37">
        <v>29196</v>
      </c>
      <c r="H1124" s="37">
        <f t="shared" ref="H1124:I1124" si="897">F1124-F1123</f>
        <v>2.0275863120200484</v>
      </c>
      <c r="I1124" s="37">
        <f t="shared" si="897"/>
        <v>1587</v>
      </c>
      <c r="J1124" s="65">
        <f t="shared" si="874"/>
        <v>5.7481256112137349E-2</v>
      </c>
      <c r="K1124" s="65">
        <f t="shared" si="875"/>
        <v>2.8349597633093998E-2</v>
      </c>
      <c r="L1124" s="37" t="s">
        <v>612</v>
      </c>
    </row>
    <row r="1125" spans="1:12" ht="13">
      <c r="A1125" s="18" t="s">
        <v>783</v>
      </c>
      <c r="B1125" s="18" t="s">
        <v>329</v>
      </c>
      <c r="C1125" s="18" t="s">
        <v>784</v>
      </c>
      <c r="D1125" s="18" t="s">
        <v>780</v>
      </c>
      <c r="E1125" s="18" t="s">
        <v>781</v>
      </c>
      <c r="F1125" s="37">
        <v>2000.9494259415001</v>
      </c>
      <c r="G1125" s="37">
        <v>29648</v>
      </c>
      <c r="H1125" s="37">
        <f t="shared" ref="H1125:I1125" si="898">F1125-F1124</f>
        <v>0.90075990661011929</v>
      </c>
      <c r="I1125" s="37">
        <f t="shared" si="898"/>
        <v>452</v>
      </c>
      <c r="J1125" s="65">
        <f t="shared" si="874"/>
        <v>1.5481572818194273E-2</v>
      </c>
      <c r="K1125" s="65">
        <f t="shared" si="875"/>
        <v>1.7187235693534531E-2</v>
      </c>
      <c r="L1125" s="37" t="s">
        <v>612</v>
      </c>
    </row>
    <row r="1126" spans="1:12" ht="13">
      <c r="A1126" s="18" t="s">
        <v>783</v>
      </c>
      <c r="B1126" s="18" t="s">
        <v>329</v>
      </c>
      <c r="C1126" s="18" t="s">
        <v>784</v>
      </c>
      <c r="D1126" s="18" t="s">
        <v>780</v>
      </c>
      <c r="E1126" s="18" t="s">
        <v>781</v>
      </c>
      <c r="F1126" s="37">
        <v>2005.01222049741</v>
      </c>
      <c r="G1126" s="37">
        <v>37378</v>
      </c>
      <c r="H1126" s="37">
        <f t="shared" ref="H1126:I1126" si="899">F1126-F1125</f>
        <v>4.0627945559099317</v>
      </c>
      <c r="I1126" s="37">
        <f t="shared" si="899"/>
        <v>7730</v>
      </c>
      <c r="J1126" s="65">
        <f t="shared" si="874"/>
        <v>0.26072584997301673</v>
      </c>
      <c r="K1126" s="65">
        <f t="shared" si="875"/>
        <v>6.4174017756756283E-2</v>
      </c>
      <c r="L1126" s="37" t="s">
        <v>612</v>
      </c>
    </row>
    <row r="1127" spans="1:12" ht="13">
      <c r="A1127" s="18" t="s">
        <v>783</v>
      </c>
      <c r="B1127" s="18" t="s">
        <v>329</v>
      </c>
      <c r="C1127" s="18" t="s">
        <v>784</v>
      </c>
      <c r="D1127" s="18" t="s">
        <v>780</v>
      </c>
      <c r="E1127" s="18" t="s">
        <v>781</v>
      </c>
      <c r="F1127" s="37">
        <v>2009.9678481507899</v>
      </c>
      <c r="G1127" s="37">
        <v>40684</v>
      </c>
      <c r="H1127" s="37">
        <f t="shared" ref="H1127:I1127" si="900">F1127-F1126</f>
        <v>4.9556276533799064</v>
      </c>
      <c r="I1127" s="37">
        <f t="shared" si="900"/>
        <v>3306</v>
      </c>
      <c r="J1127" s="65">
        <f t="shared" si="874"/>
        <v>8.8447750013376847E-2</v>
      </c>
      <c r="K1127" s="65">
        <f t="shared" si="875"/>
        <v>1.7847941007644606E-2</v>
      </c>
      <c r="L1127" s="37" t="s">
        <v>612</v>
      </c>
    </row>
    <row r="1128" spans="1:12" ht="13">
      <c r="A1128" s="18" t="s">
        <v>786</v>
      </c>
      <c r="B1128" s="18" t="s">
        <v>335</v>
      </c>
      <c r="C1128" s="27" t="s">
        <v>787</v>
      </c>
      <c r="D1128" s="18" t="s">
        <v>788</v>
      </c>
      <c r="E1128" s="18" t="s">
        <v>690</v>
      </c>
      <c r="F1128" s="18">
        <v>1980</v>
      </c>
      <c r="G1128" s="40">
        <v>0</v>
      </c>
      <c r="H1128" s="40" t="s">
        <v>402</v>
      </c>
      <c r="I1128" s="40" t="s">
        <v>402</v>
      </c>
      <c r="J1128" s="40" t="s">
        <v>402</v>
      </c>
      <c r="K1128" s="65" t="s">
        <v>402</v>
      </c>
      <c r="L1128" s="38" t="s">
        <v>637</v>
      </c>
    </row>
    <row r="1129" spans="1:12" ht="13">
      <c r="A1129" s="18" t="s">
        <v>786</v>
      </c>
      <c r="B1129" s="18" t="s">
        <v>335</v>
      </c>
      <c r="C1129" s="27" t="s">
        <v>787</v>
      </c>
      <c r="D1129" s="18" t="s">
        <v>788</v>
      </c>
      <c r="E1129" s="18" t="s">
        <v>690</v>
      </c>
      <c r="F1129" s="18">
        <v>1982</v>
      </c>
      <c r="G1129" s="40">
        <v>0</v>
      </c>
      <c r="H1129" s="40" t="s">
        <v>402</v>
      </c>
      <c r="I1129" s="40" t="s">
        <v>402</v>
      </c>
      <c r="J1129" s="40" t="s">
        <v>402</v>
      </c>
      <c r="K1129" s="65" t="s">
        <v>402</v>
      </c>
      <c r="L1129" s="38" t="s">
        <v>637</v>
      </c>
    </row>
    <row r="1130" spans="1:12" ht="13">
      <c r="A1130" s="18" t="s">
        <v>786</v>
      </c>
      <c r="B1130" s="18" t="s">
        <v>335</v>
      </c>
      <c r="C1130" s="27" t="s">
        <v>787</v>
      </c>
      <c r="D1130" s="18" t="s">
        <v>788</v>
      </c>
      <c r="E1130" s="18" t="s">
        <v>690</v>
      </c>
      <c r="F1130" s="18">
        <v>1983</v>
      </c>
      <c r="G1130" s="40">
        <v>0</v>
      </c>
      <c r="H1130" s="40" t="s">
        <v>402</v>
      </c>
      <c r="I1130" s="40" t="s">
        <v>402</v>
      </c>
      <c r="J1130" s="40" t="s">
        <v>402</v>
      </c>
      <c r="K1130" s="65" t="s">
        <v>402</v>
      </c>
      <c r="L1130" s="38" t="s">
        <v>637</v>
      </c>
    </row>
    <row r="1131" spans="1:12" ht="13">
      <c r="A1131" s="18" t="s">
        <v>786</v>
      </c>
      <c r="B1131" s="18" t="s">
        <v>335</v>
      </c>
      <c r="C1131" s="27" t="s">
        <v>787</v>
      </c>
      <c r="D1131" s="18" t="s">
        <v>788</v>
      </c>
      <c r="E1131" s="18" t="s">
        <v>690</v>
      </c>
      <c r="F1131" s="18">
        <v>1984</v>
      </c>
      <c r="G1131" s="40">
        <v>0</v>
      </c>
      <c r="H1131" s="40" t="s">
        <v>402</v>
      </c>
      <c r="I1131" s="40" t="s">
        <v>402</v>
      </c>
      <c r="J1131" s="40" t="s">
        <v>402</v>
      </c>
      <c r="K1131" s="65" t="s">
        <v>402</v>
      </c>
      <c r="L1131" s="38" t="s">
        <v>637</v>
      </c>
    </row>
    <row r="1132" spans="1:12" ht="13">
      <c r="A1132" s="18" t="s">
        <v>786</v>
      </c>
      <c r="B1132" s="18" t="s">
        <v>335</v>
      </c>
      <c r="C1132" s="27" t="s">
        <v>787</v>
      </c>
      <c r="D1132" s="18" t="s">
        <v>788</v>
      </c>
      <c r="E1132" s="18" t="s">
        <v>690</v>
      </c>
      <c r="F1132" s="18">
        <v>1985</v>
      </c>
      <c r="G1132" s="40">
        <v>0</v>
      </c>
      <c r="H1132" s="40" t="s">
        <v>402</v>
      </c>
      <c r="I1132" s="40" t="s">
        <v>402</v>
      </c>
      <c r="J1132" s="40" t="s">
        <v>402</v>
      </c>
      <c r="K1132" s="65" t="s">
        <v>402</v>
      </c>
      <c r="L1132" s="38" t="s">
        <v>637</v>
      </c>
    </row>
    <row r="1133" spans="1:12" ht="13">
      <c r="A1133" s="18" t="s">
        <v>786</v>
      </c>
      <c r="B1133" s="18" t="s">
        <v>335</v>
      </c>
      <c r="C1133" s="27" t="s">
        <v>787</v>
      </c>
      <c r="D1133" s="18" t="s">
        <v>788</v>
      </c>
      <c r="E1133" s="18" t="s">
        <v>690</v>
      </c>
      <c r="F1133" s="18">
        <v>1988</v>
      </c>
      <c r="G1133" s="40">
        <v>0</v>
      </c>
      <c r="H1133" s="40" t="s">
        <v>402</v>
      </c>
      <c r="I1133" s="40" t="s">
        <v>402</v>
      </c>
      <c r="J1133" s="40" t="s">
        <v>402</v>
      </c>
      <c r="K1133" s="65" t="s">
        <v>402</v>
      </c>
      <c r="L1133" s="38" t="s">
        <v>637</v>
      </c>
    </row>
    <row r="1134" spans="1:12" ht="13">
      <c r="A1134" s="18" t="s">
        <v>786</v>
      </c>
      <c r="B1134" s="18" t="s">
        <v>335</v>
      </c>
      <c r="C1134" s="27" t="s">
        <v>787</v>
      </c>
      <c r="D1134" s="18" t="s">
        <v>788</v>
      </c>
      <c r="E1134" s="18" t="s">
        <v>690</v>
      </c>
      <c r="F1134" s="18">
        <v>1989</v>
      </c>
      <c r="G1134" s="40">
        <v>0</v>
      </c>
      <c r="H1134" s="40" t="s">
        <v>402</v>
      </c>
      <c r="I1134" s="40" t="s">
        <v>402</v>
      </c>
      <c r="J1134" s="40" t="s">
        <v>402</v>
      </c>
      <c r="K1134" s="65" t="s">
        <v>402</v>
      </c>
      <c r="L1134" s="38" t="s">
        <v>637</v>
      </c>
    </row>
    <row r="1135" spans="1:12" ht="13">
      <c r="A1135" s="18" t="s">
        <v>786</v>
      </c>
      <c r="B1135" s="18" t="s">
        <v>335</v>
      </c>
      <c r="C1135" s="27" t="s">
        <v>787</v>
      </c>
      <c r="D1135" s="18" t="s">
        <v>788</v>
      </c>
      <c r="E1135" s="18" t="s">
        <v>690</v>
      </c>
      <c r="F1135" s="18">
        <v>1990</v>
      </c>
      <c r="G1135" s="40">
        <v>0</v>
      </c>
      <c r="H1135" s="40" t="s">
        <v>402</v>
      </c>
      <c r="I1135" s="40" t="s">
        <v>402</v>
      </c>
      <c r="J1135" s="40" t="s">
        <v>402</v>
      </c>
      <c r="K1135" s="65" t="s">
        <v>402</v>
      </c>
      <c r="L1135" s="38" t="s">
        <v>637</v>
      </c>
    </row>
    <row r="1136" spans="1:12" ht="13">
      <c r="A1136" s="18" t="s">
        <v>786</v>
      </c>
      <c r="B1136" s="18" t="s">
        <v>335</v>
      </c>
      <c r="C1136" s="27" t="s">
        <v>787</v>
      </c>
      <c r="D1136" s="18" t="s">
        <v>788</v>
      </c>
      <c r="E1136" s="18" t="s">
        <v>690</v>
      </c>
      <c r="F1136" s="18">
        <v>1991</v>
      </c>
      <c r="G1136" s="40">
        <v>0</v>
      </c>
      <c r="H1136" s="40" t="s">
        <v>402</v>
      </c>
      <c r="I1136" s="40" t="s">
        <v>402</v>
      </c>
      <c r="J1136" s="40" t="s">
        <v>402</v>
      </c>
      <c r="K1136" s="65" t="s">
        <v>402</v>
      </c>
      <c r="L1136" s="38" t="s">
        <v>637</v>
      </c>
    </row>
    <row r="1137" spans="1:12" ht="13">
      <c r="A1137" s="18" t="s">
        <v>786</v>
      </c>
      <c r="B1137" s="18" t="s">
        <v>335</v>
      </c>
      <c r="C1137" s="27" t="s">
        <v>787</v>
      </c>
      <c r="D1137" s="18" t="s">
        <v>788</v>
      </c>
      <c r="E1137" s="18" t="s">
        <v>690</v>
      </c>
      <c r="F1137" s="18">
        <v>1993</v>
      </c>
      <c r="G1137" s="40">
        <v>1000</v>
      </c>
      <c r="H1137" s="40" t="s">
        <v>402</v>
      </c>
      <c r="I1137" s="40" t="s">
        <v>402</v>
      </c>
      <c r="J1137" s="40" t="s">
        <v>402</v>
      </c>
      <c r="K1137" s="65" t="s">
        <v>402</v>
      </c>
      <c r="L1137" s="38" t="s">
        <v>637</v>
      </c>
    </row>
    <row r="1138" spans="1:12" ht="13">
      <c r="A1138" s="18" t="s">
        <v>786</v>
      </c>
      <c r="B1138" s="18" t="s">
        <v>335</v>
      </c>
      <c r="C1138" s="27" t="s">
        <v>787</v>
      </c>
      <c r="D1138" s="18" t="s">
        <v>788</v>
      </c>
      <c r="E1138" s="18" t="s">
        <v>690</v>
      </c>
      <c r="F1138" s="18">
        <v>1994</v>
      </c>
      <c r="G1138" s="40">
        <v>1472</v>
      </c>
      <c r="H1138" s="40" t="s">
        <v>402</v>
      </c>
      <c r="I1138" s="40" t="s">
        <v>402</v>
      </c>
      <c r="J1138" s="40" t="s">
        <v>402</v>
      </c>
      <c r="K1138" s="65" t="s">
        <v>402</v>
      </c>
      <c r="L1138" s="38" t="s">
        <v>612</v>
      </c>
    </row>
    <row r="1139" spans="1:12" ht="13">
      <c r="A1139" s="18" t="s">
        <v>786</v>
      </c>
      <c r="B1139" s="18" t="s">
        <v>335</v>
      </c>
      <c r="C1139" s="27" t="s">
        <v>787</v>
      </c>
      <c r="D1139" s="18" t="s">
        <v>788</v>
      </c>
      <c r="E1139" s="18" t="s">
        <v>690</v>
      </c>
      <c r="F1139" s="18">
        <v>1995</v>
      </c>
      <c r="G1139" s="40">
        <v>1272</v>
      </c>
      <c r="H1139" s="40" t="s">
        <v>402</v>
      </c>
      <c r="I1139" s="40" t="s">
        <v>402</v>
      </c>
      <c r="J1139" s="40" t="s">
        <v>402</v>
      </c>
      <c r="K1139" s="65" t="s">
        <v>402</v>
      </c>
      <c r="L1139" s="38" t="s">
        <v>612</v>
      </c>
    </row>
    <row r="1140" spans="1:12" ht="13">
      <c r="A1140" s="18" t="s">
        <v>786</v>
      </c>
      <c r="B1140" s="18" t="s">
        <v>335</v>
      </c>
      <c r="C1140" s="27" t="s">
        <v>787</v>
      </c>
      <c r="D1140" s="18" t="s">
        <v>788</v>
      </c>
      <c r="E1140" s="18" t="s">
        <v>690</v>
      </c>
      <c r="F1140" s="18">
        <v>1997</v>
      </c>
      <c r="G1140" s="40">
        <v>5096</v>
      </c>
      <c r="H1140" s="40" t="s">
        <v>402</v>
      </c>
      <c r="I1140" s="40" t="s">
        <v>402</v>
      </c>
      <c r="J1140" s="40" t="s">
        <v>402</v>
      </c>
      <c r="K1140" s="65" t="s">
        <v>402</v>
      </c>
      <c r="L1140" s="38" t="s">
        <v>612</v>
      </c>
    </row>
    <row r="1141" spans="1:12" ht="13">
      <c r="A1141" s="18" t="s">
        <v>786</v>
      </c>
      <c r="B1141" s="18" t="s">
        <v>335</v>
      </c>
      <c r="C1141" s="27" t="s">
        <v>787</v>
      </c>
      <c r="D1141" s="18" t="s">
        <v>788</v>
      </c>
      <c r="E1141" s="18" t="s">
        <v>690</v>
      </c>
      <c r="F1141" s="18">
        <v>2005</v>
      </c>
      <c r="G1141" s="40">
        <v>12631</v>
      </c>
      <c r="H1141" s="40" t="s">
        <v>402</v>
      </c>
      <c r="I1141" s="40" t="s">
        <v>402</v>
      </c>
      <c r="J1141" s="40" t="s">
        <v>402</v>
      </c>
      <c r="K1141" s="65" t="s">
        <v>402</v>
      </c>
      <c r="L1141" s="38" t="s">
        <v>612</v>
      </c>
    </row>
    <row r="1142" spans="1:12" ht="13">
      <c r="A1142" s="18" t="s">
        <v>786</v>
      </c>
      <c r="B1142" s="18" t="s">
        <v>335</v>
      </c>
      <c r="C1142" s="27" t="s">
        <v>787</v>
      </c>
      <c r="D1142" s="18" t="s">
        <v>788</v>
      </c>
      <c r="E1142" s="18" t="s">
        <v>690</v>
      </c>
      <c r="F1142" s="18">
        <v>2007</v>
      </c>
      <c r="G1142" s="40">
        <v>17574</v>
      </c>
      <c r="H1142" s="40" t="s">
        <v>402</v>
      </c>
      <c r="I1142" s="40" t="s">
        <v>402</v>
      </c>
      <c r="J1142" s="40" t="s">
        <v>402</v>
      </c>
      <c r="K1142" s="65" t="s">
        <v>402</v>
      </c>
      <c r="L1142" s="38" t="s">
        <v>612</v>
      </c>
    </row>
    <row r="1143" spans="1:12" ht="13">
      <c r="A1143" s="18" t="s">
        <v>786</v>
      </c>
      <c r="B1143" s="18" t="s">
        <v>335</v>
      </c>
      <c r="C1143" s="27" t="s">
        <v>787</v>
      </c>
      <c r="D1143" s="18" t="s">
        <v>788</v>
      </c>
      <c r="E1143" s="18" t="s">
        <v>690</v>
      </c>
      <c r="F1143" s="18">
        <v>2011</v>
      </c>
      <c r="G1143" s="40">
        <v>22905</v>
      </c>
      <c r="H1143" s="40" t="s">
        <v>402</v>
      </c>
      <c r="I1143" s="40" t="s">
        <v>402</v>
      </c>
      <c r="J1143" s="40" t="s">
        <v>402</v>
      </c>
      <c r="K1143" s="65" t="s">
        <v>402</v>
      </c>
      <c r="L1143" s="38" t="s">
        <v>612</v>
      </c>
    </row>
    <row r="1144" spans="1:12" ht="13">
      <c r="A1144" s="18" t="s">
        <v>786</v>
      </c>
      <c r="B1144" s="18" t="s">
        <v>335</v>
      </c>
      <c r="C1144" s="27" t="s">
        <v>787</v>
      </c>
      <c r="D1144" s="18" t="s">
        <v>788</v>
      </c>
      <c r="E1144" s="18" t="s">
        <v>690</v>
      </c>
      <c r="F1144" s="18">
        <v>2015</v>
      </c>
      <c r="G1144" s="40">
        <v>27750</v>
      </c>
      <c r="H1144" s="40" t="s">
        <v>402</v>
      </c>
      <c r="I1144" s="40" t="s">
        <v>402</v>
      </c>
      <c r="J1144" s="40" t="s">
        <v>402</v>
      </c>
      <c r="K1144" s="65" t="s">
        <v>402</v>
      </c>
      <c r="L1144" s="38" t="s">
        <v>612</v>
      </c>
    </row>
    <row r="1145" spans="1:12" ht="13">
      <c r="A1145" s="18" t="s">
        <v>786</v>
      </c>
      <c r="B1145" s="18" t="s">
        <v>335</v>
      </c>
      <c r="C1145" s="27" t="s">
        <v>787</v>
      </c>
      <c r="D1145" s="18" t="s">
        <v>788</v>
      </c>
      <c r="E1145" s="18" t="s">
        <v>690</v>
      </c>
      <c r="F1145" s="18">
        <v>2019</v>
      </c>
      <c r="G1145" s="40">
        <v>36015</v>
      </c>
      <c r="H1145" s="40" t="s">
        <v>402</v>
      </c>
      <c r="I1145" s="40" t="s">
        <v>402</v>
      </c>
      <c r="J1145" s="40" t="s">
        <v>402</v>
      </c>
      <c r="K1145" s="65" t="s">
        <v>402</v>
      </c>
      <c r="L1145" s="38" t="s">
        <v>612</v>
      </c>
    </row>
    <row r="1146" spans="1:12" ht="13">
      <c r="A1146" s="18" t="s">
        <v>790</v>
      </c>
      <c r="B1146" s="18" t="s">
        <v>335</v>
      </c>
      <c r="C1146" s="27" t="s">
        <v>791</v>
      </c>
      <c r="D1146" s="18" t="s">
        <v>788</v>
      </c>
      <c r="E1146" s="18" t="s">
        <v>690</v>
      </c>
      <c r="F1146" s="37">
        <v>1981.02047244095</v>
      </c>
      <c r="G1146" s="37">
        <v>38000</v>
      </c>
      <c r="H1146" s="40" t="s">
        <v>402</v>
      </c>
      <c r="I1146" s="40" t="s">
        <v>402</v>
      </c>
      <c r="J1146" s="40" t="s">
        <v>402</v>
      </c>
      <c r="K1146" s="65" t="s">
        <v>402</v>
      </c>
      <c r="L1146" s="38" t="s">
        <v>637</v>
      </c>
    </row>
    <row r="1147" spans="1:12" ht="13">
      <c r="A1147" s="18" t="s">
        <v>790</v>
      </c>
      <c r="B1147" s="18" t="s">
        <v>335</v>
      </c>
      <c r="C1147" s="27" t="s">
        <v>791</v>
      </c>
      <c r="D1147" s="18" t="s">
        <v>788</v>
      </c>
      <c r="E1147" s="18" t="s">
        <v>690</v>
      </c>
      <c r="F1147" s="37">
        <v>1983.06141732283</v>
      </c>
      <c r="G1147" s="37">
        <v>31000</v>
      </c>
      <c r="H1147" s="40" t="s">
        <v>402</v>
      </c>
      <c r="I1147" s="40" t="s">
        <v>402</v>
      </c>
      <c r="J1147" s="40" t="s">
        <v>402</v>
      </c>
      <c r="K1147" s="65" t="s">
        <v>402</v>
      </c>
      <c r="L1147" s="38" t="s">
        <v>637</v>
      </c>
    </row>
    <row r="1148" spans="1:12" ht="13">
      <c r="A1148" s="18" t="s">
        <v>790</v>
      </c>
      <c r="B1148" s="18" t="s">
        <v>335</v>
      </c>
      <c r="C1148" s="27" t="s">
        <v>791</v>
      </c>
      <c r="D1148" s="18" t="s">
        <v>788</v>
      </c>
      <c r="E1148" s="18" t="s">
        <v>690</v>
      </c>
      <c r="F1148" s="37">
        <v>1985.0456692913399</v>
      </c>
      <c r="G1148" s="37">
        <v>29000</v>
      </c>
      <c r="H1148" s="40" t="s">
        <v>402</v>
      </c>
      <c r="I1148" s="40" t="s">
        <v>402</v>
      </c>
      <c r="J1148" s="40" t="s">
        <v>402</v>
      </c>
      <c r="K1148" s="65" t="s">
        <v>402</v>
      </c>
      <c r="L1148" s="38" t="s">
        <v>637</v>
      </c>
    </row>
    <row r="1149" spans="1:12" ht="13">
      <c r="A1149" s="18" t="s">
        <v>790</v>
      </c>
      <c r="B1149" s="18" t="s">
        <v>335</v>
      </c>
      <c r="C1149" s="27" t="s">
        <v>791</v>
      </c>
      <c r="D1149" s="18" t="s">
        <v>788</v>
      </c>
      <c r="E1149" s="18" t="s">
        <v>690</v>
      </c>
      <c r="F1149" s="37">
        <v>1988.05039370079</v>
      </c>
      <c r="G1149" s="37">
        <v>25000</v>
      </c>
      <c r="H1149" s="40" t="s">
        <v>402</v>
      </c>
      <c r="I1149" s="40" t="s">
        <v>402</v>
      </c>
      <c r="J1149" s="40" t="s">
        <v>402</v>
      </c>
      <c r="K1149" s="65" t="s">
        <v>402</v>
      </c>
      <c r="L1149" s="38" t="s">
        <v>637</v>
      </c>
    </row>
    <row r="1150" spans="1:12" ht="13">
      <c r="A1150" s="18" t="s">
        <v>790</v>
      </c>
      <c r="B1150" s="18" t="s">
        <v>335</v>
      </c>
      <c r="C1150" s="27" t="s">
        <v>791</v>
      </c>
      <c r="D1150" s="18" t="s">
        <v>788</v>
      </c>
      <c r="E1150" s="18" t="s">
        <v>690</v>
      </c>
      <c r="F1150" s="37">
        <v>1989.9779527559101</v>
      </c>
      <c r="G1150" s="37">
        <v>23000</v>
      </c>
      <c r="H1150" s="40" t="s">
        <v>402</v>
      </c>
      <c r="I1150" s="40" t="s">
        <v>402</v>
      </c>
      <c r="J1150" s="40" t="s">
        <v>402</v>
      </c>
      <c r="K1150" s="65" t="s">
        <v>402</v>
      </c>
      <c r="L1150" s="38" t="s">
        <v>637</v>
      </c>
    </row>
    <row r="1151" spans="1:12" ht="13">
      <c r="A1151" s="18" t="s">
        <v>790</v>
      </c>
      <c r="B1151" s="18" t="s">
        <v>335</v>
      </c>
      <c r="C1151" s="27" t="s">
        <v>791</v>
      </c>
      <c r="D1151" s="18" t="s">
        <v>788</v>
      </c>
      <c r="E1151" s="18" t="s">
        <v>690</v>
      </c>
      <c r="F1151" s="37">
        <v>1992.0755905511801</v>
      </c>
      <c r="G1151" s="37">
        <v>25000</v>
      </c>
      <c r="H1151" s="40" t="s">
        <v>402</v>
      </c>
      <c r="I1151" s="40" t="s">
        <v>402</v>
      </c>
      <c r="J1151" s="40" t="s">
        <v>402</v>
      </c>
      <c r="K1151" s="65" t="s">
        <v>402</v>
      </c>
      <c r="L1151" s="38" t="s">
        <v>637</v>
      </c>
    </row>
    <row r="1152" spans="1:12" ht="13">
      <c r="A1152" s="18" t="s">
        <v>790</v>
      </c>
      <c r="B1152" s="18" t="s">
        <v>335</v>
      </c>
      <c r="C1152" s="27" t="s">
        <v>791</v>
      </c>
      <c r="D1152" s="18" t="s">
        <v>788</v>
      </c>
      <c r="E1152" s="18" t="s">
        <v>690</v>
      </c>
      <c r="F1152" s="37">
        <v>1994.0598425196899</v>
      </c>
      <c r="G1152" s="37">
        <v>22244</v>
      </c>
      <c r="H1152" s="40" t="s">
        <v>402</v>
      </c>
      <c r="I1152" s="40" t="s">
        <v>402</v>
      </c>
      <c r="J1152" s="40" t="s">
        <v>402</v>
      </c>
      <c r="K1152" s="65" t="s">
        <v>402</v>
      </c>
      <c r="L1152" s="38" t="s">
        <v>612</v>
      </c>
    </row>
    <row r="1153" spans="1:12" ht="13">
      <c r="A1153" s="18" t="s">
        <v>790</v>
      </c>
      <c r="B1153" s="18" t="s">
        <v>335</v>
      </c>
      <c r="C1153" s="27" t="s">
        <v>791</v>
      </c>
      <c r="D1153" s="18" t="s">
        <v>788</v>
      </c>
      <c r="E1153" s="18" t="s">
        <v>690</v>
      </c>
      <c r="F1153" s="37">
        <v>1996.04409448819</v>
      </c>
      <c r="G1153" s="37">
        <v>27385</v>
      </c>
      <c r="H1153" s="40" t="s">
        <v>402</v>
      </c>
      <c r="I1153" s="40" t="s">
        <v>402</v>
      </c>
      <c r="J1153" s="40" t="s">
        <v>402</v>
      </c>
      <c r="K1153" s="65" t="s">
        <v>402</v>
      </c>
      <c r="L1153" s="38" t="s">
        <v>612</v>
      </c>
    </row>
    <row r="1154" spans="1:12" ht="13">
      <c r="A1154" s="18" t="s">
        <v>790</v>
      </c>
      <c r="B1154" s="18" t="s">
        <v>335</v>
      </c>
      <c r="C1154" s="27" t="s">
        <v>791</v>
      </c>
      <c r="D1154" s="18" t="s">
        <v>788</v>
      </c>
      <c r="E1154" s="18" t="s">
        <v>690</v>
      </c>
      <c r="F1154" s="37">
        <v>1998.0283464566901</v>
      </c>
      <c r="G1154" s="37">
        <v>22090</v>
      </c>
      <c r="H1154" s="40" t="s">
        <v>402</v>
      </c>
      <c r="I1154" s="40" t="s">
        <v>402</v>
      </c>
      <c r="J1154" s="40" t="s">
        <v>402</v>
      </c>
      <c r="K1154" s="65" t="s">
        <v>402</v>
      </c>
      <c r="L1154" s="38" t="s">
        <v>612</v>
      </c>
    </row>
    <row r="1155" spans="1:12" ht="13">
      <c r="A1155" s="18" t="s">
        <v>790</v>
      </c>
      <c r="B1155" s="18" t="s">
        <v>335</v>
      </c>
      <c r="C1155" s="27" t="s">
        <v>791</v>
      </c>
      <c r="D1155" s="18" t="s">
        <v>788</v>
      </c>
      <c r="E1155" s="18" t="s">
        <v>690</v>
      </c>
      <c r="F1155" s="37">
        <v>2000.0125984251999</v>
      </c>
      <c r="G1155" s="37">
        <v>20176</v>
      </c>
      <c r="H1155" s="40" t="s">
        <v>402</v>
      </c>
      <c r="I1155" s="40" t="s">
        <v>402</v>
      </c>
      <c r="J1155" s="40" t="s">
        <v>402</v>
      </c>
      <c r="K1155" s="65" t="s">
        <v>402</v>
      </c>
      <c r="L1155" s="38" t="s">
        <v>612</v>
      </c>
    </row>
    <row r="1156" spans="1:12" ht="13">
      <c r="A1156" s="18" t="s">
        <v>790</v>
      </c>
      <c r="B1156" s="18" t="s">
        <v>335</v>
      </c>
      <c r="C1156" s="27" t="s">
        <v>791</v>
      </c>
      <c r="D1156" s="18" t="s">
        <v>788</v>
      </c>
      <c r="E1156" s="18" t="s">
        <v>690</v>
      </c>
      <c r="F1156" s="37">
        <v>2001.9968503937</v>
      </c>
      <c r="G1156" s="37">
        <v>17593</v>
      </c>
      <c r="H1156" s="40" t="s">
        <v>402</v>
      </c>
      <c r="I1156" s="40" t="s">
        <v>402</v>
      </c>
      <c r="J1156" s="40" t="s">
        <v>402</v>
      </c>
      <c r="K1156" s="65" t="s">
        <v>402</v>
      </c>
      <c r="L1156" s="38" t="s">
        <v>612</v>
      </c>
    </row>
    <row r="1157" spans="1:12" ht="13">
      <c r="A1157" s="18" t="s">
        <v>790</v>
      </c>
      <c r="B1157" s="18" t="s">
        <v>335</v>
      </c>
      <c r="C1157" s="27" t="s">
        <v>791</v>
      </c>
      <c r="D1157" s="18" t="s">
        <v>788</v>
      </c>
      <c r="E1157" s="18" t="s">
        <v>690</v>
      </c>
      <c r="F1157" s="37">
        <v>2004.09448818898</v>
      </c>
      <c r="G1157" s="37">
        <v>16876</v>
      </c>
      <c r="H1157" s="40" t="s">
        <v>402</v>
      </c>
      <c r="I1157" s="40" t="s">
        <v>402</v>
      </c>
      <c r="J1157" s="40" t="s">
        <v>402</v>
      </c>
      <c r="K1157" s="65" t="s">
        <v>402</v>
      </c>
      <c r="L1157" s="38" t="s">
        <v>612</v>
      </c>
    </row>
    <row r="1158" spans="1:12" ht="13">
      <c r="A1158" s="18" t="s">
        <v>790</v>
      </c>
      <c r="B1158" s="18" t="s">
        <v>335</v>
      </c>
      <c r="C1158" s="27" t="s">
        <v>791</v>
      </c>
      <c r="D1158" s="18" t="s">
        <v>788</v>
      </c>
      <c r="E1158" s="18" t="s">
        <v>690</v>
      </c>
      <c r="F1158" s="37">
        <v>2006.0787401574801</v>
      </c>
      <c r="G1158" s="37">
        <v>17072</v>
      </c>
      <c r="H1158" s="40" t="s">
        <v>402</v>
      </c>
      <c r="I1158" s="40" t="s">
        <v>402</v>
      </c>
      <c r="J1158" s="40" t="s">
        <v>402</v>
      </c>
      <c r="K1158" s="65" t="s">
        <v>402</v>
      </c>
      <c r="L1158" s="38" t="s">
        <v>612</v>
      </c>
    </row>
    <row r="1159" spans="1:12" ht="13">
      <c r="A1159" s="18" t="s">
        <v>790</v>
      </c>
      <c r="B1159" s="18" t="s">
        <v>335</v>
      </c>
      <c r="C1159" s="27" t="s">
        <v>791</v>
      </c>
      <c r="D1159" s="18" t="s">
        <v>788</v>
      </c>
      <c r="E1159" s="18" t="s">
        <v>690</v>
      </c>
      <c r="F1159" s="37">
        <v>2008.0062992126</v>
      </c>
      <c r="G1159" s="37">
        <v>18160</v>
      </c>
      <c r="H1159" s="40" t="s">
        <v>402</v>
      </c>
      <c r="I1159" s="40" t="s">
        <v>402</v>
      </c>
      <c r="J1159" s="40" t="s">
        <v>402</v>
      </c>
      <c r="K1159" s="65" t="s">
        <v>402</v>
      </c>
      <c r="L1159" s="38" t="s">
        <v>612</v>
      </c>
    </row>
    <row r="1160" spans="1:12" ht="13">
      <c r="A1160" s="18" t="s">
        <v>790</v>
      </c>
      <c r="B1160" s="18" t="s">
        <v>335</v>
      </c>
      <c r="C1160" s="27" t="s">
        <v>791</v>
      </c>
      <c r="D1160" s="18" t="s">
        <v>788</v>
      </c>
      <c r="E1160" s="18" t="s">
        <v>690</v>
      </c>
      <c r="F1160" s="37">
        <v>2009.9905511811</v>
      </c>
      <c r="G1160" s="37">
        <v>17973</v>
      </c>
      <c r="H1160" s="40" t="s">
        <v>402</v>
      </c>
      <c r="I1160" s="40" t="s">
        <v>402</v>
      </c>
      <c r="J1160" s="40" t="s">
        <v>402</v>
      </c>
      <c r="K1160" s="65" t="s">
        <v>402</v>
      </c>
      <c r="L1160" s="38" t="s">
        <v>612</v>
      </c>
    </row>
    <row r="1161" spans="1:12" ht="13">
      <c r="A1161" s="18" t="s">
        <v>790</v>
      </c>
      <c r="B1161" s="18" t="s">
        <v>335</v>
      </c>
      <c r="C1161" s="27" t="s">
        <v>791</v>
      </c>
      <c r="D1161" s="18" t="s">
        <v>788</v>
      </c>
      <c r="E1161" s="18" t="s">
        <v>690</v>
      </c>
      <c r="F1161" s="37">
        <v>2011.9748031496099</v>
      </c>
      <c r="G1161" s="37">
        <v>16184</v>
      </c>
      <c r="H1161" s="40" t="s">
        <v>402</v>
      </c>
      <c r="I1161" s="40" t="s">
        <v>402</v>
      </c>
      <c r="J1161" s="40" t="s">
        <v>402</v>
      </c>
      <c r="K1161" s="65" t="s">
        <v>402</v>
      </c>
      <c r="L1161" s="38" t="s">
        <v>612</v>
      </c>
    </row>
    <row r="1162" spans="1:12" ht="13">
      <c r="A1162" s="18" t="s">
        <v>790</v>
      </c>
      <c r="B1162" s="18" t="s">
        <v>335</v>
      </c>
      <c r="C1162" s="27" t="s">
        <v>791</v>
      </c>
      <c r="D1162" s="18" t="s">
        <v>788</v>
      </c>
      <c r="E1162" s="18" t="s">
        <v>690</v>
      </c>
      <c r="F1162" s="37">
        <v>2013.95905511811</v>
      </c>
      <c r="G1162" s="37">
        <v>18937</v>
      </c>
      <c r="H1162" s="40" t="s">
        <v>402</v>
      </c>
      <c r="I1162" s="40" t="s">
        <v>402</v>
      </c>
      <c r="J1162" s="40" t="s">
        <v>402</v>
      </c>
      <c r="K1162" s="65" t="s">
        <v>402</v>
      </c>
      <c r="L1162" s="38" t="s">
        <v>612</v>
      </c>
    </row>
    <row r="1163" spans="1:12" ht="13">
      <c r="A1163" s="18" t="s">
        <v>790</v>
      </c>
      <c r="B1163" s="18" t="s">
        <v>335</v>
      </c>
      <c r="C1163" s="27" t="s">
        <v>791</v>
      </c>
      <c r="D1163" s="18" t="s">
        <v>788</v>
      </c>
      <c r="E1163" s="18" t="s">
        <v>690</v>
      </c>
      <c r="F1163" s="37">
        <v>2015.94330708661</v>
      </c>
      <c r="G1163" s="37">
        <v>20490</v>
      </c>
      <c r="H1163" s="40" t="s">
        <v>402</v>
      </c>
      <c r="I1163" s="40" t="s">
        <v>402</v>
      </c>
      <c r="J1163" s="40" t="s">
        <v>402</v>
      </c>
      <c r="K1163" s="65" t="s">
        <v>402</v>
      </c>
      <c r="L1163" s="38" t="s">
        <v>612</v>
      </c>
    </row>
    <row r="1164" spans="1:12" ht="13">
      <c r="A1164" s="18" t="s">
        <v>790</v>
      </c>
      <c r="B1164" s="18" t="s">
        <v>335</v>
      </c>
      <c r="C1164" s="27" t="s">
        <v>791</v>
      </c>
      <c r="D1164" s="18" t="s">
        <v>788</v>
      </c>
      <c r="E1164" s="18" t="s">
        <v>690</v>
      </c>
      <c r="F1164" s="37">
        <v>2017.9842519685001</v>
      </c>
      <c r="G1164" s="37">
        <v>21625</v>
      </c>
      <c r="H1164" s="40" t="s">
        <v>402</v>
      </c>
      <c r="I1164" s="40" t="s">
        <v>402</v>
      </c>
      <c r="J1164" s="40" t="s">
        <v>402</v>
      </c>
      <c r="K1164" s="65" t="s">
        <v>402</v>
      </c>
      <c r="L1164" s="38" t="s">
        <v>612</v>
      </c>
    </row>
    <row r="1165" spans="1:12" ht="13">
      <c r="A1165" s="18" t="s">
        <v>792</v>
      </c>
      <c r="B1165" s="18" t="s">
        <v>335</v>
      </c>
      <c r="C1165" s="27" t="s">
        <v>793</v>
      </c>
      <c r="D1165" s="18" t="s">
        <v>788</v>
      </c>
      <c r="E1165" s="18" t="s">
        <v>690</v>
      </c>
      <c r="F1165" s="37">
        <v>1980.0508404888601</v>
      </c>
      <c r="G1165" s="37">
        <v>200000</v>
      </c>
      <c r="H1165" s="40" t="s">
        <v>402</v>
      </c>
      <c r="I1165" s="40" t="s">
        <v>402</v>
      </c>
      <c r="J1165" s="40" t="s">
        <v>402</v>
      </c>
      <c r="K1165" s="65" t="s">
        <v>402</v>
      </c>
      <c r="L1165" s="38" t="s">
        <v>612</v>
      </c>
    </row>
    <row r="1166" spans="1:12" ht="13">
      <c r="A1166" s="18" t="s">
        <v>792</v>
      </c>
      <c r="B1166" s="18" t="s">
        <v>335</v>
      </c>
      <c r="C1166" s="27" t="s">
        <v>793</v>
      </c>
      <c r="D1166" s="18" t="s">
        <v>788</v>
      </c>
      <c r="E1166" s="18" t="s">
        <v>690</v>
      </c>
      <c r="F1166" s="37">
        <v>1981.13500855088</v>
      </c>
      <c r="G1166" s="37">
        <v>179000</v>
      </c>
      <c r="H1166" s="40" t="s">
        <v>402</v>
      </c>
      <c r="I1166" s="40" t="s">
        <v>402</v>
      </c>
      <c r="J1166" s="40" t="s">
        <v>402</v>
      </c>
      <c r="K1166" s="65" t="s">
        <v>402</v>
      </c>
      <c r="L1166" s="38" t="s">
        <v>612</v>
      </c>
    </row>
    <row r="1167" spans="1:12" ht="13">
      <c r="A1167" s="18" t="s">
        <v>792</v>
      </c>
      <c r="B1167" s="18" t="s">
        <v>335</v>
      </c>
      <c r="C1167" s="27" t="s">
        <v>793</v>
      </c>
      <c r="D1167" s="18" t="s">
        <v>788</v>
      </c>
      <c r="E1167" s="18" t="s">
        <v>690</v>
      </c>
      <c r="F1167" s="37">
        <v>1982.0555002711301</v>
      </c>
      <c r="G1167" s="37">
        <v>203000</v>
      </c>
      <c r="H1167" s="40" t="s">
        <v>402</v>
      </c>
      <c r="I1167" s="40" t="s">
        <v>402</v>
      </c>
      <c r="J1167" s="40" t="s">
        <v>402</v>
      </c>
      <c r="K1167" s="65" t="s">
        <v>402</v>
      </c>
      <c r="L1167" s="38" t="s">
        <v>612</v>
      </c>
    </row>
    <row r="1168" spans="1:12" ht="13">
      <c r="A1168" s="18" t="s">
        <v>792</v>
      </c>
      <c r="B1168" s="18" t="s">
        <v>335</v>
      </c>
      <c r="C1168" s="27" t="s">
        <v>793</v>
      </c>
      <c r="D1168" s="18" t="s">
        <v>788</v>
      </c>
      <c r="E1168" s="18" t="s">
        <v>690</v>
      </c>
      <c r="F1168" s="37">
        <v>1983.0116017852599</v>
      </c>
      <c r="G1168" s="37">
        <v>166000</v>
      </c>
      <c r="H1168" s="40" t="s">
        <v>402</v>
      </c>
      <c r="I1168" s="40" t="s">
        <v>402</v>
      </c>
      <c r="J1168" s="40" t="s">
        <v>402</v>
      </c>
      <c r="K1168" s="65" t="s">
        <v>402</v>
      </c>
      <c r="L1168" s="38" t="s">
        <v>612</v>
      </c>
    </row>
    <row r="1169" spans="1:12" ht="13">
      <c r="A1169" s="18" t="s">
        <v>792</v>
      </c>
      <c r="B1169" s="18" t="s">
        <v>335</v>
      </c>
      <c r="C1169" s="27" t="s">
        <v>793</v>
      </c>
      <c r="D1169" s="18" t="s">
        <v>788</v>
      </c>
      <c r="E1169" s="18" t="s">
        <v>690</v>
      </c>
      <c r="F1169" s="37">
        <v>1984.0464309762301</v>
      </c>
      <c r="G1169" s="37">
        <v>173000</v>
      </c>
      <c r="H1169" s="40" t="s">
        <v>402</v>
      </c>
      <c r="I1169" s="40" t="s">
        <v>402</v>
      </c>
      <c r="J1169" s="40" t="s">
        <v>402</v>
      </c>
      <c r="K1169" s="65" t="s">
        <v>402</v>
      </c>
      <c r="L1169" s="38" t="s">
        <v>612</v>
      </c>
    </row>
    <row r="1170" spans="1:12" ht="13">
      <c r="A1170" s="18" t="s">
        <v>792</v>
      </c>
      <c r="B1170" s="18" t="s">
        <v>335</v>
      </c>
      <c r="C1170" s="27" t="s">
        <v>793</v>
      </c>
      <c r="D1170" s="18" t="s">
        <v>788</v>
      </c>
      <c r="E1170" s="18" t="s">
        <v>690</v>
      </c>
      <c r="F1170" s="37">
        <v>1985.0823327513599</v>
      </c>
      <c r="G1170" s="37">
        <v>182000</v>
      </c>
      <c r="H1170" s="40" t="s">
        <v>402</v>
      </c>
      <c r="I1170" s="40" t="s">
        <v>402</v>
      </c>
      <c r="J1170" s="40" t="s">
        <v>402</v>
      </c>
      <c r="K1170" s="65" t="s">
        <v>402</v>
      </c>
      <c r="L1170" s="38" t="s">
        <v>612</v>
      </c>
    </row>
    <row r="1171" spans="1:12" ht="13">
      <c r="A1171" s="18" t="s">
        <v>792</v>
      </c>
      <c r="B1171" s="18" t="s">
        <v>335</v>
      </c>
      <c r="C1171" s="27" t="s">
        <v>793</v>
      </c>
      <c r="D1171" s="18" t="s">
        <v>788</v>
      </c>
      <c r="E1171" s="18" t="s">
        <v>690</v>
      </c>
      <c r="F1171" s="37">
        <v>1986.1087957859399</v>
      </c>
      <c r="G1171" s="37">
        <v>168000</v>
      </c>
      <c r="H1171" s="40" t="s">
        <v>402</v>
      </c>
      <c r="I1171" s="40" t="s">
        <v>402</v>
      </c>
      <c r="J1171" s="40" t="s">
        <v>402</v>
      </c>
      <c r="K1171" s="65" t="s">
        <v>402</v>
      </c>
      <c r="L1171" s="38" t="s">
        <v>612</v>
      </c>
    </row>
    <row r="1172" spans="1:12" ht="13">
      <c r="A1172" s="18" t="s">
        <v>792</v>
      </c>
      <c r="B1172" s="18" t="s">
        <v>335</v>
      </c>
      <c r="C1172" s="27" t="s">
        <v>793</v>
      </c>
      <c r="D1172" s="18" t="s">
        <v>788</v>
      </c>
      <c r="E1172" s="18" t="s">
        <v>690</v>
      </c>
      <c r="F1172" s="37">
        <v>1987.14233787593</v>
      </c>
      <c r="G1172" s="37">
        <v>172000</v>
      </c>
      <c r="H1172" s="40" t="s">
        <v>402</v>
      </c>
      <c r="I1172" s="40" t="s">
        <v>402</v>
      </c>
      <c r="J1172" s="40" t="s">
        <v>402</v>
      </c>
      <c r="K1172" s="65" t="s">
        <v>402</v>
      </c>
      <c r="L1172" s="38" t="s">
        <v>612</v>
      </c>
    </row>
    <row r="1173" spans="1:12" ht="13">
      <c r="A1173" s="18" t="s">
        <v>792</v>
      </c>
      <c r="B1173" s="18" t="s">
        <v>335</v>
      </c>
      <c r="C1173" s="27" t="s">
        <v>793</v>
      </c>
      <c r="D1173" s="18" t="s">
        <v>788</v>
      </c>
      <c r="E1173" s="18" t="s">
        <v>690</v>
      </c>
      <c r="F1173" s="37">
        <v>1988.0046955350699</v>
      </c>
      <c r="G1173" s="37">
        <v>203000</v>
      </c>
      <c r="H1173" s="40" t="s">
        <v>402</v>
      </c>
      <c r="I1173" s="40" t="s">
        <v>402</v>
      </c>
      <c r="J1173" s="40" t="s">
        <v>402</v>
      </c>
      <c r="K1173" s="65" t="s">
        <v>402</v>
      </c>
      <c r="L1173" s="38" t="s">
        <v>612</v>
      </c>
    </row>
    <row r="1174" spans="1:12" ht="13">
      <c r="A1174" s="18" t="s">
        <v>792</v>
      </c>
      <c r="B1174" s="18" t="s">
        <v>335</v>
      </c>
      <c r="C1174" s="27" t="s">
        <v>793</v>
      </c>
      <c r="D1174" s="18" t="s">
        <v>788</v>
      </c>
      <c r="E1174" s="18" t="s">
        <v>690</v>
      </c>
      <c r="F1174" s="37">
        <v>1989.0245085479</v>
      </c>
      <c r="G1174" s="37">
        <v>173000</v>
      </c>
      <c r="H1174" s="40" t="s">
        <v>402</v>
      </c>
      <c r="I1174" s="40" t="s">
        <v>402</v>
      </c>
      <c r="J1174" s="40" t="s">
        <v>402</v>
      </c>
      <c r="K1174" s="65" t="s">
        <v>402</v>
      </c>
      <c r="L1174" s="38" t="s">
        <v>612</v>
      </c>
    </row>
    <row r="1175" spans="1:12" ht="13">
      <c r="A1175" s="18" t="s">
        <v>792</v>
      </c>
      <c r="B1175" s="18" t="s">
        <v>335</v>
      </c>
      <c r="C1175" s="27" t="s">
        <v>793</v>
      </c>
      <c r="D1175" s="18" t="s">
        <v>788</v>
      </c>
      <c r="E1175" s="18" t="s">
        <v>690</v>
      </c>
      <c r="F1175" s="37">
        <v>1990.12905570883</v>
      </c>
      <c r="G1175" s="37">
        <v>202000</v>
      </c>
      <c r="H1175" s="40" t="s">
        <v>402</v>
      </c>
      <c r="I1175" s="40" t="s">
        <v>402</v>
      </c>
      <c r="J1175" s="40" t="s">
        <v>402</v>
      </c>
      <c r="K1175" s="65" t="s">
        <v>402</v>
      </c>
      <c r="L1175" s="38" t="s">
        <v>612</v>
      </c>
    </row>
    <row r="1176" spans="1:12" ht="13">
      <c r="A1176" s="18" t="s">
        <v>792</v>
      </c>
      <c r="B1176" s="18" t="s">
        <v>335</v>
      </c>
      <c r="C1176" s="27" t="s">
        <v>793</v>
      </c>
      <c r="D1176" s="18" t="s">
        <v>788</v>
      </c>
      <c r="E1176" s="18" t="s">
        <v>690</v>
      </c>
      <c r="F1176" s="37">
        <v>1992.06421203797</v>
      </c>
      <c r="G1176" s="37">
        <v>183000</v>
      </c>
      <c r="H1176" s="40" t="s">
        <v>402</v>
      </c>
      <c r="I1176" s="40" t="s">
        <v>402</v>
      </c>
      <c r="J1176" s="40" t="s">
        <v>402</v>
      </c>
      <c r="K1176" s="65" t="s">
        <v>402</v>
      </c>
      <c r="L1176" s="38" t="s">
        <v>612</v>
      </c>
    </row>
    <row r="1177" spans="1:12" ht="13">
      <c r="A1177" s="18" t="s">
        <v>792</v>
      </c>
      <c r="B1177" s="18" t="s">
        <v>335</v>
      </c>
      <c r="C1177" s="27" t="s">
        <v>793</v>
      </c>
      <c r="D1177" s="18" t="s">
        <v>788</v>
      </c>
      <c r="E1177" s="18" t="s">
        <v>690</v>
      </c>
      <c r="F1177" s="37">
        <v>1994.07123150537</v>
      </c>
      <c r="G1177" s="37">
        <v>192104</v>
      </c>
      <c r="H1177" s="40" t="s">
        <v>402</v>
      </c>
      <c r="I1177" s="40" t="s">
        <v>402</v>
      </c>
      <c r="J1177" s="40" t="s">
        <v>402</v>
      </c>
      <c r="K1177" s="65" t="s">
        <v>402</v>
      </c>
      <c r="L1177" s="38" t="s">
        <v>612</v>
      </c>
    </row>
    <row r="1178" spans="1:12" ht="13">
      <c r="A1178" s="18" t="s">
        <v>792</v>
      </c>
      <c r="B1178" s="18" t="s">
        <v>335</v>
      </c>
      <c r="C1178" s="27" t="s">
        <v>793</v>
      </c>
      <c r="D1178" s="18" t="s">
        <v>788</v>
      </c>
      <c r="E1178" s="18" t="s">
        <v>690</v>
      </c>
      <c r="F1178" s="37">
        <v>1996.0658089966</v>
      </c>
      <c r="G1178" s="37">
        <v>170125</v>
      </c>
      <c r="H1178" s="40" t="s">
        <v>402</v>
      </c>
      <c r="I1178" s="40" t="s">
        <v>402</v>
      </c>
      <c r="J1178" s="40" t="s">
        <v>402</v>
      </c>
      <c r="K1178" s="65" t="s">
        <v>402</v>
      </c>
      <c r="L1178" s="38" t="s">
        <v>612</v>
      </c>
    </row>
    <row r="1179" spans="1:12" ht="13">
      <c r="A1179" s="18" t="s">
        <v>792</v>
      </c>
      <c r="B1179" s="18" t="s">
        <v>335</v>
      </c>
      <c r="C1179" s="27" t="s">
        <v>793</v>
      </c>
      <c r="D1179" s="18" t="s">
        <v>788</v>
      </c>
      <c r="E1179" s="18" t="s">
        <v>690</v>
      </c>
      <c r="F1179" s="37">
        <v>1998.0726139471701</v>
      </c>
      <c r="G1179" s="37">
        <v>179149</v>
      </c>
      <c r="H1179" s="40" t="s">
        <v>402</v>
      </c>
      <c r="I1179" s="40" t="s">
        <v>402</v>
      </c>
      <c r="J1179" s="40" t="s">
        <v>402</v>
      </c>
      <c r="K1179" s="65" t="s">
        <v>402</v>
      </c>
      <c r="L1179" s="38" t="s">
        <v>612</v>
      </c>
    </row>
    <row r="1180" spans="1:12" ht="13">
      <c r="A1180" s="18" t="s">
        <v>792</v>
      </c>
      <c r="B1180" s="18" t="s">
        <v>335</v>
      </c>
      <c r="C1180" s="27" t="s">
        <v>793</v>
      </c>
      <c r="D1180" s="18" t="s">
        <v>788</v>
      </c>
      <c r="E1180" s="18" t="s">
        <v>690</v>
      </c>
      <c r="F1180" s="37">
        <v>2000.0678349888899</v>
      </c>
      <c r="G1180" s="37">
        <v>158736</v>
      </c>
      <c r="H1180" s="40" t="s">
        <v>402</v>
      </c>
      <c r="I1180" s="40" t="s">
        <v>402</v>
      </c>
      <c r="J1180" s="40" t="s">
        <v>402</v>
      </c>
      <c r="K1180" s="65" t="s">
        <v>402</v>
      </c>
      <c r="L1180" s="38" t="s">
        <v>612</v>
      </c>
    </row>
    <row r="1181" spans="1:12" ht="13">
      <c r="A1181" s="18" t="s">
        <v>792</v>
      </c>
      <c r="B1181" s="18" t="s">
        <v>335</v>
      </c>
      <c r="C1181" s="27" t="s">
        <v>793</v>
      </c>
      <c r="D1181" s="18" t="s">
        <v>788</v>
      </c>
      <c r="E1181" s="18" t="s">
        <v>690</v>
      </c>
      <c r="F1181" s="37">
        <v>2002.0658447494</v>
      </c>
      <c r="G1181" s="37">
        <v>145716</v>
      </c>
      <c r="H1181" s="40" t="s">
        <v>402</v>
      </c>
      <c r="I1181" s="40" t="s">
        <v>402</v>
      </c>
      <c r="J1181" s="40" t="s">
        <v>402</v>
      </c>
      <c r="K1181" s="65" t="s">
        <v>402</v>
      </c>
      <c r="L1181" s="38" t="s">
        <v>612</v>
      </c>
    </row>
    <row r="1182" spans="1:12" ht="13">
      <c r="A1182" s="18" t="s">
        <v>792</v>
      </c>
      <c r="B1182" s="18" t="s">
        <v>335</v>
      </c>
      <c r="C1182" s="27" t="s">
        <v>793</v>
      </c>
      <c r="D1182" s="18" t="s">
        <v>788</v>
      </c>
      <c r="E1182" s="18" t="s">
        <v>690</v>
      </c>
      <c r="F1182" s="37">
        <v>2004.12048695321</v>
      </c>
      <c r="G1182" s="37">
        <v>122825</v>
      </c>
      <c r="H1182" s="40" t="s">
        <v>402</v>
      </c>
      <c r="I1182" s="40" t="s">
        <v>402</v>
      </c>
      <c r="J1182" s="40" t="s">
        <v>402</v>
      </c>
      <c r="K1182" s="65" t="s">
        <v>402</v>
      </c>
      <c r="L1182" s="38" t="s">
        <v>612</v>
      </c>
    </row>
    <row r="1183" spans="1:12" ht="13">
      <c r="A1183" s="18" t="s">
        <v>792</v>
      </c>
      <c r="B1183" s="18" t="s">
        <v>335</v>
      </c>
      <c r="C1183" s="27" t="s">
        <v>793</v>
      </c>
      <c r="D1183" s="18" t="s">
        <v>788</v>
      </c>
      <c r="E1183" s="18" t="s">
        <v>690</v>
      </c>
      <c r="F1183" s="37">
        <v>2006.11892574738</v>
      </c>
      <c r="G1183" s="37">
        <v>109961</v>
      </c>
      <c r="H1183" s="40" t="s">
        <v>402</v>
      </c>
      <c r="I1183" s="40" t="s">
        <v>402</v>
      </c>
      <c r="J1183" s="40" t="s">
        <v>402</v>
      </c>
      <c r="K1183" s="65" t="s">
        <v>402</v>
      </c>
      <c r="L1183" s="38" t="s">
        <v>612</v>
      </c>
    </row>
    <row r="1184" spans="1:12" ht="13">
      <c r="A1184" s="18" t="s">
        <v>792</v>
      </c>
      <c r="B1184" s="18" t="s">
        <v>335</v>
      </c>
      <c r="C1184" s="27" t="s">
        <v>793</v>
      </c>
      <c r="D1184" s="18" t="s">
        <v>788</v>
      </c>
      <c r="E1184" s="18" t="s">
        <v>690</v>
      </c>
      <c r="F1184" s="37">
        <v>2008.05837241314</v>
      </c>
      <c r="G1184" s="37">
        <v>102674</v>
      </c>
      <c r="H1184" s="40" t="s">
        <v>402</v>
      </c>
      <c r="I1184" s="40" t="s">
        <v>402</v>
      </c>
      <c r="J1184" s="40" t="s">
        <v>402</v>
      </c>
      <c r="K1184" s="65" t="s">
        <v>402</v>
      </c>
      <c r="L1184" s="38" t="s">
        <v>612</v>
      </c>
    </row>
    <row r="1185" spans="1:12" ht="13">
      <c r="A1185" s="18" t="s">
        <v>792</v>
      </c>
      <c r="B1185" s="18" t="s">
        <v>335</v>
      </c>
      <c r="C1185" s="27" t="s">
        <v>793</v>
      </c>
      <c r="D1185" s="18" t="s">
        <v>788</v>
      </c>
      <c r="E1185" s="18" t="s">
        <v>690</v>
      </c>
      <c r="F1185" s="37">
        <v>2010.0583128251301</v>
      </c>
      <c r="G1185" s="37">
        <v>94502</v>
      </c>
      <c r="H1185" s="40" t="s">
        <v>402</v>
      </c>
      <c r="I1185" s="40" t="s">
        <v>402</v>
      </c>
      <c r="J1185" s="40" t="s">
        <v>402</v>
      </c>
      <c r="K1185" s="65" t="s">
        <v>402</v>
      </c>
      <c r="L1185" s="38" t="s">
        <v>612</v>
      </c>
    </row>
    <row r="1186" spans="1:12" ht="13">
      <c r="A1186" s="18" t="s">
        <v>792</v>
      </c>
      <c r="B1186" s="18" t="s">
        <v>335</v>
      </c>
      <c r="C1186" s="27" t="s">
        <v>793</v>
      </c>
      <c r="D1186" s="18" t="s">
        <v>788</v>
      </c>
      <c r="E1186" s="18" t="s">
        <v>690</v>
      </c>
      <c r="F1186" s="37">
        <v>2012.1841746166999</v>
      </c>
      <c r="G1186" s="37">
        <v>96828</v>
      </c>
      <c r="H1186" s="40" t="s">
        <v>402</v>
      </c>
      <c r="I1186" s="40" t="s">
        <v>402</v>
      </c>
      <c r="J1186" s="40" t="s">
        <v>402</v>
      </c>
      <c r="K1186" s="65" t="s">
        <v>402</v>
      </c>
      <c r="L1186" s="38" t="s">
        <v>612</v>
      </c>
    </row>
    <row r="1187" spans="1:12" ht="13">
      <c r="A1187" s="18" t="s">
        <v>792</v>
      </c>
      <c r="B1187" s="18" t="s">
        <v>335</v>
      </c>
      <c r="C1187" s="27" t="s">
        <v>793</v>
      </c>
      <c r="D1187" s="18" t="s">
        <v>788</v>
      </c>
      <c r="E1187" s="18" t="s">
        <v>690</v>
      </c>
      <c r="F1187" s="37">
        <v>2014.0642001203701</v>
      </c>
      <c r="G1187" s="37">
        <v>91737</v>
      </c>
      <c r="H1187" s="40" t="s">
        <v>402</v>
      </c>
      <c r="I1187" s="40" t="s">
        <v>402</v>
      </c>
      <c r="J1187" s="40" t="s">
        <v>402</v>
      </c>
      <c r="K1187" s="65" t="s">
        <v>402</v>
      </c>
      <c r="L1187" s="38" t="s">
        <v>612</v>
      </c>
    </row>
    <row r="1188" spans="1:12" ht="13">
      <c r="A1188" s="18" t="s">
        <v>792</v>
      </c>
      <c r="B1188" s="18" t="s">
        <v>335</v>
      </c>
      <c r="C1188" s="27" t="s">
        <v>793</v>
      </c>
      <c r="D1188" s="18" t="s">
        <v>788</v>
      </c>
      <c r="E1188" s="18" t="s">
        <v>690</v>
      </c>
      <c r="F1188" s="37">
        <v>2016.0632824650399</v>
      </c>
      <c r="G1188" s="37">
        <v>80641</v>
      </c>
      <c r="H1188" s="40" t="s">
        <v>402</v>
      </c>
      <c r="I1188" s="40" t="s">
        <v>402</v>
      </c>
      <c r="J1188" s="40" t="s">
        <v>402</v>
      </c>
      <c r="K1188" s="65" t="s">
        <v>402</v>
      </c>
      <c r="L1188" s="38" t="s">
        <v>612</v>
      </c>
    </row>
    <row r="1189" spans="1:12" ht="13">
      <c r="A1189" s="18" t="s">
        <v>792</v>
      </c>
      <c r="B1189" s="18" t="s">
        <v>335</v>
      </c>
      <c r="C1189" s="27" t="s">
        <v>793</v>
      </c>
      <c r="D1189" s="18" t="s">
        <v>788</v>
      </c>
      <c r="E1189" s="18" t="s">
        <v>690</v>
      </c>
      <c r="F1189" s="37">
        <v>2018.0645099780099</v>
      </c>
      <c r="G1189" s="37">
        <v>75719</v>
      </c>
      <c r="H1189" s="40" t="s">
        <v>402</v>
      </c>
      <c r="I1189" s="40" t="s">
        <v>402</v>
      </c>
      <c r="J1189" s="40" t="s">
        <v>402</v>
      </c>
      <c r="K1189" s="65" t="s">
        <v>402</v>
      </c>
      <c r="L1189" s="38" t="s">
        <v>612</v>
      </c>
    </row>
    <row r="1190" spans="1:12" ht="13">
      <c r="A1190" s="18" t="s">
        <v>794</v>
      </c>
      <c r="B1190" s="18" t="s">
        <v>335</v>
      </c>
      <c r="C1190" s="27" t="s">
        <v>795</v>
      </c>
      <c r="D1190" s="18" t="s">
        <v>788</v>
      </c>
      <c r="E1190" s="18" t="s">
        <v>690</v>
      </c>
      <c r="F1190" s="37">
        <v>1990</v>
      </c>
      <c r="G1190" s="37">
        <v>238000</v>
      </c>
      <c r="H1190" s="40" t="s">
        <v>402</v>
      </c>
      <c r="I1190" s="40" t="s">
        <v>402</v>
      </c>
      <c r="J1190" s="40" t="s">
        <v>402</v>
      </c>
      <c r="K1190" s="65" t="s">
        <v>402</v>
      </c>
      <c r="L1190" s="38" t="s">
        <v>637</v>
      </c>
    </row>
    <row r="1191" spans="1:12" ht="13">
      <c r="A1191" s="18" t="s">
        <v>794</v>
      </c>
      <c r="B1191" s="18" t="s">
        <v>335</v>
      </c>
      <c r="C1191" s="27" t="s">
        <v>795</v>
      </c>
      <c r="D1191" s="18" t="s">
        <v>788</v>
      </c>
      <c r="E1191" s="18" t="s">
        <v>690</v>
      </c>
      <c r="F1191" s="37">
        <v>1990.99290780142</v>
      </c>
      <c r="G1191" s="37">
        <v>233000</v>
      </c>
      <c r="H1191" s="37">
        <f t="shared" ref="H1191:I1191" si="901">F1191-F1190</f>
        <v>0.99290780141996038</v>
      </c>
      <c r="I1191" s="37">
        <f t="shared" si="901"/>
        <v>-5000</v>
      </c>
      <c r="J1191" s="65">
        <f t="shared" ref="J1191:J1213" si="902">I1191/G1190</f>
        <v>-2.100840336134454E-2</v>
      </c>
      <c r="K1191" s="65">
        <f t="shared" ref="K1191:K1213" si="903">J1191/H1191</f>
        <v>-2.1158463385321739E-2</v>
      </c>
      <c r="L1191" s="38" t="s">
        <v>637</v>
      </c>
    </row>
    <row r="1192" spans="1:12" ht="13">
      <c r="A1192" s="18" t="s">
        <v>794</v>
      </c>
      <c r="B1192" s="18" t="s">
        <v>335</v>
      </c>
      <c r="C1192" s="27" t="s">
        <v>795</v>
      </c>
      <c r="D1192" s="18" t="s">
        <v>788</v>
      </c>
      <c r="E1192" s="18" t="s">
        <v>690</v>
      </c>
      <c r="F1192" s="37">
        <v>1992.0212765957399</v>
      </c>
      <c r="G1192" s="37">
        <v>224000</v>
      </c>
      <c r="H1192" s="37">
        <f t="shared" ref="H1192:I1192" si="904">F1192-F1191</f>
        <v>1.0283687943199311</v>
      </c>
      <c r="I1192" s="37">
        <f t="shared" si="904"/>
        <v>-9000</v>
      </c>
      <c r="J1192" s="65">
        <f t="shared" si="902"/>
        <v>-3.8626609442060089E-2</v>
      </c>
      <c r="K1192" s="65">
        <f t="shared" si="903"/>
        <v>-3.7561047802509594E-2</v>
      </c>
      <c r="L1192" s="38" t="s">
        <v>637</v>
      </c>
    </row>
    <row r="1193" spans="1:12" ht="13">
      <c r="A1193" s="18" t="s">
        <v>794</v>
      </c>
      <c r="B1193" s="18" t="s">
        <v>335</v>
      </c>
      <c r="C1193" s="27" t="s">
        <v>795</v>
      </c>
      <c r="D1193" s="18" t="s">
        <v>788</v>
      </c>
      <c r="E1193" s="18" t="s">
        <v>690</v>
      </c>
      <c r="F1193" s="37">
        <v>1993.0141843971601</v>
      </c>
      <c r="G1193" s="37">
        <v>225000</v>
      </c>
      <c r="H1193" s="37">
        <f t="shared" ref="H1193:I1193" si="905">F1193-F1192</f>
        <v>0.99290780142018775</v>
      </c>
      <c r="I1193" s="37">
        <f t="shared" si="905"/>
        <v>1000</v>
      </c>
      <c r="J1193" s="65">
        <f t="shared" si="902"/>
        <v>4.464285714285714E-3</v>
      </c>
      <c r="K1193" s="65">
        <f t="shared" si="903"/>
        <v>4.4961734693798388E-3</v>
      </c>
      <c r="L1193" s="38" t="s">
        <v>637</v>
      </c>
    </row>
    <row r="1194" spans="1:12" ht="13">
      <c r="A1194" s="18" t="s">
        <v>794</v>
      </c>
      <c r="B1194" s="18" t="s">
        <v>335</v>
      </c>
      <c r="C1194" s="27" t="s">
        <v>795</v>
      </c>
      <c r="D1194" s="18" t="s">
        <v>788</v>
      </c>
      <c r="E1194" s="18" t="s">
        <v>690</v>
      </c>
      <c r="F1194" s="37">
        <v>1994.00709219858</v>
      </c>
      <c r="G1194" s="37">
        <v>228771</v>
      </c>
      <c r="H1194" s="37">
        <f t="shared" ref="H1194:I1194" si="906">F1194-F1193</f>
        <v>0.99290780141996038</v>
      </c>
      <c r="I1194" s="37">
        <f t="shared" si="906"/>
        <v>3771</v>
      </c>
      <c r="J1194" s="65">
        <f t="shared" si="902"/>
        <v>1.6760000000000001E-2</v>
      </c>
      <c r="K1194" s="65">
        <f t="shared" si="903"/>
        <v>1.6879714285688435E-2</v>
      </c>
      <c r="L1194" s="38" t="s">
        <v>612</v>
      </c>
    </row>
    <row r="1195" spans="1:12" ht="13">
      <c r="A1195" s="18" t="s">
        <v>794</v>
      </c>
      <c r="B1195" s="18" t="s">
        <v>335</v>
      </c>
      <c r="C1195" s="27" t="s">
        <v>795</v>
      </c>
      <c r="D1195" s="18" t="s">
        <v>788</v>
      </c>
      <c r="E1195" s="18" t="s">
        <v>690</v>
      </c>
      <c r="F1195" s="37">
        <v>1995.03546099291</v>
      </c>
      <c r="G1195" s="37">
        <v>229511</v>
      </c>
      <c r="H1195" s="37">
        <f t="shared" ref="H1195:I1195" si="907">F1195-F1194</f>
        <v>1.0283687943299356</v>
      </c>
      <c r="I1195" s="37">
        <f t="shared" si="907"/>
        <v>740</v>
      </c>
      <c r="J1195" s="65">
        <f t="shared" si="902"/>
        <v>3.2346757237586934E-3</v>
      </c>
      <c r="K1195" s="65">
        <f t="shared" si="903"/>
        <v>3.1454432899885327E-3</v>
      </c>
      <c r="L1195" s="38" t="s">
        <v>612</v>
      </c>
    </row>
    <row r="1196" spans="1:12" ht="13">
      <c r="A1196" s="18" t="s">
        <v>794</v>
      </c>
      <c r="B1196" s="18" t="s">
        <v>335</v>
      </c>
      <c r="C1196" s="27" t="s">
        <v>795</v>
      </c>
      <c r="D1196" s="18" t="s">
        <v>788</v>
      </c>
      <c r="E1196" s="18" t="s">
        <v>690</v>
      </c>
      <c r="F1196" s="37">
        <v>1996.0283687943299</v>
      </c>
      <c r="G1196" s="37">
        <v>211673</v>
      </c>
      <c r="H1196" s="37">
        <f t="shared" ref="H1196:I1196" si="908">F1196-F1195</f>
        <v>0.99290780141996038</v>
      </c>
      <c r="I1196" s="37">
        <f t="shared" si="908"/>
        <v>-17838</v>
      </c>
      <c r="J1196" s="65">
        <f t="shared" si="902"/>
        <v>-7.7721764969870724E-2</v>
      </c>
      <c r="K1196" s="65">
        <f t="shared" si="903"/>
        <v>-7.827692043382134E-2</v>
      </c>
      <c r="L1196" s="38" t="s">
        <v>612</v>
      </c>
    </row>
    <row r="1197" spans="1:12" ht="13">
      <c r="A1197" s="18" t="s">
        <v>794</v>
      </c>
      <c r="B1197" s="18" t="s">
        <v>335</v>
      </c>
      <c r="C1197" s="27" t="s">
        <v>795</v>
      </c>
      <c r="D1197" s="18" t="s">
        <v>788</v>
      </c>
      <c r="E1197" s="18" t="s">
        <v>690</v>
      </c>
      <c r="F1197" s="37">
        <v>1997.0212765957399</v>
      </c>
      <c r="G1197" s="37">
        <v>215497</v>
      </c>
      <c r="H1197" s="37">
        <f t="shared" ref="H1197:I1197" si="909">F1197-F1196</f>
        <v>0.99290780140995594</v>
      </c>
      <c r="I1197" s="37">
        <f t="shared" si="909"/>
        <v>3824</v>
      </c>
      <c r="J1197" s="65">
        <f t="shared" si="902"/>
        <v>1.8065601186736144E-2</v>
      </c>
      <c r="K1197" s="65">
        <f t="shared" si="903"/>
        <v>1.8194641195368292E-2</v>
      </c>
      <c r="L1197" s="38" t="s">
        <v>612</v>
      </c>
    </row>
    <row r="1198" spans="1:12" ht="13">
      <c r="A1198" s="18" t="s">
        <v>794</v>
      </c>
      <c r="B1198" s="18" t="s">
        <v>335</v>
      </c>
      <c r="C1198" s="27" t="s">
        <v>795</v>
      </c>
      <c r="D1198" s="18" t="s">
        <v>788</v>
      </c>
      <c r="E1198" s="18" t="s">
        <v>690</v>
      </c>
      <c r="F1198" s="37">
        <v>1998.0496453900701</v>
      </c>
      <c r="G1198" s="37">
        <v>219226</v>
      </c>
      <c r="H1198" s="37">
        <f t="shared" ref="H1198:I1198" si="910">F1198-F1197</f>
        <v>1.0283687943301629</v>
      </c>
      <c r="I1198" s="37">
        <f t="shared" si="910"/>
        <v>3729</v>
      </c>
      <c r="J1198" s="65">
        <f t="shared" si="902"/>
        <v>1.7304185209074837E-2</v>
      </c>
      <c r="K1198" s="65">
        <f t="shared" si="903"/>
        <v>1.6826828375656879E-2</v>
      </c>
      <c r="L1198" s="38" t="s">
        <v>612</v>
      </c>
    </row>
    <row r="1199" spans="1:12" ht="13">
      <c r="A1199" s="18" t="s">
        <v>794</v>
      </c>
      <c r="B1199" s="18" t="s">
        <v>335</v>
      </c>
      <c r="C1199" s="27" t="s">
        <v>795</v>
      </c>
      <c r="D1199" s="18" t="s">
        <v>788</v>
      </c>
      <c r="E1199" s="18" t="s">
        <v>690</v>
      </c>
      <c r="F1199" s="37">
        <v>2000.03546099291</v>
      </c>
      <c r="G1199" s="37">
        <v>196899</v>
      </c>
      <c r="H1199" s="37">
        <f t="shared" ref="H1199:I1199" si="911">F1199-F1198</f>
        <v>1.9858156028399208</v>
      </c>
      <c r="I1199" s="37">
        <f t="shared" si="911"/>
        <v>-22327</v>
      </c>
      <c r="J1199" s="65">
        <f t="shared" si="902"/>
        <v>-0.10184467170864769</v>
      </c>
      <c r="K1199" s="65">
        <f t="shared" si="903"/>
        <v>-5.1286066824633325E-2</v>
      </c>
      <c r="L1199" s="38" t="s">
        <v>612</v>
      </c>
    </row>
    <row r="1200" spans="1:12" ht="13">
      <c r="A1200" s="18" t="s">
        <v>794</v>
      </c>
      <c r="B1200" s="18" t="s">
        <v>335</v>
      </c>
      <c r="C1200" s="27" t="s">
        <v>795</v>
      </c>
      <c r="D1200" s="18" t="s">
        <v>788</v>
      </c>
      <c r="E1200" s="18" t="s">
        <v>690</v>
      </c>
      <c r="F1200" s="37">
        <v>2002.0212765957399</v>
      </c>
      <c r="G1200" s="37">
        <v>176667</v>
      </c>
      <c r="H1200" s="37">
        <f t="shared" ref="H1200:I1200" si="912">F1200-F1199</f>
        <v>1.9858156028299163</v>
      </c>
      <c r="I1200" s="37">
        <f t="shared" si="912"/>
        <v>-20232</v>
      </c>
      <c r="J1200" s="65">
        <f t="shared" si="902"/>
        <v>-0.10275318818277392</v>
      </c>
      <c r="K1200" s="65">
        <f t="shared" si="903"/>
        <v>-5.174356976364973E-2</v>
      </c>
      <c r="L1200" s="38" t="s">
        <v>612</v>
      </c>
    </row>
    <row r="1201" spans="1:31" ht="13">
      <c r="A1201" s="18" t="s">
        <v>794</v>
      </c>
      <c r="B1201" s="18" t="s">
        <v>335</v>
      </c>
      <c r="C1201" s="27" t="s">
        <v>795</v>
      </c>
      <c r="D1201" s="18" t="s">
        <v>788</v>
      </c>
      <c r="E1201" s="18" t="s">
        <v>690</v>
      </c>
      <c r="F1201" s="37">
        <v>2004.04255319149</v>
      </c>
      <c r="G1201" s="37">
        <v>153059</v>
      </c>
      <c r="H1201" s="37">
        <f t="shared" ref="H1201:I1201" si="913">F1201-F1200</f>
        <v>2.0212765957501233</v>
      </c>
      <c r="I1201" s="37">
        <f t="shared" si="913"/>
        <v>-23608</v>
      </c>
      <c r="J1201" s="65">
        <f t="shared" si="902"/>
        <v>-0.13362993654728952</v>
      </c>
      <c r="K1201" s="65">
        <f t="shared" si="903"/>
        <v>-6.6111652817954697E-2</v>
      </c>
      <c r="L1201" s="38" t="s">
        <v>612</v>
      </c>
    </row>
    <row r="1202" spans="1:31" ht="13">
      <c r="A1202" s="18" t="s">
        <v>794</v>
      </c>
      <c r="B1202" s="18" t="s">
        <v>335</v>
      </c>
      <c r="C1202" s="27" t="s">
        <v>795</v>
      </c>
      <c r="D1202" s="18" t="s">
        <v>788</v>
      </c>
      <c r="E1202" s="18" t="s">
        <v>690</v>
      </c>
      <c r="F1202" s="37">
        <v>2005</v>
      </c>
      <c r="G1202" s="37">
        <v>160594</v>
      </c>
      <c r="H1202" s="37">
        <f t="shared" ref="H1202:I1202" si="914">F1202-F1201</f>
        <v>0.9574468085099852</v>
      </c>
      <c r="I1202" s="37">
        <f t="shared" si="914"/>
        <v>7535</v>
      </c>
      <c r="J1202" s="65">
        <f t="shared" si="902"/>
        <v>4.9229382133687008E-2</v>
      </c>
      <c r="K1202" s="65">
        <f t="shared" si="903"/>
        <v>5.1417354672997059E-2</v>
      </c>
      <c r="L1202" s="38" t="s">
        <v>612</v>
      </c>
    </row>
    <row r="1203" spans="1:31" ht="13">
      <c r="A1203" s="18" t="s">
        <v>794</v>
      </c>
      <c r="B1203" s="18" t="s">
        <v>335</v>
      </c>
      <c r="C1203" s="27" t="s">
        <v>795</v>
      </c>
      <c r="D1203" s="18" t="s">
        <v>788</v>
      </c>
      <c r="E1203" s="18" t="s">
        <v>690</v>
      </c>
      <c r="F1203" s="37">
        <v>2006.0283687943299</v>
      </c>
      <c r="G1203" s="37">
        <v>147900</v>
      </c>
      <c r="H1203" s="37">
        <f t="shared" ref="H1203:I1203" si="915">F1203-F1202</f>
        <v>1.0283687943299356</v>
      </c>
      <c r="I1203" s="37">
        <f t="shared" si="915"/>
        <v>-12694</v>
      </c>
      <c r="J1203" s="65">
        <f t="shared" si="902"/>
        <v>-7.9044048968205535E-2</v>
      </c>
      <c r="K1203" s="65">
        <f t="shared" si="903"/>
        <v>-7.6863523479151319E-2</v>
      </c>
      <c r="L1203" s="38" t="s">
        <v>612</v>
      </c>
    </row>
    <row r="1204" spans="1:31" ht="13">
      <c r="A1204" s="18" t="s">
        <v>794</v>
      </c>
      <c r="B1204" s="18" t="s">
        <v>335</v>
      </c>
      <c r="C1204" s="27" t="s">
        <v>795</v>
      </c>
      <c r="D1204" s="18" t="s">
        <v>788</v>
      </c>
      <c r="E1204" s="18" t="s">
        <v>690</v>
      </c>
      <c r="F1204" s="37">
        <v>2007.0212765957399</v>
      </c>
      <c r="G1204" s="37">
        <v>152867</v>
      </c>
      <c r="H1204" s="37">
        <f t="shared" ref="H1204:I1204" si="916">F1204-F1203</f>
        <v>0.99290780140995594</v>
      </c>
      <c r="I1204" s="37">
        <f t="shared" si="916"/>
        <v>4967</v>
      </c>
      <c r="J1204" s="65">
        <f t="shared" si="902"/>
        <v>3.3583502366463826E-2</v>
      </c>
      <c r="K1204" s="65">
        <f t="shared" si="903"/>
        <v>3.3823384526513282E-2</v>
      </c>
      <c r="L1204" s="38" t="s">
        <v>612</v>
      </c>
    </row>
    <row r="1205" spans="1:31" ht="13">
      <c r="A1205" s="18" t="s">
        <v>794</v>
      </c>
      <c r="B1205" s="18" t="s">
        <v>335</v>
      </c>
      <c r="C1205" s="27" t="s">
        <v>795</v>
      </c>
      <c r="D1205" s="18" t="s">
        <v>788</v>
      </c>
      <c r="E1205" s="18" t="s">
        <v>690</v>
      </c>
      <c r="F1205" s="37">
        <v>2008.0496453900701</v>
      </c>
      <c r="G1205" s="37">
        <v>145149</v>
      </c>
      <c r="H1205" s="37">
        <f t="shared" ref="H1205:I1205" si="917">F1205-F1204</f>
        <v>1.0283687943301629</v>
      </c>
      <c r="I1205" s="37">
        <f t="shared" si="917"/>
        <v>-7718</v>
      </c>
      <c r="J1205" s="65">
        <f t="shared" si="902"/>
        <v>-5.0488332995348897E-2</v>
      </c>
      <c r="K1205" s="65">
        <f t="shared" si="903"/>
        <v>-4.9095551395289976E-2</v>
      </c>
      <c r="L1205" s="38" t="s">
        <v>612</v>
      </c>
    </row>
    <row r="1206" spans="1:31" ht="13">
      <c r="A1206" s="18" t="s">
        <v>794</v>
      </c>
      <c r="B1206" s="18" t="s">
        <v>335</v>
      </c>
      <c r="C1206" s="27" t="s">
        <v>795</v>
      </c>
      <c r="D1206" s="18" t="s">
        <v>788</v>
      </c>
      <c r="E1206" s="18" t="s">
        <v>690</v>
      </c>
      <c r="F1206" s="37">
        <v>2010.03546099291</v>
      </c>
      <c r="G1206" s="37">
        <v>136790</v>
      </c>
      <c r="H1206" s="37">
        <f t="shared" ref="H1206:I1206" si="918">F1206-F1205</f>
        <v>1.9858156028399208</v>
      </c>
      <c r="I1206" s="37">
        <f t="shared" si="918"/>
        <v>-8359</v>
      </c>
      <c r="J1206" s="65">
        <f t="shared" si="902"/>
        <v>-5.7589098099194623E-2</v>
      </c>
      <c r="K1206" s="65">
        <f t="shared" si="903"/>
        <v>-2.9000224399907164E-2</v>
      </c>
      <c r="L1206" s="38" t="s">
        <v>612</v>
      </c>
    </row>
    <row r="1207" spans="1:31" ht="13">
      <c r="A1207" s="18" t="s">
        <v>794</v>
      </c>
      <c r="B1207" s="18" t="s">
        <v>335</v>
      </c>
      <c r="C1207" s="27" t="s">
        <v>795</v>
      </c>
      <c r="D1207" s="18" t="s">
        <v>788</v>
      </c>
      <c r="E1207" s="18" t="s">
        <v>690</v>
      </c>
      <c r="F1207" s="37">
        <v>2011.0283687943299</v>
      </c>
      <c r="G1207" s="37">
        <v>142121</v>
      </c>
      <c r="H1207" s="37">
        <f t="shared" ref="H1207:I1207" si="919">F1207-F1206</f>
        <v>0.99290780141996038</v>
      </c>
      <c r="I1207" s="37">
        <f t="shared" si="919"/>
        <v>5331</v>
      </c>
      <c r="J1207" s="65">
        <f t="shared" si="902"/>
        <v>3.8972147086775349E-2</v>
      </c>
      <c r="K1207" s="65">
        <f t="shared" si="903"/>
        <v>3.9250519565906486E-2</v>
      </c>
      <c r="L1207" s="38" t="s">
        <v>612</v>
      </c>
    </row>
    <row r="1208" spans="1:31" ht="13">
      <c r="A1208" s="18" t="s">
        <v>794</v>
      </c>
      <c r="B1208" s="18" t="s">
        <v>335</v>
      </c>
      <c r="C1208" s="27" t="s">
        <v>795</v>
      </c>
      <c r="D1208" s="18" t="s">
        <v>788</v>
      </c>
      <c r="E1208" s="18" t="s">
        <v>690</v>
      </c>
      <c r="F1208" s="37">
        <v>2012.0212765957399</v>
      </c>
      <c r="G1208" s="37">
        <v>142658</v>
      </c>
      <c r="H1208" s="37">
        <f t="shared" ref="H1208:I1208" si="920">F1208-F1207</f>
        <v>0.99290780140995594</v>
      </c>
      <c r="I1208" s="37">
        <f t="shared" si="920"/>
        <v>537</v>
      </c>
      <c r="J1208" s="65">
        <f t="shared" si="902"/>
        <v>3.7784704582714728E-3</v>
      </c>
      <c r="K1208" s="65">
        <f t="shared" si="903"/>
        <v>3.8054595330059273E-3</v>
      </c>
      <c r="L1208" s="38" t="s">
        <v>612</v>
      </c>
    </row>
    <row r="1209" spans="1:31" ht="13">
      <c r="A1209" s="18" t="s">
        <v>794</v>
      </c>
      <c r="B1209" s="18" t="s">
        <v>335</v>
      </c>
      <c r="C1209" s="27" t="s">
        <v>795</v>
      </c>
      <c r="D1209" s="18" t="s">
        <v>788</v>
      </c>
      <c r="E1209" s="18" t="s">
        <v>690</v>
      </c>
      <c r="F1209" s="37">
        <v>2014.0780141844</v>
      </c>
      <c r="G1209" s="37">
        <v>138829</v>
      </c>
      <c r="H1209" s="37">
        <f t="shared" ref="H1209:I1209" si="921">F1209-F1208</f>
        <v>2.0567375886600985</v>
      </c>
      <c r="I1209" s="37">
        <f t="shared" si="921"/>
        <v>-3829</v>
      </c>
      <c r="J1209" s="65">
        <f t="shared" si="902"/>
        <v>-2.6840415539261732E-2</v>
      </c>
      <c r="K1209" s="65">
        <f t="shared" si="903"/>
        <v>-1.3049995141454792E-2</v>
      </c>
      <c r="L1209" s="38" t="s">
        <v>612</v>
      </c>
    </row>
    <row r="1210" spans="1:31" ht="13">
      <c r="A1210" s="18" t="s">
        <v>794</v>
      </c>
      <c r="B1210" s="18" t="s">
        <v>335</v>
      </c>
      <c r="C1210" s="27" t="s">
        <v>795</v>
      </c>
      <c r="D1210" s="18" t="s">
        <v>788</v>
      </c>
      <c r="E1210" s="18" t="s">
        <v>690</v>
      </c>
      <c r="F1210" s="37">
        <v>2015.03546099291</v>
      </c>
      <c r="G1210" s="37">
        <v>143674</v>
      </c>
      <c r="H1210" s="37">
        <f t="shared" ref="H1210:I1210" si="922">F1210-F1209</f>
        <v>0.9574468085099852</v>
      </c>
      <c r="I1210" s="37">
        <f t="shared" si="922"/>
        <v>4845</v>
      </c>
      <c r="J1210" s="65">
        <f t="shared" si="902"/>
        <v>3.4899048469700135E-2</v>
      </c>
      <c r="K1210" s="65">
        <f t="shared" si="903"/>
        <v>3.6450117290600562E-2</v>
      </c>
      <c r="L1210" s="38" t="s">
        <v>612</v>
      </c>
    </row>
    <row r="1211" spans="1:31" ht="13">
      <c r="A1211" s="18" t="s">
        <v>794</v>
      </c>
      <c r="B1211" s="18" t="s">
        <v>335</v>
      </c>
      <c r="C1211" s="27" t="s">
        <v>795</v>
      </c>
      <c r="D1211" s="18" t="s">
        <v>788</v>
      </c>
      <c r="E1211" s="18" t="s">
        <v>690</v>
      </c>
      <c r="F1211" s="37">
        <v>2016.0638297872299</v>
      </c>
      <c r="G1211" s="37">
        <v>134131</v>
      </c>
      <c r="H1211" s="37">
        <f t="shared" ref="H1211:I1211" si="923">F1211-F1210</f>
        <v>1.0283687943199311</v>
      </c>
      <c r="I1211" s="37">
        <f t="shared" si="923"/>
        <v>-9543</v>
      </c>
      <c r="J1211" s="65">
        <f t="shared" si="902"/>
        <v>-6.6421203558055045E-2</v>
      </c>
      <c r="K1211" s="65">
        <f t="shared" si="903"/>
        <v>-6.4588894494780877E-2</v>
      </c>
      <c r="L1211" s="38" t="s">
        <v>612</v>
      </c>
    </row>
    <row r="1212" spans="1:31" ht="13">
      <c r="A1212" s="18" t="s">
        <v>794</v>
      </c>
      <c r="B1212" s="18" t="s">
        <v>335</v>
      </c>
      <c r="C1212" s="27" t="s">
        <v>795</v>
      </c>
      <c r="D1212" s="18" t="s">
        <v>788</v>
      </c>
      <c r="E1212" s="18" t="s">
        <v>690</v>
      </c>
      <c r="F1212" s="37">
        <v>2018.0496453900701</v>
      </c>
      <c r="G1212" s="37">
        <v>130344</v>
      </c>
      <c r="H1212" s="37">
        <f t="shared" ref="H1212:I1212" si="924">F1212-F1211</f>
        <v>1.9858156028401481</v>
      </c>
      <c r="I1212" s="37">
        <f t="shared" si="924"/>
        <v>-3787</v>
      </c>
      <c r="J1212" s="65">
        <f t="shared" si="902"/>
        <v>-2.8233592532673282E-2</v>
      </c>
      <c r="K1212" s="65">
        <f t="shared" si="903"/>
        <v>-1.42176305253585E-2</v>
      </c>
      <c r="L1212" s="38" t="s">
        <v>612</v>
      </c>
    </row>
    <row r="1213" spans="1:31" ht="13">
      <c r="A1213" s="18" t="s">
        <v>794</v>
      </c>
      <c r="B1213" s="18" t="s">
        <v>335</v>
      </c>
      <c r="C1213" s="27" t="s">
        <v>795</v>
      </c>
      <c r="D1213" s="18" t="s">
        <v>788</v>
      </c>
      <c r="E1213" s="18" t="s">
        <v>690</v>
      </c>
      <c r="F1213" s="37">
        <v>2019.0780141844</v>
      </c>
      <c r="G1213" s="37">
        <v>138609</v>
      </c>
      <c r="H1213" s="37">
        <f t="shared" ref="H1213:I1213" si="925">F1213-F1212</f>
        <v>1.0283687943299356</v>
      </c>
      <c r="I1213" s="37">
        <f t="shared" si="925"/>
        <v>8265</v>
      </c>
      <c r="J1213" s="65">
        <f t="shared" si="902"/>
        <v>6.3409132756398451E-2</v>
      </c>
      <c r="K1213" s="65">
        <f t="shared" si="903"/>
        <v>6.1659915300828018E-2</v>
      </c>
      <c r="L1213" s="38" t="s">
        <v>612</v>
      </c>
    </row>
    <row r="1214" spans="1:31" ht="13">
      <c r="A1214" s="42" t="s">
        <v>796</v>
      </c>
      <c r="B1214" s="42" t="s">
        <v>797</v>
      </c>
      <c r="C1214" s="18" t="s">
        <v>798</v>
      </c>
      <c r="D1214" s="27" t="s">
        <v>636</v>
      </c>
      <c r="E1214" s="42" t="s">
        <v>761</v>
      </c>
      <c r="F1214" s="62">
        <v>1991</v>
      </c>
      <c r="G1214" s="59">
        <v>4578</v>
      </c>
      <c r="H1214" s="59" t="s">
        <v>402</v>
      </c>
      <c r="I1214" s="59" t="s">
        <v>402</v>
      </c>
      <c r="J1214" s="74" t="s">
        <v>402</v>
      </c>
      <c r="K1214" s="65" t="s">
        <v>402</v>
      </c>
      <c r="L1214" s="38" t="s">
        <v>734</v>
      </c>
      <c r="M1214" s="27"/>
      <c r="N1214" s="27"/>
      <c r="O1214" s="27"/>
      <c r="P1214" s="27"/>
      <c r="Q1214" s="27"/>
      <c r="R1214" s="27"/>
      <c r="S1214" s="27"/>
      <c r="T1214" s="27"/>
      <c r="U1214" s="27"/>
      <c r="V1214" s="27"/>
      <c r="W1214" s="27"/>
      <c r="X1214" s="27"/>
      <c r="Y1214" s="27"/>
      <c r="Z1214" s="27"/>
      <c r="AA1214" s="27"/>
      <c r="AB1214" s="27"/>
      <c r="AC1214" s="27"/>
      <c r="AD1214" s="27"/>
      <c r="AE1214" s="27"/>
    </row>
    <row r="1215" spans="1:31" ht="13">
      <c r="A1215" s="42" t="s">
        <v>796</v>
      </c>
      <c r="B1215" s="42" t="s">
        <v>797</v>
      </c>
      <c r="C1215" s="18" t="s">
        <v>798</v>
      </c>
      <c r="D1215" s="27" t="s">
        <v>636</v>
      </c>
      <c r="E1215" s="42" t="s">
        <v>761</v>
      </c>
      <c r="F1215" s="62">
        <v>1993</v>
      </c>
      <c r="G1215" s="59">
        <v>5110</v>
      </c>
      <c r="H1215" s="59">
        <f t="shared" ref="H1215:I1215" si="926">F1215-F1214</f>
        <v>2</v>
      </c>
      <c r="I1215" s="59">
        <f t="shared" si="926"/>
        <v>532</v>
      </c>
      <c r="J1215" s="74">
        <f t="shared" ref="J1215:J1220" si="927">I1215/G1214</f>
        <v>0.11620795107033639</v>
      </c>
      <c r="K1215" s="65">
        <f t="shared" ref="K1215:K1220" si="928">J1215/H1215</f>
        <v>5.8103975535168197E-2</v>
      </c>
      <c r="L1215" s="38" t="s">
        <v>734</v>
      </c>
      <c r="M1215" s="27"/>
      <c r="N1215" s="27"/>
      <c r="O1215" s="27"/>
      <c r="P1215" s="27"/>
      <c r="Q1215" s="27"/>
      <c r="R1215" s="27"/>
      <c r="S1215" s="27"/>
      <c r="T1215" s="27"/>
      <c r="U1215" s="27"/>
      <c r="V1215" s="27"/>
      <c r="W1215" s="27"/>
      <c r="X1215" s="27"/>
      <c r="Y1215" s="27"/>
      <c r="Z1215" s="27"/>
      <c r="AA1215" s="27"/>
      <c r="AB1215" s="27"/>
      <c r="AC1215" s="27"/>
      <c r="AD1215" s="27"/>
      <c r="AE1215" s="27"/>
    </row>
    <row r="1216" spans="1:31" ht="13">
      <c r="A1216" s="42" t="s">
        <v>796</v>
      </c>
      <c r="B1216" s="42" t="s">
        <v>797</v>
      </c>
      <c r="C1216" s="18" t="s">
        <v>798</v>
      </c>
      <c r="D1216" s="27" t="s">
        <v>636</v>
      </c>
      <c r="E1216" s="42" t="s">
        <v>761</v>
      </c>
      <c r="F1216" s="62">
        <v>1996</v>
      </c>
      <c r="G1216" s="59">
        <v>28811</v>
      </c>
      <c r="H1216" s="59">
        <f t="shared" ref="H1216:I1216" si="929">F1216-F1215</f>
        <v>3</v>
      </c>
      <c r="I1216" s="59">
        <f t="shared" si="929"/>
        <v>23701</v>
      </c>
      <c r="J1216" s="74">
        <f t="shared" si="927"/>
        <v>4.6381604696673193</v>
      </c>
      <c r="K1216" s="65">
        <f t="shared" si="928"/>
        <v>1.5460534898891065</v>
      </c>
      <c r="L1216" s="38" t="s">
        <v>734</v>
      </c>
      <c r="M1216" s="27"/>
      <c r="N1216" s="27"/>
      <c r="O1216" s="27"/>
      <c r="P1216" s="27"/>
      <c r="Q1216" s="27"/>
      <c r="R1216" s="27"/>
      <c r="S1216" s="27"/>
      <c r="T1216" s="27"/>
      <c r="U1216" s="27"/>
      <c r="V1216" s="27"/>
      <c r="W1216" s="27"/>
      <c r="X1216" s="27"/>
      <c r="Y1216" s="27"/>
      <c r="Z1216" s="27"/>
      <c r="AA1216" s="27"/>
      <c r="AB1216" s="27"/>
      <c r="AC1216" s="27"/>
      <c r="AD1216" s="27"/>
      <c r="AE1216" s="27"/>
    </row>
    <row r="1217" spans="1:31" ht="13">
      <c r="A1217" s="42" t="s">
        <v>796</v>
      </c>
      <c r="B1217" s="42" t="s">
        <v>797</v>
      </c>
      <c r="C1217" s="18" t="s">
        <v>798</v>
      </c>
      <c r="D1217" s="27" t="s">
        <v>636</v>
      </c>
      <c r="E1217" s="42" t="s">
        <v>761</v>
      </c>
      <c r="F1217" s="62">
        <v>2001</v>
      </c>
      <c r="G1217" s="59">
        <v>18124</v>
      </c>
      <c r="H1217" s="59">
        <f t="shared" ref="H1217:I1217" si="930">F1217-F1216</f>
        <v>5</v>
      </c>
      <c r="I1217" s="59">
        <f t="shared" si="930"/>
        <v>-10687</v>
      </c>
      <c r="J1217" s="74">
        <f t="shared" si="927"/>
        <v>-0.37093471243622228</v>
      </c>
      <c r="K1217" s="65">
        <f t="shared" si="928"/>
        <v>-7.4186942487244459E-2</v>
      </c>
      <c r="L1217" s="38" t="s">
        <v>734</v>
      </c>
      <c r="M1217" s="27"/>
      <c r="N1217" s="27"/>
      <c r="O1217" s="27"/>
      <c r="P1217" s="27"/>
      <c r="Q1217" s="27"/>
      <c r="R1217" s="27"/>
      <c r="S1217" s="27"/>
      <c r="T1217" s="27"/>
      <c r="U1217" s="27"/>
      <c r="V1217" s="27"/>
      <c r="W1217" s="27"/>
      <c r="X1217" s="27"/>
      <c r="Y1217" s="27"/>
      <c r="Z1217" s="27"/>
      <c r="AA1217" s="27"/>
      <c r="AB1217" s="27"/>
      <c r="AC1217" s="27"/>
      <c r="AD1217" s="27"/>
      <c r="AE1217" s="27"/>
    </row>
    <row r="1218" spans="1:31" ht="13">
      <c r="A1218" s="42" t="s">
        <v>796</v>
      </c>
      <c r="B1218" s="42" t="s">
        <v>797</v>
      </c>
      <c r="C1218" s="18" t="s">
        <v>798</v>
      </c>
      <c r="D1218" s="27" t="s">
        <v>636</v>
      </c>
      <c r="E1218" s="42" t="s">
        <v>761</v>
      </c>
      <c r="F1218" s="62">
        <v>2005</v>
      </c>
      <c r="G1218" s="59">
        <v>42317</v>
      </c>
      <c r="H1218" s="59">
        <f t="shared" ref="H1218:I1218" si="931">F1218-F1217</f>
        <v>4</v>
      </c>
      <c r="I1218" s="59">
        <f t="shared" si="931"/>
        <v>24193</v>
      </c>
      <c r="J1218" s="74">
        <f t="shared" si="927"/>
        <v>1.3348598543367909</v>
      </c>
      <c r="K1218" s="65">
        <f t="shared" si="928"/>
        <v>0.33371496358419772</v>
      </c>
      <c r="L1218" s="38" t="s">
        <v>734</v>
      </c>
      <c r="M1218" s="27"/>
      <c r="N1218" s="27"/>
      <c r="O1218" s="27"/>
      <c r="P1218" s="27"/>
      <c r="Q1218" s="27"/>
      <c r="R1218" s="27"/>
      <c r="S1218" s="27"/>
      <c r="T1218" s="27"/>
      <c r="U1218" s="27"/>
      <c r="V1218" s="27"/>
      <c r="W1218" s="27"/>
      <c r="X1218" s="27"/>
      <c r="Y1218" s="27"/>
      <c r="Z1218" s="27"/>
      <c r="AA1218" s="27"/>
      <c r="AB1218" s="27"/>
      <c r="AC1218" s="27"/>
      <c r="AD1218" s="27"/>
      <c r="AE1218" s="27"/>
    </row>
    <row r="1219" spans="1:31" ht="13">
      <c r="A1219" s="42" t="s">
        <v>796</v>
      </c>
      <c r="B1219" s="42" t="s">
        <v>797</v>
      </c>
      <c r="C1219" s="18" t="s">
        <v>798</v>
      </c>
      <c r="D1219" s="27" t="s">
        <v>636</v>
      </c>
      <c r="E1219" s="42" t="s">
        <v>761</v>
      </c>
      <c r="F1219" s="62">
        <v>2008</v>
      </c>
      <c r="G1219" s="59">
        <v>12958</v>
      </c>
      <c r="H1219" s="59">
        <f t="shared" ref="H1219:I1219" si="932">F1219-F1218</f>
        <v>3</v>
      </c>
      <c r="I1219" s="59">
        <f t="shared" si="932"/>
        <v>-29359</v>
      </c>
      <c r="J1219" s="74">
        <f t="shared" si="927"/>
        <v>-0.69378736677930852</v>
      </c>
      <c r="K1219" s="65">
        <f t="shared" si="928"/>
        <v>-0.23126245559310285</v>
      </c>
      <c r="L1219" s="38" t="s">
        <v>734</v>
      </c>
      <c r="M1219" s="27"/>
      <c r="N1219" s="27"/>
      <c r="O1219" s="27"/>
      <c r="P1219" s="27"/>
      <c r="Q1219" s="27"/>
      <c r="R1219" s="27"/>
      <c r="S1219" s="27"/>
      <c r="T1219" s="27"/>
      <c r="U1219" s="27"/>
      <c r="V1219" s="27"/>
      <c r="W1219" s="27"/>
      <c r="X1219" s="27"/>
      <c r="Y1219" s="27"/>
      <c r="Z1219" s="27"/>
      <c r="AA1219" s="27"/>
      <c r="AB1219" s="27"/>
      <c r="AC1219" s="27"/>
      <c r="AD1219" s="27"/>
      <c r="AE1219" s="27"/>
    </row>
    <row r="1220" spans="1:31" ht="13">
      <c r="A1220" s="42" t="s">
        <v>796</v>
      </c>
      <c r="B1220" s="42" t="s">
        <v>797</v>
      </c>
      <c r="C1220" s="18" t="s">
        <v>798</v>
      </c>
      <c r="D1220" s="27" t="s">
        <v>636</v>
      </c>
      <c r="E1220" s="42" t="s">
        <v>761</v>
      </c>
      <c r="F1220" s="62">
        <v>2014</v>
      </c>
      <c r="G1220" s="59">
        <v>55370</v>
      </c>
      <c r="H1220" s="59">
        <f t="shared" ref="H1220:I1220" si="933">F1220-F1219</f>
        <v>6</v>
      </c>
      <c r="I1220" s="59">
        <f t="shared" si="933"/>
        <v>42412</v>
      </c>
      <c r="J1220" s="74">
        <f t="shared" si="927"/>
        <v>3.273035962339867</v>
      </c>
      <c r="K1220" s="65">
        <f t="shared" si="928"/>
        <v>0.54550599372331121</v>
      </c>
      <c r="L1220" s="38" t="s">
        <v>734</v>
      </c>
      <c r="M1220" s="27"/>
      <c r="N1220" s="27"/>
      <c r="O1220" s="27"/>
      <c r="P1220" s="27"/>
      <c r="Q1220" s="27"/>
      <c r="R1220" s="27"/>
      <c r="S1220" s="27"/>
      <c r="T1220" s="27"/>
      <c r="U1220" s="27"/>
      <c r="V1220" s="27"/>
      <c r="W1220" s="27"/>
      <c r="X1220" s="27"/>
      <c r="Y1220" s="27"/>
      <c r="Z1220" s="27"/>
      <c r="AA1220" s="27"/>
      <c r="AB1220" s="27"/>
      <c r="AC1220" s="27"/>
      <c r="AD1220" s="27"/>
      <c r="AE1220" s="27"/>
    </row>
    <row r="1221" spans="1:31" ht="13">
      <c r="A1221" s="42" t="s">
        <v>796</v>
      </c>
      <c r="B1221" s="18" t="s">
        <v>797</v>
      </c>
      <c r="C1221" s="18" t="s">
        <v>798</v>
      </c>
      <c r="D1221" s="18" t="s">
        <v>621</v>
      </c>
      <c r="E1221" s="18" t="s">
        <v>622</v>
      </c>
      <c r="F1221" s="18">
        <v>1996</v>
      </c>
      <c r="G1221" s="40">
        <v>33893</v>
      </c>
      <c r="H1221" s="40" t="s">
        <v>402</v>
      </c>
      <c r="I1221" s="40" t="s">
        <v>402</v>
      </c>
      <c r="J1221" s="66" t="s">
        <v>402</v>
      </c>
      <c r="K1221" s="65" t="s">
        <v>402</v>
      </c>
      <c r="L1221" s="41" t="s">
        <v>623</v>
      </c>
    </row>
    <row r="1222" spans="1:31" ht="13">
      <c r="A1222" s="42" t="s">
        <v>796</v>
      </c>
      <c r="B1222" s="18" t="s">
        <v>797</v>
      </c>
      <c r="C1222" s="18" t="s">
        <v>798</v>
      </c>
      <c r="D1222" s="18" t="s">
        <v>621</v>
      </c>
      <c r="E1222" s="18" t="s">
        <v>622</v>
      </c>
      <c r="F1222" s="18">
        <v>2001</v>
      </c>
      <c r="G1222" s="40">
        <v>39697</v>
      </c>
      <c r="H1222" s="40">
        <f t="shared" ref="H1222:I1222" si="934">F1222-F1221</f>
        <v>5</v>
      </c>
      <c r="I1222" s="40">
        <f t="shared" si="934"/>
        <v>5804</v>
      </c>
      <c r="J1222" s="66">
        <f t="shared" ref="J1222:J1226" si="935">I1222/G1221</f>
        <v>0.17124479981117044</v>
      </c>
      <c r="K1222" s="65">
        <f t="shared" ref="K1222:K1226" si="936">J1222/H1222</f>
        <v>3.4248959962234087E-2</v>
      </c>
      <c r="L1222" s="41" t="s">
        <v>623</v>
      </c>
    </row>
    <row r="1223" spans="1:31" ht="13">
      <c r="A1223" s="42" t="s">
        <v>796</v>
      </c>
      <c r="B1223" s="18" t="s">
        <v>797</v>
      </c>
      <c r="C1223" s="18" t="s">
        <v>798</v>
      </c>
      <c r="D1223" s="18" t="s">
        <v>621</v>
      </c>
      <c r="E1223" s="18" t="s">
        <v>622</v>
      </c>
      <c r="F1223" s="18">
        <v>2005</v>
      </c>
      <c r="G1223" s="40">
        <v>27370</v>
      </c>
      <c r="H1223" s="40">
        <f t="shared" ref="H1223:I1223" si="937">F1223-F1222</f>
        <v>4</v>
      </c>
      <c r="I1223" s="40">
        <f t="shared" si="937"/>
        <v>-12327</v>
      </c>
      <c r="J1223" s="66">
        <f t="shared" si="935"/>
        <v>-0.31052724387233294</v>
      </c>
      <c r="K1223" s="65">
        <f t="shared" si="936"/>
        <v>-7.7631810968083234E-2</v>
      </c>
      <c r="L1223" s="41" t="s">
        <v>623</v>
      </c>
    </row>
    <row r="1224" spans="1:31" ht="13">
      <c r="A1224" s="42" t="s">
        <v>796</v>
      </c>
      <c r="B1224" s="18" t="s">
        <v>797</v>
      </c>
      <c r="C1224" s="18" t="s">
        <v>798</v>
      </c>
      <c r="D1224" s="18" t="s">
        <v>621</v>
      </c>
      <c r="E1224" s="18" t="s">
        <v>622</v>
      </c>
      <c r="F1224" s="18">
        <v>2008</v>
      </c>
      <c r="G1224" s="40">
        <v>42767</v>
      </c>
      <c r="H1224" s="40">
        <f t="shared" ref="H1224:I1224" si="938">F1224-F1223</f>
        <v>3</v>
      </c>
      <c r="I1224" s="40">
        <f t="shared" si="938"/>
        <v>15397</v>
      </c>
      <c r="J1224" s="66">
        <f t="shared" si="935"/>
        <v>0.56255023748629884</v>
      </c>
      <c r="K1224" s="65">
        <f t="shared" si="936"/>
        <v>0.18751674582876629</v>
      </c>
      <c r="L1224" s="41" t="s">
        <v>623</v>
      </c>
    </row>
    <row r="1225" spans="1:31" ht="13">
      <c r="A1225" s="42" t="s">
        <v>796</v>
      </c>
      <c r="B1225" s="18" t="s">
        <v>797</v>
      </c>
      <c r="C1225" s="18" t="s">
        <v>798</v>
      </c>
      <c r="D1225" s="18" t="s">
        <v>621</v>
      </c>
      <c r="E1225" s="18" t="s">
        <v>622</v>
      </c>
      <c r="F1225" s="18">
        <v>2014</v>
      </c>
      <c r="G1225" s="40">
        <v>18031</v>
      </c>
      <c r="H1225" s="40">
        <f t="shared" ref="H1225:I1225" si="939">F1225-F1224</f>
        <v>6</v>
      </c>
      <c r="I1225" s="40">
        <f t="shared" si="939"/>
        <v>-24736</v>
      </c>
      <c r="J1225" s="66">
        <f t="shared" si="935"/>
        <v>-0.57838988004770031</v>
      </c>
      <c r="K1225" s="65">
        <f t="shared" si="936"/>
        <v>-9.639831334128339E-2</v>
      </c>
      <c r="L1225" s="41" t="s">
        <v>623</v>
      </c>
    </row>
    <row r="1226" spans="1:31" ht="13">
      <c r="A1226" s="42" t="s">
        <v>796</v>
      </c>
      <c r="B1226" s="18" t="s">
        <v>797</v>
      </c>
      <c r="C1226" s="18" t="s">
        <v>798</v>
      </c>
      <c r="D1226" s="18" t="s">
        <v>621</v>
      </c>
      <c r="E1226" s="18" t="s">
        <v>622</v>
      </c>
      <c r="F1226" s="18">
        <v>2018</v>
      </c>
      <c r="G1226" s="40">
        <v>29285</v>
      </c>
      <c r="H1226" s="40">
        <f t="shared" ref="H1226:I1226" si="940">F1226-F1225</f>
        <v>4</v>
      </c>
      <c r="I1226" s="40">
        <f t="shared" si="940"/>
        <v>11254</v>
      </c>
      <c r="J1226" s="66">
        <f t="shared" si="935"/>
        <v>0.62414730186900336</v>
      </c>
      <c r="K1226" s="65">
        <f t="shared" si="936"/>
        <v>0.15603682546725084</v>
      </c>
      <c r="L1226" s="41" t="s">
        <v>623</v>
      </c>
    </row>
    <row r="1227" spans="1:31" ht="16">
      <c r="A1227" s="30" t="s">
        <v>802</v>
      </c>
      <c r="B1227" s="30" t="s">
        <v>803</v>
      </c>
      <c r="C1227" s="18" t="s">
        <v>804</v>
      </c>
      <c r="D1227" s="30" t="s">
        <v>84</v>
      </c>
      <c r="E1227" s="30" t="s">
        <v>611</v>
      </c>
      <c r="F1227" s="55">
        <v>1989</v>
      </c>
      <c r="G1227" s="51">
        <v>195</v>
      </c>
      <c r="H1227" s="51" t="s">
        <v>402</v>
      </c>
      <c r="I1227" s="51" t="s">
        <v>402</v>
      </c>
      <c r="J1227" s="72" t="s">
        <v>402</v>
      </c>
      <c r="K1227" s="65" t="s">
        <v>402</v>
      </c>
      <c r="L1227" s="50" t="s">
        <v>734</v>
      </c>
      <c r="M1227" s="30"/>
      <c r="N1227" s="30"/>
      <c r="O1227" s="30"/>
      <c r="P1227" s="30"/>
      <c r="Q1227" s="30"/>
      <c r="R1227" s="30"/>
      <c r="S1227" s="30"/>
      <c r="T1227" s="30"/>
      <c r="U1227" s="30"/>
      <c r="V1227" s="30"/>
      <c r="W1227" s="30"/>
      <c r="X1227" s="30"/>
      <c r="Y1227" s="30"/>
      <c r="Z1227" s="30"/>
      <c r="AA1227" s="30"/>
      <c r="AB1227" s="30"/>
      <c r="AC1227" s="30"/>
      <c r="AD1227" s="30"/>
      <c r="AE1227" s="30"/>
    </row>
    <row r="1228" spans="1:31" ht="16">
      <c r="A1228" s="30" t="s">
        <v>802</v>
      </c>
      <c r="B1228" s="30" t="s">
        <v>803</v>
      </c>
      <c r="C1228" s="18" t="s">
        <v>804</v>
      </c>
      <c r="D1228" s="30" t="s">
        <v>84</v>
      </c>
      <c r="E1228" s="30" t="s">
        <v>611</v>
      </c>
      <c r="F1228" s="55">
        <v>1990</v>
      </c>
      <c r="G1228" s="51">
        <v>188</v>
      </c>
      <c r="H1228" s="51">
        <f t="shared" ref="H1228:I1228" si="941">F1228-F1227</f>
        <v>1</v>
      </c>
      <c r="I1228" s="51">
        <f t="shared" si="941"/>
        <v>-7</v>
      </c>
      <c r="J1228" s="72">
        <f t="shared" ref="J1228:J1254" si="942">I1228/G1227</f>
        <v>-3.5897435897435895E-2</v>
      </c>
      <c r="K1228" s="65">
        <f t="shared" ref="K1228:K1254" si="943">J1228/H1228</f>
        <v>-3.5897435897435895E-2</v>
      </c>
      <c r="L1228" s="50" t="s">
        <v>734</v>
      </c>
      <c r="M1228" s="30"/>
      <c r="N1228" s="30"/>
      <c r="O1228" s="30"/>
      <c r="P1228" s="30"/>
      <c r="Q1228" s="30"/>
      <c r="R1228" s="30"/>
      <c r="S1228" s="30"/>
      <c r="T1228" s="30"/>
      <c r="U1228" s="30"/>
      <c r="V1228" s="30"/>
      <c r="W1228" s="30"/>
      <c r="X1228" s="30"/>
      <c r="Y1228" s="30"/>
      <c r="Z1228" s="30"/>
      <c r="AA1228" s="30"/>
      <c r="AB1228" s="30"/>
      <c r="AC1228" s="30"/>
      <c r="AD1228" s="30"/>
      <c r="AE1228" s="30"/>
    </row>
    <row r="1229" spans="1:31" ht="16">
      <c r="A1229" s="30" t="s">
        <v>802</v>
      </c>
      <c r="B1229" s="30" t="s">
        <v>803</v>
      </c>
      <c r="C1229" s="18" t="s">
        <v>804</v>
      </c>
      <c r="D1229" s="30" t="s">
        <v>84</v>
      </c>
      <c r="E1229" s="30" t="s">
        <v>611</v>
      </c>
      <c r="F1229" s="55">
        <v>1991</v>
      </c>
      <c r="G1229" s="51">
        <v>262</v>
      </c>
      <c r="H1229" s="51">
        <f t="shared" ref="H1229:I1229" si="944">F1229-F1228</f>
        <v>1</v>
      </c>
      <c r="I1229" s="51">
        <f t="shared" si="944"/>
        <v>74</v>
      </c>
      <c r="J1229" s="72">
        <f t="shared" si="942"/>
        <v>0.39361702127659576</v>
      </c>
      <c r="K1229" s="65">
        <f t="shared" si="943"/>
        <v>0.39361702127659576</v>
      </c>
      <c r="L1229" s="50" t="s">
        <v>734</v>
      </c>
      <c r="M1229" s="30"/>
      <c r="N1229" s="30"/>
      <c r="O1229" s="30"/>
      <c r="P1229" s="30"/>
      <c r="Q1229" s="30"/>
      <c r="R1229" s="30"/>
      <c r="S1229" s="30"/>
      <c r="T1229" s="30"/>
      <c r="U1229" s="30"/>
      <c r="V1229" s="30"/>
      <c r="W1229" s="30"/>
      <c r="X1229" s="30"/>
      <c r="Y1229" s="30"/>
      <c r="Z1229" s="30"/>
      <c r="AA1229" s="30"/>
      <c r="AB1229" s="30"/>
      <c r="AC1229" s="30"/>
      <c r="AD1229" s="30"/>
      <c r="AE1229" s="30"/>
    </row>
    <row r="1230" spans="1:31" ht="16">
      <c r="A1230" s="30" t="s">
        <v>802</v>
      </c>
      <c r="B1230" s="30" t="s">
        <v>803</v>
      </c>
      <c r="C1230" s="18" t="s">
        <v>804</v>
      </c>
      <c r="D1230" s="30" t="s">
        <v>84</v>
      </c>
      <c r="E1230" s="30" t="s">
        <v>611</v>
      </c>
      <c r="F1230" s="55">
        <v>1992</v>
      </c>
      <c r="G1230" s="51">
        <v>296</v>
      </c>
      <c r="H1230" s="51">
        <f t="shared" ref="H1230:I1230" si="945">F1230-F1229</f>
        <v>1</v>
      </c>
      <c r="I1230" s="51">
        <f t="shared" si="945"/>
        <v>34</v>
      </c>
      <c r="J1230" s="72">
        <f t="shared" si="942"/>
        <v>0.12977099236641221</v>
      </c>
      <c r="K1230" s="65">
        <f t="shared" si="943"/>
        <v>0.12977099236641221</v>
      </c>
      <c r="L1230" s="50" t="s">
        <v>734</v>
      </c>
      <c r="M1230" s="30"/>
      <c r="N1230" s="30"/>
      <c r="O1230" s="30"/>
      <c r="P1230" s="30"/>
      <c r="Q1230" s="30"/>
      <c r="R1230" s="30"/>
      <c r="S1230" s="30"/>
      <c r="T1230" s="30"/>
      <c r="U1230" s="30"/>
      <c r="V1230" s="30"/>
      <c r="W1230" s="30"/>
      <c r="X1230" s="30"/>
      <c r="Y1230" s="30"/>
      <c r="Z1230" s="30"/>
      <c r="AA1230" s="30"/>
      <c r="AB1230" s="30"/>
      <c r="AC1230" s="30"/>
      <c r="AD1230" s="30"/>
      <c r="AE1230" s="30"/>
    </row>
    <row r="1231" spans="1:31" ht="16">
      <c r="A1231" s="30" t="s">
        <v>802</v>
      </c>
      <c r="B1231" s="30" t="s">
        <v>803</v>
      </c>
      <c r="C1231" s="18" t="s">
        <v>804</v>
      </c>
      <c r="D1231" s="30" t="s">
        <v>84</v>
      </c>
      <c r="E1231" s="30" t="s">
        <v>611</v>
      </c>
      <c r="F1231" s="55">
        <v>1993</v>
      </c>
      <c r="G1231" s="51">
        <v>289</v>
      </c>
      <c r="H1231" s="51">
        <f t="shared" ref="H1231:I1231" si="946">F1231-F1230</f>
        <v>1</v>
      </c>
      <c r="I1231" s="51">
        <f t="shared" si="946"/>
        <v>-7</v>
      </c>
      <c r="J1231" s="72">
        <f t="shared" si="942"/>
        <v>-2.364864864864865E-2</v>
      </c>
      <c r="K1231" s="65">
        <f t="shared" si="943"/>
        <v>-2.364864864864865E-2</v>
      </c>
      <c r="L1231" s="50" t="s">
        <v>734</v>
      </c>
      <c r="M1231" s="30"/>
      <c r="N1231" s="30"/>
      <c r="O1231" s="30"/>
      <c r="P1231" s="30"/>
      <c r="Q1231" s="30"/>
      <c r="R1231" s="30"/>
      <c r="S1231" s="30"/>
      <c r="T1231" s="30"/>
      <c r="U1231" s="30"/>
      <c r="V1231" s="30"/>
      <c r="W1231" s="30"/>
      <c r="X1231" s="30"/>
      <c r="Y1231" s="30"/>
      <c r="Z1231" s="30"/>
      <c r="AA1231" s="30"/>
      <c r="AB1231" s="30"/>
      <c r="AC1231" s="30"/>
      <c r="AD1231" s="30"/>
      <c r="AE1231" s="30"/>
    </row>
    <row r="1232" spans="1:31" ht="16">
      <c r="A1232" s="30" t="s">
        <v>802</v>
      </c>
      <c r="B1232" s="30" t="s">
        <v>803</v>
      </c>
      <c r="C1232" s="18" t="s">
        <v>804</v>
      </c>
      <c r="D1232" s="30" t="s">
        <v>84</v>
      </c>
      <c r="E1232" s="30" t="s">
        <v>611</v>
      </c>
      <c r="F1232" s="55">
        <v>1994</v>
      </c>
      <c r="G1232" s="51">
        <v>336</v>
      </c>
      <c r="H1232" s="51">
        <f t="shared" ref="H1232:I1232" si="947">F1232-F1231</f>
        <v>1</v>
      </c>
      <c r="I1232" s="51">
        <f t="shared" si="947"/>
        <v>47</v>
      </c>
      <c r="J1232" s="72">
        <f t="shared" si="942"/>
        <v>0.16262975778546712</v>
      </c>
      <c r="K1232" s="65">
        <f t="shared" si="943"/>
        <v>0.16262975778546712</v>
      </c>
      <c r="L1232" s="50" t="s">
        <v>734</v>
      </c>
      <c r="M1232" s="30"/>
      <c r="N1232" s="30"/>
      <c r="O1232" s="30"/>
      <c r="P1232" s="30"/>
      <c r="Q1232" s="30"/>
      <c r="R1232" s="30"/>
      <c r="S1232" s="30"/>
      <c r="T1232" s="30"/>
      <c r="U1232" s="30"/>
      <c r="V1232" s="30"/>
      <c r="W1232" s="30"/>
      <c r="X1232" s="30"/>
      <c r="Y1232" s="30"/>
      <c r="Z1232" s="30"/>
      <c r="AA1232" s="30"/>
      <c r="AB1232" s="30"/>
      <c r="AC1232" s="30"/>
      <c r="AD1232" s="30"/>
      <c r="AE1232" s="30"/>
    </row>
    <row r="1233" spans="1:31" ht="16">
      <c r="A1233" s="30" t="s">
        <v>802</v>
      </c>
      <c r="B1233" s="30" t="s">
        <v>803</v>
      </c>
      <c r="C1233" s="18" t="s">
        <v>804</v>
      </c>
      <c r="D1233" s="30" t="s">
        <v>84</v>
      </c>
      <c r="E1233" s="30" t="s">
        <v>611</v>
      </c>
      <c r="F1233" s="55">
        <v>1995</v>
      </c>
      <c r="G1233" s="51">
        <v>376</v>
      </c>
      <c r="H1233" s="51">
        <f t="shared" ref="H1233:I1233" si="948">F1233-F1232</f>
        <v>1</v>
      </c>
      <c r="I1233" s="51">
        <f t="shared" si="948"/>
        <v>40</v>
      </c>
      <c r="J1233" s="72">
        <f t="shared" si="942"/>
        <v>0.11904761904761904</v>
      </c>
      <c r="K1233" s="65">
        <f t="shared" si="943"/>
        <v>0.11904761904761904</v>
      </c>
      <c r="L1233" s="50" t="s">
        <v>734</v>
      </c>
      <c r="M1233" s="30"/>
      <c r="N1233" s="30"/>
      <c r="O1233" s="30"/>
      <c r="P1233" s="30"/>
      <c r="Q1233" s="30"/>
      <c r="R1233" s="30"/>
      <c r="S1233" s="30"/>
      <c r="T1233" s="30"/>
      <c r="U1233" s="30"/>
      <c r="V1233" s="30"/>
      <c r="W1233" s="30"/>
      <c r="X1233" s="30"/>
      <c r="Y1233" s="30"/>
      <c r="Z1233" s="30"/>
      <c r="AA1233" s="30"/>
      <c r="AB1233" s="30"/>
      <c r="AC1233" s="30"/>
      <c r="AD1233" s="30"/>
      <c r="AE1233" s="30"/>
    </row>
    <row r="1234" spans="1:31" ht="16">
      <c r="A1234" s="30" t="s">
        <v>802</v>
      </c>
      <c r="B1234" s="30" t="s">
        <v>803</v>
      </c>
      <c r="C1234" s="18" t="s">
        <v>804</v>
      </c>
      <c r="D1234" s="30" t="s">
        <v>84</v>
      </c>
      <c r="E1234" s="30" t="s">
        <v>611</v>
      </c>
      <c r="F1234" s="55">
        <v>1996</v>
      </c>
      <c r="G1234" s="51">
        <v>410</v>
      </c>
      <c r="H1234" s="51">
        <f t="shared" ref="H1234:I1234" si="949">F1234-F1233</f>
        <v>1</v>
      </c>
      <c r="I1234" s="51">
        <f t="shared" si="949"/>
        <v>34</v>
      </c>
      <c r="J1234" s="72">
        <f t="shared" si="942"/>
        <v>9.0425531914893623E-2</v>
      </c>
      <c r="K1234" s="65">
        <f t="shared" si="943"/>
        <v>9.0425531914893623E-2</v>
      </c>
      <c r="L1234" s="50" t="s">
        <v>734</v>
      </c>
      <c r="M1234" s="30"/>
      <c r="N1234" s="30"/>
      <c r="O1234" s="30"/>
      <c r="P1234" s="30"/>
      <c r="Q1234" s="30"/>
      <c r="R1234" s="30"/>
      <c r="S1234" s="30"/>
      <c r="T1234" s="30"/>
      <c r="U1234" s="30"/>
      <c r="V1234" s="30"/>
      <c r="W1234" s="30"/>
      <c r="X1234" s="30"/>
      <c r="Y1234" s="30"/>
      <c r="Z1234" s="30"/>
      <c r="AA1234" s="30"/>
      <c r="AB1234" s="30"/>
      <c r="AC1234" s="30"/>
      <c r="AD1234" s="30"/>
      <c r="AE1234" s="30"/>
    </row>
    <row r="1235" spans="1:31" ht="16">
      <c r="A1235" s="30" t="s">
        <v>802</v>
      </c>
      <c r="B1235" s="30" t="s">
        <v>803</v>
      </c>
      <c r="C1235" s="18" t="s">
        <v>804</v>
      </c>
      <c r="D1235" s="30" t="s">
        <v>84</v>
      </c>
      <c r="E1235" s="30" t="s">
        <v>611</v>
      </c>
      <c r="F1235" s="55">
        <v>1997</v>
      </c>
      <c r="G1235" s="51">
        <v>484</v>
      </c>
      <c r="H1235" s="51">
        <f t="shared" ref="H1235:I1235" si="950">F1235-F1234</f>
        <v>1</v>
      </c>
      <c r="I1235" s="51">
        <f t="shared" si="950"/>
        <v>74</v>
      </c>
      <c r="J1235" s="72">
        <f t="shared" si="942"/>
        <v>0.18048780487804877</v>
      </c>
      <c r="K1235" s="65">
        <f t="shared" si="943"/>
        <v>0.18048780487804877</v>
      </c>
      <c r="L1235" s="50" t="s">
        <v>734</v>
      </c>
      <c r="M1235" s="30"/>
      <c r="N1235" s="30"/>
      <c r="O1235" s="30"/>
      <c r="P1235" s="30"/>
      <c r="Q1235" s="30"/>
      <c r="R1235" s="30"/>
      <c r="S1235" s="30"/>
      <c r="T1235" s="30"/>
      <c r="U1235" s="30"/>
      <c r="V1235" s="30"/>
      <c r="W1235" s="30"/>
      <c r="X1235" s="30"/>
      <c r="Y1235" s="30"/>
      <c r="Z1235" s="30"/>
      <c r="AA1235" s="30"/>
      <c r="AB1235" s="30"/>
      <c r="AC1235" s="30"/>
      <c r="AD1235" s="30"/>
      <c r="AE1235" s="30"/>
    </row>
    <row r="1236" spans="1:31" ht="16">
      <c r="A1236" s="30" t="s">
        <v>802</v>
      </c>
      <c r="B1236" s="30" t="s">
        <v>803</v>
      </c>
      <c r="C1236" s="18" t="s">
        <v>804</v>
      </c>
      <c r="D1236" s="30" t="s">
        <v>84</v>
      </c>
      <c r="E1236" s="30" t="s">
        <v>611</v>
      </c>
      <c r="F1236" s="55">
        <v>1998</v>
      </c>
      <c r="G1236" s="51">
        <v>424</v>
      </c>
      <c r="H1236" s="51">
        <f t="shared" ref="H1236:I1236" si="951">F1236-F1235</f>
        <v>1</v>
      </c>
      <c r="I1236" s="51">
        <f t="shared" si="951"/>
        <v>-60</v>
      </c>
      <c r="J1236" s="72">
        <f t="shared" si="942"/>
        <v>-0.12396694214876033</v>
      </c>
      <c r="K1236" s="65">
        <f t="shared" si="943"/>
        <v>-0.12396694214876033</v>
      </c>
      <c r="L1236" s="50" t="s">
        <v>734</v>
      </c>
      <c r="M1236" s="30"/>
      <c r="N1236" s="30"/>
      <c r="O1236" s="30"/>
      <c r="P1236" s="30"/>
      <c r="Q1236" s="30"/>
      <c r="R1236" s="30"/>
      <c r="S1236" s="30"/>
      <c r="T1236" s="30"/>
      <c r="U1236" s="30"/>
      <c r="V1236" s="30"/>
      <c r="W1236" s="30"/>
      <c r="X1236" s="30"/>
      <c r="Y1236" s="30"/>
      <c r="Z1236" s="30"/>
      <c r="AA1236" s="30"/>
      <c r="AB1236" s="30"/>
      <c r="AC1236" s="30"/>
      <c r="AD1236" s="30"/>
      <c r="AE1236" s="30"/>
    </row>
    <row r="1237" spans="1:31" ht="16">
      <c r="A1237" s="30" t="s">
        <v>802</v>
      </c>
      <c r="B1237" s="30" t="s">
        <v>803</v>
      </c>
      <c r="C1237" s="18" t="s">
        <v>804</v>
      </c>
      <c r="D1237" s="30" t="s">
        <v>84</v>
      </c>
      <c r="E1237" s="30" t="s">
        <v>611</v>
      </c>
      <c r="F1237" s="55">
        <v>1999</v>
      </c>
      <c r="G1237" s="51">
        <v>591</v>
      </c>
      <c r="H1237" s="51">
        <f t="shared" ref="H1237:I1237" si="952">F1237-F1236</f>
        <v>1</v>
      </c>
      <c r="I1237" s="51">
        <f t="shared" si="952"/>
        <v>167</v>
      </c>
      <c r="J1237" s="72">
        <f t="shared" si="942"/>
        <v>0.39386792452830188</v>
      </c>
      <c r="K1237" s="65">
        <f t="shared" si="943"/>
        <v>0.39386792452830188</v>
      </c>
      <c r="L1237" s="50" t="s">
        <v>734</v>
      </c>
      <c r="M1237" s="30"/>
      <c r="N1237" s="30"/>
      <c r="O1237" s="30"/>
      <c r="P1237" s="30"/>
      <c r="Q1237" s="30"/>
      <c r="R1237" s="30"/>
      <c r="S1237" s="30"/>
      <c r="T1237" s="30"/>
      <c r="U1237" s="30"/>
      <c r="V1237" s="30"/>
      <c r="W1237" s="30"/>
      <c r="X1237" s="30"/>
      <c r="Y1237" s="30"/>
      <c r="Z1237" s="30"/>
      <c r="AA1237" s="30"/>
      <c r="AB1237" s="30"/>
      <c r="AC1237" s="30"/>
      <c r="AD1237" s="30"/>
      <c r="AE1237" s="30"/>
    </row>
    <row r="1238" spans="1:31" ht="16">
      <c r="A1238" s="30" t="s">
        <v>802</v>
      </c>
      <c r="B1238" s="30" t="s">
        <v>803</v>
      </c>
      <c r="C1238" s="18" t="s">
        <v>804</v>
      </c>
      <c r="D1238" s="30" t="s">
        <v>84</v>
      </c>
      <c r="E1238" s="30" t="s">
        <v>611</v>
      </c>
      <c r="F1238" s="55">
        <v>2000</v>
      </c>
      <c r="G1238" s="51">
        <v>491</v>
      </c>
      <c r="H1238" s="51">
        <f t="shared" ref="H1238:I1238" si="953">F1238-F1237</f>
        <v>1</v>
      </c>
      <c r="I1238" s="51">
        <f t="shared" si="953"/>
        <v>-100</v>
      </c>
      <c r="J1238" s="72">
        <f t="shared" si="942"/>
        <v>-0.16920473773265651</v>
      </c>
      <c r="K1238" s="65">
        <f t="shared" si="943"/>
        <v>-0.16920473773265651</v>
      </c>
      <c r="L1238" s="50" t="s">
        <v>734</v>
      </c>
      <c r="M1238" s="30"/>
      <c r="N1238" s="30"/>
      <c r="O1238" s="30"/>
      <c r="P1238" s="30"/>
      <c r="Q1238" s="30"/>
      <c r="R1238" s="30"/>
      <c r="S1238" s="30"/>
      <c r="T1238" s="30"/>
      <c r="U1238" s="30"/>
      <c r="V1238" s="30"/>
      <c r="W1238" s="30"/>
      <c r="X1238" s="30"/>
      <c r="Y1238" s="30"/>
      <c r="Z1238" s="30"/>
      <c r="AA1238" s="30"/>
      <c r="AB1238" s="30"/>
      <c r="AC1238" s="30"/>
      <c r="AD1238" s="30"/>
      <c r="AE1238" s="30"/>
    </row>
    <row r="1239" spans="1:31" ht="16">
      <c r="A1239" s="30" t="s">
        <v>802</v>
      </c>
      <c r="B1239" s="30" t="s">
        <v>803</v>
      </c>
      <c r="C1239" s="18" t="s">
        <v>804</v>
      </c>
      <c r="D1239" s="30" t="s">
        <v>84</v>
      </c>
      <c r="E1239" s="30" t="s">
        <v>611</v>
      </c>
      <c r="F1239" s="55">
        <v>2001</v>
      </c>
      <c r="G1239" s="51">
        <v>538</v>
      </c>
      <c r="H1239" s="51">
        <f t="shared" ref="H1239:I1239" si="954">F1239-F1238</f>
        <v>1</v>
      </c>
      <c r="I1239" s="51">
        <f t="shared" si="954"/>
        <v>47</v>
      </c>
      <c r="J1239" s="72">
        <f t="shared" si="942"/>
        <v>9.5723014256619138E-2</v>
      </c>
      <c r="K1239" s="65">
        <f t="shared" si="943"/>
        <v>9.5723014256619138E-2</v>
      </c>
      <c r="L1239" s="50" t="s">
        <v>734</v>
      </c>
      <c r="M1239" s="30"/>
      <c r="N1239" s="30"/>
      <c r="O1239" s="30"/>
      <c r="P1239" s="30"/>
      <c r="Q1239" s="30"/>
      <c r="R1239" s="30"/>
      <c r="S1239" s="30"/>
      <c r="T1239" s="30"/>
      <c r="U1239" s="30"/>
      <c r="V1239" s="30"/>
      <c r="W1239" s="30"/>
      <c r="X1239" s="30"/>
      <c r="Y1239" s="30"/>
      <c r="Z1239" s="30"/>
      <c r="AA1239" s="30"/>
      <c r="AB1239" s="30"/>
      <c r="AC1239" s="30"/>
      <c r="AD1239" s="30"/>
      <c r="AE1239" s="30"/>
    </row>
    <row r="1240" spans="1:31" ht="16">
      <c r="A1240" s="30" t="s">
        <v>802</v>
      </c>
      <c r="B1240" s="30" t="s">
        <v>803</v>
      </c>
      <c r="C1240" s="18" t="s">
        <v>804</v>
      </c>
      <c r="D1240" s="30" t="s">
        <v>84</v>
      </c>
      <c r="E1240" s="30" t="s">
        <v>611</v>
      </c>
      <c r="F1240" s="55">
        <v>2002</v>
      </c>
      <c r="G1240" s="51">
        <v>532</v>
      </c>
      <c r="H1240" s="51">
        <f t="shared" ref="H1240:I1240" si="955">F1240-F1239</f>
        <v>1</v>
      </c>
      <c r="I1240" s="51">
        <f t="shared" si="955"/>
        <v>-6</v>
      </c>
      <c r="J1240" s="72">
        <f t="shared" si="942"/>
        <v>-1.1152416356877323E-2</v>
      </c>
      <c r="K1240" s="65">
        <f t="shared" si="943"/>
        <v>-1.1152416356877323E-2</v>
      </c>
      <c r="L1240" s="50" t="s">
        <v>734</v>
      </c>
      <c r="M1240" s="30"/>
      <c r="N1240" s="30"/>
      <c r="O1240" s="30"/>
      <c r="P1240" s="30"/>
      <c r="Q1240" s="30"/>
      <c r="R1240" s="30"/>
      <c r="S1240" s="30"/>
      <c r="T1240" s="30"/>
      <c r="U1240" s="30"/>
      <c r="V1240" s="30"/>
      <c r="W1240" s="30"/>
      <c r="X1240" s="30"/>
      <c r="Y1240" s="30"/>
      <c r="Z1240" s="30"/>
      <c r="AA1240" s="30"/>
      <c r="AB1240" s="30"/>
      <c r="AC1240" s="30"/>
      <c r="AD1240" s="30"/>
      <c r="AE1240" s="30"/>
    </row>
    <row r="1241" spans="1:31" ht="16">
      <c r="A1241" s="30" t="s">
        <v>802</v>
      </c>
      <c r="B1241" s="30" t="s">
        <v>803</v>
      </c>
      <c r="C1241" s="18" t="s">
        <v>804</v>
      </c>
      <c r="D1241" s="30" t="s">
        <v>84</v>
      </c>
      <c r="E1241" s="30" t="s">
        <v>611</v>
      </c>
      <c r="F1241" s="55">
        <v>2003</v>
      </c>
      <c r="G1241" s="51">
        <v>666</v>
      </c>
      <c r="H1241" s="51">
        <f t="shared" ref="H1241:I1241" si="956">F1241-F1240</f>
        <v>1</v>
      </c>
      <c r="I1241" s="51">
        <f t="shared" si="956"/>
        <v>134</v>
      </c>
      <c r="J1241" s="72">
        <f t="shared" si="942"/>
        <v>0.25187969924812031</v>
      </c>
      <c r="K1241" s="65">
        <f t="shared" si="943"/>
        <v>0.25187969924812031</v>
      </c>
      <c r="L1241" s="50" t="s">
        <v>734</v>
      </c>
      <c r="M1241" s="30"/>
      <c r="N1241" s="30"/>
      <c r="O1241" s="30"/>
      <c r="P1241" s="30"/>
      <c r="Q1241" s="30"/>
      <c r="R1241" s="30"/>
      <c r="S1241" s="30"/>
      <c r="T1241" s="30"/>
      <c r="U1241" s="30"/>
      <c r="V1241" s="30"/>
      <c r="W1241" s="30"/>
      <c r="X1241" s="30"/>
      <c r="Y1241" s="30"/>
      <c r="Z1241" s="30"/>
      <c r="AA1241" s="30"/>
      <c r="AB1241" s="30"/>
      <c r="AC1241" s="30"/>
      <c r="AD1241" s="30"/>
      <c r="AE1241" s="30"/>
    </row>
    <row r="1242" spans="1:31" ht="16">
      <c r="A1242" s="30" t="s">
        <v>802</v>
      </c>
      <c r="B1242" s="30" t="s">
        <v>803</v>
      </c>
      <c r="C1242" s="18" t="s">
        <v>804</v>
      </c>
      <c r="D1242" s="30" t="s">
        <v>84</v>
      </c>
      <c r="E1242" s="30" t="s">
        <v>611</v>
      </c>
      <c r="F1242" s="55">
        <v>2004</v>
      </c>
      <c r="G1242" s="51">
        <v>719</v>
      </c>
      <c r="H1242" s="51">
        <f t="shared" ref="H1242:I1242" si="957">F1242-F1241</f>
        <v>1</v>
      </c>
      <c r="I1242" s="51">
        <f t="shared" si="957"/>
        <v>53</v>
      </c>
      <c r="J1242" s="72">
        <f t="shared" si="942"/>
        <v>7.9579579579579576E-2</v>
      </c>
      <c r="K1242" s="65">
        <f t="shared" si="943"/>
        <v>7.9579579579579576E-2</v>
      </c>
      <c r="L1242" s="50" t="s">
        <v>734</v>
      </c>
      <c r="M1242" s="30"/>
      <c r="N1242" s="30"/>
      <c r="O1242" s="30"/>
      <c r="P1242" s="30"/>
      <c r="Q1242" s="30"/>
      <c r="R1242" s="30"/>
      <c r="S1242" s="30"/>
      <c r="T1242" s="30"/>
      <c r="U1242" s="30"/>
      <c r="V1242" s="30"/>
      <c r="W1242" s="30"/>
      <c r="X1242" s="30"/>
      <c r="Y1242" s="30"/>
      <c r="Z1242" s="30"/>
      <c r="AA1242" s="30"/>
      <c r="AB1242" s="30"/>
      <c r="AC1242" s="30"/>
      <c r="AD1242" s="30"/>
      <c r="AE1242" s="30"/>
    </row>
    <row r="1243" spans="1:31" ht="16">
      <c r="A1243" s="30" t="s">
        <v>802</v>
      </c>
      <c r="B1243" s="30" t="s">
        <v>803</v>
      </c>
      <c r="C1243" s="18" t="s">
        <v>804</v>
      </c>
      <c r="D1243" s="30" t="s">
        <v>84</v>
      </c>
      <c r="E1243" s="30" t="s">
        <v>611</v>
      </c>
      <c r="F1243" s="55">
        <v>2005</v>
      </c>
      <c r="G1243" s="51">
        <v>800</v>
      </c>
      <c r="H1243" s="51">
        <f t="shared" ref="H1243:I1243" si="958">F1243-F1242</f>
        <v>1</v>
      </c>
      <c r="I1243" s="51">
        <f t="shared" si="958"/>
        <v>81</v>
      </c>
      <c r="J1243" s="72">
        <f t="shared" si="942"/>
        <v>0.11265646731571627</v>
      </c>
      <c r="K1243" s="65">
        <f t="shared" si="943"/>
        <v>0.11265646731571627</v>
      </c>
      <c r="L1243" s="50" t="s">
        <v>734</v>
      </c>
      <c r="M1243" s="30"/>
      <c r="N1243" s="30"/>
      <c r="O1243" s="30"/>
      <c r="P1243" s="30"/>
      <c r="Q1243" s="30"/>
      <c r="R1243" s="30"/>
      <c r="S1243" s="30"/>
      <c r="T1243" s="30"/>
      <c r="U1243" s="30"/>
      <c r="V1243" s="30"/>
      <c r="W1243" s="30"/>
      <c r="X1243" s="30"/>
      <c r="Y1243" s="30"/>
      <c r="Z1243" s="30"/>
      <c r="AA1243" s="30"/>
      <c r="AB1243" s="30"/>
      <c r="AC1243" s="30"/>
      <c r="AD1243" s="30"/>
      <c r="AE1243" s="30"/>
    </row>
    <row r="1244" spans="1:31" ht="16">
      <c r="A1244" s="30" t="s">
        <v>802</v>
      </c>
      <c r="B1244" s="30" t="s">
        <v>803</v>
      </c>
      <c r="C1244" s="18" t="s">
        <v>804</v>
      </c>
      <c r="D1244" s="30" t="s">
        <v>84</v>
      </c>
      <c r="E1244" s="30" t="s">
        <v>611</v>
      </c>
      <c r="F1244" s="55">
        <v>2006</v>
      </c>
      <c r="G1244" s="51">
        <v>773</v>
      </c>
      <c r="H1244" s="51">
        <f t="shared" ref="H1244:I1244" si="959">F1244-F1243</f>
        <v>1</v>
      </c>
      <c r="I1244" s="51">
        <f t="shared" si="959"/>
        <v>-27</v>
      </c>
      <c r="J1244" s="72">
        <f t="shared" si="942"/>
        <v>-3.3750000000000002E-2</v>
      </c>
      <c r="K1244" s="65">
        <f t="shared" si="943"/>
        <v>-3.3750000000000002E-2</v>
      </c>
      <c r="L1244" s="50" t="s">
        <v>734</v>
      </c>
      <c r="M1244" s="30"/>
      <c r="N1244" s="30"/>
      <c r="O1244" s="30"/>
      <c r="P1244" s="30"/>
      <c r="Q1244" s="30"/>
      <c r="R1244" s="30"/>
      <c r="S1244" s="30"/>
      <c r="T1244" s="30"/>
      <c r="U1244" s="30"/>
      <c r="V1244" s="30"/>
      <c r="W1244" s="30"/>
      <c r="X1244" s="30"/>
      <c r="Y1244" s="30"/>
      <c r="Z1244" s="30"/>
      <c r="AA1244" s="30"/>
      <c r="AB1244" s="30"/>
      <c r="AC1244" s="30"/>
      <c r="AD1244" s="30"/>
      <c r="AE1244" s="30"/>
    </row>
    <row r="1245" spans="1:31" ht="16">
      <c r="A1245" s="30" t="s">
        <v>802</v>
      </c>
      <c r="B1245" s="30" t="s">
        <v>803</v>
      </c>
      <c r="C1245" s="18" t="s">
        <v>804</v>
      </c>
      <c r="D1245" s="30" t="s">
        <v>84</v>
      </c>
      <c r="E1245" s="30" t="s">
        <v>611</v>
      </c>
      <c r="F1245" s="55">
        <v>2007</v>
      </c>
      <c r="G1245" s="51">
        <v>1115</v>
      </c>
      <c r="H1245" s="51">
        <f t="shared" ref="H1245:I1245" si="960">F1245-F1244</f>
        <v>1</v>
      </c>
      <c r="I1245" s="51">
        <f t="shared" si="960"/>
        <v>342</v>
      </c>
      <c r="J1245" s="72">
        <f t="shared" si="942"/>
        <v>0.4424320827943079</v>
      </c>
      <c r="K1245" s="65">
        <f t="shared" si="943"/>
        <v>0.4424320827943079</v>
      </c>
      <c r="L1245" s="50" t="s">
        <v>734</v>
      </c>
      <c r="M1245" s="30"/>
      <c r="N1245" s="30"/>
      <c r="O1245" s="30"/>
      <c r="P1245" s="30"/>
      <c r="Q1245" s="30"/>
      <c r="R1245" s="30"/>
      <c r="S1245" s="30"/>
      <c r="T1245" s="30"/>
      <c r="U1245" s="30"/>
      <c r="V1245" s="30"/>
      <c r="W1245" s="30"/>
      <c r="X1245" s="30"/>
      <c r="Y1245" s="30"/>
      <c r="Z1245" s="30"/>
      <c r="AA1245" s="30"/>
      <c r="AB1245" s="30"/>
      <c r="AC1245" s="30"/>
      <c r="AD1245" s="30"/>
      <c r="AE1245" s="30"/>
    </row>
    <row r="1246" spans="1:31" ht="16">
      <c r="A1246" s="30" t="s">
        <v>802</v>
      </c>
      <c r="B1246" s="30" t="s">
        <v>803</v>
      </c>
      <c r="C1246" s="18" t="s">
        <v>804</v>
      </c>
      <c r="D1246" s="30" t="s">
        <v>84</v>
      </c>
      <c r="E1246" s="30" t="s">
        <v>611</v>
      </c>
      <c r="F1246" s="55">
        <v>2008</v>
      </c>
      <c r="G1246" s="51">
        <v>1061</v>
      </c>
      <c r="H1246" s="51">
        <f t="shared" ref="H1246:I1246" si="961">F1246-F1245</f>
        <v>1</v>
      </c>
      <c r="I1246" s="51">
        <f t="shared" si="961"/>
        <v>-54</v>
      </c>
      <c r="J1246" s="72">
        <f t="shared" si="942"/>
        <v>-4.8430493273542603E-2</v>
      </c>
      <c r="K1246" s="65">
        <f t="shared" si="943"/>
        <v>-4.8430493273542603E-2</v>
      </c>
      <c r="L1246" s="50" t="s">
        <v>734</v>
      </c>
      <c r="M1246" s="30"/>
      <c r="N1246" s="30"/>
      <c r="O1246" s="30"/>
      <c r="P1246" s="30"/>
      <c r="Q1246" s="30"/>
      <c r="R1246" s="30"/>
      <c r="S1246" s="30"/>
      <c r="T1246" s="30"/>
      <c r="U1246" s="30"/>
      <c r="V1246" s="30"/>
      <c r="W1246" s="30"/>
      <c r="X1246" s="30"/>
      <c r="Y1246" s="30"/>
      <c r="Z1246" s="30"/>
      <c r="AA1246" s="30"/>
      <c r="AB1246" s="30"/>
      <c r="AC1246" s="30"/>
      <c r="AD1246" s="30"/>
      <c r="AE1246" s="30"/>
    </row>
    <row r="1247" spans="1:31" ht="16">
      <c r="A1247" s="30" t="s">
        <v>802</v>
      </c>
      <c r="B1247" s="30" t="s">
        <v>803</v>
      </c>
      <c r="C1247" s="18" t="s">
        <v>804</v>
      </c>
      <c r="D1247" s="30" t="s">
        <v>84</v>
      </c>
      <c r="E1247" s="30" t="s">
        <v>611</v>
      </c>
      <c r="F1247" s="55">
        <v>2009</v>
      </c>
      <c r="G1247" s="51">
        <v>1028</v>
      </c>
      <c r="H1247" s="51">
        <f t="shared" ref="H1247:I1247" si="962">F1247-F1246</f>
        <v>1</v>
      </c>
      <c r="I1247" s="51">
        <f t="shared" si="962"/>
        <v>-33</v>
      </c>
      <c r="J1247" s="72">
        <f t="shared" si="942"/>
        <v>-3.1102733270499529E-2</v>
      </c>
      <c r="K1247" s="65">
        <f t="shared" si="943"/>
        <v>-3.1102733270499529E-2</v>
      </c>
      <c r="L1247" s="50" t="s">
        <v>734</v>
      </c>
      <c r="M1247" s="30"/>
      <c r="N1247" s="30"/>
      <c r="O1247" s="30"/>
      <c r="P1247" s="30"/>
      <c r="Q1247" s="30"/>
      <c r="R1247" s="30"/>
      <c r="S1247" s="30"/>
      <c r="T1247" s="30"/>
      <c r="U1247" s="30"/>
      <c r="V1247" s="30"/>
      <c r="W1247" s="30"/>
      <c r="X1247" s="30"/>
      <c r="Y1247" s="30"/>
      <c r="Z1247" s="30"/>
      <c r="AA1247" s="30"/>
      <c r="AB1247" s="30"/>
      <c r="AC1247" s="30"/>
      <c r="AD1247" s="30"/>
      <c r="AE1247" s="30"/>
    </row>
    <row r="1248" spans="1:31" ht="16">
      <c r="A1248" s="30" t="s">
        <v>802</v>
      </c>
      <c r="B1248" s="30" t="s">
        <v>803</v>
      </c>
      <c r="C1248" s="18" t="s">
        <v>804</v>
      </c>
      <c r="D1248" s="30" t="s">
        <v>84</v>
      </c>
      <c r="E1248" s="30" t="s">
        <v>611</v>
      </c>
      <c r="F1248" s="55">
        <v>2010</v>
      </c>
      <c r="G1248" s="51">
        <v>988</v>
      </c>
      <c r="H1248" s="51">
        <f t="shared" ref="H1248:I1248" si="963">F1248-F1247</f>
        <v>1</v>
      </c>
      <c r="I1248" s="51">
        <f t="shared" si="963"/>
        <v>-40</v>
      </c>
      <c r="J1248" s="72">
        <f t="shared" si="942"/>
        <v>-3.8910505836575876E-2</v>
      </c>
      <c r="K1248" s="65">
        <f t="shared" si="943"/>
        <v>-3.8910505836575876E-2</v>
      </c>
      <c r="L1248" s="50" t="s">
        <v>734</v>
      </c>
      <c r="M1248" s="30"/>
      <c r="N1248" s="30"/>
      <c r="O1248" s="30"/>
      <c r="P1248" s="30"/>
      <c r="Q1248" s="30"/>
      <c r="R1248" s="30"/>
      <c r="S1248" s="30"/>
      <c r="T1248" s="30"/>
      <c r="U1248" s="30"/>
      <c r="V1248" s="30"/>
      <c r="W1248" s="30"/>
      <c r="X1248" s="30"/>
      <c r="Y1248" s="30"/>
      <c r="Z1248" s="30"/>
      <c r="AA1248" s="30"/>
      <c r="AB1248" s="30"/>
      <c r="AC1248" s="30"/>
      <c r="AD1248" s="30"/>
      <c r="AE1248" s="30"/>
    </row>
    <row r="1249" spans="1:31" ht="16">
      <c r="A1249" s="30" t="s">
        <v>802</v>
      </c>
      <c r="B1249" s="30" t="s">
        <v>803</v>
      </c>
      <c r="C1249" s="18" t="s">
        <v>804</v>
      </c>
      <c r="D1249" s="30" t="s">
        <v>84</v>
      </c>
      <c r="E1249" s="30" t="s">
        <v>611</v>
      </c>
      <c r="F1249" s="55">
        <v>2011</v>
      </c>
      <c r="G1249" s="51">
        <v>1142</v>
      </c>
      <c r="H1249" s="51">
        <f t="shared" ref="H1249:I1249" si="964">F1249-F1248</f>
        <v>1</v>
      </c>
      <c r="I1249" s="51">
        <f t="shared" si="964"/>
        <v>154</v>
      </c>
      <c r="J1249" s="72">
        <f t="shared" si="942"/>
        <v>0.15587044534412955</v>
      </c>
      <c r="K1249" s="65">
        <f t="shared" si="943"/>
        <v>0.15587044534412955</v>
      </c>
      <c r="L1249" s="50" t="s">
        <v>734</v>
      </c>
      <c r="M1249" s="30"/>
      <c r="N1249" s="30"/>
      <c r="O1249" s="30"/>
      <c r="P1249" s="30"/>
      <c r="Q1249" s="30"/>
      <c r="R1249" s="30"/>
      <c r="S1249" s="30"/>
      <c r="T1249" s="30"/>
      <c r="U1249" s="30"/>
      <c r="V1249" s="30"/>
      <c r="W1249" s="30"/>
      <c r="X1249" s="30"/>
      <c r="Y1249" s="30"/>
      <c r="Z1249" s="30"/>
      <c r="AA1249" s="30"/>
      <c r="AB1249" s="30"/>
      <c r="AC1249" s="30"/>
      <c r="AD1249" s="30"/>
      <c r="AE1249" s="30"/>
    </row>
    <row r="1250" spans="1:31" ht="16">
      <c r="A1250" s="30" t="s">
        <v>802</v>
      </c>
      <c r="B1250" s="30" t="s">
        <v>803</v>
      </c>
      <c r="C1250" s="18" t="s">
        <v>804</v>
      </c>
      <c r="D1250" s="30" t="s">
        <v>84</v>
      </c>
      <c r="E1250" s="30" t="s">
        <v>611</v>
      </c>
      <c r="F1250" s="55">
        <v>2012</v>
      </c>
      <c r="G1250" s="51">
        <v>1089</v>
      </c>
      <c r="H1250" s="51">
        <f t="shared" ref="H1250:I1250" si="965">F1250-F1249</f>
        <v>1</v>
      </c>
      <c r="I1250" s="51">
        <f t="shared" si="965"/>
        <v>-53</v>
      </c>
      <c r="J1250" s="72">
        <f t="shared" si="942"/>
        <v>-4.6409807355516634E-2</v>
      </c>
      <c r="K1250" s="65">
        <f t="shared" si="943"/>
        <v>-4.6409807355516634E-2</v>
      </c>
      <c r="L1250" s="50" t="s">
        <v>734</v>
      </c>
      <c r="M1250" s="30"/>
      <c r="N1250" s="30"/>
      <c r="O1250" s="30"/>
      <c r="P1250" s="30"/>
      <c r="Q1250" s="30"/>
      <c r="R1250" s="30"/>
      <c r="S1250" s="30"/>
      <c r="T1250" s="30"/>
      <c r="U1250" s="30"/>
      <c r="V1250" s="30"/>
      <c r="W1250" s="30"/>
      <c r="X1250" s="30"/>
      <c r="Y1250" s="30"/>
      <c r="Z1250" s="30"/>
      <c r="AA1250" s="30"/>
      <c r="AB1250" s="30"/>
      <c r="AC1250" s="30"/>
      <c r="AD1250" s="30"/>
      <c r="AE1250" s="30"/>
    </row>
    <row r="1251" spans="1:31" ht="16">
      <c r="A1251" s="30" t="s">
        <v>802</v>
      </c>
      <c r="B1251" s="30" t="s">
        <v>803</v>
      </c>
      <c r="C1251" s="18" t="s">
        <v>804</v>
      </c>
      <c r="D1251" s="30" t="s">
        <v>84</v>
      </c>
      <c r="E1251" s="30" t="s">
        <v>611</v>
      </c>
      <c r="F1251" s="55">
        <v>2013</v>
      </c>
      <c r="G1251" s="51">
        <v>1256</v>
      </c>
      <c r="H1251" s="51">
        <f t="shared" ref="H1251:I1251" si="966">F1251-F1250</f>
        <v>1</v>
      </c>
      <c r="I1251" s="51">
        <f t="shared" si="966"/>
        <v>167</v>
      </c>
      <c r="J1251" s="72">
        <f t="shared" si="942"/>
        <v>0.15335169880624427</v>
      </c>
      <c r="K1251" s="65">
        <f t="shared" si="943"/>
        <v>0.15335169880624427</v>
      </c>
      <c r="L1251" s="50" t="s">
        <v>734</v>
      </c>
      <c r="M1251" s="30"/>
      <c r="N1251" s="30"/>
      <c r="O1251" s="30"/>
      <c r="P1251" s="30"/>
      <c r="Q1251" s="30"/>
      <c r="R1251" s="30"/>
      <c r="S1251" s="30"/>
      <c r="T1251" s="30"/>
      <c r="U1251" s="30"/>
      <c r="V1251" s="30"/>
      <c r="W1251" s="30"/>
      <c r="X1251" s="30"/>
      <c r="Y1251" s="30"/>
      <c r="Z1251" s="30"/>
      <c r="AA1251" s="30"/>
      <c r="AB1251" s="30"/>
      <c r="AC1251" s="30"/>
      <c r="AD1251" s="30"/>
      <c r="AE1251" s="30"/>
    </row>
    <row r="1252" spans="1:31" ht="16">
      <c r="A1252" s="30" t="s">
        <v>802</v>
      </c>
      <c r="B1252" s="30" t="s">
        <v>803</v>
      </c>
      <c r="C1252" s="18" t="s">
        <v>804</v>
      </c>
      <c r="D1252" s="30" t="s">
        <v>84</v>
      </c>
      <c r="E1252" s="30" t="s">
        <v>611</v>
      </c>
      <c r="F1252" s="55">
        <v>2014</v>
      </c>
      <c r="G1252" s="51">
        <v>1564</v>
      </c>
      <c r="H1252" s="51">
        <f t="shared" ref="H1252:I1252" si="967">F1252-F1251</f>
        <v>1</v>
      </c>
      <c r="I1252" s="51">
        <f t="shared" si="967"/>
        <v>308</v>
      </c>
      <c r="J1252" s="72">
        <f t="shared" si="942"/>
        <v>0.24522292993630573</v>
      </c>
      <c r="K1252" s="65">
        <f t="shared" si="943"/>
        <v>0.24522292993630573</v>
      </c>
      <c r="L1252" s="50" t="s">
        <v>734</v>
      </c>
      <c r="M1252" s="30"/>
      <c r="N1252" s="30"/>
      <c r="O1252" s="30"/>
      <c r="P1252" s="30"/>
      <c r="Q1252" s="30"/>
      <c r="R1252" s="30"/>
      <c r="S1252" s="30"/>
      <c r="T1252" s="30"/>
      <c r="U1252" s="30"/>
      <c r="V1252" s="30"/>
      <c r="W1252" s="30"/>
      <c r="X1252" s="30"/>
      <c r="Y1252" s="30"/>
      <c r="Z1252" s="30"/>
      <c r="AA1252" s="30"/>
      <c r="AB1252" s="30"/>
      <c r="AC1252" s="30"/>
      <c r="AD1252" s="30"/>
      <c r="AE1252" s="30"/>
    </row>
    <row r="1253" spans="1:31" ht="16">
      <c r="A1253" s="30" t="s">
        <v>802</v>
      </c>
      <c r="B1253" s="30" t="s">
        <v>803</v>
      </c>
      <c r="C1253" s="18" t="s">
        <v>804</v>
      </c>
      <c r="D1253" s="30" t="s">
        <v>84</v>
      </c>
      <c r="E1253" s="30" t="s">
        <v>611</v>
      </c>
      <c r="F1253" s="55">
        <v>2015</v>
      </c>
      <c r="G1253" s="51">
        <v>1384</v>
      </c>
      <c r="H1253" s="51">
        <f t="shared" ref="H1253:I1253" si="968">F1253-F1252</f>
        <v>1</v>
      </c>
      <c r="I1253" s="51">
        <f t="shared" si="968"/>
        <v>-180</v>
      </c>
      <c r="J1253" s="72">
        <f t="shared" si="942"/>
        <v>-0.11508951406649616</v>
      </c>
      <c r="K1253" s="65">
        <f t="shared" si="943"/>
        <v>-0.11508951406649616</v>
      </c>
      <c r="L1253" s="50" t="s">
        <v>734</v>
      </c>
      <c r="M1253" s="30"/>
      <c r="N1253" s="30"/>
      <c r="O1253" s="30"/>
      <c r="P1253" s="30"/>
      <c r="Q1253" s="30"/>
      <c r="R1253" s="30"/>
      <c r="S1253" s="30"/>
      <c r="T1253" s="30"/>
      <c r="U1253" s="30"/>
      <c r="V1253" s="30"/>
      <c r="W1253" s="30"/>
      <c r="X1253" s="30"/>
      <c r="Y1253" s="30"/>
      <c r="Z1253" s="30"/>
      <c r="AA1253" s="30"/>
      <c r="AB1253" s="30"/>
      <c r="AC1253" s="30"/>
      <c r="AD1253" s="30"/>
      <c r="AE1253" s="30"/>
    </row>
    <row r="1254" spans="1:31" ht="16">
      <c r="A1254" s="30" t="s">
        <v>802</v>
      </c>
      <c r="B1254" s="30" t="s">
        <v>803</v>
      </c>
      <c r="C1254" s="18" t="s">
        <v>804</v>
      </c>
      <c r="D1254" s="30" t="s">
        <v>84</v>
      </c>
      <c r="E1254" s="30" t="s">
        <v>611</v>
      </c>
      <c r="F1254" s="55">
        <v>2016</v>
      </c>
      <c r="G1254" s="51">
        <v>1799</v>
      </c>
      <c r="H1254" s="51">
        <f t="shared" ref="H1254:I1254" si="969">F1254-F1253</f>
        <v>1</v>
      </c>
      <c r="I1254" s="51">
        <f t="shared" si="969"/>
        <v>415</v>
      </c>
      <c r="J1254" s="72">
        <f t="shared" si="942"/>
        <v>0.29985549132947975</v>
      </c>
      <c r="K1254" s="65">
        <f t="shared" si="943"/>
        <v>0.29985549132947975</v>
      </c>
      <c r="L1254" s="50" t="s">
        <v>734</v>
      </c>
      <c r="M1254" s="30"/>
      <c r="N1254" s="30"/>
      <c r="O1254" s="30"/>
      <c r="P1254" s="30"/>
      <c r="Q1254" s="30"/>
      <c r="R1254" s="30"/>
      <c r="S1254" s="30"/>
      <c r="T1254" s="30"/>
      <c r="U1254" s="30"/>
      <c r="V1254" s="30"/>
      <c r="W1254" s="30"/>
      <c r="X1254" s="30"/>
      <c r="Y1254" s="30"/>
      <c r="Z1254" s="30"/>
      <c r="AA1254" s="30"/>
      <c r="AB1254" s="30"/>
      <c r="AC1254" s="30"/>
      <c r="AD1254" s="30"/>
      <c r="AE1254" s="30"/>
    </row>
    <row r="1255" spans="1:31" ht="16">
      <c r="A1255" s="42" t="s">
        <v>796</v>
      </c>
      <c r="B1255" s="42" t="s">
        <v>567</v>
      </c>
      <c r="C1255" s="18" t="s">
        <v>807</v>
      </c>
      <c r="D1255" s="27" t="s">
        <v>636</v>
      </c>
      <c r="E1255" s="42" t="s">
        <v>761</v>
      </c>
      <c r="F1255" s="43">
        <v>1991</v>
      </c>
      <c r="G1255" s="38">
        <v>4852</v>
      </c>
      <c r="H1255" s="38" t="s">
        <v>402</v>
      </c>
      <c r="I1255" s="38" t="s">
        <v>402</v>
      </c>
      <c r="J1255" s="67" t="s">
        <v>402</v>
      </c>
      <c r="K1255" s="65" t="s">
        <v>402</v>
      </c>
      <c r="L1255" s="38" t="s">
        <v>734</v>
      </c>
      <c r="M1255" s="27"/>
      <c r="N1255" s="27"/>
      <c r="O1255" s="27"/>
      <c r="P1255" s="27"/>
      <c r="Q1255" s="27"/>
      <c r="R1255" s="27"/>
      <c r="S1255" s="27"/>
      <c r="T1255" s="27"/>
      <c r="U1255" s="27"/>
      <c r="V1255" s="27"/>
      <c r="W1255" s="27"/>
      <c r="X1255" s="27"/>
      <c r="Y1255" s="27"/>
      <c r="Z1255" s="27"/>
      <c r="AA1255" s="27"/>
      <c r="AB1255" s="27"/>
      <c r="AC1255" s="27"/>
      <c r="AD1255" s="27"/>
      <c r="AE1255" s="27"/>
    </row>
    <row r="1256" spans="1:31" ht="16">
      <c r="A1256" s="42" t="s">
        <v>796</v>
      </c>
      <c r="B1256" s="42" t="s">
        <v>567</v>
      </c>
      <c r="C1256" s="18" t="s">
        <v>807</v>
      </c>
      <c r="D1256" s="27" t="s">
        <v>636</v>
      </c>
      <c r="E1256" s="42" t="s">
        <v>761</v>
      </c>
      <c r="F1256" s="43">
        <v>1993</v>
      </c>
      <c r="G1256" s="38">
        <v>5256</v>
      </c>
      <c r="H1256" s="38">
        <f t="shared" ref="H1256:I1256" si="970">F1256-F1255</f>
        <v>2</v>
      </c>
      <c r="I1256" s="38">
        <f t="shared" si="970"/>
        <v>404</v>
      </c>
      <c r="J1256" s="67">
        <f t="shared" ref="J1256:J1261" si="971">I1256/G1255</f>
        <v>8.3264633140972794E-2</v>
      </c>
      <c r="K1256" s="65">
        <f t="shared" ref="K1256:K1261" si="972">J1256/H1256</f>
        <v>4.1632316570486397E-2</v>
      </c>
      <c r="L1256" s="38" t="s">
        <v>734</v>
      </c>
      <c r="M1256" s="27"/>
      <c r="N1256" s="27"/>
      <c r="O1256" s="27"/>
      <c r="P1256" s="27"/>
      <c r="Q1256" s="27"/>
      <c r="R1256" s="27"/>
      <c r="S1256" s="27"/>
      <c r="T1256" s="27"/>
      <c r="U1256" s="27"/>
      <c r="V1256" s="27"/>
      <c r="W1256" s="27"/>
      <c r="X1256" s="27"/>
      <c r="Y1256" s="27"/>
      <c r="Z1256" s="27"/>
      <c r="AA1256" s="27"/>
      <c r="AB1256" s="27"/>
      <c r="AC1256" s="27"/>
      <c r="AD1256" s="27"/>
      <c r="AE1256" s="27"/>
    </row>
    <row r="1257" spans="1:31" ht="16">
      <c r="A1257" s="42" t="s">
        <v>796</v>
      </c>
      <c r="B1257" s="42" t="s">
        <v>567</v>
      </c>
      <c r="C1257" s="18" t="s">
        <v>807</v>
      </c>
      <c r="D1257" s="27" t="s">
        <v>636</v>
      </c>
      <c r="E1257" s="42" t="s">
        <v>761</v>
      </c>
      <c r="F1257" s="43">
        <v>1996</v>
      </c>
      <c r="G1257" s="38">
        <v>58625</v>
      </c>
      <c r="H1257" s="38">
        <f t="shared" ref="H1257:I1257" si="973">F1257-F1256</f>
        <v>3</v>
      </c>
      <c r="I1257" s="38">
        <f t="shared" si="973"/>
        <v>53369</v>
      </c>
      <c r="J1257" s="67">
        <f t="shared" si="971"/>
        <v>10.153919330289193</v>
      </c>
      <c r="K1257" s="65">
        <f t="shared" si="972"/>
        <v>3.3846397767630645</v>
      </c>
      <c r="L1257" s="38" t="s">
        <v>734</v>
      </c>
      <c r="M1257" s="27"/>
      <c r="N1257" s="27"/>
      <c r="O1257" s="27"/>
      <c r="P1257" s="27"/>
      <c r="Q1257" s="27"/>
      <c r="R1257" s="27"/>
      <c r="S1257" s="27"/>
      <c r="T1257" s="27"/>
      <c r="U1257" s="27"/>
      <c r="V1257" s="27"/>
      <c r="W1257" s="27"/>
      <c r="X1257" s="27"/>
      <c r="Y1257" s="27"/>
      <c r="Z1257" s="27"/>
      <c r="AA1257" s="27"/>
      <c r="AB1257" s="27"/>
      <c r="AC1257" s="27"/>
      <c r="AD1257" s="27"/>
      <c r="AE1257" s="27"/>
    </row>
    <row r="1258" spans="1:31" ht="16">
      <c r="A1258" s="42" t="s">
        <v>796</v>
      </c>
      <c r="B1258" s="42" t="s">
        <v>567</v>
      </c>
      <c r="C1258" s="18" t="s">
        <v>807</v>
      </c>
      <c r="D1258" s="27" t="s">
        <v>636</v>
      </c>
      <c r="E1258" s="42" t="s">
        <v>761</v>
      </c>
      <c r="F1258" s="43">
        <v>2001</v>
      </c>
      <c r="G1258" s="38">
        <v>15768</v>
      </c>
      <c r="H1258" s="38">
        <f t="shared" ref="H1258:I1258" si="974">F1258-F1257</f>
        <v>5</v>
      </c>
      <c r="I1258" s="38">
        <f t="shared" si="974"/>
        <v>-42857</v>
      </c>
      <c r="J1258" s="67">
        <f t="shared" si="971"/>
        <v>-0.73103624733475481</v>
      </c>
      <c r="K1258" s="65">
        <f t="shared" si="972"/>
        <v>-0.14620724946695096</v>
      </c>
      <c r="L1258" s="38" t="s">
        <v>734</v>
      </c>
      <c r="M1258" s="27"/>
      <c r="N1258" s="27"/>
      <c r="O1258" s="27"/>
      <c r="P1258" s="27"/>
      <c r="Q1258" s="27"/>
      <c r="R1258" s="27"/>
      <c r="S1258" s="27"/>
      <c r="T1258" s="27"/>
      <c r="U1258" s="27"/>
      <c r="V1258" s="27"/>
      <c r="W1258" s="27"/>
      <c r="X1258" s="27"/>
      <c r="Y1258" s="27"/>
      <c r="Z1258" s="27"/>
      <c r="AA1258" s="27"/>
      <c r="AB1258" s="27"/>
      <c r="AC1258" s="27"/>
      <c r="AD1258" s="27"/>
      <c r="AE1258" s="27"/>
    </row>
    <row r="1259" spans="1:31" ht="16">
      <c r="A1259" s="42" t="s">
        <v>796</v>
      </c>
      <c r="B1259" s="42" t="s">
        <v>567</v>
      </c>
      <c r="C1259" s="18" t="s">
        <v>807</v>
      </c>
      <c r="D1259" s="27" t="s">
        <v>636</v>
      </c>
      <c r="E1259" s="42" t="s">
        <v>761</v>
      </c>
      <c r="F1259" s="43">
        <v>2005</v>
      </c>
      <c r="G1259" s="38">
        <v>17790</v>
      </c>
      <c r="H1259" s="38">
        <f t="shared" ref="H1259:I1259" si="975">F1259-F1258</f>
        <v>4</v>
      </c>
      <c r="I1259" s="38">
        <f t="shared" si="975"/>
        <v>2022</v>
      </c>
      <c r="J1259" s="67">
        <f t="shared" si="971"/>
        <v>0.12823439878234399</v>
      </c>
      <c r="K1259" s="65">
        <f t="shared" si="972"/>
        <v>3.2058599695585999E-2</v>
      </c>
      <c r="L1259" s="38" t="s">
        <v>734</v>
      </c>
      <c r="M1259" s="27"/>
      <c r="N1259" s="27"/>
      <c r="O1259" s="27"/>
      <c r="P1259" s="27"/>
      <c r="Q1259" s="27"/>
      <c r="R1259" s="27"/>
      <c r="S1259" s="27"/>
      <c r="T1259" s="27"/>
      <c r="U1259" s="27"/>
      <c r="V1259" s="27"/>
      <c r="W1259" s="27"/>
      <c r="X1259" s="27"/>
      <c r="Y1259" s="27"/>
      <c r="Z1259" s="27"/>
      <c r="AA1259" s="27"/>
      <c r="AB1259" s="27"/>
      <c r="AC1259" s="27"/>
      <c r="AD1259" s="27"/>
      <c r="AE1259" s="27"/>
    </row>
    <row r="1260" spans="1:31" ht="16">
      <c r="A1260" s="42" t="s">
        <v>796</v>
      </c>
      <c r="B1260" s="42" t="s">
        <v>567</v>
      </c>
      <c r="C1260" s="18" t="s">
        <v>807</v>
      </c>
      <c r="D1260" s="27" t="s">
        <v>636</v>
      </c>
      <c r="E1260" s="42" t="s">
        <v>761</v>
      </c>
      <c r="F1260" s="43">
        <v>2008</v>
      </c>
      <c r="G1260" s="38">
        <v>29515</v>
      </c>
      <c r="H1260" s="38">
        <f t="shared" ref="H1260:I1260" si="976">F1260-F1259</f>
        <v>3</v>
      </c>
      <c r="I1260" s="38">
        <f t="shared" si="976"/>
        <v>11725</v>
      </c>
      <c r="J1260" s="67">
        <f t="shared" si="971"/>
        <v>0.65907813378302416</v>
      </c>
      <c r="K1260" s="65">
        <f t="shared" si="972"/>
        <v>0.21969271126100806</v>
      </c>
      <c r="L1260" s="38" t="s">
        <v>734</v>
      </c>
      <c r="M1260" s="27"/>
      <c r="N1260" s="27"/>
      <c r="O1260" s="27"/>
      <c r="P1260" s="27"/>
      <c r="Q1260" s="27"/>
      <c r="R1260" s="27"/>
      <c r="S1260" s="27"/>
      <c r="T1260" s="27"/>
      <c r="U1260" s="27"/>
      <c r="V1260" s="27"/>
      <c r="W1260" s="27"/>
      <c r="X1260" s="27"/>
      <c r="Y1260" s="27"/>
      <c r="Z1260" s="27"/>
      <c r="AA1260" s="27"/>
      <c r="AB1260" s="27"/>
      <c r="AC1260" s="27"/>
      <c r="AD1260" s="27"/>
      <c r="AE1260" s="27"/>
    </row>
    <row r="1261" spans="1:31" ht="16">
      <c r="A1261" s="42" t="s">
        <v>796</v>
      </c>
      <c r="B1261" s="42" t="s">
        <v>567</v>
      </c>
      <c r="C1261" s="18" t="s">
        <v>807</v>
      </c>
      <c r="D1261" s="27" t="s">
        <v>636</v>
      </c>
      <c r="E1261" s="42" t="s">
        <v>761</v>
      </c>
      <c r="F1261" s="43">
        <v>2014</v>
      </c>
      <c r="G1261" s="38">
        <v>23854</v>
      </c>
      <c r="H1261" s="38">
        <f t="shared" ref="H1261:I1261" si="977">F1261-F1260</f>
        <v>6</v>
      </c>
      <c r="I1261" s="38">
        <f t="shared" si="977"/>
        <v>-5661</v>
      </c>
      <c r="J1261" s="67">
        <f t="shared" si="971"/>
        <v>-0.19180077926478062</v>
      </c>
      <c r="K1261" s="65">
        <f t="shared" si="972"/>
        <v>-3.1966796544130101E-2</v>
      </c>
      <c r="L1261" s="38" t="s">
        <v>734</v>
      </c>
      <c r="M1261" s="27"/>
      <c r="N1261" s="27"/>
      <c r="O1261" s="27"/>
      <c r="P1261" s="27"/>
      <c r="Q1261" s="27"/>
      <c r="R1261" s="27"/>
      <c r="S1261" s="27"/>
      <c r="T1261" s="27"/>
      <c r="U1261" s="27"/>
      <c r="V1261" s="27"/>
      <c r="W1261" s="27"/>
      <c r="X1261" s="27"/>
      <c r="Y1261" s="27"/>
      <c r="Z1261" s="27"/>
      <c r="AA1261" s="27"/>
      <c r="AB1261" s="27"/>
      <c r="AC1261" s="27"/>
      <c r="AD1261" s="27"/>
      <c r="AE1261" s="27"/>
    </row>
    <row r="1262" spans="1:31" ht="13">
      <c r="A1262" s="42" t="s">
        <v>796</v>
      </c>
      <c r="B1262" s="18" t="s">
        <v>567</v>
      </c>
      <c r="C1262" s="18" t="s">
        <v>807</v>
      </c>
      <c r="D1262" s="18" t="s">
        <v>621</v>
      </c>
      <c r="E1262" s="18" t="s">
        <v>622</v>
      </c>
      <c r="F1262" s="18">
        <v>1996</v>
      </c>
      <c r="G1262" s="40">
        <v>37147</v>
      </c>
      <c r="H1262" s="40" t="s">
        <v>402</v>
      </c>
      <c r="I1262" s="40" t="s">
        <v>402</v>
      </c>
      <c r="J1262" s="66" t="s">
        <v>402</v>
      </c>
      <c r="K1262" s="65" t="s">
        <v>402</v>
      </c>
      <c r="L1262" s="41" t="s">
        <v>623</v>
      </c>
    </row>
    <row r="1263" spans="1:31" ht="13">
      <c r="A1263" s="42" t="s">
        <v>796</v>
      </c>
      <c r="B1263" s="18" t="s">
        <v>567</v>
      </c>
      <c r="C1263" s="18" t="s">
        <v>807</v>
      </c>
      <c r="D1263" s="18" t="s">
        <v>621</v>
      </c>
      <c r="E1263" s="18" t="s">
        <v>622</v>
      </c>
      <c r="F1263" s="18">
        <v>2001</v>
      </c>
      <c r="G1263" s="40">
        <v>38533</v>
      </c>
      <c r="H1263" s="40">
        <f t="shared" ref="H1263:I1263" si="978">F1263-F1262</f>
        <v>5</v>
      </c>
      <c r="I1263" s="40">
        <f t="shared" si="978"/>
        <v>1386</v>
      </c>
      <c r="J1263" s="66">
        <f t="shared" ref="J1263:J1267" si="979">I1263/G1262</f>
        <v>3.731122297897542E-2</v>
      </c>
      <c r="K1263" s="65">
        <f t="shared" ref="K1263:K1267" si="980">J1263/H1263</f>
        <v>7.4622445957950841E-3</v>
      </c>
      <c r="L1263" s="41" t="s">
        <v>623</v>
      </c>
    </row>
    <row r="1264" spans="1:31" ht="13">
      <c r="A1264" s="42" t="s">
        <v>796</v>
      </c>
      <c r="B1264" s="18" t="s">
        <v>567</v>
      </c>
      <c r="C1264" s="18" t="s">
        <v>807</v>
      </c>
      <c r="D1264" s="18" t="s">
        <v>621</v>
      </c>
      <c r="E1264" s="18" t="s">
        <v>622</v>
      </c>
      <c r="F1264" s="18">
        <v>2005</v>
      </c>
      <c r="G1264" s="40">
        <v>39008</v>
      </c>
      <c r="H1264" s="40">
        <f t="shared" ref="H1264:I1264" si="981">F1264-F1263</f>
        <v>4</v>
      </c>
      <c r="I1264" s="40">
        <f t="shared" si="981"/>
        <v>475</v>
      </c>
      <c r="J1264" s="66">
        <f t="shared" si="979"/>
        <v>1.2327096255157917E-2</v>
      </c>
      <c r="K1264" s="65">
        <f t="shared" si="980"/>
        <v>3.0817740637894791E-3</v>
      </c>
      <c r="L1264" s="41" t="s">
        <v>623</v>
      </c>
    </row>
    <row r="1265" spans="1:31" ht="13">
      <c r="A1265" s="42" t="s">
        <v>796</v>
      </c>
      <c r="B1265" s="18" t="s">
        <v>567</v>
      </c>
      <c r="C1265" s="18" t="s">
        <v>807</v>
      </c>
      <c r="D1265" s="18" t="s">
        <v>621</v>
      </c>
      <c r="E1265" s="18" t="s">
        <v>622</v>
      </c>
      <c r="F1265" s="18">
        <v>2008</v>
      </c>
      <c r="G1265" s="40">
        <v>37369</v>
      </c>
      <c r="H1265" s="40">
        <f t="shared" ref="H1265:I1265" si="982">F1265-F1264</f>
        <v>3</v>
      </c>
      <c r="I1265" s="40">
        <f t="shared" si="982"/>
        <v>-1639</v>
      </c>
      <c r="J1265" s="66">
        <f t="shared" si="979"/>
        <v>-4.201702214930271E-2</v>
      </c>
      <c r="K1265" s="65">
        <f t="shared" si="980"/>
        <v>-1.4005674049767569E-2</v>
      </c>
      <c r="L1265" s="41" t="s">
        <v>623</v>
      </c>
    </row>
    <row r="1266" spans="1:31" ht="13">
      <c r="A1266" s="42" t="s">
        <v>796</v>
      </c>
      <c r="B1266" s="18" t="s">
        <v>567</v>
      </c>
      <c r="C1266" s="18" t="s">
        <v>807</v>
      </c>
      <c r="D1266" s="18" t="s">
        <v>621</v>
      </c>
      <c r="E1266" s="18" t="s">
        <v>622</v>
      </c>
      <c r="F1266" s="18">
        <v>2014</v>
      </c>
      <c r="G1266" s="40">
        <v>28901</v>
      </c>
      <c r="H1266" s="40">
        <f t="shared" ref="H1266:I1266" si="983">F1266-F1265</f>
        <v>6</v>
      </c>
      <c r="I1266" s="40">
        <f t="shared" si="983"/>
        <v>-8468</v>
      </c>
      <c r="J1266" s="66">
        <f t="shared" si="979"/>
        <v>-0.22660493992346598</v>
      </c>
      <c r="K1266" s="65">
        <f t="shared" si="980"/>
        <v>-3.7767489987244329E-2</v>
      </c>
      <c r="L1266" s="41" t="s">
        <v>623</v>
      </c>
    </row>
    <row r="1267" spans="1:31" ht="13">
      <c r="A1267" s="42" t="s">
        <v>796</v>
      </c>
      <c r="B1267" s="18" t="s">
        <v>567</v>
      </c>
      <c r="C1267" s="18" t="s">
        <v>807</v>
      </c>
      <c r="D1267" s="18" t="s">
        <v>621</v>
      </c>
      <c r="E1267" s="18" t="s">
        <v>622</v>
      </c>
      <c r="F1267" s="18">
        <v>2018</v>
      </c>
      <c r="G1267" s="40">
        <v>34999</v>
      </c>
      <c r="H1267" s="40">
        <f t="shared" ref="H1267:I1267" si="984">F1267-F1266</f>
        <v>4</v>
      </c>
      <c r="I1267" s="40">
        <f t="shared" si="984"/>
        <v>6098</v>
      </c>
      <c r="J1267" s="66">
        <f t="shared" si="979"/>
        <v>0.21099615930244628</v>
      </c>
      <c r="K1267" s="65">
        <f t="shared" si="980"/>
        <v>5.274903982561157E-2</v>
      </c>
      <c r="L1267" s="41" t="s">
        <v>623</v>
      </c>
    </row>
    <row r="1268" spans="1:31" ht="16">
      <c r="A1268" s="42" t="s">
        <v>809</v>
      </c>
      <c r="B1268" s="42" t="s">
        <v>565</v>
      </c>
      <c r="C1268" s="18" t="s">
        <v>810</v>
      </c>
      <c r="D1268" s="27" t="s">
        <v>636</v>
      </c>
      <c r="E1268" s="42" t="s">
        <v>761</v>
      </c>
      <c r="F1268" s="43">
        <v>2002</v>
      </c>
      <c r="G1268" s="38">
        <v>4003</v>
      </c>
      <c r="H1268" s="38" t="s">
        <v>402</v>
      </c>
      <c r="I1268" s="38" t="s">
        <v>402</v>
      </c>
      <c r="J1268" s="67" t="s">
        <v>402</v>
      </c>
      <c r="K1268" s="65" t="s">
        <v>402</v>
      </c>
      <c r="L1268" s="38" t="s">
        <v>612</v>
      </c>
      <c r="M1268" s="27"/>
      <c r="N1268" s="27"/>
      <c r="O1268" s="27"/>
      <c r="P1268" s="27"/>
      <c r="Q1268" s="27"/>
      <c r="R1268" s="27"/>
      <c r="S1268" s="27"/>
      <c r="T1268" s="27"/>
      <c r="U1268" s="27"/>
      <c r="V1268" s="27"/>
      <c r="W1268" s="27"/>
      <c r="X1268" s="27"/>
      <c r="Y1268" s="27"/>
      <c r="Z1268" s="27"/>
      <c r="AA1268" s="27"/>
      <c r="AB1268" s="27"/>
      <c r="AC1268" s="27"/>
      <c r="AD1268" s="27"/>
      <c r="AE1268" s="27"/>
    </row>
    <row r="1269" spans="1:31" ht="16">
      <c r="A1269" s="42" t="s">
        <v>809</v>
      </c>
      <c r="B1269" s="42" t="s">
        <v>565</v>
      </c>
      <c r="C1269" s="18" t="s">
        <v>810</v>
      </c>
      <c r="D1269" s="27" t="s">
        <v>636</v>
      </c>
      <c r="E1269" s="42" t="s">
        <v>761</v>
      </c>
      <c r="F1269" s="43">
        <v>2010</v>
      </c>
      <c r="G1269" s="38">
        <v>10957</v>
      </c>
      <c r="H1269" s="38">
        <f t="shared" ref="H1269:I1269" si="985">F1269-F1268</f>
        <v>8</v>
      </c>
      <c r="I1269" s="38">
        <f t="shared" si="985"/>
        <v>6954</v>
      </c>
      <c r="J1269" s="67">
        <f t="shared" ref="J1269:J1270" si="986">I1269/G1268</f>
        <v>1.7371971021733699</v>
      </c>
      <c r="K1269" s="65">
        <f t="shared" ref="K1269:K1270" si="987">J1269/H1269</f>
        <v>0.21714963777167123</v>
      </c>
      <c r="L1269" s="38" t="s">
        <v>612</v>
      </c>
      <c r="M1269" s="27"/>
      <c r="N1269" s="27"/>
      <c r="O1269" s="27"/>
      <c r="P1269" s="27"/>
      <c r="Q1269" s="27"/>
      <c r="R1269" s="27"/>
      <c r="S1269" s="27"/>
      <c r="T1269" s="27"/>
      <c r="U1269" s="27"/>
      <c r="V1269" s="27"/>
      <c r="W1269" s="27"/>
      <c r="X1269" s="27"/>
      <c r="Y1269" s="27"/>
      <c r="Z1269" s="27"/>
      <c r="AA1269" s="27"/>
      <c r="AB1269" s="27"/>
      <c r="AC1269" s="27"/>
      <c r="AD1269" s="27"/>
      <c r="AE1269" s="27"/>
    </row>
    <row r="1270" spans="1:31" ht="16">
      <c r="A1270" s="42" t="s">
        <v>809</v>
      </c>
      <c r="B1270" s="42" t="s">
        <v>565</v>
      </c>
      <c r="C1270" s="18" t="s">
        <v>810</v>
      </c>
      <c r="D1270" s="27" t="s">
        <v>636</v>
      </c>
      <c r="E1270" s="42" t="s">
        <v>761</v>
      </c>
      <c r="F1270" s="43">
        <v>2017</v>
      </c>
      <c r="G1270" s="38">
        <v>6245</v>
      </c>
      <c r="H1270" s="38">
        <f t="shared" ref="H1270:I1270" si="988">F1270-F1269</f>
        <v>7</v>
      </c>
      <c r="I1270" s="38">
        <f t="shared" si="988"/>
        <v>-4712</v>
      </c>
      <c r="J1270" s="67">
        <f t="shared" si="986"/>
        <v>-0.43004472027014695</v>
      </c>
      <c r="K1270" s="65">
        <f t="shared" si="987"/>
        <v>-6.1434960038592425E-2</v>
      </c>
      <c r="L1270" s="38" t="s">
        <v>612</v>
      </c>
      <c r="M1270" s="27"/>
      <c r="N1270" s="27"/>
      <c r="O1270" s="27"/>
      <c r="P1270" s="27"/>
      <c r="Q1270" s="27"/>
      <c r="R1270" s="27"/>
      <c r="S1270" s="27"/>
      <c r="T1270" s="27"/>
      <c r="U1270" s="27"/>
      <c r="V1270" s="27"/>
      <c r="W1270" s="27"/>
      <c r="X1270" s="27"/>
      <c r="Y1270" s="27"/>
      <c r="Z1270" s="27"/>
      <c r="AA1270" s="27"/>
      <c r="AB1270" s="27"/>
      <c r="AC1270" s="27"/>
      <c r="AD1270" s="27"/>
      <c r="AE1270" s="27"/>
    </row>
    <row r="1271" spans="1:31" ht="16">
      <c r="A1271" s="42" t="s">
        <v>809</v>
      </c>
      <c r="B1271" s="42" t="s">
        <v>565</v>
      </c>
      <c r="C1271" s="18" t="s">
        <v>810</v>
      </c>
      <c r="D1271" s="27" t="s">
        <v>106</v>
      </c>
      <c r="E1271" s="42" t="s">
        <v>761</v>
      </c>
      <c r="F1271" s="43">
        <v>2002</v>
      </c>
      <c r="G1271" s="38">
        <v>6916</v>
      </c>
      <c r="H1271" s="38" t="s">
        <v>402</v>
      </c>
      <c r="I1271" s="38" t="s">
        <v>402</v>
      </c>
      <c r="J1271" s="67" t="s">
        <v>402</v>
      </c>
      <c r="K1271" s="65" t="s">
        <v>402</v>
      </c>
      <c r="L1271" s="38" t="s">
        <v>612</v>
      </c>
      <c r="M1271" s="27"/>
      <c r="N1271" s="27"/>
      <c r="O1271" s="27"/>
      <c r="P1271" s="27"/>
      <c r="Q1271" s="27"/>
      <c r="R1271" s="27"/>
      <c r="S1271" s="27"/>
      <c r="T1271" s="27"/>
      <c r="U1271" s="27"/>
      <c r="V1271" s="27"/>
      <c r="W1271" s="27"/>
      <c r="X1271" s="27"/>
      <c r="Y1271" s="27"/>
      <c r="Z1271" s="27"/>
      <c r="AA1271" s="27"/>
      <c r="AB1271" s="27"/>
      <c r="AC1271" s="27"/>
      <c r="AD1271" s="27"/>
      <c r="AE1271" s="27"/>
    </row>
    <row r="1272" spans="1:31" ht="16">
      <c r="A1272" s="42" t="s">
        <v>809</v>
      </c>
      <c r="B1272" s="42" t="s">
        <v>565</v>
      </c>
      <c r="C1272" s="18" t="s">
        <v>810</v>
      </c>
      <c r="D1272" s="27" t="s">
        <v>106</v>
      </c>
      <c r="E1272" s="42" t="s">
        <v>761</v>
      </c>
      <c r="F1272" s="43">
        <v>2010</v>
      </c>
      <c r="G1272" s="38">
        <v>6174</v>
      </c>
      <c r="H1272" s="38">
        <f t="shared" ref="H1272:I1272" si="989">F1272-F1271</f>
        <v>8</v>
      </c>
      <c r="I1272" s="38">
        <f t="shared" si="989"/>
        <v>-742</v>
      </c>
      <c r="J1272" s="67">
        <f t="shared" ref="J1272:J1273" si="990">I1272/G1271</f>
        <v>-0.10728744939271255</v>
      </c>
      <c r="K1272" s="65">
        <f t="shared" ref="K1272:K1273" si="991">J1272/H1272</f>
        <v>-1.3410931174089069E-2</v>
      </c>
      <c r="L1272" s="38" t="s">
        <v>612</v>
      </c>
      <c r="M1272" s="27"/>
      <c r="N1272" s="27"/>
      <c r="O1272" s="27"/>
      <c r="P1272" s="27"/>
      <c r="Q1272" s="27"/>
      <c r="R1272" s="27"/>
      <c r="S1272" s="27"/>
      <c r="T1272" s="27"/>
      <c r="U1272" s="27"/>
      <c r="V1272" s="27"/>
      <c r="W1272" s="27"/>
      <c r="X1272" s="27"/>
      <c r="Y1272" s="27"/>
      <c r="Z1272" s="27"/>
      <c r="AA1272" s="27"/>
      <c r="AB1272" s="27"/>
      <c r="AC1272" s="27"/>
      <c r="AD1272" s="27"/>
      <c r="AE1272" s="27"/>
    </row>
    <row r="1273" spans="1:31" ht="16">
      <c r="A1273" s="42" t="s">
        <v>809</v>
      </c>
      <c r="B1273" s="42" t="s">
        <v>565</v>
      </c>
      <c r="C1273" s="18" t="s">
        <v>810</v>
      </c>
      <c r="D1273" s="27" t="s">
        <v>106</v>
      </c>
      <c r="E1273" s="42" t="s">
        <v>761</v>
      </c>
      <c r="F1273" s="43">
        <v>2017</v>
      </c>
      <c r="G1273" s="38">
        <v>7385</v>
      </c>
      <c r="H1273" s="38">
        <f t="shared" ref="H1273:I1273" si="992">F1273-F1272</f>
        <v>7</v>
      </c>
      <c r="I1273" s="38">
        <f t="shared" si="992"/>
        <v>1211</v>
      </c>
      <c r="J1273" s="67">
        <f t="shared" si="990"/>
        <v>0.19614512471655329</v>
      </c>
      <c r="K1273" s="65">
        <f t="shared" si="991"/>
        <v>2.8020732102364755E-2</v>
      </c>
      <c r="L1273" s="38" t="s">
        <v>612</v>
      </c>
      <c r="M1273" s="27"/>
      <c r="N1273" s="27"/>
      <c r="O1273" s="27"/>
      <c r="P1273" s="27"/>
      <c r="Q1273" s="27"/>
      <c r="R1273" s="27"/>
      <c r="S1273" s="27"/>
      <c r="T1273" s="27"/>
      <c r="U1273" s="27"/>
      <c r="V1273" s="27"/>
      <c r="W1273" s="27"/>
      <c r="X1273" s="27"/>
      <c r="Y1273" s="27"/>
      <c r="Z1273" s="27"/>
      <c r="AA1273" s="27"/>
      <c r="AB1273" s="27"/>
      <c r="AC1273" s="27"/>
      <c r="AD1273" s="27"/>
      <c r="AE1273" s="27"/>
    </row>
    <row r="1274" spans="1:31" ht="16">
      <c r="A1274" s="42" t="s">
        <v>796</v>
      </c>
      <c r="B1274" s="42" t="s">
        <v>812</v>
      </c>
      <c r="C1274" s="18" t="s">
        <v>813</v>
      </c>
      <c r="D1274" s="27" t="s">
        <v>636</v>
      </c>
      <c r="E1274" s="42" t="s">
        <v>761</v>
      </c>
      <c r="F1274" s="43">
        <v>1991</v>
      </c>
      <c r="G1274" s="38">
        <v>320220</v>
      </c>
      <c r="H1274" s="38" t="s">
        <v>402</v>
      </c>
      <c r="I1274" s="38" t="s">
        <v>402</v>
      </c>
      <c r="J1274" s="67" t="s">
        <v>402</v>
      </c>
      <c r="K1274" s="65" t="s">
        <v>402</v>
      </c>
      <c r="L1274" s="38" t="s">
        <v>734</v>
      </c>
      <c r="M1274" s="27"/>
      <c r="N1274" s="27"/>
      <c r="O1274" s="27"/>
      <c r="P1274" s="27"/>
      <c r="Q1274" s="27"/>
      <c r="R1274" s="27"/>
      <c r="S1274" s="27"/>
      <c r="T1274" s="27"/>
      <c r="U1274" s="27"/>
      <c r="V1274" s="27"/>
      <c r="W1274" s="27"/>
      <c r="X1274" s="27"/>
      <c r="Y1274" s="27"/>
      <c r="Z1274" s="27"/>
      <c r="AA1274" s="27"/>
      <c r="AB1274" s="27"/>
      <c r="AC1274" s="27"/>
      <c r="AD1274" s="27"/>
      <c r="AE1274" s="27"/>
    </row>
    <row r="1275" spans="1:31" ht="16">
      <c r="A1275" s="42" t="s">
        <v>796</v>
      </c>
      <c r="B1275" s="42" t="s">
        <v>812</v>
      </c>
      <c r="C1275" s="18" t="s">
        <v>813</v>
      </c>
      <c r="D1275" s="27" t="s">
        <v>636</v>
      </c>
      <c r="E1275" s="42" t="s">
        <v>761</v>
      </c>
      <c r="F1275" s="43">
        <v>1993</v>
      </c>
      <c r="G1275" s="38">
        <v>590530</v>
      </c>
      <c r="H1275" s="38">
        <f t="shared" ref="H1275:I1275" si="993">F1275-F1274</f>
        <v>2</v>
      </c>
      <c r="I1275" s="38">
        <f t="shared" si="993"/>
        <v>270310</v>
      </c>
      <c r="J1275" s="67">
        <f t="shared" ref="J1275:J1280" si="994">I1275/G1274</f>
        <v>0.84413840484666791</v>
      </c>
      <c r="K1275" s="65">
        <f t="shared" ref="K1275:K1280" si="995">J1275/H1275</f>
        <v>0.42206920242333396</v>
      </c>
      <c r="L1275" s="38" t="s">
        <v>734</v>
      </c>
      <c r="M1275" s="27"/>
      <c r="N1275" s="27"/>
      <c r="O1275" s="27"/>
      <c r="P1275" s="27"/>
      <c r="Q1275" s="27"/>
      <c r="R1275" s="27"/>
      <c r="S1275" s="27"/>
      <c r="T1275" s="27"/>
      <c r="U1275" s="27"/>
      <c r="V1275" s="27"/>
      <c r="W1275" s="27"/>
      <c r="X1275" s="27"/>
      <c r="Y1275" s="27"/>
      <c r="Z1275" s="27"/>
      <c r="AA1275" s="27"/>
      <c r="AB1275" s="27"/>
      <c r="AC1275" s="27"/>
      <c r="AD1275" s="27"/>
      <c r="AE1275" s="27"/>
    </row>
    <row r="1276" spans="1:31" ht="16">
      <c r="A1276" s="42" t="s">
        <v>796</v>
      </c>
      <c r="B1276" s="42" t="s">
        <v>812</v>
      </c>
      <c r="C1276" s="18" t="s">
        <v>813</v>
      </c>
      <c r="D1276" s="27" t="s">
        <v>636</v>
      </c>
      <c r="E1276" s="42" t="s">
        <v>761</v>
      </c>
      <c r="F1276" s="43">
        <v>1996</v>
      </c>
      <c r="G1276" s="38">
        <v>462846</v>
      </c>
      <c r="H1276" s="38">
        <f t="shared" ref="H1276:I1276" si="996">F1276-F1275</f>
        <v>3</v>
      </c>
      <c r="I1276" s="38">
        <f t="shared" si="996"/>
        <v>-127684</v>
      </c>
      <c r="J1276" s="67">
        <f t="shared" si="994"/>
        <v>-0.21621932839991195</v>
      </c>
      <c r="K1276" s="65">
        <f t="shared" si="995"/>
        <v>-7.2073109466637322E-2</v>
      </c>
      <c r="L1276" s="38" t="s">
        <v>734</v>
      </c>
      <c r="M1276" s="27"/>
      <c r="N1276" s="27"/>
      <c r="O1276" s="27"/>
      <c r="P1276" s="27"/>
      <c r="Q1276" s="27"/>
      <c r="R1276" s="27"/>
      <c r="S1276" s="27"/>
      <c r="T1276" s="27"/>
      <c r="U1276" s="27"/>
      <c r="V1276" s="27"/>
      <c r="W1276" s="27"/>
      <c r="X1276" s="27"/>
      <c r="Y1276" s="27"/>
      <c r="Z1276" s="27"/>
      <c r="AA1276" s="27"/>
      <c r="AB1276" s="27"/>
      <c r="AC1276" s="27"/>
      <c r="AD1276" s="27"/>
      <c r="AE1276" s="27"/>
    </row>
    <row r="1277" spans="1:31" ht="16">
      <c r="A1277" s="42" t="s">
        <v>796</v>
      </c>
      <c r="B1277" s="42" t="s">
        <v>812</v>
      </c>
      <c r="C1277" s="18" t="s">
        <v>813</v>
      </c>
      <c r="D1277" s="27" t="s">
        <v>636</v>
      </c>
      <c r="E1277" s="42" t="s">
        <v>761</v>
      </c>
      <c r="F1277" s="43">
        <v>2001</v>
      </c>
      <c r="G1277" s="38">
        <v>555749</v>
      </c>
      <c r="H1277" s="38">
        <f t="shared" ref="H1277:I1277" si="997">F1277-F1276</f>
        <v>5</v>
      </c>
      <c r="I1277" s="38">
        <f t="shared" si="997"/>
        <v>92903</v>
      </c>
      <c r="J1277" s="67">
        <f t="shared" si="994"/>
        <v>0.20072119020149251</v>
      </c>
      <c r="K1277" s="65">
        <f t="shared" si="995"/>
        <v>4.0144238040298499E-2</v>
      </c>
      <c r="L1277" s="38" t="s">
        <v>734</v>
      </c>
      <c r="M1277" s="27"/>
      <c r="N1277" s="27"/>
      <c r="O1277" s="27"/>
      <c r="P1277" s="27"/>
      <c r="Q1277" s="27"/>
      <c r="R1277" s="27"/>
      <c r="S1277" s="27"/>
      <c r="T1277" s="27"/>
      <c r="U1277" s="27"/>
      <c r="V1277" s="27"/>
      <c r="W1277" s="27"/>
      <c r="X1277" s="27"/>
      <c r="Y1277" s="27"/>
      <c r="Z1277" s="27"/>
      <c r="AA1277" s="27"/>
      <c r="AB1277" s="27"/>
      <c r="AC1277" s="27"/>
      <c r="AD1277" s="27"/>
      <c r="AE1277" s="27"/>
    </row>
    <row r="1278" spans="1:31" ht="16">
      <c r="A1278" s="42" t="s">
        <v>796</v>
      </c>
      <c r="B1278" s="42" t="s">
        <v>812</v>
      </c>
      <c r="C1278" s="18" t="s">
        <v>813</v>
      </c>
      <c r="D1278" s="27" t="s">
        <v>636</v>
      </c>
      <c r="E1278" s="42" t="s">
        <v>761</v>
      </c>
      <c r="F1278" s="43">
        <v>2005</v>
      </c>
      <c r="G1278" s="38">
        <v>693046</v>
      </c>
      <c r="H1278" s="38">
        <f t="shared" ref="H1278:I1278" si="998">F1278-F1277</f>
        <v>4</v>
      </c>
      <c r="I1278" s="38">
        <f t="shared" si="998"/>
        <v>137297</v>
      </c>
      <c r="J1278" s="67">
        <f t="shared" si="994"/>
        <v>0.24704857768524999</v>
      </c>
      <c r="K1278" s="65">
        <f t="shared" si="995"/>
        <v>6.1762144421312497E-2</v>
      </c>
      <c r="L1278" s="38" t="s">
        <v>734</v>
      </c>
      <c r="M1278" s="27"/>
      <c r="N1278" s="27"/>
      <c r="O1278" s="27"/>
      <c r="P1278" s="27"/>
      <c r="Q1278" s="27"/>
      <c r="R1278" s="27"/>
      <c r="S1278" s="27"/>
      <c r="T1278" s="27"/>
      <c r="U1278" s="27"/>
      <c r="V1278" s="27"/>
      <c r="W1278" s="27"/>
      <c r="X1278" s="27"/>
      <c r="Y1278" s="27"/>
      <c r="Z1278" s="27"/>
      <c r="AA1278" s="27"/>
      <c r="AB1278" s="27"/>
      <c r="AC1278" s="27"/>
      <c r="AD1278" s="27"/>
      <c r="AE1278" s="27"/>
    </row>
    <row r="1279" spans="1:31" ht="16">
      <c r="A1279" s="42" t="s">
        <v>796</v>
      </c>
      <c r="B1279" s="42" t="s">
        <v>812</v>
      </c>
      <c r="C1279" s="18" t="s">
        <v>813</v>
      </c>
      <c r="D1279" s="27" t="s">
        <v>636</v>
      </c>
      <c r="E1279" s="42" t="s">
        <v>761</v>
      </c>
      <c r="F1279" s="43">
        <v>2008</v>
      </c>
      <c r="G1279" s="38">
        <v>659285</v>
      </c>
      <c r="H1279" s="38">
        <f t="shared" ref="H1279:I1279" si="999">F1279-F1278</f>
        <v>3</v>
      </c>
      <c r="I1279" s="38">
        <f t="shared" si="999"/>
        <v>-33761</v>
      </c>
      <c r="J1279" s="67">
        <f t="shared" si="994"/>
        <v>-4.8713938180149657E-2</v>
      </c>
      <c r="K1279" s="65">
        <f t="shared" si="995"/>
        <v>-1.6237979393383218E-2</v>
      </c>
      <c r="L1279" s="38" t="s">
        <v>734</v>
      </c>
      <c r="M1279" s="27"/>
      <c r="N1279" s="27"/>
      <c r="O1279" s="27"/>
      <c r="P1279" s="27"/>
      <c r="Q1279" s="27"/>
      <c r="R1279" s="27"/>
      <c r="S1279" s="27"/>
      <c r="T1279" s="27"/>
      <c r="U1279" s="27"/>
      <c r="V1279" s="27"/>
      <c r="W1279" s="27"/>
      <c r="X1279" s="27"/>
      <c r="Y1279" s="27"/>
      <c r="Z1279" s="27"/>
      <c r="AA1279" s="27"/>
      <c r="AB1279" s="27"/>
      <c r="AC1279" s="27"/>
      <c r="AD1279" s="27"/>
      <c r="AE1279" s="27"/>
    </row>
    <row r="1280" spans="1:31" ht="16">
      <c r="A1280" s="42" t="s">
        <v>796</v>
      </c>
      <c r="B1280" s="42" t="s">
        <v>812</v>
      </c>
      <c r="C1280" s="18" t="s">
        <v>813</v>
      </c>
      <c r="D1280" s="27" t="s">
        <v>636</v>
      </c>
      <c r="E1280" s="42" t="s">
        <v>761</v>
      </c>
      <c r="F1280" s="43">
        <v>2014</v>
      </c>
      <c r="G1280" s="38">
        <v>1426008</v>
      </c>
      <c r="H1280" s="38">
        <f t="shared" ref="H1280:I1280" si="1000">F1280-F1279</f>
        <v>6</v>
      </c>
      <c r="I1280" s="38">
        <f t="shared" si="1000"/>
        <v>766723</v>
      </c>
      <c r="J1280" s="67">
        <f t="shared" si="994"/>
        <v>1.1629613899906717</v>
      </c>
      <c r="K1280" s="65">
        <f t="shared" si="995"/>
        <v>0.1938268983317786</v>
      </c>
      <c r="L1280" s="38" t="s">
        <v>734</v>
      </c>
      <c r="M1280" s="27"/>
      <c r="N1280" s="27"/>
      <c r="O1280" s="27"/>
      <c r="P1280" s="27"/>
      <c r="Q1280" s="27"/>
      <c r="R1280" s="27"/>
      <c r="S1280" s="27"/>
      <c r="T1280" s="27"/>
      <c r="U1280" s="27"/>
      <c r="V1280" s="27"/>
      <c r="W1280" s="27"/>
      <c r="X1280" s="27"/>
      <c r="Y1280" s="27"/>
      <c r="Z1280" s="27"/>
      <c r="AA1280" s="27"/>
      <c r="AB1280" s="27"/>
      <c r="AC1280" s="27"/>
      <c r="AD1280" s="27"/>
      <c r="AE1280" s="27"/>
    </row>
    <row r="1281" spans="1:31" ht="13">
      <c r="A1281" s="42" t="s">
        <v>796</v>
      </c>
      <c r="B1281" s="18" t="s">
        <v>812</v>
      </c>
      <c r="C1281" s="18" t="s">
        <v>813</v>
      </c>
      <c r="D1281" s="18" t="s">
        <v>621</v>
      </c>
      <c r="E1281" s="18" t="s">
        <v>622</v>
      </c>
      <c r="F1281" s="18">
        <v>1996</v>
      </c>
      <c r="G1281" s="26">
        <v>328134</v>
      </c>
      <c r="H1281" s="26" t="s">
        <v>402</v>
      </c>
      <c r="I1281" s="26" t="s">
        <v>402</v>
      </c>
      <c r="J1281" s="66" t="s">
        <v>402</v>
      </c>
      <c r="K1281" s="65" t="s">
        <v>402</v>
      </c>
      <c r="L1281" s="41" t="s">
        <v>623</v>
      </c>
    </row>
    <row r="1282" spans="1:31" ht="13">
      <c r="A1282" s="42" t="s">
        <v>796</v>
      </c>
      <c r="B1282" s="18" t="s">
        <v>812</v>
      </c>
      <c r="C1282" s="18" t="s">
        <v>813</v>
      </c>
      <c r="D1282" s="18" t="s">
        <v>621</v>
      </c>
      <c r="E1282" s="18" t="s">
        <v>622</v>
      </c>
      <c r="F1282" s="18">
        <v>2001</v>
      </c>
      <c r="G1282" s="26">
        <v>391356</v>
      </c>
      <c r="H1282" s="26">
        <f t="shared" ref="H1282:I1282" si="1001">F1282-F1281</f>
        <v>5</v>
      </c>
      <c r="I1282" s="26">
        <f t="shared" si="1001"/>
        <v>63222</v>
      </c>
      <c r="J1282" s="66">
        <f t="shared" ref="J1282:J1286" si="1002">I1282/G1281</f>
        <v>0.19267128673042111</v>
      </c>
      <c r="K1282" s="65">
        <f t="shared" ref="K1282:K1286" si="1003">J1282/H1282</f>
        <v>3.8534257346084219E-2</v>
      </c>
      <c r="L1282" s="41" t="s">
        <v>623</v>
      </c>
    </row>
    <row r="1283" spans="1:31" ht="13">
      <c r="A1283" s="42" t="s">
        <v>796</v>
      </c>
      <c r="B1283" s="18" t="s">
        <v>812</v>
      </c>
      <c r="C1283" s="18" t="s">
        <v>813</v>
      </c>
      <c r="D1283" s="18" t="s">
        <v>621</v>
      </c>
      <c r="E1283" s="18" t="s">
        <v>622</v>
      </c>
      <c r="F1283" s="18">
        <v>2005</v>
      </c>
      <c r="G1283" s="26">
        <v>394610</v>
      </c>
      <c r="H1283" s="26">
        <f t="shared" ref="H1283:I1283" si="1004">F1283-F1282</f>
        <v>4</v>
      </c>
      <c r="I1283" s="26">
        <f t="shared" si="1004"/>
        <v>3254</v>
      </c>
      <c r="J1283" s="66">
        <f t="shared" si="1002"/>
        <v>8.3146802399861001E-3</v>
      </c>
      <c r="K1283" s="65">
        <f t="shared" si="1003"/>
        <v>2.078670059996525E-3</v>
      </c>
      <c r="L1283" s="41" t="s">
        <v>623</v>
      </c>
    </row>
    <row r="1284" spans="1:31" ht="13">
      <c r="A1284" s="42" t="s">
        <v>796</v>
      </c>
      <c r="B1284" s="18" t="s">
        <v>812</v>
      </c>
      <c r="C1284" s="18" t="s">
        <v>813</v>
      </c>
      <c r="D1284" s="18" t="s">
        <v>621</v>
      </c>
      <c r="E1284" s="18" t="s">
        <v>622</v>
      </c>
      <c r="F1284" s="18">
        <v>2008</v>
      </c>
      <c r="G1284" s="40">
        <v>433628</v>
      </c>
      <c r="H1284" s="26">
        <f t="shared" ref="H1284:I1284" si="1005">F1284-F1283</f>
        <v>3</v>
      </c>
      <c r="I1284" s="26">
        <f t="shared" si="1005"/>
        <v>39018</v>
      </c>
      <c r="J1284" s="66">
        <f t="shared" si="1002"/>
        <v>9.8877372595727431E-2</v>
      </c>
      <c r="K1284" s="65">
        <f t="shared" si="1003"/>
        <v>3.2959124198575808E-2</v>
      </c>
      <c r="L1284" s="41" t="s">
        <v>623</v>
      </c>
    </row>
    <row r="1285" spans="1:31" ht="13">
      <c r="A1285" s="42" t="s">
        <v>796</v>
      </c>
      <c r="B1285" s="18" t="s">
        <v>812</v>
      </c>
      <c r="C1285" s="18" t="s">
        <v>813</v>
      </c>
      <c r="D1285" s="18" t="s">
        <v>621</v>
      </c>
      <c r="E1285" s="18" t="s">
        <v>622</v>
      </c>
      <c r="F1285" s="18">
        <v>2014</v>
      </c>
      <c r="G1285" s="40">
        <v>880425</v>
      </c>
      <c r="H1285" s="26">
        <f t="shared" ref="H1285:I1285" si="1006">F1285-F1284</f>
        <v>6</v>
      </c>
      <c r="I1285" s="26">
        <f t="shared" si="1006"/>
        <v>446797</v>
      </c>
      <c r="J1285" s="66">
        <f t="shared" si="1002"/>
        <v>1.030369348842787</v>
      </c>
      <c r="K1285" s="65">
        <f t="shared" si="1003"/>
        <v>0.17172822480713115</v>
      </c>
      <c r="L1285" s="41" t="s">
        <v>623</v>
      </c>
    </row>
    <row r="1286" spans="1:31" ht="13">
      <c r="A1286" s="42" t="s">
        <v>796</v>
      </c>
      <c r="B1286" s="18" t="s">
        <v>812</v>
      </c>
      <c r="C1286" s="18" t="s">
        <v>813</v>
      </c>
      <c r="D1286" s="18" t="s">
        <v>621</v>
      </c>
      <c r="E1286" s="18" t="s">
        <v>622</v>
      </c>
      <c r="F1286" s="18">
        <v>2018</v>
      </c>
      <c r="G1286" s="40">
        <v>1056308</v>
      </c>
      <c r="H1286" s="26">
        <f t="shared" ref="H1286:I1286" si="1007">F1286-F1285</f>
        <v>4</v>
      </c>
      <c r="I1286" s="26">
        <f t="shared" si="1007"/>
        <v>175883</v>
      </c>
      <c r="J1286" s="66">
        <f t="shared" si="1002"/>
        <v>0.19977056535196069</v>
      </c>
      <c r="K1286" s="65">
        <f t="shared" si="1003"/>
        <v>4.9942641337990173E-2</v>
      </c>
      <c r="L1286" s="41" t="s">
        <v>623</v>
      </c>
    </row>
    <row r="1287" spans="1:31" ht="16">
      <c r="A1287" s="42" t="s">
        <v>809</v>
      </c>
      <c r="B1287" s="42" t="s">
        <v>815</v>
      </c>
      <c r="C1287" s="18" t="s">
        <v>816</v>
      </c>
      <c r="D1287" s="27" t="s">
        <v>106</v>
      </c>
      <c r="E1287" s="42" t="s">
        <v>761</v>
      </c>
      <c r="F1287" s="43">
        <v>2002</v>
      </c>
      <c r="G1287" s="38">
        <v>15198</v>
      </c>
      <c r="H1287" s="38" t="s">
        <v>402</v>
      </c>
      <c r="I1287" s="38" t="s">
        <v>402</v>
      </c>
      <c r="J1287" s="67" t="s">
        <v>402</v>
      </c>
      <c r="K1287" s="65" t="s">
        <v>402</v>
      </c>
      <c r="L1287" s="38" t="s">
        <v>612</v>
      </c>
      <c r="M1287" s="27"/>
      <c r="N1287" s="27"/>
      <c r="O1287" s="27"/>
      <c r="P1287" s="27"/>
      <c r="Q1287" s="27"/>
      <c r="R1287" s="27"/>
      <c r="S1287" s="27"/>
      <c r="T1287" s="27"/>
      <c r="U1287" s="27"/>
      <c r="V1287" s="27"/>
      <c r="W1287" s="27"/>
      <c r="X1287" s="27"/>
      <c r="Y1287" s="27"/>
      <c r="Z1287" s="27"/>
      <c r="AA1287" s="27"/>
      <c r="AB1287" s="27"/>
      <c r="AC1287" s="27"/>
      <c r="AD1287" s="27"/>
      <c r="AE1287" s="27"/>
    </row>
    <row r="1288" spans="1:31" ht="16">
      <c r="A1288" s="42" t="s">
        <v>809</v>
      </c>
      <c r="B1288" s="42" t="s">
        <v>815</v>
      </c>
      <c r="C1288" s="18" t="s">
        <v>816</v>
      </c>
      <c r="D1288" s="27" t="s">
        <v>106</v>
      </c>
      <c r="E1288" s="42" t="s">
        <v>761</v>
      </c>
      <c r="F1288" s="43">
        <v>2010</v>
      </c>
      <c r="G1288" s="38">
        <v>15343</v>
      </c>
      <c r="H1288" s="38">
        <f t="shared" ref="H1288:I1288" si="1008">F1288-F1287</f>
        <v>8</v>
      </c>
      <c r="I1288" s="38">
        <f t="shared" si="1008"/>
        <v>145</v>
      </c>
      <c r="J1288" s="67">
        <f t="shared" ref="J1288:J1289" si="1009">I1288/G1287</f>
        <v>9.5407290432951708E-3</v>
      </c>
      <c r="K1288" s="65">
        <f t="shared" ref="K1288:K1289" si="1010">J1288/H1288</f>
        <v>1.1925911304118963E-3</v>
      </c>
      <c r="L1288" s="38" t="s">
        <v>612</v>
      </c>
      <c r="M1288" s="27"/>
      <c r="N1288" s="27"/>
      <c r="O1288" s="27"/>
      <c r="P1288" s="27"/>
      <c r="Q1288" s="27"/>
      <c r="R1288" s="27"/>
      <c r="S1288" s="27"/>
      <c r="T1288" s="27"/>
      <c r="U1288" s="27"/>
      <c r="V1288" s="27"/>
      <c r="W1288" s="27"/>
      <c r="X1288" s="27"/>
      <c r="Y1288" s="27"/>
      <c r="Z1288" s="27"/>
      <c r="AA1288" s="27"/>
      <c r="AB1288" s="27"/>
      <c r="AC1288" s="27"/>
      <c r="AD1288" s="27"/>
      <c r="AE1288" s="27"/>
    </row>
    <row r="1289" spans="1:31" ht="16">
      <c r="A1289" s="42" t="s">
        <v>809</v>
      </c>
      <c r="B1289" s="42" t="s">
        <v>815</v>
      </c>
      <c r="C1289" s="18" t="s">
        <v>816</v>
      </c>
      <c r="D1289" s="27" t="s">
        <v>106</v>
      </c>
      <c r="E1289" s="42" t="s">
        <v>761</v>
      </c>
      <c r="F1289" s="43">
        <v>2017</v>
      </c>
      <c r="G1289" s="38">
        <v>12607</v>
      </c>
      <c r="H1289" s="38">
        <f t="shared" ref="H1289:I1289" si="1011">F1289-F1288</f>
        <v>7</v>
      </c>
      <c r="I1289" s="38">
        <f t="shared" si="1011"/>
        <v>-2736</v>
      </c>
      <c r="J1289" s="67">
        <f t="shared" si="1009"/>
        <v>-0.17832236198918072</v>
      </c>
      <c r="K1289" s="65">
        <f t="shared" si="1010"/>
        <v>-2.547462314131153E-2</v>
      </c>
      <c r="L1289" s="38" t="s">
        <v>612</v>
      </c>
      <c r="M1289" s="27"/>
      <c r="N1289" s="27"/>
      <c r="O1289" s="27"/>
      <c r="P1289" s="27"/>
      <c r="Q1289" s="27"/>
      <c r="R1289" s="27"/>
      <c r="S1289" s="27"/>
      <c r="T1289" s="27"/>
      <c r="U1289" s="27"/>
      <c r="V1289" s="27"/>
      <c r="W1289" s="27"/>
      <c r="X1289" s="27"/>
      <c r="Y1289" s="27"/>
      <c r="Z1289" s="27"/>
      <c r="AA1289" s="27"/>
      <c r="AB1289" s="27"/>
      <c r="AC1289" s="27"/>
      <c r="AD1289" s="27"/>
      <c r="AE1289" s="27"/>
    </row>
    <row r="1290" spans="1:31" ht="16">
      <c r="A1290" s="42" t="s">
        <v>809</v>
      </c>
      <c r="B1290" s="42" t="s">
        <v>815</v>
      </c>
      <c r="C1290" s="18" t="s">
        <v>816</v>
      </c>
      <c r="D1290" s="27" t="s">
        <v>636</v>
      </c>
      <c r="E1290" s="42" t="s">
        <v>761</v>
      </c>
      <c r="F1290" s="43">
        <v>2002</v>
      </c>
      <c r="G1290" s="38">
        <v>11566</v>
      </c>
      <c r="H1290" s="38" t="s">
        <v>402</v>
      </c>
      <c r="I1290" s="38" t="s">
        <v>402</v>
      </c>
      <c r="J1290" s="67" t="s">
        <v>402</v>
      </c>
      <c r="K1290" s="65" t="s">
        <v>402</v>
      </c>
      <c r="L1290" s="38" t="s">
        <v>612</v>
      </c>
      <c r="M1290" s="27"/>
      <c r="N1290" s="27"/>
      <c r="O1290" s="27"/>
      <c r="P1290" s="27"/>
      <c r="Q1290" s="27"/>
      <c r="R1290" s="27"/>
      <c r="S1290" s="27"/>
      <c r="T1290" s="27"/>
      <c r="U1290" s="27"/>
      <c r="V1290" s="27"/>
      <c r="W1290" s="27"/>
      <c r="X1290" s="27"/>
      <c r="Y1290" s="27"/>
      <c r="Z1290" s="27"/>
      <c r="AA1290" s="27"/>
      <c r="AB1290" s="27"/>
      <c r="AC1290" s="27"/>
      <c r="AD1290" s="27"/>
      <c r="AE1290" s="27"/>
    </row>
    <row r="1291" spans="1:31" ht="16">
      <c r="A1291" s="42" t="s">
        <v>809</v>
      </c>
      <c r="B1291" s="42" t="s">
        <v>815</v>
      </c>
      <c r="C1291" s="18" t="s">
        <v>816</v>
      </c>
      <c r="D1291" s="27" t="s">
        <v>636</v>
      </c>
      <c r="E1291" s="42" t="s">
        <v>761</v>
      </c>
      <c r="F1291" s="43">
        <v>2010</v>
      </c>
      <c r="G1291" s="38">
        <v>17583</v>
      </c>
      <c r="H1291" s="38">
        <f t="shared" ref="H1291:I1291" si="1012">F1291-F1290</f>
        <v>8</v>
      </c>
      <c r="I1291" s="38">
        <f t="shared" si="1012"/>
        <v>6017</v>
      </c>
      <c r="J1291" s="67">
        <f t="shared" ref="J1291:J1292" si="1013">I1291/G1290</f>
        <v>0.52023171364343768</v>
      </c>
      <c r="K1291" s="65">
        <f t="shared" ref="K1291:K1292" si="1014">J1291/H1291</f>
        <v>6.502896420542971E-2</v>
      </c>
      <c r="L1291" s="38" t="s">
        <v>612</v>
      </c>
      <c r="M1291" s="27"/>
      <c r="N1291" s="27"/>
      <c r="O1291" s="27"/>
      <c r="P1291" s="27"/>
      <c r="Q1291" s="27"/>
      <c r="R1291" s="27"/>
      <c r="S1291" s="27"/>
      <c r="T1291" s="27"/>
      <c r="U1291" s="27"/>
      <c r="V1291" s="27"/>
      <c r="W1291" s="27"/>
      <c r="X1291" s="27"/>
      <c r="Y1291" s="27"/>
      <c r="Z1291" s="27"/>
      <c r="AA1291" s="27"/>
      <c r="AB1291" s="27"/>
      <c r="AC1291" s="27"/>
      <c r="AD1291" s="27"/>
      <c r="AE1291" s="27"/>
    </row>
    <row r="1292" spans="1:31" ht="16">
      <c r="A1292" s="42" t="s">
        <v>809</v>
      </c>
      <c r="B1292" s="42" t="s">
        <v>815</v>
      </c>
      <c r="C1292" s="18" t="s">
        <v>816</v>
      </c>
      <c r="D1292" s="27" t="s">
        <v>636</v>
      </c>
      <c r="E1292" s="42" t="s">
        <v>761</v>
      </c>
      <c r="F1292" s="43">
        <v>2017</v>
      </c>
      <c r="G1292" s="38">
        <v>7956</v>
      </c>
      <c r="H1292" s="38">
        <f t="shared" ref="H1292:I1292" si="1015">F1292-F1291</f>
        <v>7</v>
      </c>
      <c r="I1292" s="38">
        <f t="shared" si="1015"/>
        <v>-9627</v>
      </c>
      <c r="J1292" s="67">
        <f t="shared" si="1013"/>
        <v>-0.54751748848319404</v>
      </c>
      <c r="K1292" s="65">
        <f t="shared" si="1014"/>
        <v>-7.8216784069027726E-2</v>
      </c>
      <c r="L1292" s="38" t="s">
        <v>612</v>
      </c>
      <c r="M1292" s="27"/>
      <c r="N1292" s="27"/>
      <c r="O1292" s="27"/>
      <c r="P1292" s="27"/>
      <c r="Q1292" s="27"/>
      <c r="R1292" s="27"/>
      <c r="S1292" s="27"/>
      <c r="T1292" s="27"/>
      <c r="U1292" s="27"/>
      <c r="V1292" s="27"/>
      <c r="W1292" s="27"/>
      <c r="X1292" s="27"/>
      <c r="Y1292" s="27"/>
      <c r="Z1292" s="27"/>
      <c r="AA1292" s="27"/>
      <c r="AB1292" s="27"/>
      <c r="AC1292" s="27"/>
      <c r="AD1292" s="27"/>
      <c r="AE1292" s="27"/>
    </row>
    <row r="1293" spans="1:31" ht="13">
      <c r="A1293" s="30" t="s">
        <v>735</v>
      </c>
      <c r="B1293" s="30" t="s">
        <v>819</v>
      </c>
      <c r="C1293" s="18" t="s">
        <v>820</v>
      </c>
      <c r="D1293" s="30" t="s">
        <v>821</v>
      </c>
      <c r="E1293" s="30" t="s">
        <v>822</v>
      </c>
      <c r="F1293" s="48">
        <v>1983</v>
      </c>
      <c r="G1293" s="49">
        <v>1277</v>
      </c>
      <c r="H1293" s="49" t="s">
        <v>402</v>
      </c>
      <c r="I1293" s="49" t="s">
        <v>402</v>
      </c>
      <c r="J1293" s="71" t="s">
        <v>402</v>
      </c>
      <c r="K1293" s="65" t="s">
        <v>402</v>
      </c>
      <c r="L1293" s="50" t="s">
        <v>612</v>
      </c>
      <c r="M1293" s="30"/>
      <c r="N1293" s="30"/>
      <c r="O1293" s="30"/>
      <c r="P1293" s="30"/>
      <c r="Q1293" s="30"/>
      <c r="R1293" s="30"/>
      <c r="S1293" s="30"/>
      <c r="T1293" s="30"/>
      <c r="U1293" s="30"/>
      <c r="V1293" s="30"/>
      <c r="W1293" s="30"/>
      <c r="X1293" s="30"/>
      <c r="Y1293" s="30"/>
      <c r="Z1293" s="30"/>
      <c r="AA1293" s="30"/>
      <c r="AB1293" s="30"/>
      <c r="AC1293" s="30"/>
      <c r="AD1293" s="30"/>
      <c r="AE1293" s="30"/>
    </row>
    <row r="1294" spans="1:31" ht="13">
      <c r="A1294" s="30" t="s">
        <v>735</v>
      </c>
      <c r="B1294" s="30" t="s">
        <v>819</v>
      </c>
      <c r="C1294" s="18" t="s">
        <v>820</v>
      </c>
      <c r="D1294" s="30" t="s">
        <v>821</v>
      </c>
      <c r="E1294" s="30" t="s">
        <v>822</v>
      </c>
      <c r="F1294" s="48">
        <v>1984</v>
      </c>
      <c r="G1294" s="49">
        <v>1303</v>
      </c>
      <c r="H1294" s="49">
        <f t="shared" ref="H1294:I1294" si="1016">F1294-F1293</f>
        <v>1</v>
      </c>
      <c r="I1294" s="49">
        <f t="shared" si="1016"/>
        <v>26</v>
      </c>
      <c r="J1294" s="71">
        <f t="shared" ref="J1294:J1328" si="1017">I1294/G1293</f>
        <v>2.0360219263899765E-2</v>
      </c>
      <c r="K1294" s="65">
        <f t="shared" ref="K1294:K1328" si="1018">J1294/H1294</f>
        <v>2.0360219263899765E-2</v>
      </c>
      <c r="L1294" s="50" t="s">
        <v>612</v>
      </c>
      <c r="M1294" s="30"/>
      <c r="N1294" s="30"/>
      <c r="O1294" s="30"/>
      <c r="P1294" s="30"/>
      <c r="Q1294" s="30"/>
      <c r="R1294" s="30"/>
      <c r="S1294" s="30"/>
      <c r="T1294" s="30"/>
      <c r="U1294" s="30"/>
      <c r="V1294" s="30"/>
      <c r="W1294" s="30"/>
      <c r="X1294" s="30"/>
      <c r="Y1294" s="30"/>
      <c r="Z1294" s="30"/>
      <c r="AA1294" s="30"/>
      <c r="AB1294" s="30"/>
      <c r="AC1294" s="30"/>
      <c r="AD1294" s="30"/>
      <c r="AE1294" s="30"/>
    </row>
    <row r="1295" spans="1:31" ht="13">
      <c r="A1295" s="30" t="s">
        <v>735</v>
      </c>
      <c r="B1295" s="30" t="s">
        <v>819</v>
      </c>
      <c r="C1295" s="18" t="s">
        <v>820</v>
      </c>
      <c r="D1295" s="30" t="s">
        <v>821</v>
      </c>
      <c r="E1295" s="30" t="s">
        <v>822</v>
      </c>
      <c r="F1295" s="48">
        <v>1985</v>
      </c>
      <c r="G1295" s="49">
        <v>1361</v>
      </c>
      <c r="H1295" s="49">
        <f t="shared" ref="H1295:I1295" si="1019">F1295-F1294</f>
        <v>1</v>
      </c>
      <c r="I1295" s="49">
        <f t="shared" si="1019"/>
        <v>58</v>
      </c>
      <c r="J1295" s="71">
        <f t="shared" si="1017"/>
        <v>4.4512663085188024E-2</v>
      </c>
      <c r="K1295" s="65">
        <f t="shared" si="1018"/>
        <v>4.4512663085188024E-2</v>
      </c>
      <c r="L1295" s="50" t="s">
        <v>612</v>
      </c>
      <c r="M1295" s="30"/>
      <c r="N1295" s="30"/>
      <c r="O1295" s="30"/>
      <c r="P1295" s="30"/>
      <c r="Q1295" s="30"/>
      <c r="R1295" s="30"/>
      <c r="S1295" s="30"/>
      <c r="T1295" s="30"/>
      <c r="U1295" s="30"/>
      <c r="V1295" s="30"/>
      <c r="W1295" s="30"/>
      <c r="X1295" s="30"/>
      <c r="Y1295" s="30"/>
      <c r="Z1295" s="30"/>
      <c r="AA1295" s="30"/>
      <c r="AB1295" s="30"/>
      <c r="AC1295" s="30"/>
      <c r="AD1295" s="30"/>
      <c r="AE1295" s="30"/>
    </row>
    <row r="1296" spans="1:31" ht="13">
      <c r="A1296" s="30" t="s">
        <v>735</v>
      </c>
      <c r="B1296" s="30" t="s">
        <v>819</v>
      </c>
      <c r="C1296" s="18" t="s">
        <v>820</v>
      </c>
      <c r="D1296" s="30" t="s">
        <v>821</v>
      </c>
      <c r="E1296" s="30" t="s">
        <v>822</v>
      </c>
      <c r="F1296" s="48">
        <v>1986</v>
      </c>
      <c r="G1296" s="49">
        <v>1586</v>
      </c>
      <c r="H1296" s="49">
        <f t="shared" ref="H1296:I1296" si="1020">F1296-F1295</f>
        <v>1</v>
      </c>
      <c r="I1296" s="49">
        <f t="shared" si="1020"/>
        <v>225</v>
      </c>
      <c r="J1296" s="71">
        <f t="shared" si="1017"/>
        <v>0.16531961792799413</v>
      </c>
      <c r="K1296" s="65">
        <f t="shared" si="1018"/>
        <v>0.16531961792799413</v>
      </c>
      <c r="L1296" s="50" t="s">
        <v>612</v>
      </c>
      <c r="M1296" s="30"/>
      <c r="N1296" s="30"/>
      <c r="O1296" s="30"/>
      <c r="P1296" s="30"/>
      <c r="Q1296" s="30"/>
      <c r="R1296" s="30"/>
      <c r="S1296" s="30"/>
      <c r="T1296" s="30"/>
      <c r="U1296" s="30"/>
      <c r="V1296" s="30"/>
      <c r="W1296" s="30"/>
      <c r="X1296" s="30"/>
      <c r="Y1296" s="30"/>
      <c r="Z1296" s="30"/>
      <c r="AA1296" s="30"/>
      <c r="AB1296" s="30"/>
      <c r="AC1296" s="30"/>
      <c r="AD1296" s="30"/>
      <c r="AE1296" s="30"/>
    </row>
    <row r="1297" spans="1:31" ht="13">
      <c r="A1297" s="30" t="s">
        <v>735</v>
      </c>
      <c r="B1297" s="30" t="s">
        <v>819</v>
      </c>
      <c r="C1297" s="18" t="s">
        <v>820</v>
      </c>
      <c r="D1297" s="30" t="s">
        <v>821</v>
      </c>
      <c r="E1297" s="30" t="s">
        <v>822</v>
      </c>
      <c r="F1297" s="48">
        <v>1987</v>
      </c>
      <c r="G1297" s="49">
        <v>1662</v>
      </c>
      <c r="H1297" s="49">
        <f t="shared" ref="H1297:I1297" si="1021">F1297-F1296</f>
        <v>1</v>
      </c>
      <c r="I1297" s="49">
        <f t="shared" si="1021"/>
        <v>76</v>
      </c>
      <c r="J1297" s="71">
        <f t="shared" si="1017"/>
        <v>4.7919293820933163E-2</v>
      </c>
      <c r="K1297" s="65">
        <f t="shared" si="1018"/>
        <v>4.7919293820933163E-2</v>
      </c>
      <c r="L1297" s="50" t="s">
        <v>612</v>
      </c>
      <c r="M1297" s="30"/>
      <c r="N1297" s="30"/>
      <c r="O1297" s="30"/>
      <c r="P1297" s="30"/>
      <c r="Q1297" s="30"/>
      <c r="R1297" s="30"/>
      <c r="S1297" s="30"/>
      <c r="T1297" s="30"/>
      <c r="U1297" s="30"/>
      <c r="V1297" s="30"/>
      <c r="W1297" s="30"/>
      <c r="X1297" s="30"/>
      <c r="Y1297" s="30"/>
      <c r="Z1297" s="30"/>
      <c r="AA1297" s="30"/>
      <c r="AB1297" s="30"/>
      <c r="AC1297" s="30"/>
      <c r="AD1297" s="30"/>
      <c r="AE1297" s="30"/>
    </row>
    <row r="1298" spans="1:31" ht="13">
      <c r="A1298" s="30" t="s">
        <v>735</v>
      </c>
      <c r="B1298" s="30" t="s">
        <v>819</v>
      </c>
      <c r="C1298" s="18" t="s">
        <v>820</v>
      </c>
      <c r="D1298" s="30" t="s">
        <v>821</v>
      </c>
      <c r="E1298" s="30" t="s">
        <v>822</v>
      </c>
      <c r="F1298" s="48">
        <v>1988</v>
      </c>
      <c r="G1298" s="49">
        <v>1725</v>
      </c>
      <c r="H1298" s="49">
        <f t="shared" ref="H1298:I1298" si="1022">F1298-F1297</f>
        <v>1</v>
      </c>
      <c r="I1298" s="49">
        <f t="shared" si="1022"/>
        <v>63</v>
      </c>
      <c r="J1298" s="71">
        <f t="shared" si="1017"/>
        <v>3.7906137184115521E-2</v>
      </c>
      <c r="K1298" s="65">
        <f t="shared" si="1018"/>
        <v>3.7906137184115521E-2</v>
      </c>
      <c r="L1298" s="50" t="s">
        <v>612</v>
      </c>
      <c r="M1298" s="30"/>
      <c r="N1298" s="30"/>
      <c r="O1298" s="30"/>
      <c r="P1298" s="30"/>
      <c r="Q1298" s="30"/>
      <c r="R1298" s="30"/>
      <c r="S1298" s="30"/>
      <c r="T1298" s="30"/>
      <c r="U1298" s="30"/>
      <c r="V1298" s="30"/>
      <c r="W1298" s="30"/>
      <c r="X1298" s="30"/>
      <c r="Y1298" s="30"/>
      <c r="Z1298" s="30"/>
      <c r="AA1298" s="30"/>
      <c r="AB1298" s="30"/>
      <c r="AC1298" s="30"/>
      <c r="AD1298" s="30"/>
      <c r="AE1298" s="30"/>
    </row>
    <row r="1299" spans="1:31" ht="13">
      <c r="A1299" s="30" t="s">
        <v>735</v>
      </c>
      <c r="B1299" s="30" t="s">
        <v>819</v>
      </c>
      <c r="C1299" s="18" t="s">
        <v>820</v>
      </c>
      <c r="D1299" s="30" t="s">
        <v>821</v>
      </c>
      <c r="E1299" s="30" t="s">
        <v>822</v>
      </c>
      <c r="F1299" s="48">
        <v>1989</v>
      </c>
      <c r="G1299" s="49">
        <v>1856</v>
      </c>
      <c r="H1299" s="49">
        <f t="shared" ref="H1299:I1299" si="1023">F1299-F1298</f>
        <v>1</v>
      </c>
      <c r="I1299" s="49">
        <f t="shared" si="1023"/>
        <v>131</v>
      </c>
      <c r="J1299" s="71">
        <f t="shared" si="1017"/>
        <v>7.594202898550724E-2</v>
      </c>
      <c r="K1299" s="65">
        <f t="shared" si="1018"/>
        <v>7.594202898550724E-2</v>
      </c>
      <c r="L1299" s="50" t="s">
        <v>612</v>
      </c>
      <c r="M1299" s="30"/>
      <c r="N1299" s="30"/>
      <c r="O1299" s="30"/>
      <c r="P1299" s="30"/>
      <c r="Q1299" s="30"/>
      <c r="R1299" s="30"/>
      <c r="S1299" s="30"/>
      <c r="T1299" s="30"/>
      <c r="U1299" s="30"/>
      <c r="V1299" s="30"/>
      <c r="W1299" s="30"/>
      <c r="X1299" s="30"/>
      <c r="Y1299" s="30"/>
      <c r="Z1299" s="30"/>
      <c r="AA1299" s="30"/>
      <c r="AB1299" s="30"/>
      <c r="AC1299" s="30"/>
      <c r="AD1299" s="30"/>
      <c r="AE1299" s="30"/>
    </row>
    <row r="1300" spans="1:31" ht="13">
      <c r="A1300" s="30" t="s">
        <v>735</v>
      </c>
      <c r="B1300" s="30" t="s">
        <v>819</v>
      </c>
      <c r="C1300" s="18" t="s">
        <v>820</v>
      </c>
      <c r="D1300" s="30" t="s">
        <v>821</v>
      </c>
      <c r="E1300" s="30" t="s">
        <v>822</v>
      </c>
      <c r="F1300" s="48">
        <v>1990</v>
      </c>
      <c r="G1300" s="49">
        <v>1680</v>
      </c>
      <c r="H1300" s="49">
        <f t="shared" ref="H1300:I1300" si="1024">F1300-F1299</f>
        <v>1</v>
      </c>
      <c r="I1300" s="49">
        <f t="shared" si="1024"/>
        <v>-176</v>
      </c>
      <c r="J1300" s="71">
        <f t="shared" si="1017"/>
        <v>-9.4827586206896547E-2</v>
      </c>
      <c r="K1300" s="65">
        <f t="shared" si="1018"/>
        <v>-9.4827586206896547E-2</v>
      </c>
      <c r="L1300" s="50" t="s">
        <v>612</v>
      </c>
      <c r="M1300" s="30"/>
      <c r="N1300" s="30"/>
      <c r="O1300" s="30"/>
      <c r="P1300" s="30"/>
      <c r="Q1300" s="30"/>
      <c r="R1300" s="30"/>
      <c r="S1300" s="30"/>
      <c r="T1300" s="30"/>
      <c r="U1300" s="30"/>
      <c r="V1300" s="30"/>
      <c r="W1300" s="30"/>
      <c r="X1300" s="30"/>
      <c r="Y1300" s="30"/>
      <c r="Z1300" s="30"/>
      <c r="AA1300" s="30"/>
      <c r="AB1300" s="30"/>
      <c r="AC1300" s="30"/>
      <c r="AD1300" s="30"/>
      <c r="AE1300" s="30"/>
    </row>
    <row r="1301" spans="1:31" ht="13">
      <c r="A1301" s="30" t="s">
        <v>735</v>
      </c>
      <c r="B1301" s="30" t="s">
        <v>819</v>
      </c>
      <c r="C1301" s="18" t="s">
        <v>820</v>
      </c>
      <c r="D1301" s="30" t="s">
        <v>821</v>
      </c>
      <c r="E1301" s="30" t="s">
        <v>822</v>
      </c>
      <c r="F1301" s="48">
        <v>1991</v>
      </c>
      <c r="G1301" s="49">
        <v>1941</v>
      </c>
      <c r="H1301" s="49">
        <f t="shared" ref="H1301:I1301" si="1025">F1301-F1300</f>
        <v>1</v>
      </c>
      <c r="I1301" s="49">
        <f t="shared" si="1025"/>
        <v>261</v>
      </c>
      <c r="J1301" s="71">
        <f t="shared" si="1017"/>
        <v>0.15535714285714286</v>
      </c>
      <c r="K1301" s="65">
        <f t="shared" si="1018"/>
        <v>0.15535714285714286</v>
      </c>
      <c r="L1301" s="50" t="s">
        <v>612</v>
      </c>
      <c r="M1301" s="30"/>
      <c r="N1301" s="30"/>
      <c r="O1301" s="30"/>
      <c r="P1301" s="30"/>
      <c r="Q1301" s="30"/>
      <c r="R1301" s="30"/>
      <c r="S1301" s="30"/>
      <c r="T1301" s="30"/>
      <c r="U1301" s="30"/>
      <c r="V1301" s="30"/>
      <c r="W1301" s="30"/>
      <c r="X1301" s="30"/>
      <c r="Y1301" s="30"/>
      <c r="Z1301" s="30"/>
      <c r="AA1301" s="30"/>
      <c r="AB1301" s="30"/>
      <c r="AC1301" s="30"/>
      <c r="AD1301" s="30"/>
      <c r="AE1301" s="30"/>
    </row>
    <row r="1302" spans="1:31" ht="13">
      <c r="A1302" s="30" t="s">
        <v>735</v>
      </c>
      <c r="B1302" s="30" t="s">
        <v>819</v>
      </c>
      <c r="C1302" s="18" t="s">
        <v>820</v>
      </c>
      <c r="D1302" s="30" t="s">
        <v>821</v>
      </c>
      <c r="E1302" s="30" t="s">
        <v>822</v>
      </c>
      <c r="F1302" s="48">
        <v>1992</v>
      </c>
      <c r="G1302" s="49">
        <v>2101</v>
      </c>
      <c r="H1302" s="49">
        <f t="shared" ref="H1302:I1302" si="1026">F1302-F1301</f>
        <v>1</v>
      </c>
      <c r="I1302" s="49">
        <f t="shared" si="1026"/>
        <v>160</v>
      </c>
      <c r="J1302" s="71">
        <f t="shared" si="1017"/>
        <v>8.2431736218444102E-2</v>
      </c>
      <c r="K1302" s="65">
        <f t="shared" si="1018"/>
        <v>8.2431736218444102E-2</v>
      </c>
      <c r="L1302" s="50" t="s">
        <v>612</v>
      </c>
      <c r="M1302" s="30"/>
      <c r="N1302" s="30"/>
      <c r="O1302" s="30"/>
      <c r="P1302" s="30"/>
      <c r="Q1302" s="30"/>
      <c r="R1302" s="30"/>
      <c r="S1302" s="30"/>
      <c r="T1302" s="30"/>
      <c r="U1302" s="30"/>
      <c r="V1302" s="30"/>
      <c r="W1302" s="30"/>
      <c r="X1302" s="30"/>
      <c r="Y1302" s="30"/>
      <c r="Z1302" s="30"/>
      <c r="AA1302" s="30"/>
      <c r="AB1302" s="30"/>
      <c r="AC1302" s="30"/>
      <c r="AD1302" s="30"/>
      <c r="AE1302" s="30"/>
    </row>
    <row r="1303" spans="1:31" ht="13">
      <c r="A1303" s="30" t="s">
        <v>735</v>
      </c>
      <c r="B1303" s="30" t="s">
        <v>819</v>
      </c>
      <c r="C1303" s="18" t="s">
        <v>820</v>
      </c>
      <c r="D1303" s="30" t="s">
        <v>821</v>
      </c>
      <c r="E1303" s="30" t="s">
        <v>822</v>
      </c>
      <c r="F1303" s="48">
        <v>1993</v>
      </c>
      <c r="G1303" s="49">
        <v>2239</v>
      </c>
      <c r="H1303" s="49">
        <f t="shared" ref="H1303:I1303" si="1027">F1303-F1302</f>
        <v>1</v>
      </c>
      <c r="I1303" s="49">
        <f t="shared" si="1027"/>
        <v>138</v>
      </c>
      <c r="J1303" s="71">
        <f t="shared" si="1017"/>
        <v>6.5683008091385053E-2</v>
      </c>
      <c r="K1303" s="65">
        <f t="shared" si="1018"/>
        <v>6.5683008091385053E-2</v>
      </c>
      <c r="L1303" s="50" t="s">
        <v>612</v>
      </c>
      <c r="M1303" s="30"/>
      <c r="N1303" s="30"/>
      <c r="O1303" s="30"/>
      <c r="P1303" s="30"/>
      <c r="Q1303" s="30"/>
      <c r="R1303" s="30"/>
      <c r="S1303" s="30"/>
      <c r="T1303" s="30"/>
      <c r="U1303" s="30"/>
      <c r="V1303" s="30"/>
      <c r="W1303" s="30"/>
      <c r="X1303" s="30"/>
      <c r="Y1303" s="30"/>
      <c r="Z1303" s="30"/>
      <c r="AA1303" s="30"/>
      <c r="AB1303" s="30"/>
      <c r="AC1303" s="30"/>
      <c r="AD1303" s="30"/>
      <c r="AE1303" s="30"/>
    </row>
    <row r="1304" spans="1:31" ht="13">
      <c r="A1304" s="30" t="s">
        <v>735</v>
      </c>
      <c r="B1304" s="30" t="s">
        <v>819</v>
      </c>
      <c r="C1304" s="18" t="s">
        <v>820</v>
      </c>
      <c r="D1304" s="30" t="s">
        <v>821</v>
      </c>
      <c r="E1304" s="30" t="s">
        <v>822</v>
      </c>
      <c r="F1304" s="48">
        <v>1994</v>
      </c>
      <c r="G1304" s="49">
        <v>2359</v>
      </c>
      <c r="H1304" s="49">
        <f t="shared" ref="H1304:I1304" si="1028">F1304-F1303</f>
        <v>1</v>
      </c>
      <c r="I1304" s="49">
        <f t="shared" si="1028"/>
        <v>120</v>
      </c>
      <c r="J1304" s="71">
        <f t="shared" si="1017"/>
        <v>5.3595355069227336E-2</v>
      </c>
      <c r="K1304" s="65">
        <f t="shared" si="1018"/>
        <v>5.3595355069227336E-2</v>
      </c>
      <c r="L1304" s="50" t="s">
        <v>612</v>
      </c>
      <c r="M1304" s="30"/>
      <c r="N1304" s="30"/>
      <c r="O1304" s="30"/>
      <c r="P1304" s="30"/>
      <c r="Q1304" s="30"/>
      <c r="R1304" s="30"/>
      <c r="S1304" s="30"/>
      <c r="T1304" s="30"/>
      <c r="U1304" s="30"/>
      <c r="V1304" s="30"/>
      <c r="W1304" s="30"/>
      <c r="X1304" s="30"/>
      <c r="Y1304" s="30"/>
      <c r="Z1304" s="30"/>
      <c r="AA1304" s="30"/>
      <c r="AB1304" s="30"/>
      <c r="AC1304" s="30"/>
      <c r="AD1304" s="30"/>
      <c r="AE1304" s="30"/>
    </row>
    <row r="1305" spans="1:31" ht="13">
      <c r="A1305" s="30" t="s">
        <v>735</v>
      </c>
      <c r="B1305" s="30" t="s">
        <v>819</v>
      </c>
      <c r="C1305" s="18" t="s">
        <v>820</v>
      </c>
      <c r="D1305" s="30" t="s">
        <v>821</v>
      </c>
      <c r="E1305" s="30" t="s">
        <v>822</v>
      </c>
      <c r="F1305" s="48">
        <v>1995</v>
      </c>
      <c r="G1305" s="49">
        <v>2377</v>
      </c>
      <c r="H1305" s="49">
        <f t="shared" ref="H1305:I1305" si="1029">F1305-F1304</f>
        <v>1</v>
      </c>
      <c r="I1305" s="49">
        <f t="shared" si="1029"/>
        <v>18</v>
      </c>
      <c r="J1305" s="71">
        <f t="shared" si="1017"/>
        <v>7.6303518440016954E-3</v>
      </c>
      <c r="K1305" s="65">
        <f t="shared" si="1018"/>
        <v>7.6303518440016954E-3</v>
      </c>
      <c r="L1305" s="50" t="s">
        <v>612</v>
      </c>
      <c r="M1305" s="30"/>
      <c r="N1305" s="30"/>
      <c r="O1305" s="30"/>
      <c r="P1305" s="30"/>
      <c r="Q1305" s="30"/>
      <c r="R1305" s="30"/>
      <c r="S1305" s="30"/>
      <c r="T1305" s="30"/>
      <c r="U1305" s="30"/>
      <c r="V1305" s="30"/>
      <c r="W1305" s="30"/>
      <c r="X1305" s="30"/>
      <c r="Y1305" s="30"/>
      <c r="Z1305" s="30"/>
      <c r="AA1305" s="30"/>
      <c r="AB1305" s="30"/>
      <c r="AC1305" s="30"/>
      <c r="AD1305" s="30"/>
      <c r="AE1305" s="30"/>
    </row>
    <row r="1306" spans="1:31" ht="13">
      <c r="A1306" s="30" t="s">
        <v>735</v>
      </c>
      <c r="B1306" s="30" t="s">
        <v>819</v>
      </c>
      <c r="C1306" s="18" t="s">
        <v>820</v>
      </c>
      <c r="D1306" s="30" t="s">
        <v>821</v>
      </c>
      <c r="E1306" s="30" t="s">
        <v>822</v>
      </c>
      <c r="F1306" s="48">
        <v>1996</v>
      </c>
      <c r="G1306" s="49">
        <v>2278</v>
      </c>
      <c r="H1306" s="49">
        <f t="shared" ref="H1306:I1306" si="1030">F1306-F1305</f>
        <v>1</v>
      </c>
      <c r="I1306" s="49">
        <f t="shared" si="1030"/>
        <v>-99</v>
      </c>
      <c r="J1306" s="71">
        <f t="shared" si="1017"/>
        <v>-4.1649137568363484E-2</v>
      </c>
      <c r="K1306" s="65">
        <f t="shared" si="1018"/>
        <v>-4.1649137568363484E-2</v>
      </c>
      <c r="L1306" s="50" t="s">
        <v>612</v>
      </c>
      <c r="M1306" s="30"/>
      <c r="N1306" s="30"/>
      <c r="O1306" s="30"/>
      <c r="P1306" s="30"/>
      <c r="Q1306" s="30"/>
      <c r="R1306" s="30"/>
      <c r="S1306" s="30"/>
      <c r="T1306" s="30"/>
      <c r="U1306" s="30"/>
      <c r="V1306" s="30"/>
      <c r="W1306" s="30"/>
      <c r="X1306" s="30"/>
      <c r="Y1306" s="30"/>
      <c r="Z1306" s="30"/>
      <c r="AA1306" s="30"/>
      <c r="AB1306" s="30"/>
      <c r="AC1306" s="30"/>
      <c r="AD1306" s="30"/>
      <c r="AE1306" s="30"/>
    </row>
    <row r="1307" spans="1:31" ht="13">
      <c r="A1307" s="30" t="s">
        <v>735</v>
      </c>
      <c r="B1307" s="30" t="s">
        <v>819</v>
      </c>
      <c r="C1307" s="18" t="s">
        <v>820</v>
      </c>
      <c r="D1307" s="30" t="s">
        <v>821</v>
      </c>
      <c r="E1307" s="30" t="s">
        <v>822</v>
      </c>
      <c r="F1307" s="48">
        <v>1997</v>
      </c>
      <c r="G1307" s="49">
        <v>2229</v>
      </c>
      <c r="H1307" s="49">
        <f t="shared" ref="H1307:I1307" si="1031">F1307-F1306</f>
        <v>1</v>
      </c>
      <c r="I1307" s="49">
        <f t="shared" si="1031"/>
        <v>-49</v>
      </c>
      <c r="J1307" s="71">
        <f t="shared" si="1017"/>
        <v>-2.1510096575943809E-2</v>
      </c>
      <c r="K1307" s="65">
        <f t="shared" si="1018"/>
        <v>-2.1510096575943809E-2</v>
      </c>
      <c r="L1307" s="50" t="s">
        <v>612</v>
      </c>
      <c r="M1307" s="30"/>
      <c r="N1307" s="30"/>
      <c r="O1307" s="30"/>
      <c r="P1307" s="30"/>
      <c r="Q1307" s="30"/>
      <c r="R1307" s="30"/>
      <c r="S1307" s="30"/>
      <c r="T1307" s="30"/>
      <c r="U1307" s="30"/>
      <c r="V1307" s="30"/>
      <c r="W1307" s="30"/>
      <c r="X1307" s="30"/>
      <c r="Y1307" s="30"/>
      <c r="Z1307" s="30"/>
      <c r="AA1307" s="30"/>
      <c r="AB1307" s="30"/>
      <c r="AC1307" s="30"/>
      <c r="AD1307" s="30"/>
      <c r="AE1307" s="30"/>
    </row>
    <row r="1308" spans="1:31" ht="13">
      <c r="A1308" s="30" t="s">
        <v>735</v>
      </c>
      <c r="B1308" s="30" t="s">
        <v>819</v>
      </c>
      <c r="C1308" s="18" t="s">
        <v>820</v>
      </c>
      <c r="D1308" s="30" t="s">
        <v>821</v>
      </c>
      <c r="E1308" s="30" t="s">
        <v>822</v>
      </c>
      <c r="F1308" s="48">
        <v>1998</v>
      </c>
      <c r="G1308" s="49">
        <v>2114</v>
      </c>
      <c r="H1308" s="49">
        <f t="shared" ref="H1308:I1308" si="1032">F1308-F1307</f>
        <v>1</v>
      </c>
      <c r="I1308" s="49">
        <f t="shared" si="1032"/>
        <v>-115</v>
      </c>
      <c r="J1308" s="71">
        <f t="shared" si="1017"/>
        <v>-5.1592642440556301E-2</v>
      </c>
      <c r="K1308" s="65">
        <f t="shared" si="1018"/>
        <v>-5.1592642440556301E-2</v>
      </c>
      <c r="L1308" s="50" t="s">
        <v>612</v>
      </c>
      <c r="M1308" s="30"/>
      <c r="N1308" s="30"/>
      <c r="O1308" s="30"/>
      <c r="P1308" s="30"/>
      <c r="Q1308" s="30"/>
      <c r="R1308" s="30"/>
      <c r="S1308" s="30"/>
      <c r="T1308" s="30"/>
      <c r="U1308" s="30"/>
      <c r="V1308" s="30"/>
      <c r="W1308" s="30"/>
      <c r="X1308" s="30"/>
      <c r="Y1308" s="30"/>
      <c r="Z1308" s="30"/>
      <c r="AA1308" s="30"/>
      <c r="AB1308" s="30"/>
      <c r="AC1308" s="30"/>
      <c r="AD1308" s="30"/>
      <c r="AE1308" s="30"/>
    </row>
    <row r="1309" spans="1:31" ht="13">
      <c r="A1309" s="30" t="s">
        <v>735</v>
      </c>
      <c r="B1309" s="30" t="s">
        <v>819</v>
      </c>
      <c r="C1309" s="18" t="s">
        <v>820</v>
      </c>
      <c r="D1309" s="30" t="s">
        <v>821</v>
      </c>
      <c r="E1309" s="30" t="s">
        <v>822</v>
      </c>
      <c r="F1309" s="48">
        <v>1999</v>
      </c>
      <c r="G1309" s="49">
        <v>2090</v>
      </c>
      <c r="H1309" s="49">
        <f t="shared" ref="H1309:I1309" si="1033">F1309-F1308</f>
        <v>1</v>
      </c>
      <c r="I1309" s="49">
        <f t="shared" si="1033"/>
        <v>-24</v>
      </c>
      <c r="J1309" s="71">
        <f t="shared" si="1017"/>
        <v>-1.1352885525070956E-2</v>
      </c>
      <c r="K1309" s="65">
        <f t="shared" si="1018"/>
        <v>-1.1352885525070956E-2</v>
      </c>
      <c r="L1309" s="50" t="s">
        <v>612</v>
      </c>
      <c r="M1309" s="30"/>
      <c r="N1309" s="30"/>
      <c r="O1309" s="30"/>
      <c r="P1309" s="30"/>
      <c r="Q1309" s="30"/>
      <c r="R1309" s="30"/>
      <c r="S1309" s="30"/>
      <c r="T1309" s="30"/>
      <c r="U1309" s="30"/>
      <c r="V1309" s="30"/>
      <c r="W1309" s="30"/>
      <c r="X1309" s="30"/>
      <c r="Y1309" s="30"/>
      <c r="Z1309" s="30"/>
      <c r="AA1309" s="30"/>
      <c r="AB1309" s="30"/>
      <c r="AC1309" s="30"/>
      <c r="AD1309" s="30"/>
      <c r="AE1309" s="30"/>
    </row>
    <row r="1310" spans="1:31" ht="13">
      <c r="A1310" s="30" t="s">
        <v>735</v>
      </c>
      <c r="B1310" s="30" t="s">
        <v>819</v>
      </c>
      <c r="C1310" s="18" t="s">
        <v>820</v>
      </c>
      <c r="D1310" s="30" t="s">
        <v>821</v>
      </c>
      <c r="E1310" s="30" t="s">
        <v>822</v>
      </c>
      <c r="F1310" s="48">
        <v>2000</v>
      </c>
      <c r="G1310" s="49">
        <v>2317</v>
      </c>
      <c r="H1310" s="49">
        <f t="shared" ref="H1310:I1310" si="1034">F1310-F1309</f>
        <v>1</v>
      </c>
      <c r="I1310" s="49">
        <f t="shared" si="1034"/>
        <v>227</v>
      </c>
      <c r="J1310" s="71">
        <f t="shared" si="1017"/>
        <v>0.10861244019138756</v>
      </c>
      <c r="K1310" s="65">
        <f t="shared" si="1018"/>
        <v>0.10861244019138756</v>
      </c>
      <c r="L1310" s="50" t="s">
        <v>612</v>
      </c>
      <c r="M1310" s="30"/>
      <c r="N1310" s="30"/>
      <c r="O1310" s="30"/>
      <c r="P1310" s="30"/>
      <c r="Q1310" s="30"/>
      <c r="R1310" s="30"/>
      <c r="S1310" s="30"/>
      <c r="T1310" s="30"/>
      <c r="U1310" s="30"/>
      <c r="V1310" s="30"/>
      <c r="W1310" s="30"/>
      <c r="X1310" s="30"/>
      <c r="Y1310" s="30"/>
      <c r="Z1310" s="30"/>
      <c r="AA1310" s="30"/>
      <c r="AB1310" s="30"/>
      <c r="AC1310" s="30"/>
      <c r="AD1310" s="30"/>
      <c r="AE1310" s="30"/>
    </row>
    <row r="1311" spans="1:31" ht="13">
      <c r="A1311" s="30" t="s">
        <v>735</v>
      </c>
      <c r="B1311" s="30" t="s">
        <v>819</v>
      </c>
      <c r="C1311" s="18" t="s">
        <v>820</v>
      </c>
      <c r="D1311" s="30" t="s">
        <v>821</v>
      </c>
      <c r="E1311" s="30" t="s">
        <v>822</v>
      </c>
      <c r="F1311" s="48">
        <v>2001</v>
      </c>
      <c r="G1311" s="49">
        <v>2161</v>
      </c>
      <c r="H1311" s="49">
        <f t="shared" ref="H1311:I1311" si="1035">F1311-F1310</f>
        <v>1</v>
      </c>
      <c r="I1311" s="49">
        <f t="shared" si="1035"/>
        <v>-156</v>
      </c>
      <c r="J1311" s="71">
        <f t="shared" si="1017"/>
        <v>-6.7328441950798443E-2</v>
      </c>
      <c r="K1311" s="65">
        <f t="shared" si="1018"/>
        <v>-6.7328441950798443E-2</v>
      </c>
      <c r="L1311" s="50" t="s">
        <v>612</v>
      </c>
      <c r="M1311" s="30"/>
      <c r="N1311" s="30"/>
      <c r="O1311" s="30"/>
      <c r="P1311" s="30"/>
      <c r="Q1311" s="30"/>
      <c r="R1311" s="30"/>
      <c r="S1311" s="30"/>
      <c r="T1311" s="30"/>
      <c r="U1311" s="30"/>
      <c r="V1311" s="30"/>
      <c r="W1311" s="30"/>
      <c r="X1311" s="30"/>
      <c r="Y1311" s="30"/>
      <c r="Z1311" s="30"/>
      <c r="AA1311" s="30"/>
      <c r="AB1311" s="30"/>
      <c r="AC1311" s="30"/>
      <c r="AD1311" s="30"/>
      <c r="AE1311" s="30"/>
    </row>
    <row r="1312" spans="1:31" ht="13">
      <c r="A1312" s="30" t="s">
        <v>735</v>
      </c>
      <c r="B1312" s="30" t="s">
        <v>819</v>
      </c>
      <c r="C1312" s="18" t="s">
        <v>820</v>
      </c>
      <c r="D1312" s="30" t="s">
        <v>821</v>
      </c>
      <c r="E1312" s="30" t="s">
        <v>822</v>
      </c>
      <c r="F1312" s="48">
        <v>2002</v>
      </c>
      <c r="G1312" s="49">
        <v>2139</v>
      </c>
      <c r="H1312" s="49">
        <f t="shared" ref="H1312:I1312" si="1036">F1312-F1311</f>
        <v>1</v>
      </c>
      <c r="I1312" s="49">
        <f t="shared" si="1036"/>
        <v>-22</v>
      </c>
      <c r="J1312" s="71">
        <f t="shared" si="1017"/>
        <v>-1.018047200370199E-2</v>
      </c>
      <c r="K1312" s="65">
        <f t="shared" si="1018"/>
        <v>-1.018047200370199E-2</v>
      </c>
      <c r="L1312" s="50" t="s">
        <v>612</v>
      </c>
      <c r="M1312" s="30"/>
      <c r="N1312" s="30"/>
      <c r="O1312" s="30"/>
      <c r="P1312" s="30"/>
      <c r="Q1312" s="30"/>
      <c r="R1312" s="30"/>
      <c r="S1312" s="30"/>
      <c r="T1312" s="30"/>
      <c r="U1312" s="30"/>
      <c r="V1312" s="30"/>
      <c r="W1312" s="30"/>
      <c r="X1312" s="30"/>
      <c r="Y1312" s="30"/>
      <c r="Z1312" s="30"/>
      <c r="AA1312" s="30"/>
      <c r="AB1312" s="30"/>
      <c r="AC1312" s="30"/>
      <c r="AD1312" s="30"/>
      <c r="AE1312" s="30"/>
    </row>
    <row r="1313" spans="1:31" ht="13">
      <c r="A1313" s="30" t="s">
        <v>735</v>
      </c>
      <c r="B1313" s="30" t="s">
        <v>819</v>
      </c>
      <c r="C1313" s="18" t="s">
        <v>820</v>
      </c>
      <c r="D1313" s="30" t="s">
        <v>821</v>
      </c>
      <c r="E1313" s="30" t="s">
        <v>822</v>
      </c>
      <c r="F1313" s="48">
        <v>2003</v>
      </c>
      <c r="G1313" s="49">
        <v>2505</v>
      </c>
      <c r="H1313" s="49">
        <f t="shared" ref="H1313:I1313" si="1037">F1313-F1312</f>
        <v>1</v>
      </c>
      <c r="I1313" s="49">
        <f t="shared" si="1037"/>
        <v>366</v>
      </c>
      <c r="J1313" s="71">
        <f t="shared" si="1017"/>
        <v>0.17110799438990182</v>
      </c>
      <c r="K1313" s="65">
        <f t="shared" si="1018"/>
        <v>0.17110799438990182</v>
      </c>
      <c r="L1313" s="50" t="s">
        <v>612</v>
      </c>
      <c r="M1313" s="30"/>
      <c r="N1313" s="30"/>
      <c r="O1313" s="30"/>
      <c r="P1313" s="30"/>
      <c r="Q1313" s="30"/>
      <c r="R1313" s="30"/>
      <c r="S1313" s="30"/>
      <c r="T1313" s="30"/>
      <c r="U1313" s="30"/>
      <c r="V1313" s="30"/>
      <c r="W1313" s="30"/>
      <c r="X1313" s="30"/>
      <c r="Y1313" s="30"/>
      <c r="Z1313" s="30"/>
      <c r="AA1313" s="30"/>
      <c r="AB1313" s="30"/>
      <c r="AC1313" s="30"/>
      <c r="AD1313" s="30"/>
      <c r="AE1313" s="30"/>
    </row>
    <row r="1314" spans="1:31" ht="13">
      <c r="A1314" s="30" t="s">
        <v>735</v>
      </c>
      <c r="B1314" s="30" t="s">
        <v>819</v>
      </c>
      <c r="C1314" s="18" t="s">
        <v>820</v>
      </c>
      <c r="D1314" s="30" t="s">
        <v>821</v>
      </c>
      <c r="E1314" s="30" t="s">
        <v>822</v>
      </c>
      <c r="F1314" s="48">
        <v>2004</v>
      </c>
      <c r="G1314" s="49">
        <v>2825</v>
      </c>
      <c r="H1314" s="49">
        <f t="shared" ref="H1314:I1314" si="1038">F1314-F1313</f>
        <v>1</v>
      </c>
      <c r="I1314" s="49">
        <f t="shared" si="1038"/>
        <v>320</v>
      </c>
      <c r="J1314" s="71">
        <f t="shared" si="1017"/>
        <v>0.1277445109780439</v>
      </c>
      <c r="K1314" s="65">
        <f t="shared" si="1018"/>
        <v>0.1277445109780439</v>
      </c>
      <c r="L1314" s="50" t="s">
        <v>612</v>
      </c>
      <c r="M1314" s="30"/>
      <c r="N1314" s="30"/>
      <c r="O1314" s="30"/>
      <c r="P1314" s="30"/>
      <c r="Q1314" s="30"/>
      <c r="R1314" s="30"/>
      <c r="S1314" s="30"/>
      <c r="T1314" s="30"/>
      <c r="U1314" s="30"/>
      <c r="V1314" s="30"/>
      <c r="W1314" s="30"/>
      <c r="X1314" s="30"/>
      <c r="Y1314" s="30"/>
      <c r="Z1314" s="30"/>
      <c r="AA1314" s="30"/>
      <c r="AB1314" s="30"/>
      <c r="AC1314" s="30"/>
      <c r="AD1314" s="30"/>
      <c r="AE1314" s="30"/>
    </row>
    <row r="1315" spans="1:31" ht="13">
      <c r="A1315" s="30" t="s">
        <v>735</v>
      </c>
      <c r="B1315" s="30" t="s">
        <v>819</v>
      </c>
      <c r="C1315" s="18" t="s">
        <v>820</v>
      </c>
      <c r="D1315" s="30" t="s">
        <v>821</v>
      </c>
      <c r="E1315" s="30" t="s">
        <v>822</v>
      </c>
      <c r="F1315" s="48">
        <v>2005</v>
      </c>
      <c r="G1315" s="49">
        <v>2735</v>
      </c>
      <c r="H1315" s="49">
        <f t="shared" ref="H1315:I1315" si="1039">F1315-F1314</f>
        <v>1</v>
      </c>
      <c r="I1315" s="49">
        <f t="shared" si="1039"/>
        <v>-90</v>
      </c>
      <c r="J1315" s="71">
        <f t="shared" si="1017"/>
        <v>-3.1858407079646017E-2</v>
      </c>
      <c r="K1315" s="65">
        <f t="shared" si="1018"/>
        <v>-3.1858407079646017E-2</v>
      </c>
      <c r="L1315" s="50" t="s">
        <v>612</v>
      </c>
      <c r="M1315" s="30"/>
      <c r="N1315" s="30"/>
      <c r="O1315" s="30"/>
      <c r="P1315" s="30"/>
      <c r="Q1315" s="30"/>
      <c r="R1315" s="30"/>
      <c r="S1315" s="30"/>
      <c r="T1315" s="30"/>
      <c r="U1315" s="30"/>
      <c r="V1315" s="30"/>
      <c r="W1315" s="30"/>
      <c r="X1315" s="30"/>
      <c r="Y1315" s="30"/>
      <c r="Z1315" s="30"/>
      <c r="AA1315" s="30"/>
      <c r="AB1315" s="30"/>
      <c r="AC1315" s="30"/>
      <c r="AD1315" s="30"/>
      <c r="AE1315" s="30"/>
    </row>
    <row r="1316" spans="1:31" ht="13">
      <c r="A1316" s="30" t="s">
        <v>735</v>
      </c>
      <c r="B1316" s="30" t="s">
        <v>819</v>
      </c>
      <c r="C1316" s="18" t="s">
        <v>820</v>
      </c>
      <c r="D1316" s="30" t="s">
        <v>821</v>
      </c>
      <c r="E1316" s="30" t="s">
        <v>822</v>
      </c>
      <c r="F1316" s="48">
        <v>2006</v>
      </c>
      <c r="G1316" s="49">
        <v>2692</v>
      </c>
      <c r="H1316" s="49">
        <f t="shared" ref="H1316:I1316" si="1040">F1316-F1315</f>
        <v>1</v>
      </c>
      <c r="I1316" s="49">
        <f t="shared" si="1040"/>
        <v>-43</v>
      </c>
      <c r="J1316" s="71">
        <f t="shared" si="1017"/>
        <v>-1.5722120658135285E-2</v>
      </c>
      <c r="K1316" s="65">
        <f t="shared" si="1018"/>
        <v>-1.5722120658135285E-2</v>
      </c>
      <c r="L1316" s="50" t="s">
        <v>612</v>
      </c>
      <c r="M1316" s="30"/>
      <c r="N1316" s="30"/>
      <c r="O1316" s="30"/>
      <c r="P1316" s="30"/>
      <c r="Q1316" s="30"/>
      <c r="R1316" s="30"/>
      <c r="S1316" s="30"/>
      <c r="T1316" s="30"/>
      <c r="U1316" s="30"/>
      <c r="V1316" s="30"/>
      <c r="W1316" s="30"/>
      <c r="X1316" s="30"/>
      <c r="Y1316" s="30"/>
      <c r="Z1316" s="30"/>
      <c r="AA1316" s="30"/>
      <c r="AB1316" s="30"/>
      <c r="AC1316" s="30"/>
      <c r="AD1316" s="30"/>
      <c r="AE1316" s="30"/>
    </row>
    <row r="1317" spans="1:31" ht="13">
      <c r="A1317" s="30" t="s">
        <v>735</v>
      </c>
      <c r="B1317" s="30" t="s">
        <v>819</v>
      </c>
      <c r="C1317" s="18" t="s">
        <v>820</v>
      </c>
      <c r="D1317" s="30" t="s">
        <v>821</v>
      </c>
      <c r="E1317" s="30" t="s">
        <v>822</v>
      </c>
      <c r="F1317" s="48">
        <v>2007</v>
      </c>
      <c r="G1317" s="49">
        <v>3026</v>
      </c>
      <c r="H1317" s="49">
        <f t="shared" ref="H1317:I1317" si="1041">F1317-F1316</f>
        <v>1</v>
      </c>
      <c r="I1317" s="49">
        <f t="shared" si="1041"/>
        <v>334</v>
      </c>
      <c r="J1317" s="71">
        <f t="shared" si="1017"/>
        <v>0.12407132243684993</v>
      </c>
      <c r="K1317" s="65">
        <f t="shared" si="1018"/>
        <v>0.12407132243684993</v>
      </c>
      <c r="L1317" s="50" t="s">
        <v>612</v>
      </c>
      <c r="M1317" s="30"/>
      <c r="N1317" s="30"/>
      <c r="O1317" s="30"/>
      <c r="P1317" s="30"/>
      <c r="Q1317" s="30"/>
      <c r="R1317" s="30"/>
      <c r="S1317" s="30"/>
      <c r="T1317" s="30"/>
      <c r="U1317" s="30"/>
      <c r="V1317" s="30"/>
      <c r="W1317" s="30"/>
      <c r="X1317" s="30"/>
      <c r="Y1317" s="30"/>
      <c r="Z1317" s="30"/>
      <c r="AA1317" s="30"/>
      <c r="AB1317" s="30"/>
      <c r="AC1317" s="30"/>
      <c r="AD1317" s="30"/>
      <c r="AE1317" s="30"/>
    </row>
    <row r="1318" spans="1:31" ht="13">
      <c r="A1318" s="30" t="s">
        <v>735</v>
      </c>
      <c r="B1318" s="30" t="s">
        <v>819</v>
      </c>
      <c r="C1318" s="18" t="s">
        <v>820</v>
      </c>
      <c r="D1318" s="30" t="s">
        <v>821</v>
      </c>
      <c r="E1318" s="30" t="s">
        <v>822</v>
      </c>
      <c r="F1318" s="48">
        <v>2008</v>
      </c>
      <c r="G1318" s="49">
        <v>2760</v>
      </c>
      <c r="H1318" s="49">
        <f t="shared" ref="H1318:I1318" si="1042">F1318-F1317</f>
        <v>1</v>
      </c>
      <c r="I1318" s="49">
        <f t="shared" si="1042"/>
        <v>-266</v>
      </c>
      <c r="J1318" s="71">
        <f t="shared" si="1017"/>
        <v>-8.7904824851288824E-2</v>
      </c>
      <c r="K1318" s="65">
        <f t="shared" si="1018"/>
        <v>-8.7904824851288824E-2</v>
      </c>
      <c r="L1318" s="50" t="s">
        <v>612</v>
      </c>
      <c r="M1318" s="30"/>
      <c r="N1318" s="30"/>
      <c r="O1318" s="30"/>
      <c r="P1318" s="30"/>
      <c r="Q1318" s="30"/>
      <c r="R1318" s="30"/>
      <c r="S1318" s="30"/>
      <c r="T1318" s="30"/>
      <c r="U1318" s="30"/>
      <c r="V1318" s="30"/>
      <c r="W1318" s="30"/>
      <c r="X1318" s="30"/>
      <c r="Y1318" s="30"/>
      <c r="Z1318" s="30"/>
      <c r="AA1318" s="30"/>
      <c r="AB1318" s="30"/>
      <c r="AC1318" s="30"/>
      <c r="AD1318" s="30"/>
      <c r="AE1318" s="30"/>
    </row>
    <row r="1319" spans="1:31" ht="13">
      <c r="A1319" s="30" t="s">
        <v>735</v>
      </c>
      <c r="B1319" s="30" t="s">
        <v>819</v>
      </c>
      <c r="C1319" s="18" t="s">
        <v>820</v>
      </c>
      <c r="D1319" s="30" t="s">
        <v>821</v>
      </c>
      <c r="E1319" s="30" t="s">
        <v>822</v>
      </c>
      <c r="F1319" s="48">
        <v>2009</v>
      </c>
      <c r="G1319" s="49">
        <v>2654</v>
      </c>
      <c r="H1319" s="49">
        <f t="shared" ref="H1319:I1319" si="1043">F1319-F1318</f>
        <v>1</v>
      </c>
      <c r="I1319" s="49">
        <f t="shared" si="1043"/>
        <v>-106</v>
      </c>
      <c r="J1319" s="71">
        <f t="shared" si="1017"/>
        <v>-3.8405797101449278E-2</v>
      </c>
      <c r="K1319" s="65">
        <f t="shared" si="1018"/>
        <v>-3.8405797101449278E-2</v>
      </c>
      <c r="L1319" s="50" t="s">
        <v>612</v>
      </c>
      <c r="M1319" s="30"/>
      <c r="N1319" s="30"/>
      <c r="O1319" s="30"/>
      <c r="P1319" s="30"/>
      <c r="Q1319" s="30"/>
      <c r="R1319" s="30"/>
      <c r="S1319" s="30"/>
      <c r="T1319" s="30"/>
      <c r="U1319" s="30"/>
      <c r="V1319" s="30"/>
      <c r="W1319" s="30"/>
      <c r="X1319" s="30"/>
      <c r="Y1319" s="30"/>
      <c r="Z1319" s="30"/>
      <c r="AA1319" s="30"/>
      <c r="AB1319" s="30"/>
      <c r="AC1319" s="30"/>
      <c r="AD1319" s="30"/>
      <c r="AE1319" s="30"/>
    </row>
    <row r="1320" spans="1:31" ht="13">
      <c r="A1320" s="30" t="s">
        <v>735</v>
      </c>
      <c r="B1320" s="30" t="s">
        <v>819</v>
      </c>
      <c r="C1320" s="18" t="s">
        <v>820</v>
      </c>
      <c r="D1320" s="30" t="s">
        <v>821</v>
      </c>
      <c r="E1320" s="30" t="s">
        <v>822</v>
      </c>
      <c r="F1320" s="48">
        <v>2010</v>
      </c>
      <c r="G1320" s="49">
        <v>2719</v>
      </c>
      <c r="H1320" s="49">
        <f t="shared" ref="H1320:I1320" si="1044">F1320-F1319</f>
        <v>1</v>
      </c>
      <c r="I1320" s="49">
        <f t="shared" si="1044"/>
        <v>65</v>
      </c>
      <c r="J1320" s="71">
        <f t="shared" si="1017"/>
        <v>2.4491333835719668E-2</v>
      </c>
      <c r="K1320" s="65">
        <f t="shared" si="1018"/>
        <v>2.4491333835719668E-2</v>
      </c>
      <c r="L1320" s="50" t="s">
        <v>612</v>
      </c>
      <c r="M1320" s="30"/>
      <c r="N1320" s="30"/>
      <c r="O1320" s="30"/>
      <c r="P1320" s="30"/>
      <c r="Q1320" s="30"/>
      <c r="R1320" s="30"/>
      <c r="S1320" s="30"/>
      <c r="T1320" s="30"/>
      <c r="U1320" s="30"/>
      <c r="V1320" s="30"/>
      <c r="W1320" s="30"/>
      <c r="X1320" s="30"/>
      <c r="Y1320" s="30"/>
      <c r="Z1320" s="30"/>
      <c r="AA1320" s="30"/>
      <c r="AB1320" s="30"/>
      <c r="AC1320" s="30"/>
      <c r="AD1320" s="30"/>
      <c r="AE1320" s="30"/>
    </row>
    <row r="1321" spans="1:31" ht="13">
      <c r="A1321" s="30" t="s">
        <v>735</v>
      </c>
      <c r="B1321" s="30" t="s">
        <v>819</v>
      </c>
      <c r="C1321" s="18" t="s">
        <v>820</v>
      </c>
      <c r="D1321" s="30" t="s">
        <v>821</v>
      </c>
      <c r="E1321" s="30" t="s">
        <v>822</v>
      </c>
      <c r="F1321" s="48">
        <v>2012</v>
      </c>
      <c r="G1321" s="49">
        <v>2865</v>
      </c>
      <c r="H1321" s="49">
        <f t="shared" ref="H1321:I1321" si="1045">F1321-F1320</f>
        <v>2</v>
      </c>
      <c r="I1321" s="49">
        <f t="shared" si="1045"/>
        <v>146</v>
      </c>
      <c r="J1321" s="71">
        <f t="shared" si="1017"/>
        <v>5.3696211842589187E-2</v>
      </c>
      <c r="K1321" s="65">
        <f t="shared" si="1018"/>
        <v>2.6848105921294593E-2</v>
      </c>
      <c r="L1321" s="50" t="s">
        <v>612</v>
      </c>
      <c r="M1321" s="30"/>
      <c r="N1321" s="30"/>
      <c r="O1321" s="30"/>
      <c r="P1321" s="30"/>
      <c r="Q1321" s="30"/>
      <c r="R1321" s="30"/>
      <c r="S1321" s="30"/>
      <c r="T1321" s="30"/>
      <c r="U1321" s="30"/>
      <c r="V1321" s="30"/>
      <c r="W1321" s="30"/>
      <c r="X1321" s="30"/>
      <c r="Y1321" s="30"/>
      <c r="Z1321" s="30"/>
      <c r="AA1321" s="30"/>
      <c r="AB1321" s="30"/>
      <c r="AC1321" s="30"/>
      <c r="AD1321" s="30"/>
      <c r="AE1321" s="30"/>
    </row>
    <row r="1322" spans="1:31" ht="13">
      <c r="A1322" s="30" t="s">
        <v>735</v>
      </c>
      <c r="B1322" s="30" t="s">
        <v>819</v>
      </c>
      <c r="C1322" s="18" t="s">
        <v>820</v>
      </c>
      <c r="D1322" s="30" t="s">
        <v>821</v>
      </c>
      <c r="E1322" s="30" t="s">
        <v>822</v>
      </c>
      <c r="F1322" s="48">
        <v>2013</v>
      </c>
      <c r="G1322" s="49">
        <v>2899</v>
      </c>
      <c r="H1322" s="49">
        <f t="shared" ref="H1322:I1322" si="1046">F1322-F1321</f>
        <v>1</v>
      </c>
      <c r="I1322" s="49">
        <f t="shared" si="1046"/>
        <v>34</v>
      </c>
      <c r="J1322" s="71">
        <f t="shared" si="1017"/>
        <v>1.1867364746945899E-2</v>
      </c>
      <c r="K1322" s="65">
        <f t="shared" si="1018"/>
        <v>1.1867364746945899E-2</v>
      </c>
      <c r="L1322" s="50" t="s">
        <v>612</v>
      </c>
      <c r="M1322" s="30"/>
      <c r="N1322" s="30"/>
      <c r="O1322" s="30"/>
      <c r="P1322" s="30"/>
      <c r="Q1322" s="30"/>
      <c r="R1322" s="30"/>
      <c r="S1322" s="30"/>
      <c r="T1322" s="30"/>
      <c r="U1322" s="30"/>
      <c r="V1322" s="30"/>
      <c r="W1322" s="30"/>
      <c r="X1322" s="30"/>
      <c r="Y1322" s="30"/>
      <c r="Z1322" s="30"/>
      <c r="AA1322" s="30"/>
      <c r="AB1322" s="30"/>
      <c r="AC1322" s="30"/>
      <c r="AD1322" s="30"/>
      <c r="AE1322" s="30"/>
    </row>
    <row r="1323" spans="1:31" ht="13">
      <c r="A1323" s="30" t="s">
        <v>735</v>
      </c>
      <c r="B1323" s="30" t="s">
        <v>819</v>
      </c>
      <c r="C1323" s="18" t="s">
        <v>820</v>
      </c>
      <c r="D1323" s="30" t="s">
        <v>821</v>
      </c>
      <c r="E1323" s="30" t="s">
        <v>822</v>
      </c>
      <c r="F1323" s="48">
        <v>2014</v>
      </c>
      <c r="G1323" s="49">
        <v>2879</v>
      </c>
      <c r="H1323" s="49">
        <f t="shared" ref="H1323:I1323" si="1047">F1323-F1322</f>
        <v>1</v>
      </c>
      <c r="I1323" s="49">
        <f t="shared" si="1047"/>
        <v>-20</v>
      </c>
      <c r="J1323" s="71">
        <f t="shared" si="1017"/>
        <v>-6.8989306657468094E-3</v>
      </c>
      <c r="K1323" s="65">
        <f t="shared" si="1018"/>
        <v>-6.8989306657468094E-3</v>
      </c>
      <c r="L1323" s="50" t="s">
        <v>612</v>
      </c>
      <c r="M1323" s="30"/>
      <c r="N1323" s="30"/>
      <c r="O1323" s="30"/>
      <c r="P1323" s="30"/>
      <c r="Q1323" s="30"/>
      <c r="R1323" s="30"/>
      <c r="S1323" s="30"/>
      <c r="T1323" s="30"/>
      <c r="U1323" s="30"/>
      <c r="V1323" s="30"/>
      <c r="W1323" s="30"/>
      <c r="X1323" s="30"/>
      <c r="Y1323" s="30"/>
      <c r="Z1323" s="30"/>
      <c r="AA1323" s="30"/>
      <c r="AB1323" s="30"/>
      <c r="AC1323" s="30"/>
      <c r="AD1323" s="30"/>
      <c r="AE1323" s="30"/>
    </row>
    <row r="1324" spans="1:31" ht="13">
      <c r="A1324" s="30" t="s">
        <v>735</v>
      </c>
      <c r="B1324" s="30" t="s">
        <v>819</v>
      </c>
      <c r="C1324" s="18" t="s">
        <v>820</v>
      </c>
      <c r="D1324" s="30" t="s">
        <v>821</v>
      </c>
      <c r="E1324" s="30" t="s">
        <v>822</v>
      </c>
      <c r="F1324" s="48">
        <v>2015</v>
      </c>
      <c r="G1324" s="49">
        <v>3193</v>
      </c>
      <c r="H1324" s="49">
        <f t="shared" ref="H1324:I1324" si="1048">F1324-F1323</f>
        <v>1</v>
      </c>
      <c r="I1324" s="49">
        <f t="shared" si="1048"/>
        <v>314</v>
      </c>
      <c r="J1324" s="71">
        <f t="shared" si="1017"/>
        <v>0.10906564779437304</v>
      </c>
      <c r="K1324" s="65">
        <f t="shared" si="1018"/>
        <v>0.10906564779437304</v>
      </c>
      <c r="L1324" s="50" t="s">
        <v>612</v>
      </c>
      <c r="M1324" s="30"/>
      <c r="N1324" s="30"/>
      <c r="O1324" s="30"/>
      <c r="P1324" s="30"/>
      <c r="Q1324" s="30"/>
      <c r="R1324" s="30"/>
      <c r="S1324" s="30"/>
      <c r="T1324" s="30"/>
      <c r="U1324" s="30"/>
      <c r="V1324" s="30"/>
      <c r="W1324" s="30"/>
      <c r="X1324" s="30"/>
      <c r="Y1324" s="30"/>
      <c r="Z1324" s="30"/>
      <c r="AA1324" s="30"/>
      <c r="AB1324" s="30"/>
      <c r="AC1324" s="30"/>
      <c r="AD1324" s="30"/>
      <c r="AE1324" s="30"/>
    </row>
    <row r="1325" spans="1:31" ht="13">
      <c r="A1325" s="30" t="s">
        <v>735</v>
      </c>
      <c r="B1325" s="30" t="s">
        <v>819</v>
      </c>
      <c r="C1325" s="18" t="s">
        <v>820</v>
      </c>
      <c r="D1325" s="30" t="s">
        <v>821</v>
      </c>
      <c r="E1325" s="30" t="s">
        <v>822</v>
      </c>
      <c r="F1325" s="48">
        <v>2016</v>
      </c>
      <c r="G1325" s="49">
        <v>3511</v>
      </c>
      <c r="H1325" s="49">
        <f t="shared" ref="H1325:I1325" si="1049">F1325-F1324</f>
        <v>1</v>
      </c>
      <c r="I1325" s="49">
        <f t="shared" si="1049"/>
        <v>318</v>
      </c>
      <c r="J1325" s="71">
        <f t="shared" si="1017"/>
        <v>9.9592859379893511E-2</v>
      </c>
      <c r="K1325" s="65">
        <f t="shared" si="1018"/>
        <v>9.9592859379893511E-2</v>
      </c>
      <c r="L1325" s="50" t="s">
        <v>612</v>
      </c>
      <c r="M1325" s="30"/>
      <c r="N1325" s="30"/>
      <c r="O1325" s="30"/>
      <c r="P1325" s="30"/>
      <c r="Q1325" s="30"/>
      <c r="R1325" s="30"/>
      <c r="S1325" s="30"/>
      <c r="T1325" s="30"/>
      <c r="U1325" s="30"/>
      <c r="V1325" s="30"/>
      <c r="W1325" s="30"/>
      <c r="X1325" s="30"/>
      <c r="Y1325" s="30"/>
      <c r="Z1325" s="30"/>
      <c r="AA1325" s="30"/>
      <c r="AB1325" s="30"/>
      <c r="AC1325" s="30"/>
      <c r="AD1325" s="30"/>
      <c r="AE1325" s="30"/>
    </row>
    <row r="1326" spans="1:31" ht="13">
      <c r="A1326" s="30" t="s">
        <v>735</v>
      </c>
      <c r="B1326" s="30" t="s">
        <v>819</v>
      </c>
      <c r="C1326" s="18" t="s">
        <v>820</v>
      </c>
      <c r="D1326" s="30" t="s">
        <v>821</v>
      </c>
      <c r="E1326" s="30" t="s">
        <v>822</v>
      </c>
      <c r="F1326" s="48">
        <v>2017</v>
      </c>
      <c r="G1326" s="49">
        <v>2607</v>
      </c>
      <c r="H1326" s="49">
        <f t="shared" ref="H1326:I1326" si="1050">F1326-F1325</f>
        <v>1</v>
      </c>
      <c r="I1326" s="49">
        <f t="shared" si="1050"/>
        <v>-904</v>
      </c>
      <c r="J1326" s="71">
        <f t="shared" si="1017"/>
        <v>-0.25747650242096271</v>
      </c>
      <c r="K1326" s="65">
        <f t="shared" si="1018"/>
        <v>-0.25747650242096271</v>
      </c>
      <c r="L1326" s="50" t="s">
        <v>612</v>
      </c>
      <c r="M1326" s="30"/>
      <c r="N1326" s="30"/>
      <c r="O1326" s="30"/>
      <c r="P1326" s="30"/>
      <c r="Q1326" s="30"/>
      <c r="R1326" s="30"/>
      <c r="S1326" s="30"/>
      <c r="T1326" s="30"/>
      <c r="U1326" s="30"/>
      <c r="V1326" s="30"/>
      <c r="W1326" s="30"/>
      <c r="X1326" s="30"/>
      <c r="Y1326" s="30"/>
      <c r="Z1326" s="30"/>
      <c r="AA1326" s="30"/>
      <c r="AB1326" s="30"/>
      <c r="AC1326" s="30"/>
      <c r="AD1326" s="30"/>
      <c r="AE1326" s="30"/>
    </row>
    <row r="1327" spans="1:31" ht="13">
      <c r="A1327" s="30" t="s">
        <v>735</v>
      </c>
      <c r="B1327" s="30" t="s">
        <v>819</v>
      </c>
      <c r="C1327" s="18" t="s">
        <v>820</v>
      </c>
      <c r="D1327" s="30" t="s">
        <v>821</v>
      </c>
      <c r="E1327" s="30" t="s">
        <v>822</v>
      </c>
      <c r="F1327" s="48">
        <v>2018</v>
      </c>
      <c r="G1327" s="49">
        <v>2986</v>
      </c>
      <c r="H1327" s="49">
        <f t="shared" ref="H1327:I1327" si="1051">F1327-F1326</f>
        <v>1</v>
      </c>
      <c r="I1327" s="49">
        <f t="shared" si="1051"/>
        <v>379</v>
      </c>
      <c r="J1327" s="71">
        <f t="shared" si="1017"/>
        <v>0.14537782892213272</v>
      </c>
      <c r="K1327" s="65">
        <f t="shared" si="1018"/>
        <v>0.14537782892213272</v>
      </c>
      <c r="L1327" s="50" t="s">
        <v>612</v>
      </c>
      <c r="M1327" s="30"/>
      <c r="N1327" s="30"/>
      <c r="O1327" s="30"/>
      <c r="P1327" s="30"/>
      <c r="Q1327" s="30"/>
      <c r="R1327" s="30"/>
      <c r="S1327" s="30"/>
      <c r="T1327" s="30"/>
      <c r="U1327" s="30"/>
      <c r="V1327" s="30"/>
      <c r="W1327" s="30"/>
      <c r="X1327" s="30"/>
      <c r="Y1327" s="30"/>
      <c r="Z1327" s="30"/>
      <c r="AA1327" s="30"/>
      <c r="AB1327" s="30"/>
      <c r="AC1327" s="30"/>
      <c r="AD1327" s="30"/>
      <c r="AE1327" s="30"/>
    </row>
    <row r="1328" spans="1:31" ht="13">
      <c r="A1328" s="30" t="s">
        <v>735</v>
      </c>
      <c r="B1328" s="30" t="s">
        <v>819</v>
      </c>
      <c r="C1328" s="18" t="s">
        <v>820</v>
      </c>
      <c r="D1328" s="30" t="s">
        <v>821</v>
      </c>
      <c r="E1328" s="30" t="s">
        <v>822</v>
      </c>
      <c r="F1328" s="48">
        <v>2019</v>
      </c>
      <c r="G1328" s="49">
        <v>2996</v>
      </c>
      <c r="H1328" s="49">
        <f t="shared" ref="H1328:I1328" si="1052">F1328-F1327</f>
        <v>1</v>
      </c>
      <c r="I1328" s="49">
        <f t="shared" si="1052"/>
        <v>10</v>
      </c>
      <c r="J1328" s="71">
        <f t="shared" si="1017"/>
        <v>3.3489618218352311E-3</v>
      </c>
      <c r="K1328" s="65">
        <f t="shared" si="1018"/>
        <v>3.3489618218352311E-3</v>
      </c>
      <c r="L1328" s="50" t="s">
        <v>612</v>
      </c>
      <c r="M1328" s="30"/>
      <c r="N1328" s="30"/>
      <c r="O1328" s="30"/>
      <c r="P1328" s="30"/>
      <c r="Q1328" s="30"/>
      <c r="R1328" s="30"/>
      <c r="S1328" s="30"/>
      <c r="T1328" s="30"/>
      <c r="U1328" s="30"/>
      <c r="V1328" s="30"/>
      <c r="W1328" s="30"/>
      <c r="X1328" s="30"/>
      <c r="Y1328" s="30"/>
      <c r="Z1328" s="30"/>
      <c r="AA1328" s="30"/>
      <c r="AB1328" s="30"/>
      <c r="AC1328" s="30"/>
      <c r="AD1328" s="30"/>
      <c r="AE1328" s="30"/>
    </row>
    <row r="1329" spans="1:29" ht="13">
      <c r="A1329" s="27" t="s">
        <v>371</v>
      </c>
      <c r="B1329" s="27" t="s">
        <v>305</v>
      </c>
      <c r="C1329" s="18" t="s">
        <v>824</v>
      </c>
      <c r="D1329" s="27" t="s">
        <v>825</v>
      </c>
      <c r="E1329" s="27" t="s">
        <v>611</v>
      </c>
      <c r="F1329" s="37">
        <v>1990.98976643523</v>
      </c>
      <c r="G1329" s="37">
        <v>1637</v>
      </c>
      <c r="H1329" s="37" t="s">
        <v>402</v>
      </c>
      <c r="I1329" s="37" t="s">
        <v>402</v>
      </c>
      <c r="J1329" s="65" t="s">
        <v>402</v>
      </c>
      <c r="K1329" s="65" t="s">
        <v>402</v>
      </c>
      <c r="L1329" s="38" t="s">
        <v>612</v>
      </c>
      <c r="M1329" s="27"/>
      <c r="N1329" s="27"/>
      <c r="O1329" s="27"/>
      <c r="P1329" s="27"/>
      <c r="Q1329" s="27"/>
      <c r="R1329" s="27"/>
      <c r="S1329" s="27"/>
      <c r="T1329" s="27"/>
      <c r="U1329" s="27"/>
      <c r="V1329" s="27"/>
      <c r="W1329" s="27"/>
      <c r="X1329" s="27"/>
      <c r="Y1329" s="27"/>
      <c r="Z1329" s="27"/>
      <c r="AA1329" s="27"/>
      <c r="AB1329" s="27"/>
      <c r="AC1329" s="27"/>
    </row>
    <row r="1330" spans="1:29" ht="13">
      <c r="A1330" s="27" t="s">
        <v>371</v>
      </c>
      <c r="B1330" s="27" t="s">
        <v>305</v>
      </c>
      <c r="C1330" s="18" t="s">
        <v>824</v>
      </c>
      <c r="D1330" s="27" t="s">
        <v>825</v>
      </c>
      <c r="E1330" s="27" t="s">
        <v>611</v>
      </c>
      <c r="F1330" s="37">
        <v>1992.9678134338201</v>
      </c>
      <c r="G1330" s="37">
        <v>1726</v>
      </c>
      <c r="H1330" s="37">
        <f t="shared" ref="H1330:I1330" si="1053">F1330-F1329</f>
        <v>1.9780469985901163</v>
      </c>
      <c r="I1330" s="37">
        <f t="shared" si="1053"/>
        <v>89</v>
      </c>
      <c r="J1330" s="65">
        <f t="shared" ref="J1330:J1335" si="1054">I1330/G1329</f>
        <v>5.4367745876603542E-2</v>
      </c>
      <c r="K1330" s="65">
        <f t="shared" ref="K1330:K1335" si="1055">J1330/H1330</f>
        <v>2.7485568298101611E-2</v>
      </c>
      <c r="L1330" s="38" t="s">
        <v>612</v>
      </c>
    </row>
    <row r="1331" spans="1:29" ht="13">
      <c r="A1331" s="27" t="s">
        <v>371</v>
      </c>
      <c r="B1331" s="27" t="s">
        <v>305</v>
      </c>
      <c r="C1331" s="18" t="s">
        <v>824</v>
      </c>
      <c r="D1331" s="27" t="s">
        <v>825</v>
      </c>
      <c r="E1331" s="27" t="s">
        <v>611</v>
      </c>
      <c r="F1331" s="37">
        <v>1995.9907579319699</v>
      </c>
      <c r="G1331" s="37">
        <v>1690</v>
      </c>
      <c r="H1331" s="37">
        <f t="shared" ref="H1331:I1331" si="1056">F1331-F1330</f>
        <v>3.0229444981498546</v>
      </c>
      <c r="I1331" s="37">
        <f t="shared" si="1056"/>
        <v>-36</v>
      </c>
      <c r="J1331" s="65">
        <f t="shared" si="1054"/>
        <v>-2.085747392815759E-2</v>
      </c>
      <c r="K1331" s="65">
        <f t="shared" si="1055"/>
        <v>-6.8997210967396451E-3</v>
      </c>
      <c r="L1331" s="38" t="s">
        <v>612</v>
      </c>
    </row>
    <row r="1332" spans="1:29" ht="13">
      <c r="A1332" s="27" t="s">
        <v>371</v>
      </c>
      <c r="B1332" s="27" t="s">
        <v>305</v>
      </c>
      <c r="C1332" s="18" t="s">
        <v>824</v>
      </c>
      <c r="D1332" s="27" t="s">
        <v>825</v>
      </c>
      <c r="E1332" s="27" t="s">
        <v>611</v>
      </c>
      <c r="F1332" s="37">
        <v>2000.9634492002101</v>
      </c>
      <c r="G1332" s="37">
        <v>1849</v>
      </c>
      <c r="H1332" s="37">
        <f t="shared" ref="H1332:I1332" si="1057">F1332-F1331</f>
        <v>4.9726912682401689</v>
      </c>
      <c r="I1332" s="37">
        <f t="shared" si="1057"/>
        <v>159</v>
      </c>
      <c r="J1332" s="65">
        <f t="shared" si="1054"/>
        <v>9.4082840236686394E-2</v>
      </c>
      <c r="K1332" s="65">
        <f t="shared" si="1055"/>
        <v>1.8919903762692716E-2</v>
      </c>
      <c r="L1332" s="38" t="s">
        <v>612</v>
      </c>
    </row>
    <row r="1333" spans="1:29" ht="13">
      <c r="A1333" s="27" t="s">
        <v>371</v>
      </c>
      <c r="B1333" s="27" t="s">
        <v>305</v>
      </c>
      <c r="C1333" s="18" t="s">
        <v>824</v>
      </c>
      <c r="D1333" s="27" t="s">
        <v>825</v>
      </c>
      <c r="E1333" s="27" t="s">
        <v>611</v>
      </c>
      <c r="F1333" s="37">
        <v>2004.97393269907</v>
      </c>
      <c r="G1333" s="37">
        <v>2108</v>
      </c>
      <c r="H1333" s="37">
        <f t="shared" ref="H1333:I1333" si="1058">F1333-F1332</f>
        <v>4.0104834988599123</v>
      </c>
      <c r="I1333" s="37">
        <f t="shared" si="1058"/>
        <v>259</v>
      </c>
      <c r="J1333" s="65">
        <f t="shared" si="1054"/>
        <v>0.14007571660356949</v>
      </c>
      <c r="K1333" s="65">
        <f t="shared" si="1055"/>
        <v>3.4927388840619786E-2</v>
      </c>
      <c r="L1333" s="38" t="s">
        <v>612</v>
      </c>
    </row>
    <row r="1334" spans="1:29" ht="13">
      <c r="A1334" s="27" t="s">
        <v>371</v>
      </c>
      <c r="B1334" s="27" t="s">
        <v>305</v>
      </c>
      <c r="C1334" s="18" t="s">
        <v>824</v>
      </c>
      <c r="D1334" s="27" t="s">
        <v>825</v>
      </c>
      <c r="E1334" s="27" t="s">
        <v>611</v>
      </c>
      <c r="F1334" s="37">
        <v>2007.94292988662</v>
      </c>
      <c r="G1334" s="37">
        <v>1890</v>
      </c>
      <c r="H1334" s="37">
        <f t="shared" ref="H1334:I1334" si="1059">F1334-F1333</f>
        <v>2.9689971875500305</v>
      </c>
      <c r="I1334" s="37">
        <f t="shared" si="1059"/>
        <v>-218</v>
      </c>
      <c r="J1334" s="65">
        <f t="shared" si="1054"/>
        <v>-0.10341555977229601</v>
      </c>
      <c r="K1334" s="65">
        <f t="shared" si="1055"/>
        <v>-3.4831814663197069E-2</v>
      </c>
      <c r="L1334" s="38" t="s">
        <v>612</v>
      </c>
    </row>
    <row r="1335" spans="1:29" ht="13">
      <c r="A1335" s="27" t="s">
        <v>371</v>
      </c>
      <c r="B1335" s="27" t="s">
        <v>305</v>
      </c>
      <c r="C1335" s="18" t="s">
        <v>824</v>
      </c>
      <c r="D1335" s="27" t="s">
        <v>825</v>
      </c>
      <c r="E1335" s="27" t="s">
        <v>611</v>
      </c>
      <c r="F1335" s="37">
        <v>2013.9603291439601</v>
      </c>
      <c r="G1335" s="37">
        <v>1997</v>
      </c>
      <c r="H1335" s="37">
        <f t="shared" ref="H1335:I1335" si="1060">F1335-F1334</f>
        <v>6.0173992573400028</v>
      </c>
      <c r="I1335" s="37">
        <f t="shared" si="1060"/>
        <v>107</v>
      </c>
      <c r="J1335" s="65">
        <f t="shared" si="1054"/>
        <v>5.6613756613756616E-2</v>
      </c>
      <c r="K1335" s="65">
        <f t="shared" si="1055"/>
        <v>9.4083430719175479E-3</v>
      </c>
      <c r="L1335" s="38" t="s">
        <v>612</v>
      </c>
    </row>
    <row r="1336" spans="1:29" ht="13">
      <c r="A1336" s="18" t="s">
        <v>827</v>
      </c>
      <c r="B1336" s="18" t="s">
        <v>345</v>
      </c>
      <c r="C1336" s="18" t="s">
        <v>828</v>
      </c>
      <c r="D1336" s="18" t="s">
        <v>829</v>
      </c>
      <c r="E1336" s="18" t="s">
        <v>647</v>
      </c>
      <c r="F1336" s="18">
        <v>1987</v>
      </c>
      <c r="G1336" s="40">
        <v>22657</v>
      </c>
      <c r="H1336" s="40" t="s">
        <v>402</v>
      </c>
      <c r="I1336" s="40" t="s">
        <v>402</v>
      </c>
      <c r="J1336" s="66" t="s">
        <v>402</v>
      </c>
      <c r="K1336" s="65" t="s">
        <v>402</v>
      </c>
      <c r="L1336" s="37" t="s">
        <v>637</v>
      </c>
    </row>
    <row r="1337" spans="1:29" ht="13">
      <c r="A1337" s="18" t="s">
        <v>827</v>
      </c>
      <c r="B1337" s="18" t="s">
        <v>345</v>
      </c>
      <c r="C1337" s="27" t="s">
        <v>828</v>
      </c>
      <c r="D1337" s="18" t="s">
        <v>829</v>
      </c>
      <c r="E1337" s="18" t="s">
        <v>647</v>
      </c>
      <c r="F1337" s="18">
        <v>1988</v>
      </c>
      <c r="G1337" s="40">
        <v>23344</v>
      </c>
      <c r="H1337" s="40">
        <f t="shared" ref="H1337:I1337" si="1061">F1337-F1336</f>
        <v>1</v>
      </c>
      <c r="I1337" s="40">
        <f t="shared" si="1061"/>
        <v>687</v>
      </c>
      <c r="J1337" s="66">
        <f t="shared" ref="J1337:J1366" si="1062">I1337/G1336</f>
        <v>3.0321754866045814E-2</v>
      </c>
      <c r="K1337" s="65">
        <f t="shared" ref="K1337:K1366" si="1063">J1337/H1337</f>
        <v>3.0321754866045814E-2</v>
      </c>
      <c r="L1337" s="38" t="s">
        <v>637</v>
      </c>
    </row>
    <row r="1338" spans="1:29" ht="13">
      <c r="A1338" s="18" t="s">
        <v>827</v>
      </c>
      <c r="B1338" s="18" t="s">
        <v>345</v>
      </c>
      <c r="C1338" s="27" t="s">
        <v>828</v>
      </c>
      <c r="D1338" s="18" t="s">
        <v>829</v>
      </c>
      <c r="E1338" s="18" t="s">
        <v>647</v>
      </c>
      <c r="F1338" s="18">
        <v>1989</v>
      </c>
      <c r="G1338" s="40">
        <v>23735</v>
      </c>
      <c r="H1338" s="40">
        <f t="shared" ref="H1338:I1338" si="1064">F1338-F1337</f>
        <v>1</v>
      </c>
      <c r="I1338" s="40">
        <f t="shared" si="1064"/>
        <v>391</v>
      </c>
      <c r="J1338" s="66">
        <f t="shared" si="1062"/>
        <v>1.6749485949280329E-2</v>
      </c>
      <c r="K1338" s="65">
        <f t="shared" si="1063"/>
        <v>1.6749485949280329E-2</v>
      </c>
      <c r="L1338" s="38" t="s">
        <v>637</v>
      </c>
    </row>
    <row r="1339" spans="1:29" ht="13">
      <c r="A1339" s="18" t="s">
        <v>827</v>
      </c>
      <c r="B1339" s="18" t="s">
        <v>345</v>
      </c>
      <c r="C1339" s="27" t="s">
        <v>828</v>
      </c>
      <c r="D1339" s="18" t="s">
        <v>829</v>
      </c>
      <c r="E1339" s="18" t="s">
        <v>647</v>
      </c>
      <c r="F1339" s="18">
        <v>1990</v>
      </c>
      <c r="G1339" s="40">
        <v>23830</v>
      </c>
      <c r="H1339" s="40">
        <f t="shared" ref="H1339:I1339" si="1065">F1339-F1338</f>
        <v>1</v>
      </c>
      <c r="I1339" s="40">
        <f t="shared" si="1065"/>
        <v>95</v>
      </c>
      <c r="J1339" s="66">
        <f t="shared" si="1062"/>
        <v>4.0025279123657043E-3</v>
      </c>
      <c r="K1339" s="65">
        <f t="shared" si="1063"/>
        <v>4.0025279123657043E-3</v>
      </c>
      <c r="L1339" s="38" t="s">
        <v>637</v>
      </c>
    </row>
    <row r="1340" spans="1:29" ht="13">
      <c r="A1340" s="18" t="s">
        <v>827</v>
      </c>
      <c r="B1340" s="18" t="s">
        <v>345</v>
      </c>
      <c r="C1340" s="27" t="s">
        <v>828</v>
      </c>
      <c r="D1340" s="18" t="s">
        <v>829</v>
      </c>
      <c r="E1340" s="18" t="s">
        <v>647</v>
      </c>
      <c r="F1340" s="18">
        <v>1991</v>
      </c>
      <c r="G1340" s="40">
        <v>25700</v>
      </c>
      <c r="H1340" s="40">
        <f t="shared" ref="H1340:I1340" si="1066">F1340-F1339</f>
        <v>1</v>
      </c>
      <c r="I1340" s="40">
        <f t="shared" si="1066"/>
        <v>1870</v>
      </c>
      <c r="J1340" s="66">
        <f t="shared" si="1062"/>
        <v>7.8472513638271083E-2</v>
      </c>
      <c r="K1340" s="65">
        <f t="shared" si="1063"/>
        <v>7.8472513638271083E-2</v>
      </c>
      <c r="L1340" s="38" t="s">
        <v>637</v>
      </c>
    </row>
    <row r="1341" spans="1:29" ht="13">
      <c r="A1341" s="18" t="s">
        <v>827</v>
      </c>
      <c r="B1341" s="18" t="s">
        <v>345</v>
      </c>
      <c r="C1341" s="27" t="s">
        <v>828</v>
      </c>
      <c r="D1341" s="18" t="s">
        <v>829</v>
      </c>
      <c r="E1341" s="18" t="s">
        <v>647</v>
      </c>
      <c r="F1341" s="18">
        <v>1992</v>
      </c>
      <c r="G1341" s="40">
        <v>26091</v>
      </c>
      <c r="H1341" s="40">
        <f t="shared" ref="H1341:I1341" si="1067">F1341-F1340</f>
        <v>1</v>
      </c>
      <c r="I1341" s="40">
        <f t="shared" si="1067"/>
        <v>391</v>
      </c>
      <c r="J1341" s="66">
        <f t="shared" si="1062"/>
        <v>1.5214007782101167E-2</v>
      </c>
      <c r="K1341" s="65">
        <f t="shared" si="1063"/>
        <v>1.5214007782101167E-2</v>
      </c>
      <c r="L1341" s="38" t="s">
        <v>637</v>
      </c>
    </row>
    <row r="1342" spans="1:29" ht="13">
      <c r="A1342" s="18" t="s">
        <v>827</v>
      </c>
      <c r="B1342" s="18" t="s">
        <v>345</v>
      </c>
      <c r="C1342" s="27" t="s">
        <v>828</v>
      </c>
      <c r="D1342" s="18" t="s">
        <v>829</v>
      </c>
      <c r="E1342" s="18" t="s">
        <v>647</v>
      </c>
      <c r="F1342" s="18">
        <v>1993</v>
      </c>
      <c r="G1342" s="40">
        <v>25890</v>
      </c>
      <c r="H1342" s="40">
        <f t="shared" ref="H1342:I1342" si="1068">F1342-F1341</f>
        <v>1</v>
      </c>
      <c r="I1342" s="40">
        <f t="shared" si="1068"/>
        <v>-201</v>
      </c>
      <c r="J1342" s="66">
        <f t="shared" si="1062"/>
        <v>-7.7038059100839372E-3</v>
      </c>
      <c r="K1342" s="65">
        <f t="shared" si="1063"/>
        <v>-7.7038059100839372E-3</v>
      </c>
      <c r="L1342" s="38" t="s">
        <v>637</v>
      </c>
    </row>
    <row r="1343" spans="1:29" ht="13">
      <c r="A1343" s="18" t="s">
        <v>827</v>
      </c>
      <c r="B1343" s="18" t="s">
        <v>345</v>
      </c>
      <c r="C1343" s="27" t="s">
        <v>828</v>
      </c>
      <c r="D1343" s="18" t="s">
        <v>829</v>
      </c>
      <c r="E1343" s="18" t="s">
        <v>647</v>
      </c>
      <c r="F1343" s="18">
        <v>1994</v>
      </c>
      <c r="G1343" s="40">
        <v>27858</v>
      </c>
      <c r="H1343" s="40">
        <f t="shared" ref="H1343:I1343" si="1069">F1343-F1342</f>
        <v>1</v>
      </c>
      <c r="I1343" s="40">
        <f t="shared" si="1069"/>
        <v>1968</v>
      </c>
      <c r="J1343" s="66">
        <f t="shared" si="1062"/>
        <v>7.6013904982618771E-2</v>
      </c>
      <c r="K1343" s="65">
        <f t="shared" si="1063"/>
        <v>7.6013904982618771E-2</v>
      </c>
      <c r="L1343" s="38" t="s">
        <v>637</v>
      </c>
    </row>
    <row r="1344" spans="1:29" ht="13">
      <c r="A1344" s="18" t="s">
        <v>827</v>
      </c>
      <c r="B1344" s="18" t="s">
        <v>345</v>
      </c>
      <c r="C1344" s="27" t="s">
        <v>828</v>
      </c>
      <c r="D1344" s="18" t="s">
        <v>829</v>
      </c>
      <c r="E1344" s="18" t="s">
        <v>647</v>
      </c>
      <c r="F1344" s="18">
        <v>1995</v>
      </c>
      <c r="G1344" s="40">
        <v>28052</v>
      </c>
      <c r="H1344" s="40">
        <f t="shared" ref="H1344:I1344" si="1070">F1344-F1343</f>
        <v>1</v>
      </c>
      <c r="I1344" s="40">
        <f t="shared" si="1070"/>
        <v>194</v>
      </c>
      <c r="J1344" s="66">
        <f t="shared" si="1062"/>
        <v>6.9638882906166988E-3</v>
      </c>
      <c r="K1344" s="65">
        <f t="shared" si="1063"/>
        <v>6.9638882906166988E-3</v>
      </c>
      <c r="L1344" s="38" t="s">
        <v>637</v>
      </c>
    </row>
    <row r="1345" spans="1:12" ht="13">
      <c r="A1345" s="18" t="s">
        <v>827</v>
      </c>
      <c r="B1345" s="18" t="s">
        <v>345</v>
      </c>
      <c r="C1345" s="27" t="s">
        <v>828</v>
      </c>
      <c r="D1345" s="18" t="s">
        <v>829</v>
      </c>
      <c r="E1345" s="18" t="s">
        <v>647</v>
      </c>
      <c r="F1345" s="18">
        <v>1996</v>
      </c>
      <c r="G1345" s="40">
        <v>27555</v>
      </c>
      <c r="H1345" s="40">
        <f t="shared" ref="H1345:I1345" si="1071">F1345-F1344</f>
        <v>1</v>
      </c>
      <c r="I1345" s="40">
        <f t="shared" si="1071"/>
        <v>-497</v>
      </c>
      <c r="J1345" s="66">
        <f t="shared" si="1062"/>
        <v>-1.7717096820191073E-2</v>
      </c>
      <c r="K1345" s="65">
        <f t="shared" si="1063"/>
        <v>-1.7717096820191073E-2</v>
      </c>
      <c r="L1345" s="38" t="s">
        <v>637</v>
      </c>
    </row>
    <row r="1346" spans="1:12" ht="13">
      <c r="A1346" s="18" t="s">
        <v>827</v>
      </c>
      <c r="B1346" s="18" t="s">
        <v>345</v>
      </c>
      <c r="C1346" s="27" t="s">
        <v>828</v>
      </c>
      <c r="D1346" s="18" t="s">
        <v>829</v>
      </c>
      <c r="E1346" s="18" t="s">
        <v>647</v>
      </c>
      <c r="F1346" s="18">
        <v>1997</v>
      </c>
      <c r="G1346" s="40">
        <v>29721</v>
      </c>
      <c r="H1346" s="40">
        <f t="shared" ref="H1346:I1346" si="1072">F1346-F1345</f>
        <v>1</v>
      </c>
      <c r="I1346" s="40">
        <f t="shared" si="1072"/>
        <v>2166</v>
      </c>
      <c r="J1346" s="66">
        <f t="shared" si="1062"/>
        <v>7.8606423516603158E-2</v>
      </c>
      <c r="K1346" s="65">
        <f t="shared" si="1063"/>
        <v>7.8606423516603158E-2</v>
      </c>
      <c r="L1346" s="38" t="s">
        <v>637</v>
      </c>
    </row>
    <row r="1347" spans="1:12" ht="13">
      <c r="A1347" s="18" t="s">
        <v>827</v>
      </c>
      <c r="B1347" s="18" t="s">
        <v>345</v>
      </c>
      <c r="C1347" s="27" t="s">
        <v>828</v>
      </c>
      <c r="D1347" s="18" t="s">
        <v>829</v>
      </c>
      <c r="E1347" s="18" t="s">
        <v>647</v>
      </c>
      <c r="F1347" s="18">
        <v>1998</v>
      </c>
      <c r="G1347" s="40">
        <v>29915</v>
      </c>
      <c r="H1347" s="40">
        <f t="shared" ref="H1347:I1347" si="1073">F1347-F1346</f>
        <v>1</v>
      </c>
      <c r="I1347" s="40">
        <f t="shared" si="1073"/>
        <v>194</v>
      </c>
      <c r="J1347" s="66">
        <f t="shared" si="1062"/>
        <v>6.5273712190033984E-3</v>
      </c>
      <c r="K1347" s="65">
        <f t="shared" si="1063"/>
        <v>6.5273712190033984E-3</v>
      </c>
      <c r="L1347" s="38" t="s">
        <v>637</v>
      </c>
    </row>
    <row r="1348" spans="1:12" ht="13">
      <c r="A1348" s="18" t="s">
        <v>827</v>
      </c>
      <c r="B1348" s="18" t="s">
        <v>345</v>
      </c>
      <c r="C1348" s="27" t="s">
        <v>828</v>
      </c>
      <c r="D1348" s="18" t="s">
        <v>829</v>
      </c>
      <c r="E1348" s="18" t="s">
        <v>647</v>
      </c>
      <c r="F1348" s="18">
        <v>1999</v>
      </c>
      <c r="G1348" s="40">
        <v>30799</v>
      </c>
      <c r="H1348" s="40">
        <f t="shared" ref="H1348:I1348" si="1074">F1348-F1347</f>
        <v>1</v>
      </c>
      <c r="I1348" s="40">
        <f t="shared" si="1074"/>
        <v>884</v>
      </c>
      <c r="J1348" s="66">
        <f t="shared" si="1062"/>
        <v>2.9550392779542037E-2</v>
      </c>
      <c r="K1348" s="65">
        <f t="shared" si="1063"/>
        <v>2.9550392779542037E-2</v>
      </c>
      <c r="L1348" s="38" t="s">
        <v>637</v>
      </c>
    </row>
    <row r="1349" spans="1:12" ht="13">
      <c r="A1349" s="18" t="s">
        <v>827</v>
      </c>
      <c r="B1349" s="18" t="s">
        <v>345</v>
      </c>
      <c r="C1349" s="27" t="s">
        <v>828</v>
      </c>
      <c r="D1349" s="18" t="s">
        <v>829</v>
      </c>
      <c r="E1349" s="18" t="s">
        <v>647</v>
      </c>
      <c r="F1349" s="18">
        <v>2000</v>
      </c>
      <c r="G1349" s="40">
        <v>31683</v>
      </c>
      <c r="H1349" s="40">
        <f t="shared" ref="H1349:I1349" si="1075">F1349-F1348</f>
        <v>1</v>
      </c>
      <c r="I1349" s="40">
        <f t="shared" si="1075"/>
        <v>884</v>
      </c>
      <c r="J1349" s="66">
        <f t="shared" si="1062"/>
        <v>2.8702230591902335E-2</v>
      </c>
      <c r="K1349" s="65">
        <f t="shared" si="1063"/>
        <v>2.8702230591902335E-2</v>
      </c>
      <c r="L1349" s="38" t="s">
        <v>637</v>
      </c>
    </row>
    <row r="1350" spans="1:12" ht="13">
      <c r="A1350" s="18" t="s">
        <v>827</v>
      </c>
      <c r="B1350" s="18" t="s">
        <v>345</v>
      </c>
      <c r="C1350" s="27" t="s">
        <v>828</v>
      </c>
      <c r="D1350" s="18" t="s">
        <v>829</v>
      </c>
      <c r="E1350" s="18" t="s">
        <v>647</v>
      </c>
      <c r="F1350" s="18">
        <v>2001</v>
      </c>
      <c r="G1350" s="40">
        <v>33060</v>
      </c>
      <c r="H1350" s="40">
        <f t="shared" ref="H1350:I1350" si="1076">F1350-F1349</f>
        <v>1</v>
      </c>
      <c r="I1350" s="40">
        <f t="shared" si="1076"/>
        <v>1377</v>
      </c>
      <c r="J1350" s="66">
        <f t="shared" si="1062"/>
        <v>4.3461793390777388E-2</v>
      </c>
      <c r="K1350" s="65">
        <f t="shared" si="1063"/>
        <v>4.3461793390777388E-2</v>
      </c>
      <c r="L1350" s="38" t="s">
        <v>637</v>
      </c>
    </row>
    <row r="1351" spans="1:12" ht="13">
      <c r="A1351" s="18" t="s">
        <v>827</v>
      </c>
      <c r="B1351" s="18" t="s">
        <v>345</v>
      </c>
      <c r="C1351" s="27" t="s">
        <v>828</v>
      </c>
      <c r="D1351" s="18" t="s">
        <v>829</v>
      </c>
      <c r="E1351" s="18" t="s">
        <v>647</v>
      </c>
      <c r="F1351" s="18">
        <v>2002</v>
      </c>
      <c r="G1351" s="40">
        <v>37987</v>
      </c>
      <c r="H1351" s="40">
        <f t="shared" ref="H1351:I1351" si="1077">F1351-F1350</f>
        <v>1</v>
      </c>
      <c r="I1351" s="40">
        <f t="shared" si="1077"/>
        <v>4927</v>
      </c>
      <c r="J1351" s="66">
        <f t="shared" si="1062"/>
        <v>0.14903206291591048</v>
      </c>
      <c r="K1351" s="65">
        <f t="shared" si="1063"/>
        <v>0.14903206291591048</v>
      </c>
      <c r="L1351" s="38" t="s">
        <v>637</v>
      </c>
    </row>
    <row r="1352" spans="1:12" ht="13">
      <c r="A1352" s="18" t="s">
        <v>827</v>
      </c>
      <c r="B1352" s="18" t="s">
        <v>345</v>
      </c>
      <c r="C1352" s="27" t="s">
        <v>828</v>
      </c>
      <c r="D1352" s="18" t="s">
        <v>829</v>
      </c>
      <c r="E1352" s="18" t="s">
        <v>647</v>
      </c>
      <c r="F1352" s="18">
        <v>2003</v>
      </c>
      <c r="G1352" s="40">
        <v>37392</v>
      </c>
      <c r="H1352" s="40">
        <f t="shared" ref="H1352:I1352" si="1078">F1352-F1351</f>
        <v>1</v>
      </c>
      <c r="I1352" s="40">
        <f t="shared" si="1078"/>
        <v>-595</v>
      </c>
      <c r="J1352" s="66">
        <f t="shared" si="1062"/>
        <v>-1.5663253218206229E-2</v>
      </c>
      <c r="K1352" s="65">
        <f t="shared" si="1063"/>
        <v>-1.5663253218206229E-2</v>
      </c>
      <c r="L1352" s="38" t="s">
        <v>637</v>
      </c>
    </row>
    <row r="1353" spans="1:12" ht="13">
      <c r="A1353" s="18" t="s">
        <v>827</v>
      </c>
      <c r="B1353" s="18" t="s">
        <v>345</v>
      </c>
      <c r="C1353" s="27" t="s">
        <v>828</v>
      </c>
      <c r="D1353" s="18" t="s">
        <v>829</v>
      </c>
      <c r="E1353" s="18" t="s">
        <v>647</v>
      </c>
      <c r="F1353" s="18">
        <v>2004</v>
      </c>
      <c r="G1353" s="40">
        <v>38670</v>
      </c>
      <c r="H1353" s="40">
        <f t="shared" ref="H1353:I1353" si="1079">F1353-F1352</f>
        <v>1</v>
      </c>
      <c r="I1353" s="40">
        <f t="shared" si="1079"/>
        <v>1278</v>
      </c>
      <c r="J1353" s="66">
        <f t="shared" si="1062"/>
        <v>3.4178433889602053E-2</v>
      </c>
      <c r="K1353" s="65">
        <f t="shared" si="1063"/>
        <v>3.4178433889602053E-2</v>
      </c>
      <c r="L1353" s="38" t="s">
        <v>637</v>
      </c>
    </row>
    <row r="1354" spans="1:12" ht="13">
      <c r="A1354" s="18" t="s">
        <v>827</v>
      </c>
      <c r="B1354" s="18" t="s">
        <v>345</v>
      </c>
      <c r="C1354" s="27" t="s">
        <v>828</v>
      </c>
      <c r="D1354" s="18" t="s">
        <v>829</v>
      </c>
      <c r="E1354" s="18" t="s">
        <v>647</v>
      </c>
      <c r="F1354" s="18">
        <v>2005</v>
      </c>
      <c r="G1354" s="40">
        <v>40047</v>
      </c>
      <c r="H1354" s="40">
        <f t="shared" ref="H1354:I1354" si="1080">F1354-F1353</f>
        <v>1</v>
      </c>
      <c r="I1354" s="40">
        <f t="shared" si="1080"/>
        <v>1377</v>
      </c>
      <c r="J1354" s="66">
        <f t="shared" si="1062"/>
        <v>3.560899922420481E-2</v>
      </c>
      <c r="K1354" s="65">
        <f t="shared" si="1063"/>
        <v>3.560899922420481E-2</v>
      </c>
      <c r="L1354" s="38" t="s">
        <v>637</v>
      </c>
    </row>
    <row r="1355" spans="1:12" ht="13">
      <c r="A1355" s="18" t="s">
        <v>827</v>
      </c>
      <c r="B1355" s="18" t="s">
        <v>345</v>
      </c>
      <c r="C1355" s="27" t="s">
        <v>828</v>
      </c>
      <c r="D1355" s="18" t="s">
        <v>829</v>
      </c>
      <c r="E1355" s="18" t="s">
        <v>647</v>
      </c>
      <c r="F1355" s="18">
        <v>2006</v>
      </c>
      <c r="G1355" s="40">
        <v>40241</v>
      </c>
      <c r="H1355" s="40">
        <f t="shared" ref="H1355:I1355" si="1081">F1355-F1354</f>
        <v>1</v>
      </c>
      <c r="I1355" s="40">
        <f t="shared" si="1081"/>
        <v>194</v>
      </c>
      <c r="J1355" s="66">
        <f t="shared" si="1062"/>
        <v>4.8443079381726472E-3</v>
      </c>
      <c r="K1355" s="65">
        <f t="shared" si="1063"/>
        <v>4.8443079381726472E-3</v>
      </c>
      <c r="L1355" s="38" t="s">
        <v>637</v>
      </c>
    </row>
    <row r="1356" spans="1:12" ht="13">
      <c r="A1356" s="18" t="s">
        <v>827</v>
      </c>
      <c r="B1356" s="18" t="s">
        <v>345</v>
      </c>
      <c r="C1356" s="27" t="s">
        <v>828</v>
      </c>
      <c r="D1356" s="18" t="s">
        <v>829</v>
      </c>
      <c r="E1356" s="18" t="s">
        <v>647</v>
      </c>
      <c r="F1356" s="18">
        <v>2007</v>
      </c>
      <c r="G1356" s="40">
        <v>40336</v>
      </c>
      <c r="H1356" s="40">
        <f t="shared" ref="H1356:I1356" si="1082">F1356-F1355</f>
        <v>1</v>
      </c>
      <c r="I1356" s="40">
        <f t="shared" si="1082"/>
        <v>95</v>
      </c>
      <c r="J1356" s="66">
        <f t="shared" si="1062"/>
        <v>2.3607763226559976E-3</v>
      </c>
      <c r="K1356" s="65">
        <f t="shared" si="1063"/>
        <v>2.3607763226559976E-3</v>
      </c>
      <c r="L1356" s="38" t="s">
        <v>637</v>
      </c>
    </row>
    <row r="1357" spans="1:12" ht="13">
      <c r="A1357" s="18" t="s">
        <v>827</v>
      </c>
      <c r="B1357" s="18" t="s">
        <v>345</v>
      </c>
      <c r="C1357" s="27" t="s">
        <v>828</v>
      </c>
      <c r="D1357" s="18" t="s">
        <v>829</v>
      </c>
      <c r="E1357" s="18" t="s">
        <v>647</v>
      </c>
      <c r="F1357" s="18">
        <v>2008</v>
      </c>
      <c r="G1357" s="40">
        <v>38162</v>
      </c>
      <c r="H1357" s="40">
        <f t="shared" ref="H1357:I1357" si="1083">F1357-F1356</f>
        <v>1</v>
      </c>
      <c r="I1357" s="40">
        <f t="shared" si="1083"/>
        <v>-2174</v>
      </c>
      <c r="J1357" s="66">
        <f t="shared" si="1062"/>
        <v>-5.3897262990876639E-2</v>
      </c>
      <c r="K1357" s="65">
        <f t="shared" si="1063"/>
        <v>-5.3897262990876639E-2</v>
      </c>
      <c r="L1357" s="38" t="s">
        <v>637</v>
      </c>
    </row>
    <row r="1358" spans="1:12" ht="13">
      <c r="A1358" s="18" t="s">
        <v>827</v>
      </c>
      <c r="B1358" s="18" t="s">
        <v>345</v>
      </c>
      <c r="C1358" s="27" t="s">
        <v>828</v>
      </c>
      <c r="D1358" s="18" t="s">
        <v>829</v>
      </c>
      <c r="E1358" s="18" t="s">
        <v>647</v>
      </c>
      <c r="F1358" s="18">
        <v>2009</v>
      </c>
      <c r="G1358" s="40">
        <v>43188</v>
      </c>
      <c r="H1358" s="40">
        <f t="shared" ref="H1358:I1358" si="1084">F1358-F1357</f>
        <v>1</v>
      </c>
      <c r="I1358" s="40">
        <f t="shared" si="1084"/>
        <v>5026</v>
      </c>
      <c r="J1358" s="66">
        <f t="shared" si="1062"/>
        <v>0.13170169278339711</v>
      </c>
      <c r="K1358" s="65">
        <f t="shared" si="1063"/>
        <v>0.13170169278339711</v>
      </c>
      <c r="L1358" s="38" t="s">
        <v>637</v>
      </c>
    </row>
    <row r="1359" spans="1:12" ht="13">
      <c r="A1359" s="18" t="s">
        <v>827</v>
      </c>
      <c r="B1359" s="18" t="s">
        <v>345</v>
      </c>
      <c r="C1359" s="27" t="s">
        <v>828</v>
      </c>
      <c r="D1359" s="18" t="s">
        <v>829</v>
      </c>
      <c r="E1359" s="18" t="s">
        <v>647</v>
      </c>
      <c r="F1359" s="18">
        <v>2010</v>
      </c>
      <c r="G1359" s="40">
        <v>44072</v>
      </c>
      <c r="H1359" s="40">
        <f t="shared" ref="H1359:I1359" si="1085">F1359-F1358</f>
        <v>1</v>
      </c>
      <c r="I1359" s="40">
        <f t="shared" si="1085"/>
        <v>884</v>
      </c>
      <c r="J1359" s="66">
        <f t="shared" si="1062"/>
        <v>2.0468648698712604E-2</v>
      </c>
      <c r="K1359" s="65">
        <f t="shared" si="1063"/>
        <v>2.0468648698712604E-2</v>
      </c>
      <c r="L1359" s="38" t="s">
        <v>637</v>
      </c>
    </row>
    <row r="1360" spans="1:12" ht="13">
      <c r="A1360" s="18" t="s">
        <v>827</v>
      </c>
      <c r="B1360" s="18" t="s">
        <v>345</v>
      </c>
      <c r="C1360" s="27" t="s">
        <v>828</v>
      </c>
      <c r="D1360" s="18" t="s">
        <v>829</v>
      </c>
      <c r="E1360" s="18" t="s">
        <v>647</v>
      </c>
      <c r="F1360" s="18">
        <v>2011</v>
      </c>
      <c r="G1360" s="40">
        <v>45351</v>
      </c>
      <c r="H1360" s="40">
        <f t="shared" ref="H1360:I1360" si="1086">F1360-F1359</f>
        <v>1</v>
      </c>
      <c r="I1360" s="40">
        <f t="shared" si="1086"/>
        <v>1279</v>
      </c>
      <c r="J1360" s="66">
        <f t="shared" si="1062"/>
        <v>2.9020693410782356E-2</v>
      </c>
      <c r="K1360" s="65">
        <f t="shared" si="1063"/>
        <v>2.9020693410782356E-2</v>
      </c>
      <c r="L1360" s="38" t="s">
        <v>637</v>
      </c>
    </row>
    <row r="1361" spans="1:12" ht="13">
      <c r="A1361" s="18" t="s">
        <v>827</v>
      </c>
      <c r="B1361" s="18" t="s">
        <v>345</v>
      </c>
      <c r="C1361" s="27" t="s">
        <v>828</v>
      </c>
      <c r="D1361" s="18" t="s">
        <v>829</v>
      </c>
      <c r="E1361" s="18" t="s">
        <v>647</v>
      </c>
      <c r="F1361" s="18">
        <v>2012</v>
      </c>
      <c r="G1361" s="40">
        <v>47517</v>
      </c>
      <c r="H1361" s="40">
        <f t="shared" ref="H1361:I1361" si="1087">F1361-F1360</f>
        <v>1</v>
      </c>
      <c r="I1361" s="40">
        <f t="shared" si="1087"/>
        <v>2166</v>
      </c>
      <c r="J1361" s="66">
        <f t="shared" si="1062"/>
        <v>4.7760799100350596E-2</v>
      </c>
      <c r="K1361" s="65">
        <f t="shared" si="1063"/>
        <v>4.7760799100350596E-2</v>
      </c>
      <c r="L1361" s="38" t="s">
        <v>637</v>
      </c>
    </row>
    <row r="1362" spans="1:12" ht="13">
      <c r="A1362" s="18" t="s">
        <v>827</v>
      </c>
      <c r="B1362" s="18" t="s">
        <v>345</v>
      </c>
      <c r="C1362" s="27" t="s">
        <v>828</v>
      </c>
      <c r="D1362" s="18" t="s">
        <v>829</v>
      </c>
      <c r="E1362" s="18" t="s">
        <v>647</v>
      </c>
      <c r="F1362" s="18">
        <v>2013</v>
      </c>
      <c r="G1362" s="40">
        <v>51951</v>
      </c>
      <c r="H1362" s="40">
        <f t="shared" ref="H1362:I1362" si="1088">F1362-F1361</f>
        <v>1</v>
      </c>
      <c r="I1362" s="40">
        <f t="shared" si="1088"/>
        <v>4434</v>
      </c>
      <c r="J1362" s="66">
        <f t="shared" si="1062"/>
        <v>9.331397184165667E-2</v>
      </c>
      <c r="K1362" s="65">
        <f t="shared" si="1063"/>
        <v>9.331397184165667E-2</v>
      </c>
      <c r="L1362" s="38" t="s">
        <v>637</v>
      </c>
    </row>
    <row r="1363" spans="1:12" ht="13">
      <c r="A1363" s="18" t="s">
        <v>827</v>
      </c>
      <c r="B1363" s="18" t="s">
        <v>345</v>
      </c>
      <c r="C1363" s="27" t="s">
        <v>828</v>
      </c>
      <c r="D1363" s="18" t="s">
        <v>829</v>
      </c>
      <c r="E1363" s="18" t="s">
        <v>647</v>
      </c>
      <c r="F1363" s="18">
        <v>2014</v>
      </c>
      <c r="G1363" s="40">
        <v>52046</v>
      </c>
      <c r="H1363" s="40">
        <f t="shared" ref="H1363:I1363" si="1089">F1363-F1362</f>
        <v>1</v>
      </c>
      <c r="I1363" s="40">
        <f t="shared" si="1089"/>
        <v>95</v>
      </c>
      <c r="J1363" s="66">
        <f t="shared" si="1062"/>
        <v>1.8286462243267694E-3</v>
      </c>
      <c r="K1363" s="65">
        <f t="shared" si="1063"/>
        <v>1.8286462243267694E-3</v>
      </c>
      <c r="L1363" s="38" t="s">
        <v>637</v>
      </c>
    </row>
    <row r="1364" spans="1:12" ht="13">
      <c r="A1364" s="18" t="s">
        <v>827</v>
      </c>
      <c r="B1364" s="18" t="s">
        <v>345</v>
      </c>
      <c r="C1364" s="27" t="s">
        <v>828</v>
      </c>
      <c r="D1364" s="18" t="s">
        <v>829</v>
      </c>
      <c r="E1364" s="18" t="s">
        <v>647</v>
      </c>
      <c r="F1364" s="18">
        <v>2015</v>
      </c>
      <c r="G1364" s="40">
        <v>54409</v>
      </c>
      <c r="H1364" s="40">
        <f t="shared" ref="H1364:I1364" si="1090">F1364-F1363</f>
        <v>1</v>
      </c>
      <c r="I1364" s="40">
        <f t="shared" si="1090"/>
        <v>2363</v>
      </c>
      <c r="J1364" s="66">
        <f t="shared" si="1062"/>
        <v>4.5402144257003417E-2</v>
      </c>
      <c r="K1364" s="65">
        <f t="shared" si="1063"/>
        <v>4.5402144257003417E-2</v>
      </c>
      <c r="L1364" s="38" t="s">
        <v>637</v>
      </c>
    </row>
    <row r="1365" spans="1:12" ht="13">
      <c r="A1365" s="18" t="s">
        <v>827</v>
      </c>
      <c r="B1365" s="18" t="s">
        <v>345</v>
      </c>
      <c r="C1365" s="27" t="s">
        <v>828</v>
      </c>
      <c r="D1365" s="18" t="s">
        <v>829</v>
      </c>
      <c r="E1365" s="18" t="s">
        <v>647</v>
      </c>
      <c r="F1365" s="18">
        <v>2016</v>
      </c>
      <c r="G1365" s="40">
        <v>55490</v>
      </c>
      <c r="H1365" s="40">
        <f t="shared" ref="H1365:I1365" si="1091">F1365-F1364</f>
        <v>1</v>
      </c>
      <c r="I1365" s="40">
        <f t="shared" si="1091"/>
        <v>1081</v>
      </c>
      <c r="J1365" s="66">
        <f t="shared" si="1062"/>
        <v>1.9868036538072745E-2</v>
      </c>
      <c r="K1365" s="65">
        <f t="shared" si="1063"/>
        <v>1.9868036538072745E-2</v>
      </c>
      <c r="L1365" s="38" t="s">
        <v>637</v>
      </c>
    </row>
    <row r="1366" spans="1:12" ht="13">
      <c r="A1366" s="18" t="s">
        <v>827</v>
      </c>
      <c r="B1366" s="18" t="s">
        <v>345</v>
      </c>
      <c r="C1366" s="18" t="s">
        <v>828</v>
      </c>
      <c r="D1366" s="18" t="s">
        <v>829</v>
      </c>
      <c r="E1366" s="18" t="s">
        <v>647</v>
      </c>
      <c r="F1366" s="18">
        <v>2017</v>
      </c>
      <c r="G1366" s="40">
        <v>54895</v>
      </c>
      <c r="H1366" s="40">
        <f t="shared" ref="H1366:I1366" si="1092">F1366-F1365</f>
        <v>1</v>
      </c>
      <c r="I1366" s="40">
        <f t="shared" si="1092"/>
        <v>-595</v>
      </c>
      <c r="J1366" s="66">
        <f t="shared" si="1062"/>
        <v>-1.0722652730221662E-2</v>
      </c>
      <c r="K1366" s="65">
        <f t="shared" si="1063"/>
        <v>-1.0722652730221662E-2</v>
      </c>
      <c r="L1366" s="37" t="s">
        <v>637</v>
      </c>
    </row>
    <row r="1367" spans="1:12" ht="13">
      <c r="A1367" s="18" t="s">
        <v>831</v>
      </c>
      <c r="B1367" s="18" t="s">
        <v>345</v>
      </c>
      <c r="C1367" s="27" t="s">
        <v>832</v>
      </c>
      <c r="D1367" s="18" t="s">
        <v>829</v>
      </c>
      <c r="E1367" s="18" t="s">
        <v>647</v>
      </c>
      <c r="F1367" s="18">
        <v>1989</v>
      </c>
      <c r="G1367" s="40">
        <v>11429</v>
      </c>
      <c r="H1367" s="40" t="s">
        <v>402</v>
      </c>
      <c r="I1367" s="40" t="s">
        <v>402</v>
      </c>
      <c r="J1367" s="40" t="s">
        <v>402</v>
      </c>
      <c r="K1367" s="65" t="s">
        <v>402</v>
      </c>
      <c r="L1367" s="38" t="s">
        <v>637</v>
      </c>
    </row>
    <row r="1368" spans="1:12" ht="13">
      <c r="A1368" s="18" t="s">
        <v>831</v>
      </c>
      <c r="B1368" s="18" t="s">
        <v>345</v>
      </c>
      <c r="C1368" s="27" t="s">
        <v>832</v>
      </c>
      <c r="D1368" s="18" t="s">
        <v>829</v>
      </c>
      <c r="E1368" s="18" t="s">
        <v>647</v>
      </c>
      <c r="F1368" s="18">
        <v>1990</v>
      </c>
      <c r="G1368" s="40">
        <v>10816</v>
      </c>
      <c r="H1368" s="40" t="s">
        <v>402</v>
      </c>
      <c r="I1368" s="40" t="s">
        <v>402</v>
      </c>
      <c r="J1368" s="40" t="s">
        <v>402</v>
      </c>
      <c r="K1368" s="65" t="s">
        <v>402</v>
      </c>
      <c r="L1368" s="38" t="s">
        <v>637</v>
      </c>
    </row>
    <row r="1369" spans="1:12" ht="13">
      <c r="A1369" s="18" t="s">
        <v>831</v>
      </c>
      <c r="B1369" s="18" t="s">
        <v>345</v>
      </c>
      <c r="C1369" s="27" t="s">
        <v>832</v>
      </c>
      <c r="D1369" s="18" t="s">
        <v>829</v>
      </c>
      <c r="E1369" s="18" t="s">
        <v>647</v>
      </c>
      <c r="F1369" s="18">
        <v>1991</v>
      </c>
      <c r="G1369" s="40">
        <v>11837</v>
      </c>
      <c r="H1369" s="40" t="s">
        <v>402</v>
      </c>
      <c r="I1369" s="40" t="s">
        <v>402</v>
      </c>
      <c r="J1369" s="40" t="s">
        <v>402</v>
      </c>
      <c r="K1369" s="65" t="s">
        <v>402</v>
      </c>
      <c r="L1369" s="38" t="s">
        <v>637</v>
      </c>
    </row>
    <row r="1370" spans="1:12" ht="13">
      <c r="A1370" s="18" t="s">
        <v>831</v>
      </c>
      <c r="B1370" s="18" t="s">
        <v>345</v>
      </c>
      <c r="C1370" s="27" t="s">
        <v>832</v>
      </c>
      <c r="D1370" s="18" t="s">
        <v>829</v>
      </c>
      <c r="E1370" s="18" t="s">
        <v>647</v>
      </c>
      <c r="F1370" s="18">
        <v>1992</v>
      </c>
      <c r="G1370" s="40">
        <v>11429</v>
      </c>
      <c r="H1370" s="40" t="s">
        <v>402</v>
      </c>
      <c r="I1370" s="40" t="s">
        <v>402</v>
      </c>
      <c r="J1370" s="40" t="s">
        <v>402</v>
      </c>
      <c r="K1370" s="65" t="s">
        <v>402</v>
      </c>
      <c r="L1370" s="38" t="s">
        <v>637</v>
      </c>
    </row>
    <row r="1371" spans="1:12" ht="13">
      <c r="A1371" s="18" t="s">
        <v>831</v>
      </c>
      <c r="B1371" s="18" t="s">
        <v>345</v>
      </c>
      <c r="C1371" s="27" t="s">
        <v>832</v>
      </c>
      <c r="D1371" s="18" t="s">
        <v>829</v>
      </c>
      <c r="E1371" s="18" t="s">
        <v>647</v>
      </c>
      <c r="F1371" s="18">
        <v>1994</v>
      </c>
      <c r="G1371" s="40">
        <v>12857</v>
      </c>
      <c r="H1371" s="40" t="s">
        <v>402</v>
      </c>
      <c r="I1371" s="40" t="s">
        <v>402</v>
      </c>
      <c r="J1371" s="40" t="s">
        <v>402</v>
      </c>
      <c r="K1371" s="65" t="s">
        <v>402</v>
      </c>
      <c r="L1371" s="38" t="s">
        <v>637</v>
      </c>
    </row>
    <row r="1372" spans="1:12" ht="13">
      <c r="A1372" s="18" t="s">
        <v>831</v>
      </c>
      <c r="B1372" s="18" t="s">
        <v>345</v>
      </c>
      <c r="C1372" s="27" t="s">
        <v>832</v>
      </c>
      <c r="D1372" s="18" t="s">
        <v>829</v>
      </c>
      <c r="E1372" s="18" t="s">
        <v>647</v>
      </c>
      <c r="F1372" s="18">
        <v>1996</v>
      </c>
      <c r="G1372" s="40">
        <v>11429</v>
      </c>
      <c r="H1372" s="40" t="s">
        <v>402</v>
      </c>
      <c r="I1372" s="40" t="s">
        <v>402</v>
      </c>
      <c r="J1372" s="40" t="s">
        <v>402</v>
      </c>
      <c r="K1372" s="65" t="s">
        <v>402</v>
      </c>
      <c r="L1372" s="38" t="s">
        <v>637</v>
      </c>
    </row>
    <row r="1373" spans="1:12" ht="13">
      <c r="A1373" s="18" t="s">
        <v>831</v>
      </c>
      <c r="B1373" s="18" t="s">
        <v>345</v>
      </c>
      <c r="C1373" s="27" t="s">
        <v>832</v>
      </c>
      <c r="D1373" s="18" t="s">
        <v>829</v>
      </c>
      <c r="E1373" s="18" t="s">
        <v>647</v>
      </c>
      <c r="F1373" s="18">
        <v>1998</v>
      </c>
      <c r="G1373" s="40">
        <v>12449</v>
      </c>
      <c r="H1373" s="40" t="s">
        <v>402</v>
      </c>
      <c r="I1373" s="40" t="s">
        <v>402</v>
      </c>
      <c r="J1373" s="40" t="s">
        <v>402</v>
      </c>
      <c r="K1373" s="65" t="s">
        <v>402</v>
      </c>
      <c r="L1373" s="38" t="s">
        <v>637</v>
      </c>
    </row>
    <row r="1374" spans="1:12" ht="13">
      <c r="A1374" s="18" t="s">
        <v>831</v>
      </c>
      <c r="B1374" s="18" t="s">
        <v>345</v>
      </c>
      <c r="C1374" s="27" t="s">
        <v>832</v>
      </c>
      <c r="D1374" s="18" t="s">
        <v>829</v>
      </c>
      <c r="E1374" s="18" t="s">
        <v>647</v>
      </c>
      <c r="F1374" s="18">
        <v>2000</v>
      </c>
      <c r="G1374" s="40">
        <v>14082</v>
      </c>
      <c r="H1374" s="40" t="s">
        <v>402</v>
      </c>
      <c r="I1374" s="40" t="s">
        <v>402</v>
      </c>
      <c r="J1374" s="40" t="s">
        <v>402</v>
      </c>
      <c r="K1374" s="65" t="s">
        <v>402</v>
      </c>
      <c r="L1374" s="38" t="s">
        <v>637</v>
      </c>
    </row>
    <row r="1375" spans="1:12" ht="13">
      <c r="A1375" s="18" t="s">
        <v>831</v>
      </c>
      <c r="B1375" s="18" t="s">
        <v>345</v>
      </c>
      <c r="C1375" s="27" t="s">
        <v>832</v>
      </c>
      <c r="D1375" s="18" t="s">
        <v>829</v>
      </c>
      <c r="E1375" s="18" t="s">
        <v>647</v>
      </c>
      <c r="F1375" s="18">
        <v>2002</v>
      </c>
      <c r="G1375" s="40">
        <v>16122</v>
      </c>
      <c r="H1375" s="40" t="s">
        <v>402</v>
      </c>
      <c r="I1375" s="40" t="s">
        <v>402</v>
      </c>
      <c r="J1375" s="40" t="s">
        <v>402</v>
      </c>
      <c r="K1375" s="65" t="s">
        <v>402</v>
      </c>
      <c r="L1375" s="38" t="s">
        <v>637</v>
      </c>
    </row>
    <row r="1376" spans="1:12" ht="13">
      <c r="A1376" s="18" t="s">
        <v>831</v>
      </c>
      <c r="B1376" s="18" t="s">
        <v>345</v>
      </c>
      <c r="C1376" s="27" t="s">
        <v>832</v>
      </c>
      <c r="D1376" s="18" t="s">
        <v>829</v>
      </c>
      <c r="E1376" s="18" t="s">
        <v>647</v>
      </c>
      <c r="F1376" s="18">
        <v>2004</v>
      </c>
      <c r="G1376" s="40">
        <v>16327</v>
      </c>
      <c r="H1376" s="40" t="s">
        <v>402</v>
      </c>
      <c r="I1376" s="40" t="s">
        <v>402</v>
      </c>
      <c r="J1376" s="40" t="s">
        <v>402</v>
      </c>
      <c r="K1376" s="65" t="s">
        <v>402</v>
      </c>
      <c r="L1376" s="38" t="s">
        <v>637</v>
      </c>
    </row>
    <row r="1377" spans="1:12" ht="13">
      <c r="A1377" s="18" t="s">
        <v>831</v>
      </c>
      <c r="B1377" s="18" t="s">
        <v>345</v>
      </c>
      <c r="C1377" s="27" t="s">
        <v>832</v>
      </c>
      <c r="D1377" s="18" t="s">
        <v>829</v>
      </c>
      <c r="E1377" s="18" t="s">
        <v>647</v>
      </c>
      <c r="F1377" s="18">
        <v>2005</v>
      </c>
      <c r="G1377" s="40">
        <v>16939</v>
      </c>
      <c r="H1377" s="40" t="s">
        <v>402</v>
      </c>
      <c r="I1377" s="40" t="s">
        <v>402</v>
      </c>
      <c r="J1377" s="40" t="s">
        <v>402</v>
      </c>
      <c r="K1377" s="65" t="s">
        <v>402</v>
      </c>
      <c r="L1377" s="38" t="s">
        <v>637</v>
      </c>
    </row>
    <row r="1378" spans="1:12" ht="13">
      <c r="A1378" s="18" t="s">
        <v>831</v>
      </c>
      <c r="B1378" s="18" t="s">
        <v>345</v>
      </c>
      <c r="C1378" s="27" t="s">
        <v>832</v>
      </c>
      <c r="D1378" s="18" t="s">
        <v>829</v>
      </c>
      <c r="E1378" s="18" t="s">
        <v>647</v>
      </c>
      <c r="F1378" s="18">
        <v>2007</v>
      </c>
      <c r="G1378" s="40">
        <v>16327</v>
      </c>
      <c r="H1378" s="40" t="s">
        <v>402</v>
      </c>
      <c r="I1378" s="40" t="s">
        <v>402</v>
      </c>
      <c r="J1378" s="40" t="s">
        <v>402</v>
      </c>
      <c r="K1378" s="65" t="s">
        <v>402</v>
      </c>
      <c r="L1378" s="38" t="s">
        <v>637</v>
      </c>
    </row>
    <row r="1379" spans="1:12" ht="13">
      <c r="A1379" s="18" t="s">
        <v>831</v>
      </c>
      <c r="B1379" s="18" t="s">
        <v>345</v>
      </c>
      <c r="C1379" s="27" t="s">
        <v>832</v>
      </c>
      <c r="D1379" s="18" t="s">
        <v>829</v>
      </c>
      <c r="E1379" s="18" t="s">
        <v>647</v>
      </c>
      <c r="F1379" s="18">
        <v>2008</v>
      </c>
      <c r="G1379" s="40">
        <v>14286</v>
      </c>
      <c r="H1379" s="40" t="s">
        <v>402</v>
      </c>
      <c r="I1379" s="40" t="s">
        <v>402</v>
      </c>
      <c r="J1379" s="40" t="s">
        <v>402</v>
      </c>
      <c r="K1379" s="65" t="s">
        <v>402</v>
      </c>
      <c r="L1379" s="38" t="s">
        <v>637</v>
      </c>
    </row>
    <row r="1380" spans="1:12" ht="13">
      <c r="A1380" s="18" t="s">
        <v>831</v>
      </c>
      <c r="B1380" s="18" t="s">
        <v>345</v>
      </c>
      <c r="C1380" s="27" t="s">
        <v>832</v>
      </c>
      <c r="D1380" s="18" t="s">
        <v>829</v>
      </c>
      <c r="E1380" s="18" t="s">
        <v>647</v>
      </c>
      <c r="F1380" s="18">
        <v>2009</v>
      </c>
      <c r="G1380" s="40">
        <v>17755</v>
      </c>
      <c r="H1380" s="40" t="s">
        <v>402</v>
      </c>
      <c r="I1380" s="40" t="s">
        <v>402</v>
      </c>
      <c r="J1380" s="40" t="s">
        <v>402</v>
      </c>
      <c r="K1380" s="65" t="s">
        <v>402</v>
      </c>
      <c r="L1380" s="38" t="s">
        <v>637</v>
      </c>
    </row>
    <row r="1381" spans="1:12" ht="13">
      <c r="A1381" s="18" t="s">
        <v>831</v>
      </c>
      <c r="B1381" s="18" t="s">
        <v>345</v>
      </c>
      <c r="C1381" s="27" t="s">
        <v>832</v>
      </c>
      <c r="D1381" s="18" t="s">
        <v>829</v>
      </c>
      <c r="E1381" s="18" t="s">
        <v>647</v>
      </c>
      <c r="F1381" s="18">
        <v>2010</v>
      </c>
      <c r="G1381" s="40">
        <v>15918</v>
      </c>
      <c r="H1381" s="40" t="s">
        <v>402</v>
      </c>
      <c r="I1381" s="40" t="s">
        <v>402</v>
      </c>
      <c r="J1381" s="40" t="s">
        <v>402</v>
      </c>
      <c r="K1381" s="65" t="s">
        <v>402</v>
      </c>
      <c r="L1381" s="38" t="s">
        <v>637</v>
      </c>
    </row>
    <row r="1382" spans="1:12" ht="13">
      <c r="A1382" s="18" t="s">
        <v>831</v>
      </c>
      <c r="B1382" s="18" t="s">
        <v>345</v>
      </c>
      <c r="C1382" s="27" t="s">
        <v>832</v>
      </c>
      <c r="D1382" s="18" t="s">
        <v>829</v>
      </c>
      <c r="E1382" s="18" t="s">
        <v>647</v>
      </c>
      <c r="F1382" s="18">
        <v>2013</v>
      </c>
      <c r="G1382" s="40">
        <v>19184</v>
      </c>
      <c r="H1382" s="40" t="s">
        <v>402</v>
      </c>
      <c r="I1382" s="40" t="s">
        <v>402</v>
      </c>
      <c r="J1382" s="40" t="s">
        <v>402</v>
      </c>
      <c r="K1382" s="65" t="s">
        <v>402</v>
      </c>
      <c r="L1382" s="38" t="s">
        <v>637</v>
      </c>
    </row>
    <row r="1383" spans="1:12" ht="13">
      <c r="A1383" s="18" t="s">
        <v>831</v>
      </c>
      <c r="B1383" s="18" t="s">
        <v>345</v>
      </c>
      <c r="C1383" s="27" t="s">
        <v>832</v>
      </c>
      <c r="D1383" s="18" t="s">
        <v>829</v>
      </c>
      <c r="E1383" s="18" t="s">
        <v>647</v>
      </c>
      <c r="F1383" s="18">
        <v>2015</v>
      </c>
      <c r="G1383" s="40">
        <v>21429</v>
      </c>
      <c r="H1383" s="40" t="s">
        <v>402</v>
      </c>
      <c r="I1383" s="40" t="s">
        <v>402</v>
      </c>
      <c r="J1383" s="40" t="s">
        <v>402</v>
      </c>
      <c r="K1383" s="65" t="s">
        <v>402</v>
      </c>
      <c r="L1383" s="38" t="s">
        <v>637</v>
      </c>
    </row>
    <row r="1384" spans="1:12" ht="13">
      <c r="A1384" s="18" t="s">
        <v>831</v>
      </c>
      <c r="B1384" s="18" t="s">
        <v>345</v>
      </c>
      <c r="C1384" s="27" t="s">
        <v>832</v>
      </c>
      <c r="D1384" s="18" t="s">
        <v>829</v>
      </c>
      <c r="E1384" s="18" t="s">
        <v>647</v>
      </c>
      <c r="F1384" s="18">
        <v>2017</v>
      </c>
      <c r="G1384" s="40">
        <v>18571</v>
      </c>
      <c r="H1384" s="40" t="s">
        <v>402</v>
      </c>
      <c r="I1384" s="40" t="s">
        <v>402</v>
      </c>
      <c r="J1384" s="40" t="s">
        <v>402</v>
      </c>
      <c r="K1384" s="65" t="s">
        <v>402</v>
      </c>
      <c r="L1384" s="38" t="s">
        <v>637</v>
      </c>
    </row>
    <row r="1385" spans="1:12" ht="13">
      <c r="A1385" s="18" t="s">
        <v>833</v>
      </c>
      <c r="B1385" s="18" t="s">
        <v>345</v>
      </c>
      <c r="C1385" s="27" t="s">
        <v>834</v>
      </c>
      <c r="D1385" s="18" t="s">
        <v>829</v>
      </c>
      <c r="E1385" s="18" t="s">
        <v>647</v>
      </c>
      <c r="F1385" s="18">
        <v>1989</v>
      </c>
      <c r="G1385" s="40">
        <v>204</v>
      </c>
      <c r="H1385" s="40" t="s">
        <v>402</v>
      </c>
      <c r="I1385" s="40" t="s">
        <v>402</v>
      </c>
      <c r="J1385" s="40" t="s">
        <v>402</v>
      </c>
      <c r="K1385" s="65" t="s">
        <v>402</v>
      </c>
      <c r="L1385" s="38" t="s">
        <v>637</v>
      </c>
    </row>
    <row r="1386" spans="1:12" ht="13">
      <c r="A1386" s="18" t="s">
        <v>833</v>
      </c>
      <c r="B1386" s="18" t="s">
        <v>345</v>
      </c>
      <c r="C1386" s="27" t="s">
        <v>834</v>
      </c>
      <c r="D1386" s="18" t="s">
        <v>829</v>
      </c>
      <c r="E1386" s="18" t="s">
        <v>647</v>
      </c>
      <c r="F1386" s="18">
        <v>1991</v>
      </c>
      <c r="G1386" s="40">
        <v>408</v>
      </c>
      <c r="H1386" s="40" t="s">
        <v>402</v>
      </c>
      <c r="I1386" s="40" t="s">
        <v>402</v>
      </c>
      <c r="J1386" s="40" t="s">
        <v>402</v>
      </c>
      <c r="K1386" s="65" t="s">
        <v>402</v>
      </c>
      <c r="L1386" s="38" t="s">
        <v>637</v>
      </c>
    </row>
    <row r="1387" spans="1:12" ht="13">
      <c r="A1387" s="18" t="s">
        <v>833</v>
      </c>
      <c r="B1387" s="18" t="s">
        <v>345</v>
      </c>
      <c r="C1387" s="27" t="s">
        <v>834</v>
      </c>
      <c r="D1387" s="18" t="s">
        <v>829</v>
      </c>
      <c r="E1387" s="18" t="s">
        <v>647</v>
      </c>
      <c r="F1387" s="18">
        <v>1992</v>
      </c>
      <c r="G1387" s="40">
        <v>204</v>
      </c>
      <c r="H1387" s="40" t="s">
        <v>402</v>
      </c>
      <c r="I1387" s="40" t="s">
        <v>402</v>
      </c>
      <c r="J1387" s="40" t="s">
        <v>402</v>
      </c>
      <c r="K1387" s="65" t="s">
        <v>402</v>
      </c>
      <c r="L1387" s="38" t="s">
        <v>637</v>
      </c>
    </row>
    <row r="1388" spans="1:12" ht="13">
      <c r="A1388" s="18" t="s">
        <v>833</v>
      </c>
      <c r="B1388" s="18" t="s">
        <v>345</v>
      </c>
      <c r="C1388" s="27" t="s">
        <v>834</v>
      </c>
      <c r="D1388" s="18" t="s">
        <v>829</v>
      </c>
      <c r="E1388" s="18" t="s">
        <v>647</v>
      </c>
      <c r="F1388" s="18">
        <v>1993</v>
      </c>
      <c r="G1388" s="40">
        <v>612</v>
      </c>
      <c r="H1388" s="40" t="s">
        <v>402</v>
      </c>
      <c r="I1388" s="40" t="s">
        <v>402</v>
      </c>
      <c r="J1388" s="40" t="s">
        <v>402</v>
      </c>
      <c r="K1388" s="65" t="s">
        <v>402</v>
      </c>
      <c r="L1388" s="38" t="s">
        <v>637</v>
      </c>
    </row>
    <row r="1389" spans="1:12" ht="13">
      <c r="A1389" s="18" t="s">
        <v>833</v>
      </c>
      <c r="B1389" s="18" t="s">
        <v>345</v>
      </c>
      <c r="C1389" s="27" t="s">
        <v>834</v>
      </c>
      <c r="D1389" s="18" t="s">
        <v>829</v>
      </c>
      <c r="E1389" s="18" t="s">
        <v>647</v>
      </c>
      <c r="F1389" s="18">
        <v>1994</v>
      </c>
      <c r="G1389" s="40">
        <v>357</v>
      </c>
      <c r="H1389" s="40" t="s">
        <v>402</v>
      </c>
      <c r="I1389" s="40" t="s">
        <v>402</v>
      </c>
      <c r="J1389" s="40" t="s">
        <v>402</v>
      </c>
      <c r="K1389" s="65" t="s">
        <v>402</v>
      </c>
      <c r="L1389" s="38" t="s">
        <v>637</v>
      </c>
    </row>
    <row r="1390" spans="1:12" ht="13">
      <c r="A1390" s="18" t="s">
        <v>833</v>
      </c>
      <c r="B1390" s="18" t="s">
        <v>345</v>
      </c>
      <c r="C1390" s="27" t="s">
        <v>834</v>
      </c>
      <c r="D1390" s="18" t="s">
        <v>829</v>
      </c>
      <c r="E1390" s="18" t="s">
        <v>647</v>
      </c>
      <c r="F1390" s="18">
        <v>1995</v>
      </c>
      <c r="G1390" s="40">
        <v>408</v>
      </c>
      <c r="H1390" s="40" t="s">
        <v>402</v>
      </c>
      <c r="I1390" s="40" t="s">
        <v>402</v>
      </c>
      <c r="J1390" s="40" t="s">
        <v>402</v>
      </c>
      <c r="K1390" s="65" t="s">
        <v>402</v>
      </c>
      <c r="L1390" s="38" t="s">
        <v>637</v>
      </c>
    </row>
    <row r="1391" spans="1:12" ht="13">
      <c r="A1391" s="18" t="s">
        <v>833</v>
      </c>
      <c r="B1391" s="18" t="s">
        <v>345</v>
      </c>
      <c r="C1391" s="27" t="s">
        <v>834</v>
      </c>
      <c r="D1391" s="18" t="s">
        <v>829</v>
      </c>
      <c r="E1391" s="18" t="s">
        <v>647</v>
      </c>
      <c r="F1391" s="18">
        <v>1996</v>
      </c>
      <c r="G1391" s="40">
        <v>612</v>
      </c>
      <c r="H1391" s="40" t="s">
        <v>402</v>
      </c>
      <c r="I1391" s="40" t="s">
        <v>402</v>
      </c>
      <c r="J1391" s="40" t="s">
        <v>402</v>
      </c>
      <c r="K1391" s="65" t="s">
        <v>402</v>
      </c>
      <c r="L1391" s="38" t="s">
        <v>637</v>
      </c>
    </row>
    <row r="1392" spans="1:12" ht="13">
      <c r="A1392" s="18" t="s">
        <v>833</v>
      </c>
      <c r="B1392" s="18" t="s">
        <v>345</v>
      </c>
      <c r="C1392" s="27" t="s">
        <v>834</v>
      </c>
      <c r="D1392" s="18" t="s">
        <v>829</v>
      </c>
      <c r="E1392" s="18" t="s">
        <v>647</v>
      </c>
      <c r="F1392" s="18">
        <v>1997</v>
      </c>
      <c r="G1392" s="40">
        <v>408</v>
      </c>
      <c r="H1392" s="40" t="s">
        <v>402</v>
      </c>
      <c r="I1392" s="40" t="s">
        <v>402</v>
      </c>
      <c r="J1392" s="40" t="s">
        <v>402</v>
      </c>
      <c r="K1392" s="65" t="s">
        <v>402</v>
      </c>
      <c r="L1392" s="38" t="s">
        <v>637</v>
      </c>
    </row>
    <row r="1393" spans="1:12" ht="13">
      <c r="A1393" s="18" t="s">
        <v>833</v>
      </c>
      <c r="B1393" s="18" t="s">
        <v>345</v>
      </c>
      <c r="C1393" s="27" t="s">
        <v>834</v>
      </c>
      <c r="D1393" s="18" t="s">
        <v>829</v>
      </c>
      <c r="E1393" s="18" t="s">
        <v>647</v>
      </c>
      <c r="F1393" s="18">
        <v>1998</v>
      </c>
      <c r="G1393" s="40">
        <v>408</v>
      </c>
      <c r="H1393" s="40" t="s">
        <v>402</v>
      </c>
      <c r="I1393" s="40" t="s">
        <v>402</v>
      </c>
      <c r="J1393" s="40" t="s">
        <v>402</v>
      </c>
      <c r="K1393" s="65" t="s">
        <v>402</v>
      </c>
      <c r="L1393" s="38" t="s">
        <v>637</v>
      </c>
    </row>
    <row r="1394" spans="1:12" ht="13">
      <c r="A1394" s="18" t="s">
        <v>833</v>
      </c>
      <c r="B1394" s="18" t="s">
        <v>345</v>
      </c>
      <c r="C1394" s="27" t="s">
        <v>834</v>
      </c>
      <c r="D1394" s="18" t="s">
        <v>829</v>
      </c>
      <c r="E1394" s="18" t="s">
        <v>647</v>
      </c>
      <c r="F1394" s="18">
        <v>1999</v>
      </c>
      <c r="G1394" s="40">
        <v>816</v>
      </c>
      <c r="H1394" s="40" t="s">
        <v>402</v>
      </c>
      <c r="I1394" s="40" t="s">
        <v>402</v>
      </c>
      <c r="J1394" s="40" t="s">
        <v>402</v>
      </c>
      <c r="K1394" s="65" t="s">
        <v>402</v>
      </c>
      <c r="L1394" s="38" t="s">
        <v>637</v>
      </c>
    </row>
    <row r="1395" spans="1:12" ht="13">
      <c r="A1395" s="18" t="s">
        <v>833</v>
      </c>
      <c r="B1395" s="18" t="s">
        <v>345</v>
      </c>
      <c r="C1395" s="27" t="s">
        <v>834</v>
      </c>
      <c r="D1395" s="18" t="s">
        <v>829</v>
      </c>
      <c r="E1395" s="18" t="s">
        <v>647</v>
      </c>
      <c r="F1395" s="18">
        <v>2000</v>
      </c>
      <c r="G1395" s="40">
        <v>612</v>
      </c>
      <c r="H1395" s="40" t="s">
        <v>402</v>
      </c>
      <c r="I1395" s="40" t="s">
        <v>402</v>
      </c>
      <c r="J1395" s="40" t="s">
        <v>402</v>
      </c>
      <c r="K1395" s="65" t="s">
        <v>402</v>
      </c>
      <c r="L1395" s="38" t="s">
        <v>637</v>
      </c>
    </row>
    <row r="1396" spans="1:12" ht="13">
      <c r="A1396" s="18" t="s">
        <v>833</v>
      </c>
      <c r="B1396" s="18" t="s">
        <v>345</v>
      </c>
      <c r="C1396" s="27" t="s">
        <v>834</v>
      </c>
      <c r="D1396" s="18" t="s">
        <v>829</v>
      </c>
      <c r="E1396" s="18" t="s">
        <v>647</v>
      </c>
      <c r="F1396" s="18">
        <v>2001</v>
      </c>
      <c r="G1396" s="40">
        <v>408</v>
      </c>
      <c r="H1396" s="40" t="s">
        <v>402</v>
      </c>
      <c r="I1396" s="40" t="s">
        <v>402</v>
      </c>
      <c r="J1396" s="40" t="s">
        <v>402</v>
      </c>
      <c r="K1396" s="65" t="s">
        <v>402</v>
      </c>
      <c r="L1396" s="38" t="s">
        <v>637</v>
      </c>
    </row>
    <row r="1397" spans="1:12" ht="13">
      <c r="A1397" s="18" t="s">
        <v>833</v>
      </c>
      <c r="B1397" s="18" t="s">
        <v>345</v>
      </c>
      <c r="C1397" s="27" t="s">
        <v>834</v>
      </c>
      <c r="D1397" s="18" t="s">
        <v>829</v>
      </c>
      <c r="E1397" s="18" t="s">
        <v>647</v>
      </c>
      <c r="F1397" s="18">
        <v>2004</v>
      </c>
      <c r="G1397" s="40">
        <v>816</v>
      </c>
      <c r="H1397" s="40" t="s">
        <v>402</v>
      </c>
      <c r="I1397" s="40" t="s">
        <v>402</v>
      </c>
      <c r="J1397" s="40" t="s">
        <v>402</v>
      </c>
      <c r="K1397" s="65" t="s">
        <v>402</v>
      </c>
      <c r="L1397" s="38" t="s">
        <v>637</v>
      </c>
    </row>
    <row r="1398" spans="1:12" ht="13">
      <c r="A1398" s="18" t="s">
        <v>833</v>
      </c>
      <c r="B1398" s="18" t="s">
        <v>345</v>
      </c>
      <c r="C1398" s="27" t="s">
        <v>834</v>
      </c>
      <c r="D1398" s="18" t="s">
        <v>829</v>
      </c>
      <c r="E1398" s="18" t="s">
        <v>647</v>
      </c>
      <c r="F1398" s="18">
        <v>2005</v>
      </c>
      <c r="G1398" s="40">
        <v>816</v>
      </c>
      <c r="H1398" s="40" t="s">
        <v>402</v>
      </c>
      <c r="I1398" s="40" t="s">
        <v>402</v>
      </c>
      <c r="J1398" s="40" t="s">
        <v>402</v>
      </c>
      <c r="K1398" s="65" t="s">
        <v>402</v>
      </c>
      <c r="L1398" s="38" t="s">
        <v>637</v>
      </c>
    </row>
    <row r="1399" spans="1:12" ht="13">
      <c r="A1399" s="18" t="s">
        <v>833</v>
      </c>
      <c r="B1399" s="18" t="s">
        <v>345</v>
      </c>
      <c r="C1399" s="27" t="s">
        <v>834</v>
      </c>
      <c r="D1399" s="18" t="s">
        <v>829</v>
      </c>
      <c r="E1399" s="18" t="s">
        <v>647</v>
      </c>
      <c r="F1399" s="18">
        <v>2006</v>
      </c>
      <c r="G1399" s="40">
        <v>612</v>
      </c>
      <c r="H1399" s="40" t="s">
        <v>402</v>
      </c>
      <c r="I1399" s="40" t="s">
        <v>402</v>
      </c>
      <c r="J1399" s="40" t="s">
        <v>402</v>
      </c>
      <c r="K1399" s="65" t="s">
        <v>402</v>
      </c>
      <c r="L1399" s="38" t="s">
        <v>637</v>
      </c>
    </row>
    <row r="1400" spans="1:12" ht="13">
      <c r="A1400" s="18" t="s">
        <v>833</v>
      </c>
      <c r="B1400" s="18" t="s">
        <v>345</v>
      </c>
      <c r="C1400" s="27" t="s">
        <v>834</v>
      </c>
      <c r="D1400" s="18" t="s">
        <v>829</v>
      </c>
      <c r="E1400" s="18" t="s">
        <v>647</v>
      </c>
      <c r="F1400" s="18">
        <v>2007</v>
      </c>
      <c r="G1400" s="40">
        <v>816</v>
      </c>
      <c r="H1400" s="40" t="s">
        <v>402</v>
      </c>
      <c r="I1400" s="40" t="s">
        <v>402</v>
      </c>
      <c r="J1400" s="40" t="s">
        <v>402</v>
      </c>
      <c r="K1400" s="65" t="s">
        <v>402</v>
      </c>
      <c r="L1400" s="38" t="s">
        <v>637</v>
      </c>
    </row>
    <row r="1401" spans="1:12" ht="13">
      <c r="A1401" s="18" t="s">
        <v>833</v>
      </c>
      <c r="B1401" s="18" t="s">
        <v>345</v>
      </c>
      <c r="C1401" s="27" t="s">
        <v>834</v>
      </c>
      <c r="D1401" s="18" t="s">
        <v>829</v>
      </c>
      <c r="E1401" s="18" t="s">
        <v>647</v>
      </c>
      <c r="F1401" s="18">
        <v>2008</v>
      </c>
      <c r="G1401" s="40">
        <v>1224</v>
      </c>
      <c r="H1401" s="40" t="s">
        <v>402</v>
      </c>
      <c r="I1401" s="40" t="s">
        <v>402</v>
      </c>
      <c r="J1401" s="40" t="s">
        <v>402</v>
      </c>
      <c r="K1401" s="65" t="s">
        <v>402</v>
      </c>
      <c r="L1401" s="38" t="s">
        <v>637</v>
      </c>
    </row>
    <row r="1402" spans="1:12" ht="13">
      <c r="A1402" s="18" t="s">
        <v>833</v>
      </c>
      <c r="B1402" s="18" t="s">
        <v>345</v>
      </c>
      <c r="C1402" s="27" t="s">
        <v>834</v>
      </c>
      <c r="D1402" s="18" t="s">
        <v>829</v>
      </c>
      <c r="E1402" s="18" t="s">
        <v>647</v>
      </c>
      <c r="F1402" s="18">
        <v>2009</v>
      </c>
      <c r="G1402" s="40">
        <v>1429</v>
      </c>
      <c r="H1402" s="40" t="s">
        <v>402</v>
      </c>
      <c r="I1402" s="40" t="s">
        <v>402</v>
      </c>
      <c r="J1402" s="40" t="s">
        <v>402</v>
      </c>
      <c r="K1402" s="65" t="s">
        <v>402</v>
      </c>
      <c r="L1402" s="38" t="s">
        <v>637</v>
      </c>
    </row>
    <row r="1403" spans="1:12" ht="13">
      <c r="A1403" s="18" t="s">
        <v>833</v>
      </c>
      <c r="B1403" s="18" t="s">
        <v>345</v>
      </c>
      <c r="C1403" s="27" t="s">
        <v>834</v>
      </c>
      <c r="D1403" s="18" t="s">
        <v>829</v>
      </c>
      <c r="E1403" s="18" t="s">
        <v>647</v>
      </c>
      <c r="F1403" s="18">
        <v>2010</v>
      </c>
      <c r="G1403" s="40">
        <v>1633</v>
      </c>
      <c r="H1403" s="40" t="s">
        <v>402</v>
      </c>
      <c r="I1403" s="40" t="s">
        <v>402</v>
      </c>
      <c r="J1403" s="40" t="s">
        <v>402</v>
      </c>
      <c r="K1403" s="65" t="s">
        <v>402</v>
      </c>
      <c r="L1403" s="38" t="s">
        <v>637</v>
      </c>
    </row>
    <row r="1404" spans="1:12" ht="13">
      <c r="A1404" s="18" t="s">
        <v>833</v>
      </c>
      <c r="B1404" s="18" t="s">
        <v>345</v>
      </c>
      <c r="C1404" s="27" t="s">
        <v>834</v>
      </c>
      <c r="D1404" s="18" t="s">
        <v>829</v>
      </c>
      <c r="E1404" s="18" t="s">
        <v>647</v>
      </c>
      <c r="F1404" s="18">
        <v>2011</v>
      </c>
      <c r="G1404" s="40">
        <v>1837</v>
      </c>
      <c r="H1404" s="40" t="s">
        <v>402</v>
      </c>
      <c r="I1404" s="40" t="s">
        <v>402</v>
      </c>
      <c r="J1404" s="40" t="s">
        <v>402</v>
      </c>
      <c r="K1404" s="65" t="s">
        <v>402</v>
      </c>
      <c r="L1404" s="38" t="s">
        <v>637</v>
      </c>
    </row>
    <row r="1405" spans="1:12" ht="13">
      <c r="A1405" s="18" t="s">
        <v>833</v>
      </c>
      <c r="B1405" s="18" t="s">
        <v>345</v>
      </c>
      <c r="C1405" s="27" t="s">
        <v>834</v>
      </c>
      <c r="D1405" s="18" t="s">
        <v>829</v>
      </c>
      <c r="E1405" s="18" t="s">
        <v>647</v>
      </c>
      <c r="F1405" s="18">
        <v>2013</v>
      </c>
      <c r="G1405" s="40">
        <v>1480</v>
      </c>
      <c r="H1405" s="40" t="s">
        <v>402</v>
      </c>
      <c r="I1405" s="40" t="s">
        <v>402</v>
      </c>
      <c r="J1405" s="40" t="s">
        <v>402</v>
      </c>
      <c r="K1405" s="65" t="s">
        <v>402</v>
      </c>
      <c r="L1405" s="38" t="s">
        <v>637</v>
      </c>
    </row>
    <row r="1406" spans="1:12" ht="13">
      <c r="A1406" s="18" t="s">
        <v>833</v>
      </c>
      <c r="B1406" s="18" t="s">
        <v>345</v>
      </c>
      <c r="C1406" s="27" t="s">
        <v>834</v>
      </c>
      <c r="D1406" s="18" t="s">
        <v>829</v>
      </c>
      <c r="E1406" s="18" t="s">
        <v>647</v>
      </c>
      <c r="F1406" s="18">
        <v>2014</v>
      </c>
      <c r="G1406" s="40">
        <v>2194</v>
      </c>
      <c r="H1406" s="40" t="s">
        <v>402</v>
      </c>
      <c r="I1406" s="40" t="s">
        <v>402</v>
      </c>
      <c r="J1406" s="40" t="s">
        <v>402</v>
      </c>
      <c r="K1406" s="65" t="s">
        <v>402</v>
      </c>
      <c r="L1406" s="38" t="s">
        <v>637</v>
      </c>
    </row>
    <row r="1407" spans="1:12" ht="13">
      <c r="A1407" s="18" t="s">
        <v>835</v>
      </c>
      <c r="B1407" s="18" t="s">
        <v>345</v>
      </c>
      <c r="C1407" s="27" t="s">
        <v>836</v>
      </c>
      <c r="D1407" s="18" t="s">
        <v>829</v>
      </c>
      <c r="E1407" s="18" t="s">
        <v>647</v>
      </c>
      <c r="F1407" s="18">
        <v>1990</v>
      </c>
      <c r="G1407" s="40">
        <v>1837</v>
      </c>
      <c r="H1407" s="40" t="s">
        <v>402</v>
      </c>
      <c r="I1407" s="40" t="s">
        <v>402</v>
      </c>
      <c r="J1407" s="40" t="s">
        <v>402</v>
      </c>
      <c r="K1407" s="65" t="s">
        <v>402</v>
      </c>
      <c r="L1407" s="38" t="s">
        <v>637</v>
      </c>
    </row>
    <row r="1408" spans="1:12" ht="13">
      <c r="A1408" s="18" t="s">
        <v>835</v>
      </c>
      <c r="B1408" s="18" t="s">
        <v>345</v>
      </c>
      <c r="C1408" s="27" t="s">
        <v>836</v>
      </c>
      <c r="D1408" s="18" t="s">
        <v>829</v>
      </c>
      <c r="E1408" s="18" t="s">
        <v>647</v>
      </c>
      <c r="F1408" s="18">
        <v>1991</v>
      </c>
      <c r="G1408" s="40">
        <v>1837</v>
      </c>
      <c r="H1408" s="40" t="s">
        <v>402</v>
      </c>
      <c r="I1408" s="40" t="s">
        <v>402</v>
      </c>
      <c r="J1408" s="40" t="s">
        <v>402</v>
      </c>
      <c r="K1408" s="65" t="s">
        <v>402</v>
      </c>
      <c r="L1408" s="38" t="s">
        <v>637</v>
      </c>
    </row>
    <row r="1409" spans="1:12" ht="13">
      <c r="A1409" s="18" t="s">
        <v>835</v>
      </c>
      <c r="B1409" s="18" t="s">
        <v>345</v>
      </c>
      <c r="C1409" s="27" t="s">
        <v>836</v>
      </c>
      <c r="D1409" s="18" t="s">
        <v>829</v>
      </c>
      <c r="E1409" s="18" t="s">
        <v>647</v>
      </c>
      <c r="F1409" s="18">
        <v>1992</v>
      </c>
      <c r="G1409" s="40">
        <v>1633</v>
      </c>
      <c r="H1409" s="40" t="s">
        <v>402</v>
      </c>
      <c r="I1409" s="40" t="s">
        <v>402</v>
      </c>
      <c r="J1409" s="40" t="s">
        <v>402</v>
      </c>
      <c r="K1409" s="65" t="s">
        <v>402</v>
      </c>
      <c r="L1409" s="38" t="s">
        <v>637</v>
      </c>
    </row>
    <row r="1410" spans="1:12" ht="13">
      <c r="A1410" s="18" t="s">
        <v>835</v>
      </c>
      <c r="B1410" s="18" t="s">
        <v>345</v>
      </c>
      <c r="C1410" s="27" t="s">
        <v>836</v>
      </c>
      <c r="D1410" s="18" t="s">
        <v>829</v>
      </c>
      <c r="E1410" s="18" t="s">
        <v>647</v>
      </c>
      <c r="F1410" s="18">
        <v>1993</v>
      </c>
      <c r="G1410" s="40">
        <v>1429</v>
      </c>
      <c r="H1410" s="40" t="s">
        <v>402</v>
      </c>
      <c r="I1410" s="40" t="s">
        <v>402</v>
      </c>
      <c r="J1410" s="40" t="s">
        <v>402</v>
      </c>
      <c r="K1410" s="65" t="s">
        <v>402</v>
      </c>
      <c r="L1410" s="38" t="s">
        <v>637</v>
      </c>
    </row>
    <row r="1411" spans="1:12" ht="13">
      <c r="A1411" s="18" t="s">
        <v>835</v>
      </c>
      <c r="B1411" s="18" t="s">
        <v>345</v>
      </c>
      <c r="C1411" s="27" t="s">
        <v>836</v>
      </c>
      <c r="D1411" s="18" t="s">
        <v>829</v>
      </c>
      <c r="E1411" s="18" t="s">
        <v>647</v>
      </c>
      <c r="F1411" s="18">
        <v>1994</v>
      </c>
      <c r="G1411" s="40">
        <v>1633</v>
      </c>
      <c r="H1411" s="40" t="s">
        <v>402</v>
      </c>
      <c r="I1411" s="40" t="s">
        <v>402</v>
      </c>
      <c r="J1411" s="40" t="s">
        <v>402</v>
      </c>
      <c r="K1411" s="65" t="s">
        <v>402</v>
      </c>
      <c r="L1411" s="38" t="s">
        <v>637</v>
      </c>
    </row>
    <row r="1412" spans="1:12" ht="13">
      <c r="A1412" s="18" t="s">
        <v>835</v>
      </c>
      <c r="B1412" s="18" t="s">
        <v>345</v>
      </c>
      <c r="C1412" s="27" t="s">
        <v>836</v>
      </c>
      <c r="D1412" s="18" t="s">
        <v>829</v>
      </c>
      <c r="E1412" s="18" t="s">
        <v>647</v>
      </c>
      <c r="F1412" s="18">
        <v>1995</v>
      </c>
      <c r="G1412" s="40">
        <v>1837</v>
      </c>
      <c r="H1412" s="40" t="s">
        <v>402</v>
      </c>
      <c r="I1412" s="40" t="s">
        <v>402</v>
      </c>
      <c r="J1412" s="40" t="s">
        <v>402</v>
      </c>
      <c r="K1412" s="65" t="s">
        <v>402</v>
      </c>
      <c r="L1412" s="38" t="s">
        <v>637</v>
      </c>
    </row>
    <row r="1413" spans="1:12" ht="13">
      <c r="A1413" s="18" t="s">
        <v>835</v>
      </c>
      <c r="B1413" s="18" t="s">
        <v>345</v>
      </c>
      <c r="C1413" s="27" t="s">
        <v>836</v>
      </c>
      <c r="D1413" s="18" t="s">
        <v>829</v>
      </c>
      <c r="E1413" s="18" t="s">
        <v>647</v>
      </c>
      <c r="F1413" s="18">
        <v>1996</v>
      </c>
      <c r="G1413" s="40">
        <v>2245</v>
      </c>
      <c r="H1413" s="40" t="s">
        <v>402</v>
      </c>
      <c r="I1413" s="40" t="s">
        <v>402</v>
      </c>
      <c r="J1413" s="40" t="s">
        <v>402</v>
      </c>
      <c r="K1413" s="65" t="s">
        <v>402</v>
      </c>
      <c r="L1413" s="38" t="s">
        <v>637</v>
      </c>
    </row>
    <row r="1414" spans="1:12" ht="13">
      <c r="A1414" s="18" t="s">
        <v>835</v>
      </c>
      <c r="B1414" s="18" t="s">
        <v>345</v>
      </c>
      <c r="C1414" s="27" t="s">
        <v>836</v>
      </c>
      <c r="D1414" s="18" t="s">
        <v>829</v>
      </c>
      <c r="E1414" s="18" t="s">
        <v>647</v>
      </c>
      <c r="F1414" s="18">
        <v>1997</v>
      </c>
      <c r="G1414" s="40">
        <v>2041</v>
      </c>
      <c r="H1414" s="40" t="s">
        <v>402</v>
      </c>
      <c r="I1414" s="40" t="s">
        <v>402</v>
      </c>
      <c r="J1414" s="40" t="s">
        <v>402</v>
      </c>
      <c r="K1414" s="65" t="s">
        <v>402</v>
      </c>
      <c r="L1414" s="38" t="s">
        <v>637</v>
      </c>
    </row>
    <row r="1415" spans="1:12" ht="13">
      <c r="A1415" s="18" t="s">
        <v>835</v>
      </c>
      <c r="B1415" s="18" t="s">
        <v>345</v>
      </c>
      <c r="C1415" s="27" t="s">
        <v>836</v>
      </c>
      <c r="D1415" s="18" t="s">
        <v>829</v>
      </c>
      <c r="E1415" s="18" t="s">
        <v>647</v>
      </c>
      <c r="F1415" s="18">
        <v>1998</v>
      </c>
      <c r="G1415" s="40">
        <v>1429</v>
      </c>
      <c r="H1415" s="40" t="s">
        <v>402</v>
      </c>
      <c r="I1415" s="40" t="s">
        <v>402</v>
      </c>
      <c r="J1415" s="40" t="s">
        <v>402</v>
      </c>
      <c r="K1415" s="65" t="s">
        <v>402</v>
      </c>
      <c r="L1415" s="38" t="s">
        <v>637</v>
      </c>
    </row>
    <row r="1416" spans="1:12" ht="13">
      <c r="A1416" s="18" t="s">
        <v>835</v>
      </c>
      <c r="B1416" s="18" t="s">
        <v>345</v>
      </c>
      <c r="C1416" s="27" t="s">
        <v>836</v>
      </c>
      <c r="D1416" s="18" t="s">
        <v>829</v>
      </c>
      <c r="E1416" s="18" t="s">
        <v>647</v>
      </c>
      <c r="F1416" s="18">
        <v>1999</v>
      </c>
      <c r="G1416" s="40">
        <v>2041</v>
      </c>
      <c r="H1416" s="40" t="s">
        <v>402</v>
      </c>
      <c r="I1416" s="40" t="s">
        <v>402</v>
      </c>
      <c r="J1416" s="40" t="s">
        <v>402</v>
      </c>
      <c r="K1416" s="65" t="s">
        <v>402</v>
      </c>
      <c r="L1416" s="38" t="s">
        <v>637</v>
      </c>
    </row>
    <row r="1417" spans="1:12" ht="13">
      <c r="A1417" s="18" t="s">
        <v>835</v>
      </c>
      <c r="B1417" s="18" t="s">
        <v>345</v>
      </c>
      <c r="C1417" s="27" t="s">
        <v>836</v>
      </c>
      <c r="D1417" s="18" t="s">
        <v>829</v>
      </c>
      <c r="E1417" s="18" t="s">
        <v>647</v>
      </c>
      <c r="F1417" s="18">
        <v>2000</v>
      </c>
      <c r="G1417" s="40">
        <v>2245</v>
      </c>
      <c r="H1417" s="40" t="s">
        <v>402</v>
      </c>
      <c r="I1417" s="40" t="s">
        <v>402</v>
      </c>
      <c r="J1417" s="40" t="s">
        <v>402</v>
      </c>
      <c r="K1417" s="65" t="s">
        <v>402</v>
      </c>
      <c r="L1417" s="38" t="s">
        <v>637</v>
      </c>
    </row>
    <row r="1418" spans="1:12" ht="13">
      <c r="A1418" s="18" t="s">
        <v>835</v>
      </c>
      <c r="B1418" s="18" t="s">
        <v>345</v>
      </c>
      <c r="C1418" s="27" t="s">
        <v>836</v>
      </c>
      <c r="D1418" s="18" t="s">
        <v>829</v>
      </c>
      <c r="E1418" s="18" t="s">
        <v>647</v>
      </c>
      <c r="F1418" s="18">
        <v>2001</v>
      </c>
      <c r="G1418" s="40">
        <v>2245</v>
      </c>
      <c r="H1418" s="40" t="s">
        <v>402</v>
      </c>
      <c r="I1418" s="40" t="s">
        <v>402</v>
      </c>
      <c r="J1418" s="40" t="s">
        <v>402</v>
      </c>
      <c r="K1418" s="65" t="s">
        <v>402</v>
      </c>
      <c r="L1418" s="38" t="s">
        <v>637</v>
      </c>
    </row>
    <row r="1419" spans="1:12" ht="13">
      <c r="A1419" s="18" t="s">
        <v>835</v>
      </c>
      <c r="B1419" s="18" t="s">
        <v>345</v>
      </c>
      <c r="C1419" s="27" t="s">
        <v>836</v>
      </c>
      <c r="D1419" s="18" t="s">
        <v>829</v>
      </c>
      <c r="E1419" s="18" t="s">
        <v>647</v>
      </c>
      <c r="F1419" s="18">
        <v>2002</v>
      </c>
      <c r="G1419" s="40">
        <v>3265</v>
      </c>
      <c r="H1419" s="40" t="s">
        <v>402</v>
      </c>
      <c r="I1419" s="40" t="s">
        <v>402</v>
      </c>
      <c r="J1419" s="40" t="s">
        <v>402</v>
      </c>
      <c r="K1419" s="65" t="s">
        <v>402</v>
      </c>
      <c r="L1419" s="38" t="s">
        <v>637</v>
      </c>
    </row>
    <row r="1420" spans="1:12" ht="13">
      <c r="A1420" s="18" t="s">
        <v>835</v>
      </c>
      <c r="B1420" s="18" t="s">
        <v>345</v>
      </c>
      <c r="C1420" s="27" t="s">
        <v>836</v>
      </c>
      <c r="D1420" s="18" t="s">
        <v>829</v>
      </c>
      <c r="E1420" s="18" t="s">
        <v>647</v>
      </c>
      <c r="F1420" s="18">
        <v>2003</v>
      </c>
      <c r="G1420" s="40">
        <v>2245</v>
      </c>
      <c r="H1420" s="40" t="s">
        <v>402</v>
      </c>
      <c r="I1420" s="40" t="s">
        <v>402</v>
      </c>
      <c r="J1420" s="40" t="s">
        <v>402</v>
      </c>
      <c r="K1420" s="65" t="s">
        <v>402</v>
      </c>
      <c r="L1420" s="38" t="s">
        <v>637</v>
      </c>
    </row>
    <row r="1421" spans="1:12" ht="13">
      <c r="A1421" s="18" t="s">
        <v>835</v>
      </c>
      <c r="B1421" s="18" t="s">
        <v>345</v>
      </c>
      <c r="C1421" s="27" t="s">
        <v>836</v>
      </c>
      <c r="D1421" s="18" t="s">
        <v>829</v>
      </c>
      <c r="E1421" s="18" t="s">
        <v>647</v>
      </c>
      <c r="F1421" s="18">
        <v>2004</v>
      </c>
      <c r="G1421" s="40">
        <v>3061</v>
      </c>
      <c r="H1421" s="40" t="s">
        <v>402</v>
      </c>
      <c r="I1421" s="40" t="s">
        <v>402</v>
      </c>
      <c r="J1421" s="40" t="s">
        <v>402</v>
      </c>
      <c r="K1421" s="65" t="s">
        <v>402</v>
      </c>
      <c r="L1421" s="38" t="s">
        <v>637</v>
      </c>
    </row>
    <row r="1422" spans="1:12" ht="13">
      <c r="A1422" s="18" t="s">
        <v>835</v>
      </c>
      <c r="B1422" s="18" t="s">
        <v>345</v>
      </c>
      <c r="C1422" s="27" t="s">
        <v>836</v>
      </c>
      <c r="D1422" s="18" t="s">
        <v>829</v>
      </c>
      <c r="E1422" s="18" t="s">
        <v>647</v>
      </c>
      <c r="F1422" s="18">
        <v>2005</v>
      </c>
      <c r="G1422" s="40">
        <v>2857</v>
      </c>
      <c r="H1422" s="40" t="s">
        <v>402</v>
      </c>
      <c r="I1422" s="40" t="s">
        <v>402</v>
      </c>
      <c r="J1422" s="40" t="s">
        <v>402</v>
      </c>
      <c r="K1422" s="65" t="s">
        <v>402</v>
      </c>
      <c r="L1422" s="38" t="s">
        <v>637</v>
      </c>
    </row>
    <row r="1423" spans="1:12" ht="13">
      <c r="A1423" s="18" t="s">
        <v>835</v>
      </c>
      <c r="B1423" s="18" t="s">
        <v>345</v>
      </c>
      <c r="C1423" s="27" t="s">
        <v>836</v>
      </c>
      <c r="D1423" s="18" t="s">
        <v>829</v>
      </c>
      <c r="E1423" s="18" t="s">
        <v>647</v>
      </c>
      <c r="F1423" s="18">
        <v>2007</v>
      </c>
      <c r="G1423" s="40">
        <v>2653</v>
      </c>
      <c r="H1423" s="40" t="s">
        <v>402</v>
      </c>
      <c r="I1423" s="40" t="s">
        <v>402</v>
      </c>
      <c r="J1423" s="40" t="s">
        <v>402</v>
      </c>
      <c r="K1423" s="65" t="s">
        <v>402</v>
      </c>
      <c r="L1423" s="38" t="s">
        <v>637</v>
      </c>
    </row>
    <row r="1424" spans="1:12" ht="13">
      <c r="A1424" s="18" t="s">
        <v>835</v>
      </c>
      <c r="B1424" s="18" t="s">
        <v>345</v>
      </c>
      <c r="C1424" s="27" t="s">
        <v>836</v>
      </c>
      <c r="D1424" s="18" t="s">
        <v>829</v>
      </c>
      <c r="E1424" s="18" t="s">
        <v>647</v>
      </c>
      <c r="F1424" s="18">
        <v>2009</v>
      </c>
      <c r="G1424" s="40">
        <v>2245</v>
      </c>
      <c r="H1424" s="40" t="s">
        <v>402</v>
      </c>
      <c r="I1424" s="40" t="s">
        <v>402</v>
      </c>
      <c r="J1424" s="40" t="s">
        <v>402</v>
      </c>
      <c r="K1424" s="65" t="s">
        <v>402</v>
      </c>
      <c r="L1424" s="38" t="s">
        <v>637</v>
      </c>
    </row>
    <row r="1425" spans="1:12" ht="13">
      <c r="A1425" s="18" t="s">
        <v>835</v>
      </c>
      <c r="B1425" s="18" t="s">
        <v>345</v>
      </c>
      <c r="C1425" s="27" t="s">
        <v>836</v>
      </c>
      <c r="D1425" s="18" t="s">
        <v>829</v>
      </c>
      <c r="E1425" s="18" t="s">
        <v>647</v>
      </c>
      <c r="F1425" s="18">
        <v>2011</v>
      </c>
      <c r="G1425" s="40">
        <v>2041</v>
      </c>
      <c r="H1425" s="40" t="s">
        <v>402</v>
      </c>
      <c r="I1425" s="40" t="s">
        <v>402</v>
      </c>
      <c r="J1425" s="40" t="s">
        <v>402</v>
      </c>
      <c r="K1425" s="65" t="s">
        <v>402</v>
      </c>
      <c r="L1425" s="38" t="s">
        <v>637</v>
      </c>
    </row>
    <row r="1426" spans="1:12" ht="13">
      <c r="A1426" s="18" t="s">
        <v>835</v>
      </c>
      <c r="B1426" s="18" t="s">
        <v>345</v>
      </c>
      <c r="C1426" s="27" t="s">
        <v>836</v>
      </c>
      <c r="D1426" s="18" t="s">
        <v>829</v>
      </c>
      <c r="E1426" s="18" t="s">
        <v>647</v>
      </c>
      <c r="F1426" s="18">
        <v>2012</v>
      </c>
      <c r="G1426" s="40">
        <v>2449</v>
      </c>
      <c r="H1426" s="40" t="s">
        <v>402</v>
      </c>
      <c r="I1426" s="40" t="s">
        <v>402</v>
      </c>
      <c r="J1426" s="40" t="s">
        <v>402</v>
      </c>
      <c r="K1426" s="65" t="s">
        <v>402</v>
      </c>
      <c r="L1426" s="38" t="s">
        <v>637</v>
      </c>
    </row>
    <row r="1427" spans="1:12" ht="13">
      <c r="A1427" s="18" t="s">
        <v>835</v>
      </c>
      <c r="B1427" s="18" t="s">
        <v>345</v>
      </c>
      <c r="C1427" s="27" t="s">
        <v>836</v>
      </c>
      <c r="D1427" s="18" t="s">
        <v>829</v>
      </c>
      <c r="E1427" s="18" t="s">
        <v>647</v>
      </c>
      <c r="F1427" s="18">
        <v>2013</v>
      </c>
      <c r="G1427" s="40">
        <v>3265</v>
      </c>
      <c r="H1427" s="40" t="s">
        <v>402</v>
      </c>
      <c r="I1427" s="40" t="s">
        <v>402</v>
      </c>
      <c r="J1427" s="40" t="s">
        <v>402</v>
      </c>
      <c r="K1427" s="65" t="s">
        <v>402</v>
      </c>
      <c r="L1427" s="38" t="s">
        <v>637</v>
      </c>
    </row>
    <row r="1428" spans="1:12" ht="13">
      <c r="A1428" s="18" t="s">
        <v>835</v>
      </c>
      <c r="B1428" s="18" t="s">
        <v>345</v>
      </c>
      <c r="C1428" s="27" t="s">
        <v>836</v>
      </c>
      <c r="D1428" s="18" t="s">
        <v>829</v>
      </c>
      <c r="E1428" s="18" t="s">
        <v>647</v>
      </c>
      <c r="F1428" s="18">
        <v>2016</v>
      </c>
      <c r="G1428" s="40">
        <v>3061</v>
      </c>
      <c r="H1428" s="40" t="s">
        <v>402</v>
      </c>
      <c r="I1428" s="40" t="s">
        <v>402</v>
      </c>
      <c r="J1428" s="40" t="s">
        <v>402</v>
      </c>
      <c r="K1428" s="65" t="s">
        <v>402</v>
      </c>
      <c r="L1428" s="38" t="s">
        <v>637</v>
      </c>
    </row>
    <row r="1429" spans="1:12" ht="13">
      <c r="A1429" s="18" t="s">
        <v>835</v>
      </c>
      <c r="B1429" s="18" t="s">
        <v>345</v>
      </c>
      <c r="C1429" s="27" t="s">
        <v>836</v>
      </c>
      <c r="D1429" s="18" t="s">
        <v>829</v>
      </c>
      <c r="E1429" s="18" t="s">
        <v>647</v>
      </c>
      <c r="F1429" s="18">
        <v>2017</v>
      </c>
      <c r="G1429" s="40">
        <v>2857</v>
      </c>
      <c r="H1429" s="40" t="s">
        <v>402</v>
      </c>
      <c r="I1429" s="40" t="s">
        <v>402</v>
      </c>
      <c r="J1429" s="40" t="s">
        <v>402</v>
      </c>
      <c r="K1429" s="65" t="s">
        <v>402</v>
      </c>
      <c r="L1429" s="38" t="s">
        <v>637</v>
      </c>
    </row>
    <row r="1430" spans="1:12" ht="13">
      <c r="A1430" s="18" t="s">
        <v>837</v>
      </c>
      <c r="B1430" s="18" t="s">
        <v>345</v>
      </c>
      <c r="C1430" s="27" t="s">
        <v>838</v>
      </c>
      <c r="D1430" s="18" t="s">
        <v>829</v>
      </c>
      <c r="E1430" s="18" t="s">
        <v>647</v>
      </c>
      <c r="F1430" s="18">
        <v>1987</v>
      </c>
      <c r="G1430" s="40">
        <v>2857</v>
      </c>
      <c r="H1430" s="40" t="s">
        <v>402</v>
      </c>
      <c r="I1430" s="40" t="s">
        <v>402</v>
      </c>
      <c r="J1430" s="40" t="s">
        <v>402</v>
      </c>
      <c r="K1430" s="65" t="s">
        <v>402</v>
      </c>
      <c r="L1430" s="38" t="s">
        <v>637</v>
      </c>
    </row>
    <row r="1431" spans="1:12" ht="13">
      <c r="A1431" s="18" t="s">
        <v>837</v>
      </c>
      <c r="B1431" s="18" t="s">
        <v>345</v>
      </c>
      <c r="C1431" s="27" t="s">
        <v>838</v>
      </c>
      <c r="D1431" s="18" t="s">
        <v>829</v>
      </c>
      <c r="E1431" s="18" t="s">
        <v>647</v>
      </c>
      <c r="F1431" s="18">
        <v>1988</v>
      </c>
      <c r="G1431" s="40">
        <v>3061</v>
      </c>
      <c r="H1431" s="40" t="s">
        <v>402</v>
      </c>
      <c r="I1431" s="40" t="s">
        <v>402</v>
      </c>
      <c r="J1431" s="40" t="s">
        <v>402</v>
      </c>
      <c r="K1431" s="65" t="s">
        <v>402</v>
      </c>
      <c r="L1431" s="38" t="s">
        <v>637</v>
      </c>
    </row>
    <row r="1432" spans="1:12" ht="13">
      <c r="A1432" s="18" t="s">
        <v>837</v>
      </c>
      <c r="B1432" s="18" t="s">
        <v>345</v>
      </c>
      <c r="C1432" s="27" t="s">
        <v>838</v>
      </c>
      <c r="D1432" s="18" t="s">
        <v>829</v>
      </c>
      <c r="E1432" s="18" t="s">
        <v>647</v>
      </c>
      <c r="F1432" s="18">
        <v>1989</v>
      </c>
      <c r="G1432" s="40">
        <v>2245</v>
      </c>
      <c r="H1432" s="40" t="s">
        <v>402</v>
      </c>
      <c r="I1432" s="40" t="s">
        <v>402</v>
      </c>
      <c r="J1432" s="40" t="s">
        <v>402</v>
      </c>
      <c r="K1432" s="65" t="s">
        <v>402</v>
      </c>
      <c r="L1432" s="38" t="s">
        <v>637</v>
      </c>
    </row>
    <row r="1433" spans="1:12" ht="13">
      <c r="A1433" s="18" t="s">
        <v>837</v>
      </c>
      <c r="B1433" s="18" t="s">
        <v>345</v>
      </c>
      <c r="C1433" s="27" t="s">
        <v>838</v>
      </c>
      <c r="D1433" s="18" t="s">
        <v>829</v>
      </c>
      <c r="E1433" s="18" t="s">
        <v>647</v>
      </c>
      <c r="F1433" s="18">
        <v>1990</v>
      </c>
      <c r="G1433" s="40">
        <v>2653</v>
      </c>
      <c r="H1433" s="40" t="s">
        <v>402</v>
      </c>
      <c r="I1433" s="40" t="s">
        <v>402</v>
      </c>
      <c r="J1433" s="40" t="s">
        <v>402</v>
      </c>
      <c r="K1433" s="65" t="s">
        <v>402</v>
      </c>
      <c r="L1433" s="38" t="s">
        <v>637</v>
      </c>
    </row>
    <row r="1434" spans="1:12" ht="13">
      <c r="A1434" s="18" t="s">
        <v>837</v>
      </c>
      <c r="B1434" s="18" t="s">
        <v>345</v>
      </c>
      <c r="C1434" s="27" t="s">
        <v>838</v>
      </c>
      <c r="D1434" s="18" t="s">
        <v>829</v>
      </c>
      <c r="E1434" s="18" t="s">
        <v>647</v>
      </c>
      <c r="F1434" s="18">
        <v>1991</v>
      </c>
      <c r="G1434" s="40">
        <v>3469</v>
      </c>
      <c r="H1434" s="40" t="s">
        <v>402</v>
      </c>
      <c r="I1434" s="40" t="s">
        <v>402</v>
      </c>
      <c r="J1434" s="40" t="s">
        <v>402</v>
      </c>
      <c r="K1434" s="65" t="s">
        <v>402</v>
      </c>
      <c r="L1434" s="38" t="s">
        <v>637</v>
      </c>
    </row>
    <row r="1435" spans="1:12" ht="13">
      <c r="A1435" s="18" t="s">
        <v>837</v>
      </c>
      <c r="B1435" s="18" t="s">
        <v>345</v>
      </c>
      <c r="C1435" s="27" t="s">
        <v>838</v>
      </c>
      <c r="D1435" s="18" t="s">
        <v>829</v>
      </c>
      <c r="E1435" s="18" t="s">
        <v>647</v>
      </c>
      <c r="F1435" s="18">
        <v>1992</v>
      </c>
      <c r="G1435" s="40">
        <v>3673</v>
      </c>
      <c r="H1435" s="40" t="s">
        <v>402</v>
      </c>
      <c r="I1435" s="40" t="s">
        <v>402</v>
      </c>
      <c r="J1435" s="40" t="s">
        <v>402</v>
      </c>
      <c r="K1435" s="65" t="s">
        <v>402</v>
      </c>
      <c r="L1435" s="38" t="s">
        <v>637</v>
      </c>
    </row>
    <row r="1436" spans="1:12" ht="13">
      <c r="A1436" s="18" t="s">
        <v>837</v>
      </c>
      <c r="B1436" s="18" t="s">
        <v>345</v>
      </c>
      <c r="C1436" s="27" t="s">
        <v>838</v>
      </c>
      <c r="D1436" s="18" t="s">
        <v>829</v>
      </c>
      <c r="E1436" s="18" t="s">
        <v>647</v>
      </c>
      <c r="F1436" s="18">
        <v>1993</v>
      </c>
      <c r="G1436" s="40">
        <v>3061</v>
      </c>
      <c r="H1436" s="40" t="s">
        <v>402</v>
      </c>
      <c r="I1436" s="40" t="s">
        <v>402</v>
      </c>
      <c r="J1436" s="40" t="s">
        <v>402</v>
      </c>
      <c r="K1436" s="65" t="s">
        <v>402</v>
      </c>
      <c r="L1436" s="38" t="s">
        <v>637</v>
      </c>
    </row>
    <row r="1437" spans="1:12" ht="13">
      <c r="A1437" s="18" t="s">
        <v>837</v>
      </c>
      <c r="B1437" s="18" t="s">
        <v>345</v>
      </c>
      <c r="C1437" s="27" t="s">
        <v>838</v>
      </c>
      <c r="D1437" s="18" t="s">
        <v>829</v>
      </c>
      <c r="E1437" s="18" t="s">
        <v>647</v>
      </c>
      <c r="F1437" s="18">
        <v>1994</v>
      </c>
      <c r="G1437" s="40">
        <v>3469</v>
      </c>
      <c r="H1437" s="40" t="s">
        <v>402</v>
      </c>
      <c r="I1437" s="40" t="s">
        <v>402</v>
      </c>
      <c r="J1437" s="40" t="s">
        <v>402</v>
      </c>
      <c r="K1437" s="65" t="s">
        <v>402</v>
      </c>
      <c r="L1437" s="38" t="s">
        <v>637</v>
      </c>
    </row>
    <row r="1438" spans="1:12" ht="13">
      <c r="A1438" s="18" t="s">
        <v>837</v>
      </c>
      <c r="B1438" s="18" t="s">
        <v>345</v>
      </c>
      <c r="C1438" s="27" t="s">
        <v>838</v>
      </c>
      <c r="D1438" s="18" t="s">
        <v>829</v>
      </c>
      <c r="E1438" s="18" t="s">
        <v>647</v>
      </c>
      <c r="F1438" s="18">
        <v>1995</v>
      </c>
      <c r="G1438" s="40">
        <v>3980</v>
      </c>
      <c r="H1438" s="40" t="s">
        <v>402</v>
      </c>
      <c r="I1438" s="40" t="s">
        <v>402</v>
      </c>
      <c r="J1438" s="40" t="s">
        <v>402</v>
      </c>
      <c r="K1438" s="65" t="s">
        <v>402</v>
      </c>
      <c r="L1438" s="38" t="s">
        <v>637</v>
      </c>
    </row>
    <row r="1439" spans="1:12" ht="13">
      <c r="A1439" s="18" t="s">
        <v>837</v>
      </c>
      <c r="B1439" s="18" t="s">
        <v>345</v>
      </c>
      <c r="C1439" s="27" t="s">
        <v>838</v>
      </c>
      <c r="D1439" s="18" t="s">
        <v>829</v>
      </c>
      <c r="E1439" s="18" t="s">
        <v>647</v>
      </c>
      <c r="F1439" s="18">
        <v>1996</v>
      </c>
      <c r="G1439" s="40">
        <v>3469</v>
      </c>
      <c r="H1439" s="40" t="s">
        <v>402</v>
      </c>
      <c r="I1439" s="40" t="s">
        <v>402</v>
      </c>
      <c r="J1439" s="40" t="s">
        <v>402</v>
      </c>
      <c r="K1439" s="65" t="s">
        <v>402</v>
      </c>
      <c r="L1439" s="38" t="s">
        <v>637</v>
      </c>
    </row>
    <row r="1440" spans="1:12" ht="13">
      <c r="A1440" s="18" t="s">
        <v>837</v>
      </c>
      <c r="B1440" s="18" t="s">
        <v>345</v>
      </c>
      <c r="C1440" s="27" t="s">
        <v>838</v>
      </c>
      <c r="D1440" s="18" t="s">
        <v>829</v>
      </c>
      <c r="E1440" s="18" t="s">
        <v>647</v>
      </c>
      <c r="F1440" s="18">
        <v>1997</v>
      </c>
      <c r="G1440" s="40">
        <v>4082</v>
      </c>
      <c r="H1440" s="40" t="s">
        <v>402</v>
      </c>
      <c r="I1440" s="40" t="s">
        <v>402</v>
      </c>
      <c r="J1440" s="40" t="s">
        <v>402</v>
      </c>
      <c r="K1440" s="65" t="s">
        <v>402</v>
      </c>
      <c r="L1440" s="38" t="s">
        <v>637</v>
      </c>
    </row>
    <row r="1441" spans="1:12" ht="13">
      <c r="A1441" s="18" t="s">
        <v>837</v>
      </c>
      <c r="B1441" s="18" t="s">
        <v>345</v>
      </c>
      <c r="C1441" s="27" t="s">
        <v>838</v>
      </c>
      <c r="D1441" s="18" t="s">
        <v>829</v>
      </c>
      <c r="E1441" s="18" t="s">
        <v>647</v>
      </c>
      <c r="F1441" s="18">
        <v>1998</v>
      </c>
      <c r="G1441" s="40">
        <v>4286</v>
      </c>
      <c r="H1441" s="40" t="s">
        <v>402</v>
      </c>
      <c r="I1441" s="40" t="s">
        <v>402</v>
      </c>
      <c r="J1441" s="40" t="s">
        <v>402</v>
      </c>
      <c r="K1441" s="65" t="s">
        <v>402</v>
      </c>
      <c r="L1441" s="38" t="s">
        <v>637</v>
      </c>
    </row>
    <row r="1442" spans="1:12" ht="13">
      <c r="A1442" s="18" t="s">
        <v>837</v>
      </c>
      <c r="B1442" s="18" t="s">
        <v>345</v>
      </c>
      <c r="C1442" s="27" t="s">
        <v>838</v>
      </c>
      <c r="D1442" s="18" t="s">
        <v>829</v>
      </c>
      <c r="E1442" s="18" t="s">
        <v>647</v>
      </c>
      <c r="F1442" s="18">
        <v>1999</v>
      </c>
      <c r="G1442" s="40">
        <v>3469</v>
      </c>
      <c r="H1442" s="40" t="s">
        <v>402</v>
      </c>
      <c r="I1442" s="40" t="s">
        <v>402</v>
      </c>
      <c r="J1442" s="40" t="s">
        <v>402</v>
      </c>
      <c r="K1442" s="65" t="s">
        <v>402</v>
      </c>
      <c r="L1442" s="38" t="s">
        <v>637</v>
      </c>
    </row>
    <row r="1443" spans="1:12" ht="13">
      <c r="A1443" s="18" t="s">
        <v>837</v>
      </c>
      <c r="B1443" s="18" t="s">
        <v>345</v>
      </c>
      <c r="C1443" s="27" t="s">
        <v>838</v>
      </c>
      <c r="D1443" s="18" t="s">
        <v>829</v>
      </c>
      <c r="E1443" s="18" t="s">
        <v>647</v>
      </c>
      <c r="F1443" s="18">
        <v>2000</v>
      </c>
      <c r="G1443" s="40">
        <v>3061</v>
      </c>
      <c r="H1443" s="40" t="s">
        <v>402</v>
      </c>
      <c r="I1443" s="40" t="s">
        <v>402</v>
      </c>
      <c r="J1443" s="40" t="s">
        <v>402</v>
      </c>
      <c r="K1443" s="65" t="s">
        <v>402</v>
      </c>
      <c r="L1443" s="38" t="s">
        <v>637</v>
      </c>
    </row>
    <row r="1444" spans="1:12" ht="13">
      <c r="A1444" s="18" t="s">
        <v>837</v>
      </c>
      <c r="B1444" s="18" t="s">
        <v>345</v>
      </c>
      <c r="C1444" s="27" t="s">
        <v>838</v>
      </c>
      <c r="D1444" s="18" t="s">
        <v>829</v>
      </c>
      <c r="E1444" s="18" t="s">
        <v>647</v>
      </c>
      <c r="F1444" s="18">
        <v>2001</v>
      </c>
      <c r="G1444" s="40">
        <v>4082</v>
      </c>
      <c r="H1444" s="40" t="s">
        <v>402</v>
      </c>
      <c r="I1444" s="40" t="s">
        <v>402</v>
      </c>
      <c r="J1444" s="40" t="s">
        <v>402</v>
      </c>
      <c r="K1444" s="65" t="s">
        <v>402</v>
      </c>
      <c r="L1444" s="38" t="s">
        <v>637</v>
      </c>
    </row>
    <row r="1445" spans="1:12" ht="13">
      <c r="A1445" s="18" t="s">
        <v>837</v>
      </c>
      <c r="B1445" s="18" t="s">
        <v>345</v>
      </c>
      <c r="C1445" s="27" t="s">
        <v>838</v>
      </c>
      <c r="D1445" s="18" t="s">
        <v>829</v>
      </c>
      <c r="E1445" s="18" t="s">
        <v>647</v>
      </c>
      <c r="F1445" s="18">
        <v>2002</v>
      </c>
      <c r="G1445" s="40">
        <v>4286</v>
      </c>
      <c r="H1445" s="40" t="s">
        <v>402</v>
      </c>
      <c r="I1445" s="40" t="s">
        <v>402</v>
      </c>
      <c r="J1445" s="40" t="s">
        <v>402</v>
      </c>
      <c r="K1445" s="65" t="s">
        <v>402</v>
      </c>
      <c r="L1445" s="38" t="s">
        <v>637</v>
      </c>
    </row>
    <row r="1446" spans="1:12" ht="13">
      <c r="A1446" s="18" t="s">
        <v>837</v>
      </c>
      <c r="B1446" s="18" t="s">
        <v>345</v>
      </c>
      <c r="C1446" s="27" t="s">
        <v>838</v>
      </c>
      <c r="D1446" s="18" t="s">
        <v>829</v>
      </c>
      <c r="E1446" s="18" t="s">
        <v>647</v>
      </c>
      <c r="F1446" s="18">
        <v>2003</v>
      </c>
      <c r="G1446" s="40">
        <v>5918</v>
      </c>
      <c r="H1446" s="40" t="s">
        <v>402</v>
      </c>
      <c r="I1446" s="40" t="s">
        <v>402</v>
      </c>
      <c r="J1446" s="40" t="s">
        <v>402</v>
      </c>
      <c r="K1446" s="65" t="s">
        <v>402</v>
      </c>
      <c r="L1446" s="38" t="s">
        <v>637</v>
      </c>
    </row>
    <row r="1447" spans="1:12" ht="13">
      <c r="A1447" s="18" t="s">
        <v>837</v>
      </c>
      <c r="B1447" s="18" t="s">
        <v>345</v>
      </c>
      <c r="C1447" s="27" t="s">
        <v>838</v>
      </c>
      <c r="D1447" s="18" t="s">
        <v>829</v>
      </c>
      <c r="E1447" s="18" t="s">
        <v>647</v>
      </c>
      <c r="F1447" s="18">
        <v>2006</v>
      </c>
      <c r="G1447" s="40">
        <v>4694</v>
      </c>
      <c r="H1447" s="40" t="s">
        <v>402</v>
      </c>
      <c r="I1447" s="40" t="s">
        <v>402</v>
      </c>
      <c r="J1447" s="40" t="s">
        <v>402</v>
      </c>
      <c r="K1447" s="65" t="s">
        <v>402</v>
      </c>
      <c r="L1447" s="38" t="s">
        <v>637</v>
      </c>
    </row>
    <row r="1448" spans="1:12" ht="13">
      <c r="A1448" s="18" t="s">
        <v>837</v>
      </c>
      <c r="B1448" s="18" t="s">
        <v>345</v>
      </c>
      <c r="C1448" s="27" t="s">
        <v>838</v>
      </c>
      <c r="D1448" s="18" t="s">
        <v>829</v>
      </c>
      <c r="E1448" s="18" t="s">
        <v>647</v>
      </c>
      <c r="F1448" s="18">
        <v>2008</v>
      </c>
      <c r="G1448" s="40">
        <v>4235</v>
      </c>
      <c r="H1448" s="40" t="s">
        <v>402</v>
      </c>
      <c r="I1448" s="40" t="s">
        <v>402</v>
      </c>
      <c r="J1448" s="40" t="s">
        <v>402</v>
      </c>
      <c r="K1448" s="65" t="s">
        <v>402</v>
      </c>
      <c r="L1448" s="38" t="s">
        <v>637</v>
      </c>
    </row>
    <row r="1449" spans="1:12" ht="13">
      <c r="A1449" s="18" t="s">
        <v>837</v>
      </c>
      <c r="B1449" s="18" t="s">
        <v>345</v>
      </c>
      <c r="C1449" s="27" t="s">
        <v>838</v>
      </c>
      <c r="D1449" s="18" t="s">
        <v>829</v>
      </c>
      <c r="E1449" s="18" t="s">
        <v>647</v>
      </c>
      <c r="F1449" s="18">
        <v>2009</v>
      </c>
      <c r="G1449" s="40">
        <v>5051</v>
      </c>
      <c r="H1449" s="40" t="s">
        <v>402</v>
      </c>
      <c r="I1449" s="40" t="s">
        <v>402</v>
      </c>
      <c r="J1449" s="40" t="s">
        <v>402</v>
      </c>
      <c r="K1449" s="65" t="s">
        <v>402</v>
      </c>
      <c r="L1449" s="38" t="s">
        <v>637</v>
      </c>
    </row>
    <row r="1450" spans="1:12" ht="13">
      <c r="A1450" s="18" t="s">
        <v>837</v>
      </c>
      <c r="B1450" s="18" t="s">
        <v>345</v>
      </c>
      <c r="C1450" s="27" t="s">
        <v>838</v>
      </c>
      <c r="D1450" s="18" t="s">
        <v>829</v>
      </c>
      <c r="E1450" s="18" t="s">
        <v>647</v>
      </c>
      <c r="F1450" s="18">
        <v>2012</v>
      </c>
      <c r="G1450" s="40">
        <v>5102</v>
      </c>
      <c r="H1450" s="40" t="s">
        <v>402</v>
      </c>
      <c r="I1450" s="40" t="s">
        <v>402</v>
      </c>
      <c r="J1450" s="40" t="s">
        <v>402</v>
      </c>
      <c r="K1450" s="65" t="s">
        <v>402</v>
      </c>
      <c r="L1450" s="38" t="s">
        <v>637</v>
      </c>
    </row>
    <row r="1451" spans="1:12" ht="13">
      <c r="A1451" s="18" t="s">
        <v>837</v>
      </c>
      <c r="B1451" s="18" t="s">
        <v>345</v>
      </c>
      <c r="C1451" s="27" t="s">
        <v>838</v>
      </c>
      <c r="D1451" s="18" t="s">
        <v>829</v>
      </c>
      <c r="E1451" s="18" t="s">
        <v>647</v>
      </c>
      <c r="F1451" s="18">
        <v>2013</v>
      </c>
      <c r="G1451" s="40">
        <v>4898</v>
      </c>
      <c r="H1451" s="40" t="s">
        <v>402</v>
      </c>
      <c r="I1451" s="40" t="s">
        <v>402</v>
      </c>
      <c r="J1451" s="40" t="s">
        <v>402</v>
      </c>
      <c r="K1451" s="65" t="s">
        <v>402</v>
      </c>
      <c r="L1451" s="38" t="s">
        <v>637</v>
      </c>
    </row>
    <row r="1452" spans="1:12" ht="13">
      <c r="A1452" s="18" t="s">
        <v>837</v>
      </c>
      <c r="B1452" s="18" t="s">
        <v>345</v>
      </c>
      <c r="C1452" s="27" t="s">
        <v>838</v>
      </c>
      <c r="D1452" s="18" t="s">
        <v>829</v>
      </c>
      <c r="E1452" s="18" t="s">
        <v>647</v>
      </c>
      <c r="F1452" s="18">
        <v>2015</v>
      </c>
      <c r="G1452" s="40">
        <v>4898</v>
      </c>
      <c r="H1452" s="40" t="s">
        <v>402</v>
      </c>
      <c r="I1452" s="40" t="s">
        <v>402</v>
      </c>
      <c r="J1452" s="40" t="s">
        <v>402</v>
      </c>
      <c r="K1452" s="65" t="s">
        <v>402</v>
      </c>
      <c r="L1452" s="38" t="s">
        <v>637</v>
      </c>
    </row>
    <row r="1453" spans="1:12" ht="13">
      <c r="A1453" s="18" t="s">
        <v>837</v>
      </c>
      <c r="B1453" s="18" t="s">
        <v>345</v>
      </c>
      <c r="C1453" s="27" t="s">
        <v>838</v>
      </c>
      <c r="D1453" s="18" t="s">
        <v>829</v>
      </c>
      <c r="E1453" s="18" t="s">
        <v>647</v>
      </c>
      <c r="F1453" s="18">
        <v>2016</v>
      </c>
      <c r="G1453" s="40">
        <v>4694</v>
      </c>
      <c r="H1453" s="40" t="s">
        <v>402</v>
      </c>
      <c r="I1453" s="40" t="s">
        <v>402</v>
      </c>
      <c r="J1453" s="40" t="s">
        <v>402</v>
      </c>
      <c r="K1453" s="65" t="s">
        <v>402</v>
      </c>
      <c r="L1453" s="38" t="s">
        <v>637</v>
      </c>
    </row>
    <row r="1454" spans="1:12" ht="13">
      <c r="A1454" s="18" t="s">
        <v>837</v>
      </c>
      <c r="B1454" s="18" t="s">
        <v>345</v>
      </c>
      <c r="C1454" s="27" t="s">
        <v>838</v>
      </c>
      <c r="D1454" s="18" t="s">
        <v>829</v>
      </c>
      <c r="E1454" s="18" t="s">
        <v>647</v>
      </c>
      <c r="F1454" s="18">
        <v>2017</v>
      </c>
      <c r="G1454" s="40">
        <v>5510</v>
      </c>
      <c r="H1454" s="40" t="s">
        <v>402</v>
      </c>
      <c r="I1454" s="40" t="s">
        <v>402</v>
      </c>
      <c r="J1454" s="40" t="s">
        <v>402</v>
      </c>
      <c r="K1454" s="65" t="s">
        <v>402</v>
      </c>
      <c r="L1454" s="38" t="s">
        <v>637</v>
      </c>
    </row>
    <row r="1455" spans="1:12" ht="13">
      <c r="A1455" s="18" t="s">
        <v>839</v>
      </c>
      <c r="B1455" s="18" t="s">
        <v>345</v>
      </c>
      <c r="C1455" s="18" t="s">
        <v>840</v>
      </c>
      <c r="D1455" s="18" t="s">
        <v>841</v>
      </c>
      <c r="E1455" s="18" t="s">
        <v>690</v>
      </c>
      <c r="F1455" s="18">
        <v>1973</v>
      </c>
      <c r="G1455" s="40">
        <v>49215</v>
      </c>
      <c r="H1455" s="40" t="s">
        <v>402</v>
      </c>
      <c r="I1455" s="40" t="s">
        <v>402</v>
      </c>
      <c r="J1455" s="40" t="s">
        <v>402</v>
      </c>
      <c r="K1455" s="65" t="s">
        <v>402</v>
      </c>
      <c r="L1455" s="37" t="s">
        <v>612</v>
      </c>
    </row>
    <row r="1456" spans="1:12" ht="13">
      <c r="A1456" s="18" t="s">
        <v>839</v>
      </c>
      <c r="B1456" s="18" t="s">
        <v>345</v>
      </c>
      <c r="C1456" s="18" t="s">
        <v>840</v>
      </c>
      <c r="D1456" s="18" t="s">
        <v>841</v>
      </c>
      <c r="E1456" s="18" t="s">
        <v>690</v>
      </c>
      <c r="F1456" s="18">
        <v>1974</v>
      </c>
      <c r="G1456" s="40">
        <v>48837</v>
      </c>
      <c r="H1456" s="40">
        <f t="shared" ref="H1456:I1456" si="1093">F1456-F1455</f>
        <v>1</v>
      </c>
      <c r="I1456" s="40">
        <f t="shared" si="1093"/>
        <v>-378</v>
      </c>
      <c r="J1456" s="66">
        <f t="shared" ref="J1456:J1501" si="1094">I1456/G1455</f>
        <v>-7.6805851874428531E-3</v>
      </c>
      <c r="K1456" s="65">
        <f t="shared" ref="K1456:K1501" si="1095">J1456/H1456</f>
        <v>-7.6805851874428531E-3</v>
      </c>
      <c r="L1456" s="37" t="s">
        <v>612</v>
      </c>
    </row>
    <row r="1457" spans="1:12" ht="13">
      <c r="A1457" s="18" t="s">
        <v>839</v>
      </c>
      <c r="B1457" s="18" t="s">
        <v>345</v>
      </c>
      <c r="C1457" s="18" t="s">
        <v>840</v>
      </c>
      <c r="D1457" s="18" t="s">
        <v>841</v>
      </c>
      <c r="E1457" s="18" t="s">
        <v>690</v>
      </c>
      <c r="F1457" s="18">
        <v>1975</v>
      </c>
      <c r="G1457" s="40">
        <v>48846</v>
      </c>
      <c r="H1457" s="40">
        <f t="shared" ref="H1457:I1457" si="1096">F1457-F1456</f>
        <v>1</v>
      </c>
      <c r="I1457" s="40">
        <f t="shared" si="1096"/>
        <v>9</v>
      </c>
      <c r="J1457" s="66">
        <f t="shared" si="1094"/>
        <v>1.8428650408501752E-4</v>
      </c>
      <c r="K1457" s="65">
        <f t="shared" si="1095"/>
        <v>1.8428650408501752E-4</v>
      </c>
      <c r="L1457" s="37" t="s">
        <v>612</v>
      </c>
    </row>
    <row r="1458" spans="1:12" ht="13">
      <c r="A1458" s="18" t="s">
        <v>839</v>
      </c>
      <c r="B1458" s="18" t="s">
        <v>345</v>
      </c>
      <c r="C1458" s="18" t="s">
        <v>840</v>
      </c>
      <c r="D1458" s="18" t="s">
        <v>841</v>
      </c>
      <c r="E1458" s="18" t="s">
        <v>690</v>
      </c>
      <c r="F1458" s="18">
        <v>1976</v>
      </c>
      <c r="G1458" s="40">
        <v>49315</v>
      </c>
      <c r="H1458" s="40">
        <f t="shared" ref="H1458:I1458" si="1097">F1458-F1457</f>
        <v>1</v>
      </c>
      <c r="I1458" s="40">
        <f t="shared" si="1097"/>
        <v>469</v>
      </c>
      <c r="J1458" s="66">
        <f t="shared" si="1094"/>
        <v>9.6016050444253376E-3</v>
      </c>
      <c r="K1458" s="65">
        <f t="shared" si="1095"/>
        <v>9.6016050444253376E-3</v>
      </c>
      <c r="L1458" s="37" t="s">
        <v>612</v>
      </c>
    </row>
    <row r="1459" spans="1:12" ht="13">
      <c r="A1459" s="18" t="s">
        <v>839</v>
      </c>
      <c r="B1459" s="18" t="s">
        <v>345</v>
      </c>
      <c r="C1459" s="18" t="s">
        <v>840</v>
      </c>
      <c r="D1459" s="18" t="s">
        <v>841</v>
      </c>
      <c r="E1459" s="18" t="s">
        <v>690</v>
      </c>
      <c r="F1459" s="18">
        <v>1977</v>
      </c>
      <c r="G1459" s="40">
        <v>50095</v>
      </c>
      <c r="H1459" s="40">
        <f t="shared" ref="H1459:I1459" si="1098">F1459-F1458</f>
        <v>1</v>
      </c>
      <c r="I1459" s="40">
        <f t="shared" si="1098"/>
        <v>780</v>
      </c>
      <c r="J1459" s="66">
        <f t="shared" si="1094"/>
        <v>1.5816688634289769E-2</v>
      </c>
      <c r="K1459" s="65">
        <f t="shared" si="1095"/>
        <v>1.5816688634289769E-2</v>
      </c>
      <c r="L1459" s="37" t="s">
        <v>612</v>
      </c>
    </row>
    <row r="1460" spans="1:12" ht="13">
      <c r="A1460" s="18" t="s">
        <v>839</v>
      </c>
      <c r="B1460" s="18" t="s">
        <v>345</v>
      </c>
      <c r="C1460" s="18" t="s">
        <v>840</v>
      </c>
      <c r="D1460" s="18" t="s">
        <v>841</v>
      </c>
      <c r="E1460" s="18" t="s">
        <v>690</v>
      </c>
      <c r="F1460" s="18">
        <v>1978</v>
      </c>
      <c r="G1460" s="40">
        <v>50040</v>
      </c>
      <c r="H1460" s="40">
        <f t="shared" ref="H1460:I1460" si="1099">F1460-F1459</f>
        <v>1</v>
      </c>
      <c r="I1460" s="40">
        <f t="shared" si="1099"/>
        <v>-55</v>
      </c>
      <c r="J1460" s="66">
        <f t="shared" si="1094"/>
        <v>-1.097913963469408E-3</v>
      </c>
      <c r="K1460" s="65">
        <f t="shared" si="1095"/>
        <v>-1.097913963469408E-3</v>
      </c>
      <c r="L1460" s="37" t="s">
        <v>612</v>
      </c>
    </row>
    <row r="1461" spans="1:12" ht="13">
      <c r="A1461" s="18" t="s">
        <v>839</v>
      </c>
      <c r="B1461" s="18" t="s">
        <v>345</v>
      </c>
      <c r="C1461" s="18" t="s">
        <v>840</v>
      </c>
      <c r="D1461" s="18" t="s">
        <v>841</v>
      </c>
      <c r="E1461" s="18" t="s">
        <v>690</v>
      </c>
      <c r="F1461" s="18">
        <v>1979</v>
      </c>
      <c r="G1461" s="40">
        <v>52422</v>
      </c>
      <c r="H1461" s="40">
        <f t="shared" ref="H1461:I1461" si="1100">F1461-F1460</f>
        <v>1</v>
      </c>
      <c r="I1461" s="40">
        <f t="shared" si="1100"/>
        <v>2382</v>
      </c>
      <c r="J1461" s="66">
        <f t="shared" si="1094"/>
        <v>4.7601918465227815E-2</v>
      </c>
      <c r="K1461" s="65">
        <f t="shared" si="1095"/>
        <v>4.7601918465227815E-2</v>
      </c>
      <c r="L1461" s="38" t="s">
        <v>612</v>
      </c>
    </row>
    <row r="1462" spans="1:12" ht="13">
      <c r="A1462" s="18" t="s">
        <v>839</v>
      </c>
      <c r="B1462" s="18" t="s">
        <v>345</v>
      </c>
      <c r="C1462" s="18" t="s">
        <v>840</v>
      </c>
      <c r="D1462" s="18" t="s">
        <v>841</v>
      </c>
      <c r="E1462" s="18" t="s">
        <v>690</v>
      </c>
      <c r="F1462" s="18">
        <v>1980</v>
      </c>
      <c r="G1462" s="40">
        <v>49644</v>
      </c>
      <c r="H1462" s="40">
        <f t="shared" ref="H1462:I1462" si="1101">F1462-F1461</f>
        <v>1</v>
      </c>
      <c r="I1462" s="40">
        <f t="shared" si="1101"/>
        <v>-2778</v>
      </c>
      <c r="J1462" s="66">
        <f t="shared" si="1094"/>
        <v>-5.2993018198466295E-2</v>
      </c>
      <c r="K1462" s="65">
        <f t="shared" si="1095"/>
        <v>-5.2993018198466295E-2</v>
      </c>
      <c r="L1462" s="38" t="s">
        <v>612</v>
      </c>
    </row>
    <row r="1463" spans="1:12" ht="13">
      <c r="A1463" s="18" t="s">
        <v>839</v>
      </c>
      <c r="B1463" s="18" t="s">
        <v>345</v>
      </c>
      <c r="C1463" s="18" t="s">
        <v>840</v>
      </c>
      <c r="D1463" s="18" t="s">
        <v>841</v>
      </c>
      <c r="E1463" s="18" t="s">
        <v>690</v>
      </c>
      <c r="F1463" s="18">
        <v>1981</v>
      </c>
      <c r="G1463" s="40">
        <v>48653</v>
      </c>
      <c r="H1463" s="40">
        <f t="shared" ref="H1463:I1463" si="1102">F1463-F1462</f>
        <v>1</v>
      </c>
      <c r="I1463" s="40">
        <f t="shared" si="1102"/>
        <v>-991</v>
      </c>
      <c r="J1463" s="66">
        <f t="shared" si="1094"/>
        <v>-1.9962130368221739E-2</v>
      </c>
      <c r="K1463" s="65">
        <f t="shared" si="1095"/>
        <v>-1.9962130368221739E-2</v>
      </c>
      <c r="L1463" s="38" t="s">
        <v>612</v>
      </c>
    </row>
    <row r="1464" spans="1:12" ht="13">
      <c r="A1464" s="18" t="s">
        <v>839</v>
      </c>
      <c r="B1464" s="18" t="s">
        <v>345</v>
      </c>
      <c r="C1464" s="18" t="s">
        <v>840</v>
      </c>
      <c r="D1464" s="18" t="s">
        <v>841</v>
      </c>
      <c r="E1464" s="18" t="s">
        <v>690</v>
      </c>
      <c r="F1464" s="18">
        <v>1982</v>
      </c>
      <c r="G1464" s="40">
        <v>48259</v>
      </c>
      <c r="H1464" s="40">
        <f t="shared" ref="H1464:I1464" si="1103">F1464-F1463</f>
        <v>1</v>
      </c>
      <c r="I1464" s="40">
        <f t="shared" si="1103"/>
        <v>-394</v>
      </c>
      <c r="J1464" s="66">
        <f t="shared" si="1094"/>
        <v>-8.0981645530594209E-3</v>
      </c>
      <c r="K1464" s="65">
        <f t="shared" si="1095"/>
        <v>-8.0981645530594209E-3</v>
      </c>
      <c r="L1464" s="38" t="s">
        <v>612</v>
      </c>
    </row>
    <row r="1465" spans="1:12" ht="13">
      <c r="A1465" s="18" t="s">
        <v>839</v>
      </c>
      <c r="B1465" s="18" t="s">
        <v>345</v>
      </c>
      <c r="C1465" s="18" t="s">
        <v>840</v>
      </c>
      <c r="D1465" s="18" t="s">
        <v>841</v>
      </c>
      <c r="E1465" s="18" t="s">
        <v>690</v>
      </c>
      <c r="F1465" s="18">
        <v>1983</v>
      </c>
      <c r="G1465" s="40">
        <v>45615</v>
      </c>
      <c r="H1465" s="40">
        <f t="shared" ref="H1465:I1465" si="1104">F1465-F1464</f>
        <v>1</v>
      </c>
      <c r="I1465" s="40">
        <f t="shared" si="1104"/>
        <v>-2644</v>
      </c>
      <c r="J1465" s="66">
        <f t="shared" si="1094"/>
        <v>-5.4787707992291594E-2</v>
      </c>
      <c r="K1465" s="65">
        <f t="shared" si="1095"/>
        <v>-5.4787707992291594E-2</v>
      </c>
      <c r="L1465" s="38" t="s">
        <v>612</v>
      </c>
    </row>
    <row r="1466" spans="1:12" ht="13">
      <c r="A1466" s="18" t="s">
        <v>839</v>
      </c>
      <c r="B1466" s="18" t="s">
        <v>345</v>
      </c>
      <c r="C1466" s="18" t="s">
        <v>840</v>
      </c>
      <c r="D1466" s="18" t="s">
        <v>841</v>
      </c>
      <c r="E1466" s="18" t="s">
        <v>690</v>
      </c>
      <c r="F1466" s="18">
        <v>1984</v>
      </c>
      <c r="G1466" s="40">
        <v>43521</v>
      </c>
      <c r="H1466" s="40">
        <f t="shared" ref="H1466:I1466" si="1105">F1466-F1465</f>
        <v>1</v>
      </c>
      <c r="I1466" s="40">
        <f t="shared" si="1105"/>
        <v>-2094</v>
      </c>
      <c r="J1466" s="66">
        <f t="shared" si="1094"/>
        <v>-4.5905951989477146E-2</v>
      </c>
      <c r="K1466" s="65">
        <f t="shared" si="1095"/>
        <v>-4.5905951989477146E-2</v>
      </c>
      <c r="L1466" s="38" t="s">
        <v>612</v>
      </c>
    </row>
    <row r="1467" spans="1:12" ht="13">
      <c r="A1467" s="18" t="s">
        <v>839</v>
      </c>
      <c r="B1467" s="18" t="s">
        <v>345</v>
      </c>
      <c r="C1467" s="18" t="s">
        <v>840</v>
      </c>
      <c r="D1467" s="18" t="s">
        <v>841</v>
      </c>
      <c r="E1467" s="18" t="s">
        <v>690</v>
      </c>
      <c r="F1467" s="18">
        <v>1985</v>
      </c>
      <c r="G1467" s="40">
        <v>40029</v>
      </c>
      <c r="H1467" s="40">
        <f t="shared" ref="H1467:I1467" si="1106">F1467-F1466</f>
        <v>1</v>
      </c>
      <c r="I1467" s="40">
        <f t="shared" si="1106"/>
        <v>-3492</v>
      </c>
      <c r="J1467" s="66">
        <f t="shared" si="1094"/>
        <v>-8.0237126904253123E-2</v>
      </c>
      <c r="K1467" s="65">
        <f t="shared" si="1095"/>
        <v>-8.0237126904253123E-2</v>
      </c>
      <c r="L1467" s="38" t="s">
        <v>612</v>
      </c>
    </row>
    <row r="1468" spans="1:12" ht="13">
      <c r="A1468" s="18" t="s">
        <v>839</v>
      </c>
      <c r="B1468" s="18" t="s">
        <v>345</v>
      </c>
      <c r="C1468" s="18" t="s">
        <v>840</v>
      </c>
      <c r="D1468" s="18" t="s">
        <v>841</v>
      </c>
      <c r="E1468" s="18" t="s">
        <v>690</v>
      </c>
      <c r="F1468" s="18">
        <v>1986</v>
      </c>
      <c r="G1468" s="40">
        <v>34190</v>
      </c>
      <c r="H1468" s="40">
        <f t="shared" ref="H1468:I1468" si="1107">F1468-F1467</f>
        <v>1</v>
      </c>
      <c r="I1468" s="40">
        <f t="shared" si="1107"/>
        <v>-5839</v>
      </c>
      <c r="J1468" s="66">
        <f t="shared" si="1094"/>
        <v>-0.14586924479752181</v>
      </c>
      <c r="K1468" s="65">
        <f t="shared" si="1095"/>
        <v>-0.14586924479752181</v>
      </c>
      <c r="L1468" s="38" t="s">
        <v>612</v>
      </c>
    </row>
    <row r="1469" spans="1:12" ht="13">
      <c r="A1469" s="18" t="s">
        <v>839</v>
      </c>
      <c r="B1469" s="18" t="s">
        <v>345</v>
      </c>
      <c r="C1469" s="18" t="s">
        <v>840</v>
      </c>
      <c r="D1469" s="18" t="s">
        <v>841</v>
      </c>
      <c r="E1469" s="18" t="s">
        <v>690</v>
      </c>
      <c r="F1469" s="18">
        <v>1987</v>
      </c>
      <c r="G1469" s="40">
        <v>28495</v>
      </c>
      <c r="H1469" s="40">
        <f t="shared" ref="H1469:I1469" si="1108">F1469-F1468</f>
        <v>1</v>
      </c>
      <c r="I1469" s="40">
        <f t="shared" si="1108"/>
        <v>-5695</v>
      </c>
      <c r="J1469" s="66">
        <f t="shared" si="1094"/>
        <v>-0.16656917227259432</v>
      </c>
      <c r="K1469" s="65">
        <f t="shared" si="1095"/>
        <v>-0.16656917227259432</v>
      </c>
      <c r="L1469" s="38" t="s">
        <v>612</v>
      </c>
    </row>
    <row r="1470" spans="1:12" ht="13">
      <c r="A1470" s="18" t="s">
        <v>839</v>
      </c>
      <c r="B1470" s="18" t="s">
        <v>345</v>
      </c>
      <c r="C1470" s="18" t="s">
        <v>840</v>
      </c>
      <c r="D1470" s="18" t="s">
        <v>841</v>
      </c>
      <c r="E1470" s="18" t="s">
        <v>690</v>
      </c>
      <c r="F1470" s="18">
        <v>1988</v>
      </c>
      <c r="G1470" s="40">
        <v>24168</v>
      </c>
      <c r="H1470" s="40">
        <f t="shared" ref="H1470:I1470" si="1109">F1470-F1469</f>
        <v>1</v>
      </c>
      <c r="I1470" s="40">
        <f t="shared" si="1109"/>
        <v>-4327</v>
      </c>
      <c r="J1470" s="66">
        <f t="shared" si="1094"/>
        <v>-0.15185120196525706</v>
      </c>
      <c r="K1470" s="65">
        <f t="shared" si="1095"/>
        <v>-0.15185120196525706</v>
      </c>
      <c r="L1470" s="38" t="s">
        <v>612</v>
      </c>
    </row>
    <row r="1471" spans="1:12" ht="13">
      <c r="A1471" s="18" t="s">
        <v>839</v>
      </c>
      <c r="B1471" s="18" t="s">
        <v>345</v>
      </c>
      <c r="C1471" s="18" t="s">
        <v>840</v>
      </c>
      <c r="D1471" s="18" t="s">
        <v>841</v>
      </c>
      <c r="E1471" s="18" t="s">
        <v>690</v>
      </c>
      <c r="F1471" s="18">
        <v>1989</v>
      </c>
      <c r="G1471" s="40">
        <v>20290</v>
      </c>
      <c r="H1471" s="40">
        <f t="shared" ref="H1471:I1471" si="1110">F1471-F1470</f>
        <v>1</v>
      </c>
      <c r="I1471" s="40">
        <f t="shared" si="1110"/>
        <v>-3878</v>
      </c>
      <c r="J1471" s="66">
        <f t="shared" si="1094"/>
        <v>-0.16046011254551473</v>
      </c>
      <c r="K1471" s="65">
        <f t="shared" si="1095"/>
        <v>-0.16046011254551473</v>
      </c>
      <c r="L1471" s="38" t="s">
        <v>612</v>
      </c>
    </row>
    <row r="1472" spans="1:12" ht="13">
      <c r="A1472" s="18" t="s">
        <v>839</v>
      </c>
      <c r="B1472" s="18" t="s">
        <v>345</v>
      </c>
      <c r="C1472" s="18" t="s">
        <v>840</v>
      </c>
      <c r="D1472" s="18" t="s">
        <v>841</v>
      </c>
      <c r="E1472" s="18" t="s">
        <v>690</v>
      </c>
      <c r="F1472" s="18">
        <v>1990</v>
      </c>
      <c r="G1472" s="40">
        <v>17571</v>
      </c>
      <c r="H1472" s="40">
        <f t="shared" ref="H1472:I1472" si="1111">F1472-F1471</f>
        <v>1</v>
      </c>
      <c r="I1472" s="40">
        <f t="shared" si="1111"/>
        <v>-2719</v>
      </c>
      <c r="J1472" s="66">
        <f t="shared" si="1094"/>
        <v>-0.13400689995071463</v>
      </c>
      <c r="K1472" s="65">
        <f t="shared" si="1095"/>
        <v>-0.13400689995071463</v>
      </c>
      <c r="L1472" s="38" t="s">
        <v>612</v>
      </c>
    </row>
    <row r="1473" spans="1:12" ht="13">
      <c r="A1473" s="18" t="s">
        <v>839</v>
      </c>
      <c r="B1473" s="18" t="s">
        <v>345</v>
      </c>
      <c r="C1473" s="18" t="s">
        <v>840</v>
      </c>
      <c r="D1473" s="18" t="s">
        <v>841</v>
      </c>
      <c r="E1473" s="18" t="s">
        <v>690</v>
      </c>
      <c r="F1473" s="18">
        <v>1991</v>
      </c>
      <c r="G1473" s="40">
        <v>16552</v>
      </c>
      <c r="H1473" s="40">
        <f t="shared" ref="H1473:I1473" si="1112">F1473-F1472</f>
        <v>1</v>
      </c>
      <c r="I1473" s="40">
        <f t="shared" si="1112"/>
        <v>-1019</v>
      </c>
      <c r="J1473" s="66">
        <f t="shared" si="1094"/>
        <v>-5.7993284389050138E-2</v>
      </c>
      <c r="K1473" s="65">
        <f t="shared" si="1095"/>
        <v>-5.7993284389050138E-2</v>
      </c>
      <c r="L1473" s="38" t="s">
        <v>612</v>
      </c>
    </row>
    <row r="1474" spans="1:12" ht="13">
      <c r="A1474" s="18" t="s">
        <v>839</v>
      </c>
      <c r="B1474" s="18" t="s">
        <v>345</v>
      </c>
      <c r="C1474" s="18" t="s">
        <v>840</v>
      </c>
      <c r="D1474" s="18" t="s">
        <v>841</v>
      </c>
      <c r="E1474" s="18" t="s">
        <v>690</v>
      </c>
      <c r="F1474" s="18">
        <v>1992</v>
      </c>
      <c r="G1474" s="40">
        <v>14678</v>
      </c>
      <c r="H1474" s="40">
        <f t="shared" ref="H1474:I1474" si="1113">F1474-F1473</f>
        <v>1</v>
      </c>
      <c r="I1474" s="40">
        <f t="shared" si="1113"/>
        <v>-1874</v>
      </c>
      <c r="J1474" s="66">
        <f t="shared" si="1094"/>
        <v>-0.11321894635089415</v>
      </c>
      <c r="K1474" s="65">
        <f t="shared" si="1095"/>
        <v>-0.11321894635089415</v>
      </c>
      <c r="L1474" s="38" t="s">
        <v>612</v>
      </c>
    </row>
    <row r="1475" spans="1:12" ht="13">
      <c r="A1475" s="18" t="s">
        <v>839</v>
      </c>
      <c r="B1475" s="18" t="s">
        <v>345</v>
      </c>
      <c r="C1475" s="18" t="s">
        <v>840</v>
      </c>
      <c r="D1475" s="18" t="s">
        <v>841</v>
      </c>
      <c r="E1475" s="18" t="s">
        <v>690</v>
      </c>
      <c r="F1475" s="18">
        <v>1993</v>
      </c>
      <c r="G1475" s="40">
        <v>13712</v>
      </c>
      <c r="H1475" s="40">
        <f t="shared" ref="H1475:I1475" si="1114">F1475-F1474</f>
        <v>1</v>
      </c>
      <c r="I1475" s="40">
        <f t="shared" si="1114"/>
        <v>-966</v>
      </c>
      <c r="J1475" s="66">
        <f t="shared" si="1094"/>
        <v>-6.5812781032838261E-2</v>
      </c>
      <c r="K1475" s="65">
        <f t="shared" si="1095"/>
        <v>-6.5812781032838261E-2</v>
      </c>
      <c r="L1475" s="38" t="s">
        <v>612</v>
      </c>
    </row>
    <row r="1476" spans="1:12" ht="13">
      <c r="A1476" s="18" t="s">
        <v>839</v>
      </c>
      <c r="B1476" s="18" t="s">
        <v>345</v>
      </c>
      <c r="C1476" s="18" t="s">
        <v>840</v>
      </c>
      <c r="D1476" s="18" t="s">
        <v>841</v>
      </c>
      <c r="E1476" s="18" t="s">
        <v>690</v>
      </c>
      <c r="F1476" s="18">
        <v>1994</v>
      </c>
      <c r="G1476" s="40">
        <v>13057</v>
      </c>
      <c r="H1476" s="40">
        <f t="shared" ref="H1476:I1476" si="1115">F1476-F1475</f>
        <v>1</v>
      </c>
      <c r="I1476" s="40">
        <f t="shared" si="1115"/>
        <v>-655</v>
      </c>
      <c r="J1476" s="66">
        <f t="shared" si="1094"/>
        <v>-4.77683780630105E-2</v>
      </c>
      <c r="K1476" s="65">
        <f t="shared" si="1095"/>
        <v>-4.77683780630105E-2</v>
      </c>
      <c r="L1476" s="38" t="s">
        <v>612</v>
      </c>
    </row>
    <row r="1477" spans="1:12" ht="13">
      <c r="A1477" s="18" t="s">
        <v>839</v>
      </c>
      <c r="B1477" s="18" t="s">
        <v>345</v>
      </c>
      <c r="C1477" s="18" t="s">
        <v>840</v>
      </c>
      <c r="D1477" s="18" t="s">
        <v>841</v>
      </c>
      <c r="E1477" s="18" t="s">
        <v>690</v>
      </c>
      <c r="F1477" s="18">
        <v>1995</v>
      </c>
      <c r="G1477" s="40">
        <v>12209</v>
      </c>
      <c r="H1477" s="40">
        <f t="shared" ref="H1477:I1477" si="1116">F1477-F1476</f>
        <v>1</v>
      </c>
      <c r="I1477" s="40">
        <f t="shared" si="1116"/>
        <v>-848</v>
      </c>
      <c r="J1477" s="66">
        <f t="shared" si="1094"/>
        <v>-6.4946005973807147E-2</v>
      </c>
      <c r="K1477" s="65">
        <f t="shared" si="1095"/>
        <v>-6.4946005973807147E-2</v>
      </c>
      <c r="L1477" s="38" t="s">
        <v>612</v>
      </c>
    </row>
    <row r="1478" spans="1:12" ht="13">
      <c r="A1478" s="18" t="s">
        <v>839</v>
      </c>
      <c r="B1478" s="18" t="s">
        <v>345</v>
      </c>
      <c r="C1478" s="18" t="s">
        <v>840</v>
      </c>
      <c r="D1478" s="18" t="s">
        <v>841</v>
      </c>
      <c r="E1478" s="18" t="s">
        <v>690</v>
      </c>
      <c r="F1478" s="18">
        <v>1996</v>
      </c>
      <c r="G1478" s="40">
        <v>11550</v>
      </c>
      <c r="H1478" s="40">
        <f t="shared" ref="H1478:I1478" si="1117">F1478-F1477</f>
        <v>1</v>
      </c>
      <c r="I1478" s="40">
        <f t="shared" si="1117"/>
        <v>-659</v>
      </c>
      <c r="J1478" s="66">
        <f t="shared" si="1094"/>
        <v>-5.397657465803915E-2</v>
      </c>
      <c r="K1478" s="65">
        <f t="shared" si="1095"/>
        <v>-5.397657465803915E-2</v>
      </c>
      <c r="L1478" s="38" t="s">
        <v>612</v>
      </c>
    </row>
    <row r="1479" spans="1:12" ht="13">
      <c r="A1479" s="18" t="s">
        <v>839</v>
      </c>
      <c r="B1479" s="18" t="s">
        <v>345</v>
      </c>
      <c r="C1479" s="18" t="s">
        <v>840</v>
      </c>
      <c r="D1479" s="18" t="s">
        <v>841</v>
      </c>
      <c r="E1479" s="18" t="s">
        <v>690</v>
      </c>
      <c r="F1479" s="18">
        <v>1997</v>
      </c>
      <c r="G1479" s="40">
        <v>11164</v>
      </c>
      <c r="H1479" s="40">
        <f t="shared" ref="H1479:I1479" si="1118">F1479-F1478</f>
        <v>1</v>
      </c>
      <c r="I1479" s="40">
        <f t="shared" si="1118"/>
        <v>-386</v>
      </c>
      <c r="J1479" s="66">
        <f t="shared" si="1094"/>
        <v>-3.3419913419913419E-2</v>
      </c>
      <c r="K1479" s="65">
        <f t="shared" si="1095"/>
        <v>-3.3419913419913419E-2</v>
      </c>
      <c r="L1479" s="38" t="s">
        <v>612</v>
      </c>
    </row>
    <row r="1480" spans="1:12" ht="13">
      <c r="A1480" s="18" t="s">
        <v>839</v>
      </c>
      <c r="B1480" s="18" t="s">
        <v>345</v>
      </c>
      <c r="C1480" s="18" t="s">
        <v>840</v>
      </c>
      <c r="D1480" s="18" t="s">
        <v>841</v>
      </c>
      <c r="E1480" s="18" t="s">
        <v>690</v>
      </c>
      <c r="F1480" s="18">
        <v>1998</v>
      </c>
      <c r="G1480" s="40">
        <v>10225</v>
      </c>
      <c r="H1480" s="40">
        <f t="shared" ref="H1480:I1480" si="1119">F1480-F1479</f>
        <v>1</v>
      </c>
      <c r="I1480" s="40">
        <f t="shared" si="1119"/>
        <v>-939</v>
      </c>
      <c r="J1480" s="66">
        <f t="shared" si="1094"/>
        <v>-8.4109638122536731E-2</v>
      </c>
      <c r="K1480" s="65">
        <f t="shared" si="1095"/>
        <v>-8.4109638122536731E-2</v>
      </c>
      <c r="L1480" s="38" t="s">
        <v>612</v>
      </c>
    </row>
    <row r="1481" spans="1:12" ht="13">
      <c r="A1481" s="18" t="s">
        <v>839</v>
      </c>
      <c r="B1481" s="18" t="s">
        <v>345</v>
      </c>
      <c r="C1481" s="18" t="s">
        <v>840</v>
      </c>
      <c r="D1481" s="18" t="s">
        <v>841</v>
      </c>
      <c r="E1481" s="18" t="s">
        <v>690</v>
      </c>
      <c r="F1481" s="18">
        <v>1999</v>
      </c>
      <c r="G1481" s="40">
        <v>10127</v>
      </c>
      <c r="H1481" s="40">
        <f t="shared" ref="H1481:I1481" si="1120">F1481-F1480</f>
        <v>1</v>
      </c>
      <c r="I1481" s="40">
        <f t="shared" si="1120"/>
        <v>-98</v>
      </c>
      <c r="J1481" s="66">
        <f t="shared" si="1094"/>
        <v>-9.5843520782396083E-3</v>
      </c>
      <c r="K1481" s="65">
        <f t="shared" si="1095"/>
        <v>-9.5843520782396083E-3</v>
      </c>
      <c r="L1481" s="38" t="s">
        <v>612</v>
      </c>
    </row>
    <row r="1482" spans="1:12" ht="13">
      <c r="A1482" s="18" t="s">
        <v>839</v>
      </c>
      <c r="B1482" s="18" t="s">
        <v>345</v>
      </c>
      <c r="C1482" s="18" t="s">
        <v>840</v>
      </c>
      <c r="D1482" s="18" t="s">
        <v>841</v>
      </c>
      <c r="E1482" s="18" t="s">
        <v>690</v>
      </c>
      <c r="F1482" s="18">
        <v>2000</v>
      </c>
      <c r="G1482" s="40">
        <v>9866</v>
      </c>
      <c r="H1482" s="40">
        <f t="shared" ref="H1482:I1482" si="1121">F1482-F1481</f>
        <v>1</v>
      </c>
      <c r="I1482" s="40">
        <f t="shared" si="1121"/>
        <v>-261</v>
      </c>
      <c r="J1482" s="66">
        <f t="shared" si="1094"/>
        <v>-2.5772686876666336E-2</v>
      </c>
      <c r="K1482" s="65">
        <f t="shared" si="1095"/>
        <v>-2.5772686876666336E-2</v>
      </c>
      <c r="L1482" s="38" t="s">
        <v>612</v>
      </c>
    </row>
    <row r="1483" spans="1:12" ht="13">
      <c r="A1483" s="18" t="s">
        <v>839</v>
      </c>
      <c r="B1483" s="18" t="s">
        <v>345</v>
      </c>
      <c r="C1483" s="18" t="s">
        <v>840</v>
      </c>
      <c r="D1483" s="18" t="s">
        <v>841</v>
      </c>
      <c r="E1483" s="18" t="s">
        <v>690</v>
      </c>
      <c r="F1483" s="18">
        <v>2001</v>
      </c>
      <c r="G1483" s="40">
        <v>9074</v>
      </c>
      <c r="H1483" s="40">
        <f t="shared" ref="H1483:I1483" si="1122">F1483-F1482</f>
        <v>1</v>
      </c>
      <c r="I1483" s="40">
        <f t="shared" si="1122"/>
        <v>-792</v>
      </c>
      <c r="J1483" s="66">
        <f t="shared" si="1094"/>
        <v>-8.0275694303669168E-2</v>
      </c>
      <c r="K1483" s="65">
        <f t="shared" si="1095"/>
        <v>-8.0275694303669168E-2</v>
      </c>
      <c r="L1483" s="38" t="s">
        <v>612</v>
      </c>
    </row>
    <row r="1484" spans="1:12" ht="13">
      <c r="A1484" s="18" t="s">
        <v>839</v>
      </c>
      <c r="B1484" s="18" t="s">
        <v>345</v>
      </c>
      <c r="C1484" s="18" t="s">
        <v>840</v>
      </c>
      <c r="D1484" s="18" t="s">
        <v>841</v>
      </c>
      <c r="E1484" s="18" t="s">
        <v>690</v>
      </c>
      <c r="F1484" s="18">
        <v>2002</v>
      </c>
      <c r="G1484" s="40">
        <v>9516</v>
      </c>
      <c r="H1484" s="40">
        <f t="shared" ref="H1484:I1484" si="1123">F1484-F1483</f>
        <v>1</v>
      </c>
      <c r="I1484" s="40">
        <f t="shared" si="1123"/>
        <v>442</v>
      </c>
      <c r="J1484" s="66">
        <f t="shared" si="1094"/>
        <v>4.8710601719197708E-2</v>
      </c>
      <c r="K1484" s="65">
        <f t="shared" si="1095"/>
        <v>4.8710601719197708E-2</v>
      </c>
      <c r="L1484" s="38" t="s">
        <v>612</v>
      </c>
    </row>
    <row r="1485" spans="1:12" ht="13">
      <c r="A1485" s="18" t="s">
        <v>839</v>
      </c>
      <c r="B1485" s="18" t="s">
        <v>345</v>
      </c>
      <c r="C1485" s="18" t="s">
        <v>840</v>
      </c>
      <c r="D1485" s="18" t="s">
        <v>841</v>
      </c>
      <c r="E1485" s="18" t="s">
        <v>690</v>
      </c>
      <c r="F1485" s="18">
        <v>2003</v>
      </c>
      <c r="G1485" s="40">
        <v>9386</v>
      </c>
      <c r="H1485" s="40">
        <f t="shared" ref="H1485:I1485" si="1124">F1485-F1484</f>
        <v>1</v>
      </c>
      <c r="I1485" s="40">
        <f t="shared" si="1124"/>
        <v>-130</v>
      </c>
      <c r="J1485" s="66">
        <f t="shared" si="1094"/>
        <v>-1.3661202185792349E-2</v>
      </c>
      <c r="K1485" s="65">
        <f t="shared" si="1095"/>
        <v>-1.3661202185792349E-2</v>
      </c>
      <c r="L1485" s="38" t="s">
        <v>612</v>
      </c>
    </row>
    <row r="1486" spans="1:12" ht="13">
      <c r="A1486" s="18" t="s">
        <v>839</v>
      </c>
      <c r="B1486" s="18" t="s">
        <v>345</v>
      </c>
      <c r="C1486" s="18" t="s">
        <v>840</v>
      </c>
      <c r="D1486" s="18" t="s">
        <v>841</v>
      </c>
      <c r="E1486" s="18" t="s">
        <v>690</v>
      </c>
      <c r="F1486" s="18">
        <v>2004</v>
      </c>
      <c r="G1486" s="40">
        <v>9704</v>
      </c>
      <c r="H1486" s="40">
        <f t="shared" ref="H1486:I1486" si="1125">F1486-F1485</f>
        <v>1</v>
      </c>
      <c r="I1486" s="40">
        <f t="shared" si="1125"/>
        <v>318</v>
      </c>
      <c r="J1486" s="66">
        <f t="shared" si="1094"/>
        <v>3.3880247176646068E-2</v>
      </c>
      <c r="K1486" s="65">
        <f t="shared" si="1095"/>
        <v>3.3880247176646068E-2</v>
      </c>
      <c r="L1486" s="38" t="s">
        <v>612</v>
      </c>
    </row>
    <row r="1487" spans="1:12" ht="13">
      <c r="A1487" s="18" t="s">
        <v>839</v>
      </c>
      <c r="B1487" s="18" t="s">
        <v>345</v>
      </c>
      <c r="C1487" s="18" t="s">
        <v>840</v>
      </c>
      <c r="D1487" s="18" t="s">
        <v>841</v>
      </c>
      <c r="E1487" s="18" t="s">
        <v>690</v>
      </c>
      <c r="F1487" s="18">
        <v>2005</v>
      </c>
      <c r="G1487" s="40">
        <v>10134</v>
      </c>
      <c r="H1487" s="40">
        <f t="shared" ref="H1487:I1487" si="1126">F1487-F1486</f>
        <v>1</v>
      </c>
      <c r="I1487" s="40">
        <f t="shared" si="1126"/>
        <v>430</v>
      </c>
      <c r="J1487" s="66">
        <f t="shared" si="1094"/>
        <v>4.4311624072547406E-2</v>
      </c>
      <c r="K1487" s="65">
        <f t="shared" si="1095"/>
        <v>4.4311624072547406E-2</v>
      </c>
      <c r="L1487" s="38" t="s">
        <v>612</v>
      </c>
    </row>
    <row r="1488" spans="1:12" ht="13">
      <c r="A1488" s="18" t="s">
        <v>839</v>
      </c>
      <c r="B1488" s="18" t="s">
        <v>345</v>
      </c>
      <c r="C1488" s="18" t="s">
        <v>840</v>
      </c>
      <c r="D1488" s="18" t="s">
        <v>841</v>
      </c>
      <c r="E1488" s="18" t="s">
        <v>690</v>
      </c>
      <c r="F1488" s="18">
        <v>2006</v>
      </c>
      <c r="G1488" s="40">
        <v>10372</v>
      </c>
      <c r="H1488" s="40">
        <f t="shared" ref="H1488:I1488" si="1127">F1488-F1487</f>
        <v>1</v>
      </c>
      <c r="I1488" s="40">
        <f t="shared" si="1127"/>
        <v>238</v>
      </c>
      <c r="J1488" s="66">
        <f t="shared" si="1094"/>
        <v>2.3485297019932898E-2</v>
      </c>
      <c r="K1488" s="65">
        <f t="shared" si="1095"/>
        <v>2.3485297019932898E-2</v>
      </c>
      <c r="L1488" s="38" t="s">
        <v>612</v>
      </c>
    </row>
    <row r="1489" spans="1:12" ht="13">
      <c r="A1489" s="18" t="s">
        <v>839</v>
      </c>
      <c r="B1489" s="18" t="s">
        <v>345</v>
      </c>
      <c r="C1489" s="18" t="s">
        <v>840</v>
      </c>
      <c r="D1489" s="18" t="s">
        <v>841</v>
      </c>
      <c r="E1489" s="18" t="s">
        <v>690</v>
      </c>
      <c r="F1489" s="18">
        <v>2007</v>
      </c>
      <c r="G1489" s="40">
        <v>10755</v>
      </c>
      <c r="H1489" s="40">
        <f t="shared" ref="H1489:I1489" si="1128">F1489-F1488</f>
        <v>1</v>
      </c>
      <c r="I1489" s="40">
        <f t="shared" si="1128"/>
        <v>383</v>
      </c>
      <c r="J1489" s="66">
        <f t="shared" si="1094"/>
        <v>3.69263401465484E-2</v>
      </c>
      <c r="K1489" s="65">
        <f t="shared" si="1095"/>
        <v>3.69263401465484E-2</v>
      </c>
      <c r="L1489" s="38" t="s">
        <v>612</v>
      </c>
    </row>
    <row r="1490" spans="1:12" ht="13">
      <c r="A1490" s="18" t="s">
        <v>839</v>
      </c>
      <c r="B1490" s="18" t="s">
        <v>345</v>
      </c>
      <c r="C1490" s="18" t="s">
        <v>840</v>
      </c>
      <c r="D1490" s="18" t="s">
        <v>841</v>
      </c>
      <c r="E1490" s="18" t="s">
        <v>690</v>
      </c>
      <c r="F1490" s="18">
        <v>2008</v>
      </c>
      <c r="G1490" s="40">
        <v>11186</v>
      </c>
      <c r="H1490" s="40">
        <f t="shared" ref="H1490:I1490" si="1129">F1490-F1489</f>
        <v>1</v>
      </c>
      <c r="I1490" s="40">
        <f t="shared" si="1129"/>
        <v>431</v>
      </c>
      <c r="J1490" s="66">
        <f t="shared" si="1094"/>
        <v>4.0074384007438402E-2</v>
      </c>
      <c r="K1490" s="65">
        <f t="shared" si="1095"/>
        <v>4.0074384007438402E-2</v>
      </c>
      <c r="L1490" s="38" t="s">
        <v>612</v>
      </c>
    </row>
    <row r="1491" spans="1:12" ht="13">
      <c r="A1491" s="18" t="s">
        <v>839</v>
      </c>
      <c r="B1491" s="18" t="s">
        <v>345</v>
      </c>
      <c r="C1491" s="18" t="s">
        <v>840</v>
      </c>
      <c r="D1491" s="18" t="s">
        <v>841</v>
      </c>
      <c r="E1491" s="18" t="s">
        <v>690</v>
      </c>
      <c r="F1491" s="18">
        <v>2009</v>
      </c>
      <c r="G1491" s="40">
        <v>11135</v>
      </c>
      <c r="H1491" s="40">
        <f t="shared" ref="H1491:I1491" si="1130">F1491-F1490</f>
        <v>1</v>
      </c>
      <c r="I1491" s="40">
        <f t="shared" si="1130"/>
        <v>-51</v>
      </c>
      <c r="J1491" s="66">
        <f t="shared" si="1094"/>
        <v>-4.559270516717325E-3</v>
      </c>
      <c r="K1491" s="65">
        <f t="shared" si="1095"/>
        <v>-4.559270516717325E-3</v>
      </c>
      <c r="L1491" s="38" t="s">
        <v>612</v>
      </c>
    </row>
    <row r="1492" spans="1:12" ht="13">
      <c r="A1492" s="18" t="s">
        <v>839</v>
      </c>
      <c r="B1492" s="18" t="s">
        <v>345</v>
      </c>
      <c r="C1492" s="18" t="s">
        <v>840</v>
      </c>
      <c r="D1492" s="18" t="s">
        <v>841</v>
      </c>
      <c r="E1492" s="18" t="s">
        <v>690</v>
      </c>
      <c r="F1492" s="18">
        <v>2010</v>
      </c>
      <c r="G1492" s="40">
        <v>11418</v>
      </c>
      <c r="H1492" s="40">
        <f t="shared" ref="H1492:I1492" si="1131">F1492-F1491</f>
        <v>1</v>
      </c>
      <c r="I1492" s="40">
        <f t="shared" si="1131"/>
        <v>283</v>
      </c>
      <c r="J1492" s="66">
        <f t="shared" si="1094"/>
        <v>2.541535698248765E-2</v>
      </c>
      <c r="K1492" s="65">
        <f t="shared" si="1095"/>
        <v>2.541535698248765E-2</v>
      </c>
      <c r="L1492" s="38" t="s">
        <v>612</v>
      </c>
    </row>
    <row r="1493" spans="1:12" ht="13">
      <c r="A1493" s="18" t="s">
        <v>839</v>
      </c>
      <c r="B1493" s="18" t="s">
        <v>345</v>
      </c>
      <c r="C1493" s="18" t="s">
        <v>840</v>
      </c>
      <c r="D1493" s="18" t="s">
        <v>841</v>
      </c>
      <c r="E1493" s="18" t="s">
        <v>690</v>
      </c>
      <c r="F1493" s="18">
        <v>2011</v>
      </c>
      <c r="G1493" s="40">
        <v>11624</v>
      </c>
      <c r="H1493" s="40">
        <f t="shared" ref="H1493:I1493" si="1132">F1493-F1492</f>
        <v>1</v>
      </c>
      <c r="I1493" s="40">
        <f t="shared" si="1132"/>
        <v>206</v>
      </c>
      <c r="J1493" s="66">
        <f t="shared" si="1094"/>
        <v>1.8041688561919775E-2</v>
      </c>
      <c r="K1493" s="65">
        <f t="shared" si="1095"/>
        <v>1.8041688561919775E-2</v>
      </c>
      <c r="L1493" s="38" t="s">
        <v>612</v>
      </c>
    </row>
    <row r="1494" spans="1:12" ht="13">
      <c r="A1494" s="18" t="s">
        <v>839</v>
      </c>
      <c r="B1494" s="18" t="s">
        <v>345</v>
      </c>
      <c r="C1494" s="18" t="s">
        <v>840</v>
      </c>
      <c r="D1494" s="18" t="s">
        <v>841</v>
      </c>
      <c r="E1494" s="18" t="s">
        <v>690</v>
      </c>
      <c r="F1494" s="18">
        <v>2012</v>
      </c>
      <c r="G1494" s="40">
        <v>11611</v>
      </c>
      <c r="H1494" s="40">
        <f t="shared" ref="H1494:I1494" si="1133">F1494-F1493</f>
        <v>1</v>
      </c>
      <c r="I1494" s="40">
        <f t="shared" si="1133"/>
        <v>-13</v>
      </c>
      <c r="J1494" s="66">
        <f t="shared" si="1094"/>
        <v>-1.1183757742601514E-3</v>
      </c>
      <c r="K1494" s="65">
        <f t="shared" si="1095"/>
        <v>-1.1183757742601514E-3</v>
      </c>
      <c r="L1494" s="38" t="s">
        <v>612</v>
      </c>
    </row>
    <row r="1495" spans="1:12" ht="13">
      <c r="A1495" s="18" t="s">
        <v>839</v>
      </c>
      <c r="B1495" s="18" t="s">
        <v>345</v>
      </c>
      <c r="C1495" s="18" t="s">
        <v>840</v>
      </c>
      <c r="D1495" s="18" t="s">
        <v>841</v>
      </c>
      <c r="E1495" s="18" t="s">
        <v>690</v>
      </c>
      <c r="F1495" s="18">
        <v>2013</v>
      </c>
      <c r="G1495" s="40">
        <v>11886</v>
      </c>
      <c r="H1495" s="40">
        <f t="shared" ref="H1495:I1495" si="1134">F1495-F1494</f>
        <v>1</v>
      </c>
      <c r="I1495" s="40">
        <f t="shared" si="1134"/>
        <v>275</v>
      </c>
      <c r="J1495" s="66">
        <f t="shared" si="1094"/>
        <v>2.3684437171647577E-2</v>
      </c>
      <c r="K1495" s="65">
        <f t="shared" si="1095"/>
        <v>2.3684437171647577E-2</v>
      </c>
      <c r="L1495" s="38" t="s">
        <v>612</v>
      </c>
    </row>
    <row r="1496" spans="1:12" ht="13">
      <c r="A1496" s="18" t="s">
        <v>839</v>
      </c>
      <c r="B1496" s="18" t="s">
        <v>345</v>
      </c>
      <c r="C1496" s="18" t="s">
        <v>840</v>
      </c>
      <c r="D1496" s="18" t="s">
        <v>841</v>
      </c>
      <c r="E1496" s="18" t="s">
        <v>690</v>
      </c>
      <c r="F1496" s="18">
        <v>2014</v>
      </c>
      <c r="G1496" s="40">
        <v>11422</v>
      </c>
      <c r="H1496" s="40">
        <f t="shared" ref="H1496:I1496" si="1135">F1496-F1495</f>
        <v>1</v>
      </c>
      <c r="I1496" s="40">
        <f t="shared" si="1135"/>
        <v>-464</v>
      </c>
      <c r="J1496" s="66">
        <f t="shared" si="1094"/>
        <v>-3.9037523136463068E-2</v>
      </c>
      <c r="K1496" s="65">
        <f t="shared" si="1095"/>
        <v>-3.9037523136463068E-2</v>
      </c>
      <c r="L1496" s="38" t="s">
        <v>612</v>
      </c>
    </row>
    <row r="1497" spans="1:12" ht="13">
      <c r="A1497" s="18" t="s">
        <v>839</v>
      </c>
      <c r="B1497" s="18" t="s">
        <v>345</v>
      </c>
      <c r="C1497" s="18" t="s">
        <v>840</v>
      </c>
      <c r="D1497" s="18" t="s">
        <v>841</v>
      </c>
      <c r="E1497" s="18" t="s">
        <v>690</v>
      </c>
      <c r="F1497" s="18">
        <v>2015</v>
      </c>
      <c r="G1497" s="40">
        <v>11925</v>
      </c>
      <c r="H1497" s="40">
        <f t="shared" ref="H1497:I1497" si="1136">F1497-F1496</f>
        <v>1</v>
      </c>
      <c r="I1497" s="40">
        <f t="shared" si="1136"/>
        <v>503</v>
      </c>
      <c r="J1497" s="66">
        <f t="shared" si="1094"/>
        <v>4.4037821747504813E-2</v>
      </c>
      <c r="K1497" s="65">
        <f t="shared" si="1095"/>
        <v>4.4037821747504813E-2</v>
      </c>
      <c r="L1497" s="38" t="s">
        <v>612</v>
      </c>
    </row>
    <row r="1498" spans="1:12" ht="13">
      <c r="A1498" s="18" t="s">
        <v>839</v>
      </c>
      <c r="B1498" s="18" t="s">
        <v>345</v>
      </c>
      <c r="C1498" s="18" t="s">
        <v>840</v>
      </c>
      <c r="D1498" s="18" t="s">
        <v>841</v>
      </c>
      <c r="E1498" s="18" t="s">
        <v>690</v>
      </c>
      <c r="F1498" s="18">
        <v>2016</v>
      </c>
      <c r="G1498" s="40">
        <v>11781</v>
      </c>
      <c r="H1498" s="40">
        <f t="shared" ref="H1498:I1498" si="1137">F1498-F1497</f>
        <v>1</v>
      </c>
      <c r="I1498" s="40">
        <f t="shared" si="1137"/>
        <v>-144</v>
      </c>
      <c r="J1498" s="66">
        <f t="shared" si="1094"/>
        <v>-1.2075471698113207E-2</v>
      </c>
      <c r="K1498" s="65">
        <f t="shared" si="1095"/>
        <v>-1.2075471698113207E-2</v>
      </c>
      <c r="L1498" s="38" t="s">
        <v>612</v>
      </c>
    </row>
    <row r="1499" spans="1:12" ht="13">
      <c r="A1499" s="18" t="s">
        <v>839</v>
      </c>
      <c r="B1499" s="18" t="s">
        <v>345</v>
      </c>
      <c r="C1499" s="18" t="s">
        <v>840</v>
      </c>
      <c r="D1499" s="18" t="s">
        <v>841</v>
      </c>
      <c r="E1499" s="18" t="s">
        <v>690</v>
      </c>
      <c r="F1499" s="18">
        <v>2017</v>
      </c>
      <c r="G1499" s="40">
        <v>11228</v>
      </c>
      <c r="H1499" s="40">
        <f t="shared" ref="H1499:I1499" si="1138">F1499-F1498</f>
        <v>1</v>
      </c>
      <c r="I1499" s="40">
        <f t="shared" si="1138"/>
        <v>-553</v>
      </c>
      <c r="J1499" s="66">
        <f t="shared" si="1094"/>
        <v>-4.6939988116458706E-2</v>
      </c>
      <c r="K1499" s="65">
        <f t="shared" si="1095"/>
        <v>-4.6939988116458706E-2</v>
      </c>
      <c r="L1499" s="38" t="s">
        <v>612</v>
      </c>
    </row>
    <row r="1500" spans="1:12" ht="13">
      <c r="A1500" s="18" t="s">
        <v>839</v>
      </c>
      <c r="B1500" s="18" t="s">
        <v>345</v>
      </c>
      <c r="C1500" s="18" t="s">
        <v>840</v>
      </c>
      <c r="D1500" s="18" t="s">
        <v>841</v>
      </c>
      <c r="E1500" s="18" t="s">
        <v>690</v>
      </c>
      <c r="F1500" s="18">
        <v>2018</v>
      </c>
      <c r="G1500" s="40">
        <v>11667</v>
      </c>
      <c r="H1500" s="40">
        <f t="shared" ref="H1500:I1500" si="1139">F1500-F1499</f>
        <v>1</v>
      </c>
      <c r="I1500" s="40">
        <f t="shared" si="1139"/>
        <v>439</v>
      </c>
      <c r="J1500" s="66">
        <f t="shared" si="1094"/>
        <v>3.9098681866761666E-2</v>
      </c>
      <c r="K1500" s="65">
        <f t="shared" si="1095"/>
        <v>3.9098681866761666E-2</v>
      </c>
      <c r="L1500" s="38" t="s">
        <v>612</v>
      </c>
    </row>
    <row r="1501" spans="1:12" ht="13">
      <c r="A1501" s="18" t="s">
        <v>839</v>
      </c>
      <c r="B1501" s="18" t="s">
        <v>345</v>
      </c>
      <c r="C1501" s="18" t="s">
        <v>840</v>
      </c>
      <c r="D1501" s="18" t="s">
        <v>841</v>
      </c>
      <c r="E1501" s="18" t="s">
        <v>690</v>
      </c>
      <c r="F1501" s="18">
        <v>2019</v>
      </c>
      <c r="G1501" s="40">
        <v>12385</v>
      </c>
      <c r="H1501" s="40">
        <f t="shared" ref="H1501:I1501" si="1140">F1501-F1500</f>
        <v>1</v>
      </c>
      <c r="I1501" s="40">
        <f t="shared" si="1140"/>
        <v>718</v>
      </c>
      <c r="J1501" s="66">
        <f t="shared" si="1094"/>
        <v>6.1541098825747834E-2</v>
      </c>
      <c r="K1501" s="65">
        <f t="shared" si="1095"/>
        <v>6.1541098825747834E-2</v>
      </c>
      <c r="L1501" s="38" t="s">
        <v>612</v>
      </c>
    </row>
    <row r="1502" spans="1:12" ht="13">
      <c r="A1502" s="18" t="s">
        <v>839</v>
      </c>
      <c r="B1502" s="18" t="s">
        <v>345</v>
      </c>
      <c r="C1502" s="18" t="s">
        <v>840</v>
      </c>
      <c r="D1502" s="18" t="s">
        <v>841</v>
      </c>
      <c r="E1502" s="18" t="s">
        <v>647</v>
      </c>
      <c r="F1502" s="18">
        <v>1978</v>
      </c>
      <c r="G1502" s="40">
        <v>173403</v>
      </c>
      <c r="H1502" s="40" t="s">
        <v>402</v>
      </c>
      <c r="I1502" s="40" t="s">
        <v>402</v>
      </c>
      <c r="J1502" s="66" t="s">
        <v>402</v>
      </c>
      <c r="K1502" s="65" t="s">
        <v>402</v>
      </c>
      <c r="L1502" s="37" t="s">
        <v>612</v>
      </c>
    </row>
    <row r="1503" spans="1:12" ht="13">
      <c r="A1503" s="18" t="s">
        <v>839</v>
      </c>
      <c r="B1503" s="18" t="s">
        <v>345</v>
      </c>
      <c r="C1503" s="18" t="s">
        <v>840</v>
      </c>
      <c r="D1503" s="18" t="s">
        <v>841</v>
      </c>
      <c r="E1503" s="18" t="s">
        <v>647</v>
      </c>
      <c r="F1503" s="18">
        <v>1979</v>
      </c>
      <c r="G1503" s="40">
        <v>165190</v>
      </c>
      <c r="H1503" s="40">
        <f t="shared" ref="H1503:I1503" si="1141">F1503-F1502</f>
        <v>1</v>
      </c>
      <c r="I1503" s="40">
        <f t="shared" si="1141"/>
        <v>-8213</v>
      </c>
      <c r="J1503" s="66">
        <f t="shared" ref="J1503:J1543" si="1142">I1503/G1502</f>
        <v>-4.7363655761434344E-2</v>
      </c>
      <c r="K1503" s="65">
        <f t="shared" ref="K1503:K1543" si="1143">J1503/H1503</f>
        <v>-4.7363655761434344E-2</v>
      </c>
      <c r="L1503" s="38" t="s">
        <v>612</v>
      </c>
    </row>
    <row r="1504" spans="1:12" ht="13">
      <c r="A1504" s="18" t="s">
        <v>839</v>
      </c>
      <c r="B1504" s="18" t="s">
        <v>345</v>
      </c>
      <c r="C1504" s="18" t="s">
        <v>840</v>
      </c>
      <c r="D1504" s="18" t="s">
        <v>841</v>
      </c>
      <c r="E1504" s="18" t="s">
        <v>647</v>
      </c>
      <c r="F1504" s="18">
        <v>1980</v>
      </c>
      <c r="G1504" s="40">
        <v>151428</v>
      </c>
      <c r="H1504" s="40">
        <f t="shared" ref="H1504:I1504" si="1144">F1504-F1503</f>
        <v>1</v>
      </c>
      <c r="I1504" s="40">
        <f t="shared" si="1144"/>
        <v>-13762</v>
      </c>
      <c r="J1504" s="66">
        <f t="shared" si="1142"/>
        <v>-8.331012773170289E-2</v>
      </c>
      <c r="K1504" s="65">
        <f t="shared" si="1143"/>
        <v>-8.331012773170289E-2</v>
      </c>
      <c r="L1504" s="38" t="s">
        <v>612</v>
      </c>
    </row>
    <row r="1505" spans="1:12" ht="13">
      <c r="A1505" s="18" t="s">
        <v>839</v>
      </c>
      <c r="B1505" s="18" t="s">
        <v>345</v>
      </c>
      <c r="C1505" s="18" t="s">
        <v>840</v>
      </c>
      <c r="D1505" s="18" t="s">
        <v>841</v>
      </c>
      <c r="E1505" s="18" t="s">
        <v>647</v>
      </c>
      <c r="F1505" s="18">
        <v>1981</v>
      </c>
      <c r="G1505" s="40">
        <v>143163</v>
      </c>
      <c r="H1505" s="40">
        <f t="shared" ref="H1505:I1505" si="1145">F1505-F1504</f>
        <v>1</v>
      </c>
      <c r="I1505" s="40">
        <f t="shared" si="1145"/>
        <v>-8265</v>
      </c>
      <c r="J1505" s="66">
        <f t="shared" si="1142"/>
        <v>-5.4580394642998652E-2</v>
      </c>
      <c r="K1505" s="65">
        <f t="shared" si="1143"/>
        <v>-5.4580394642998652E-2</v>
      </c>
      <c r="L1505" s="38" t="s">
        <v>612</v>
      </c>
    </row>
    <row r="1506" spans="1:12" ht="13">
      <c r="A1506" s="18" t="s">
        <v>839</v>
      </c>
      <c r="B1506" s="18" t="s">
        <v>345</v>
      </c>
      <c r="C1506" s="18" t="s">
        <v>840</v>
      </c>
      <c r="D1506" s="18" t="s">
        <v>841</v>
      </c>
      <c r="E1506" s="18" t="s">
        <v>647</v>
      </c>
      <c r="F1506" s="18">
        <v>1982</v>
      </c>
      <c r="G1506" s="40">
        <v>137600</v>
      </c>
      <c r="H1506" s="40">
        <f t="shared" ref="H1506:I1506" si="1146">F1506-F1505</f>
        <v>1</v>
      </c>
      <c r="I1506" s="40">
        <f t="shared" si="1146"/>
        <v>-5563</v>
      </c>
      <c r="J1506" s="66">
        <f t="shared" si="1142"/>
        <v>-3.8857805438556055E-2</v>
      </c>
      <c r="K1506" s="65">
        <f t="shared" si="1143"/>
        <v>-3.8857805438556055E-2</v>
      </c>
      <c r="L1506" s="38" t="s">
        <v>612</v>
      </c>
    </row>
    <row r="1507" spans="1:12" ht="13">
      <c r="A1507" s="18" t="s">
        <v>839</v>
      </c>
      <c r="B1507" s="18" t="s">
        <v>345</v>
      </c>
      <c r="C1507" s="18" t="s">
        <v>840</v>
      </c>
      <c r="D1507" s="18" t="s">
        <v>841</v>
      </c>
      <c r="E1507" s="18" t="s">
        <v>647</v>
      </c>
      <c r="F1507" s="18">
        <v>1983</v>
      </c>
      <c r="G1507" s="40">
        <v>128381</v>
      </c>
      <c r="H1507" s="40">
        <f t="shared" ref="H1507:I1507" si="1147">F1507-F1506</f>
        <v>1</v>
      </c>
      <c r="I1507" s="40">
        <f t="shared" si="1147"/>
        <v>-9219</v>
      </c>
      <c r="J1507" s="66">
        <f t="shared" si="1142"/>
        <v>-6.6998546511627913E-2</v>
      </c>
      <c r="K1507" s="65">
        <f t="shared" si="1143"/>
        <v>-6.6998546511627913E-2</v>
      </c>
      <c r="L1507" s="38" t="s">
        <v>612</v>
      </c>
    </row>
    <row r="1508" spans="1:12" ht="13">
      <c r="A1508" s="18" t="s">
        <v>839</v>
      </c>
      <c r="B1508" s="18" t="s">
        <v>345</v>
      </c>
      <c r="C1508" s="18" t="s">
        <v>840</v>
      </c>
      <c r="D1508" s="18" t="s">
        <v>841</v>
      </c>
      <c r="E1508" s="18" t="s">
        <v>647</v>
      </c>
      <c r="F1508" s="18">
        <v>1984</v>
      </c>
      <c r="G1508" s="40">
        <v>116025</v>
      </c>
      <c r="H1508" s="40">
        <f t="shared" ref="H1508:I1508" si="1148">F1508-F1507</f>
        <v>1</v>
      </c>
      <c r="I1508" s="40">
        <f t="shared" si="1148"/>
        <v>-12356</v>
      </c>
      <c r="J1508" s="66">
        <f t="shared" si="1142"/>
        <v>-9.6244771422562533E-2</v>
      </c>
      <c r="K1508" s="65">
        <f t="shared" si="1143"/>
        <v>-9.6244771422562533E-2</v>
      </c>
      <c r="L1508" s="38" t="s">
        <v>612</v>
      </c>
    </row>
    <row r="1509" spans="1:12" ht="13">
      <c r="A1509" s="18" t="s">
        <v>839</v>
      </c>
      <c r="B1509" s="18" t="s">
        <v>345</v>
      </c>
      <c r="C1509" s="18" t="s">
        <v>840</v>
      </c>
      <c r="D1509" s="18" t="s">
        <v>841</v>
      </c>
      <c r="E1509" s="18" t="s">
        <v>647</v>
      </c>
      <c r="F1509" s="18">
        <v>1985</v>
      </c>
      <c r="G1509" s="40">
        <v>104929</v>
      </c>
      <c r="H1509" s="40">
        <f t="shared" ref="H1509:I1509" si="1149">F1509-F1508</f>
        <v>1</v>
      </c>
      <c r="I1509" s="40">
        <f t="shared" si="1149"/>
        <v>-11096</v>
      </c>
      <c r="J1509" s="66">
        <f t="shared" si="1142"/>
        <v>-9.5634561516914462E-2</v>
      </c>
      <c r="K1509" s="65">
        <f t="shared" si="1143"/>
        <v>-9.5634561516914462E-2</v>
      </c>
      <c r="L1509" s="38" t="s">
        <v>612</v>
      </c>
    </row>
    <row r="1510" spans="1:12" ht="13">
      <c r="A1510" s="18" t="s">
        <v>839</v>
      </c>
      <c r="B1510" s="18" t="s">
        <v>345</v>
      </c>
      <c r="C1510" s="18" t="s">
        <v>840</v>
      </c>
      <c r="D1510" s="18" t="s">
        <v>841</v>
      </c>
      <c r="E1510" s="18" t="s">
        <v>647</v>
      </c>
      <c r="F1510" s="18">
        <v>1986</v>
      </c>
      <c r="G1510" s="40">
        <v>89270</v>
      </c>
      <c r="H1510" s="40">
        <f t="shared" ref="H1510:I1510" si="1150">F1510-F1509</f>
        <v>1</v>
      </c>
      <c r="I1510" s="40">
        <f t="shared" si="1150"/>
        <v>-15659</v>
      </c>
      <c r="J1510" s="66">
        <f t="shared" si="1142"/>
        <v>-0.14923424410792061</v>
      </c>
      <c r="K1510" s="65">
        <f t="shared" si="1143"/>
        <v>-0.14923424410792061</v>
      </c>
      <c r="L1510" s="38" t="s">
        <v>612</v>
      </c>
    </row>
    <row r="1511" spans="1:12" ht="13">
      <c r="A1511" s="18" t="s">
        <v>839</v>
      </c>
      <c r="B1511" s="18" t="s">
        <v>345</v>
      </c>
      <c r="C1511" s="18" t="s">
        <v>840</v>
      </c>
      <c r="D1511" s="18" t="s">
        <v>841</v>
      </c>
      <c r="E1511" s="18" t="s">
        <v>647</v>
      </c>
      <c r="F1511" s="18">
        <v>1987</v>
      </c>
      <c r="G1511" s="40">
        <v>71008</v>
      </c>
      <c r="H1511" s="40">
        <f t="shared" ref="H1511:I1511" si="1151">F1511-F1510</f>
        <v>1</v>
      </c>
      <c r="I1511" s="40">
        <f t="shared" si="1151"/>
        <v>-18262</v>
      </c>
      <c r="J1511" s="66">
        <f t="shared" si="1142"/>
        <v>-0.20457040439117286</v>
      </c>
      <c r="K1511" s="65">
        <f t="shared" si="1143"/>
        <v>-0.20457040439117286</v>
      </c>
      <c r="L1511" s="38" t="s">
        <v>612</v>
      </c>
    </row>
    <row r="1512" spans="1:12" ht="13">
      <c r="A1512" s="18" t="s">
        <v>839</v>
      </c>
      <c r="B1512" s="18" t="s">
        <v>345</v>
      </c>
      <c r="C1512" s="18" t="s">
        <v>840</v>
      </c>
      <c r="D1512" s="18" t="s">
        <v>841</v>
      </c>
      <c r="E1512" s="18" t="s">
        <v>647</v>
      </c>
      <c r="F1512" s="18">
        <v>1988</v>
      </c>
      <c r="G1512" s="40">
        <v>60515</v>
      </c>
      <c r="H1512" s="40">
        <f t="shared" ref="H1512:I1512" si="1152">F1512-F1511</f>
        <v>1</v>
      </c>
      <c r="I1512" s="40">
        <f t="shared" si="1152"/>
        <v>-10493</v>
      </c>
      <c r="J1512" s="66">
        <f t="shared" si="1142"/>
        <v>-0.14777208201892744</v>
      </c>
      <c r="K1512" s="65">
        <f t="shared" si="1143"/>
        <v>-0.14777208201892744</v>
      </c>
      <c r="L1512" s="38" t="s">
        <v>612</v>
      </c>
    </row>
    <row r="1513" spans="1:12" ht="13">
      <c r="A1513" s="18" t="s">
        <v>839</v>
      </c>
      <c r="B1513" s="18" t="s">
        <v>345</v>
      </c>
      <c r="C1513" s="18" t="s">
        <v>840</v>
      </c>
      <c r="D1513" s="18" t="s">
        <v>841</v>
      </c>
      <c r="E1513" s="18" t="s">
        <v>647</v>
      </c>
      <c r="F1513" s="18">
        <v>1989</v>
      </c>
      <c r="G1513" s="40">
        <v>48528</v>
      </c>
      <c r="H1513" s="40">
        <f t="shared" ref="H1513:I1513" si="1153">F1513-F1512</f>
        <v>1</v>
      </c>
      <c r="I1513" s="40">
        <f t="shared" si="1153"/>
        <v>-11987</v>
      </c>
      <c r="J1513" s="66">
        <f t="shared" si="1142"/>
        <v>-0.19808311988763116</v>
      </c>
      <c r="K1513" s="65">
        <f t="shared" si="1143"/>
        <v>-0.19808311988763116</v>
      </c>
      <c r="L1513" s="38" t="s">
        <v>612</v>
      </c>
    </row>
    <row r="1514" spans="1:12" ht="13">
      <c r="A1514" s="18" t="s">
        <v>839</v>
      </c>
      <c r="B1514" s="18" t="s">
        <v>345</v>
      </c>
      <c r="C1514" s="18" t="s">
        <v>840</v>
      </c>
      <c r="D1514" s="18" t="s">
        <v>841</v>
      </c>
      <c r="E1514" s="18" t="s">
        <v>647</v>
      </c>
      <c r="F1514" s="18">
        <v>1990</v>
      </c>
      <c r="G1514" s="40">
        <v>45992</v>
      </c>
      <c r="H1514" s="40">
        <f t="shared" ref="H1514:I1514" si="1154">F1514-F1513</f>
        <v>1</v>
      </c>
      <c r="I1514" s="40">
        <f t="shared" si="1154"/>
        <v>-2536</v>
      </c>
      <c r="J1514" s="66">
        <f t="shared" si="1142"/>
        <v>-5.2258489943949882E-2</v>
      </c>
      <c r="K1514" s="65">
        <f t="shared" si="1143"/>
        <v>-5.2258489943949882E-2</v>
      </c>
      <c r="L1514" s="38" t="s">
        <v>612</v>
      </c>
    </row>
    <row r="1515" spans="1:12" ht="13">
      <c r="A1515" s="18" t="s">
        <v>839</v>
      </c>
      <c r="B1515" s="18" t="s">
        <v>345</v>
      </c>
      <c r="C1515" s="18" t="s">
        <v>840</v>
      </c>
      <c r="D1515" s="18" t="s">
        <v>841</v>
      </c>
      <c r="E1515" s="18" t="s">
        <v>647</v>
      </c>
      <c r="F1515" s="18">
        <v>1991</v>
      </c>
      <c r="G1515" s="40">
        <v>43724</v>
      </c>
      <c r="H1515" s="40">
        <f t="shared" ref="H1515:I1515" si="1155">F1515-F1514</f>
        <v>1</v>
      </c>
      <c r="I1515" s="40">
        <f t="shared" si="1155"/>
        <v>-2268</v>
      </c>
      <c r="J1515" s="66">
        <f t="shared" si="1142"/>
        <v>-4.9312923986780312E-2</v>
      </c>
      <c r="K1515" s="65">
        <f t="shared" si="1143"/>
        <v>-4.9312923986780312E-2</v>
      </c>
      <c r="L1515" s="38" t="s">
        <v>612</v>
      </c>
    </row>
    <row r="1516" spans="1:12" ht="13">
      <c r="A1516" s="18" t="s">
        <v>839</v>
      </c>
      <c r="B1516" s="18" t="s">
        <v>345</v>
      </c>
      <c r="C1516" s="18" t="s">
        <v>840</v>
      </c>
      <c r="D1516" s="18" t="s">
        <v>841</v>
      </c>
      <c r="E1516" s="18" t="s">
        <v>647</v>
      </c>
      <c r="F1516" s="18">
        <v>1992</v>
      </c>
      <c r="G1516" s="40">
        <v>40783</v>
      </c>
      <c r="H1516" s="40">
        <f t="shared" ref="H1516:I1516" si="1156">F1516-F1515</f>
        <v>1</v>
      </c>
      <c r="I1516" s="40">
        <f t="shared" si="1156"/>
        <v>-2941</v>
      </c>
      <c r="J1516" s="66">
        <f t="shared" si="1142"/>
        <v>-6.726283048211508E-2</v>
      </c>
      <c r="K1516" s="65">
        <f t="shared" si="1143"/>
        <v>-6.726283048211508E-2</v>
      </c>
      <c r="L1516" s="38" t="s">
        <v>612</v>
      </c>
    </row>
    <row r="1517" spans="1:12" ht="13">
      <c r="A1517" s="18" t="s">
        <v>839</v>
      </c>
      <c r="B1517" s="18" t="s">
        <v>345</v>
      </c>
      <c r="C1517" s="18" t="s">
        <v>840</v>
      </c>
      <c r="D1517" s="18" t="s">
        <v>841</v>
      </c>
      <c r="E1517" s="18" t="s">
        <v>647</v>
      </c>
      <c r="F1517" s="18">
        <v>1993</v>
      </c>
      <c r="G1517" s="40">
        <v>37552</v>
      </c>
      <c r="H1517" s="40">
        <f t="shared" ref="H1517:I1517" si="1157">F1517-F1516</f>
        <v>1</v>
      </c>
      <c r="I1517" s="40">
        <f t="shared" si="1157"/>
        <v>-3231</v>
      </c>
      <c r="J1517" s="66">
        <f t="shared" si="1142"/>
        <v>-7.92241865483167E-2</v>
      </c>
      <c r="K1517" s="65">
        <f t="shared" si="1143"/>
        <v>-7.92241865483167E-2</v>
      </c>
      <c r="L1517" s="38" t="s">
        <v>612</v>
      </c>
    </row>
    <row r="1518" spans="1:12" ht="13">
      <c r="A1518" s="18" t="s">
        <v>839</v>
      </c>
      <c r="B1518" s="18" t="s">
        <v>345</v>
      </c>
      <c r="C1518" s="18" t="s">
        <v>840</v>
      </c>
      <c r="D1518" s="18" t="s">
        <v>841</v>
      </c>
      <c r="E1518" s="18" t="s">
        <v>647</v>
      </c>
      <c r="F1518" s="18">
        <v>1994</v>
      </c>
      <c r="G1518" s="40">
        <v>37910</v>
      </c>
      <c r="H1518" s="40">
        <f t="shared" ref="H1518:I1518" si="1158">F1518-F1517</f>
        <v>1</v>
      </c>
      <c r="I1518" s="40">
        <f t="shared" si="1158"/>
        <v>358</v>
      </c>
      <c r="J1518" s="66">
        <f t="shared" si="1142"/>
        <v>9.5334469535577337E-3</v>
      </c>
      <c r="K1518" s="65">
        <f t="shared" si="1143"/>
        <v>9.5334469535577337E-3</v>
      </c>
      <c r="L1518" s="38" t="s">
        <v>612</v>
      </c>
    </row>
    <row r="1519" spans="1:12" ht="13">
      <c r="A1519" s="18" t="s">
        <v>839</v>
      </c>
      <c r="B1519" s="18" t="s">
        <v>345</v>
      </c>
      <c r="C1519" s="18" t="s">
        <v>840</v>
      </c>
      <c r="D1519" s="18" t="s">
        <v>841</v>
      </c>
      <c r="E1519" s="18" t="s">
        <v>647</v>
      </c>
      <c r="F1519" s="18">
        <v>1995</v>
      </c>
      <c r="G1519" s="40">
        <v>34949</v>
      </c>
      <c r="H1519" s="40">
        <f t="shared" ref="H1519:I1519" si="1159">F1519-F1518</f>
        <v>1</v>
      </c>
      <c r="I1519" s="40">
        <f t="shared" si="1159"/>
        <v>-2961</v>
      </c>
      <c r="J1519" s="66">
        <f t="shared" si="1142"/>
        <v>-7.8106040622527032E-2</v>
      </c>
      <c r="K1519" s="65">
        <f t="shared" si="1143"/>
        <v>-7.8106040622527032E-2</v>
      </c>
      <c r="L1519" s="38" t="s">
        <v>612</v>
      </c>
    </row>
    <row r="1520" spans="1:12" ht="13">
      <c r="A1520" s="18" t="s">
        <v>839</v>
      </c>
      <c r="B1520" s="18" t="s">
        <v>345</v>
      </c>
      <c r="C1520" s="18" t="s">
        <v>840</v>
      </c>
      <c r="D1520" s="18" t="s">
        <v>841</v>
      </c>
      <c r="E1520" s="18" t="s">
        <v>647</v>
      </c>
      <c r="F1520" s="18">
        <v>1996</v>
      </c>
      <c r="G1520" s="40">
        <v>34494</v>
      </c>
      <c r="H1520" s="40">
        <f t="shared" ref="H1520:I1520" si="1160">F1520-F1519</f>
        <v>1</v>
      </c>
      <c r="I1520" s="40">
        <f t="shared" si="1160"/>
        <v>-455</v>
      </c>
      <c r="J1520" s="66">
        <f t="shared" si="1142"/>
        <v>-1.3018970499871241E-2</v>
      </c>
      <c r="K1520" s="65">
        <f t="shared" si="1143"/>
        <v>-1.3018970499871241E-2</v>
      </c>
      <c r="L1520" s="38" t="s">
        <v>612</v>
      </c>
    </row>
    <row r="1521" spans="1:12" ht="13">
      <c r="A1521" s="18" t="s">
        <v>839</v>
      </c>
      <c r="B1521" s="18" t="s">
        <v>345</v>
      </c>
      <c r="C1521" s="18" t="s">
        <v>840</v>
      </c>
      <c r="D1521" s="18" t="s">
        <v>841</v>
      </c>
      <c r="E1521" s="18" t="s">
        <v>647</v>
      </c>
      <c r="F1521" s="18">
        <v>1997</v>
      </c>
      <c r="G1521" s="40">
        <v>32834</v>
      </c>
      <c r="H1521" s="40">
        <f t="shared" ref="H1521:I1521" si="1161">F1521-F1520</f>
        <v>1</v>
      </c>
      <c r="I1521" s="40">
        <f t="shared" si="1161"/>
        <v>-1660</v>
      </c>
      <c r="J1521" s="66">
        <f t="shared" si="1142"/>
        <v>-4.8124311474459329E-2</v>
      </c>
      <c r="K1521" s="65">
        <f t="shared" si="1143"/>
        <v>-4.8124311474459329E-2</v>
      </c>
      <c r="L1521" s="38" t="s">
        <v>612</v>
      </c>
    </row>
    <row r="1522" spans="1:12" ht="13">
      <c r="A1522" s="18" t="s">
        <v>839</v>
      </c>
      <c r="B1522" s="18" t="s">
        <v>345</v>
      </c>
      <c r="C1522" s="18" t="s">
        <v>840</v>
      </c>
      <c r="D1522" s="18" t="s">
        <v>841</v>
      </c>
      <c r="E1522" s="18" t="s">
        <v>647</v>
      </c>
      <c r="F1522" s="18">
        <v>1998</v>
      </c>
      <c r="G1522" s="40">
        <v>32928</v>
      </c>
      <c r="H1522" s="40">
        <f t="shared" ref="H1522:I1522" si="1162">F1522-F1521</f>
        <v>1</v>
      </c>
      <c r="I1522" s="40">
        <f t="shared" si="1162"/>
        <v>94</v>
      </c>
      <c r="J1522" s="66">
        <f t="shared" si="1142"/>
        <v>2.8628860327709082E-3</v>
      </c>
      <c r="K1522" s="65">
        <f t="shared" si="1143"/>
        <v>2.8628860327709082E-3</v>
      </c>
      <c r="L1522" s="38" t="s">
        <v>612</v>
      </c>
    </row>
    <row r="1523" spans="1:12" ht="13">
      <c r="A1523" s="18" t="s">
        <v>839</v>
      </c>
      <c r="B1523" s="18" t="s">
        <v>345</v>
      </c>
      <c r="C1523" s="18" t="s">
        <v>840</v>
      </c>
      <c r="D1523" s="18" t="s">
        <v>841</v>
      </c>
      <c r="E1523" s="18" t="s">
        <v>647</v>
      </c>
      <c r="F1523" s="18">
        <v>1999</v>
      </c>
      <c r="G1523" s="40">
        <v>30338</v>
      </c>
      <c r="H1523" s="40">
        <f t="shared" ref="H1523:I1523" si="1163">F1523-F1522</f>
        <v>1</v>
      </c>
      <c r="I1523" s="40">
        <f t="shared" si="1163"/>
        <v>-2590</v>
      </c>
      <c r="J1523" s="66">
        <f t="shared" si="1142"/>
        <v>-7.8656462585034018E-2</v>
      </c>
      <c r="K1523" s="65">
        <f t="shared" si="1143"/>
        <v>-7.8656462585034018E-2</v>
      </c>
      <c r="L1523" s="38" t="s">
        <v>612</v>
      </c>
    </row>
    <row r="1524" spans="1:12" ht="13">
      <c r="A1524" s="18" t="s">
        <v>839</v>
      </c>
      <c r="B1524" s="18" t="s">
        <v>345</v>
      </c>
      <c r="C1524" s="18" t="s">
        <v>840</v>
      </c>
      <c r="D1524" s="18" t="s">
        <v>841</v>
      </c>
      <c r="E1524" s="18" t="s">
        <v>647</v>
      </c>
      <c r="F1524" s="18">
        <v>2000</v>
      </c>
      <c r="G1524" s="40">
        <v>28068</v>
      </c>
      <c r="H1524" s="40">
        <f t="shared" ref="H1524:I1524" si="1164">F1524-F1523</f>
        <v>1</v>
      </c>
      <c r="I1524" s="40">
        <f t="shared" si="1164"/>
        <v>-2270</v>
      </c>
      <c r="J1524" s="66">
        <f t="shared" si="1142"/>
        <v>-7.4823653503856544E-2</v>
      </c>
      <c r="K1524" s="65">
        <f t="shared" si="1143"/>
        <v>-7.4823653503856544E-2</v>
      </c>
      <c r="L1524" s="38" t="s">
        <v>612</v>
      </c>
    </row>
    <row r="1525" spans="1:12" ht="13">
      <c r="A1525" s="18" t="s">
        <v>839</v>
      </c>
      <c r="B1525" s="18" t="s">
        <v>345</v>
      </c>
      <c r="C1525" s="18" t="s">
        <v>840</v>
      </c>
      <c r="D1525" s="18" t="s">
        <v>841</v>
      </c>
      <c r="E1525" s="18" t="s">
        <v>647</v>
      </c>
      <c r="F1525" s="18">
        <v>2001</v>
      </c>
      <c r="G1525" s="40">
        <v>28841</v>
      </c>
      <c r="H1525" s="40">
        <f t="shared" ref="H1525:I1525" si="1165">F1525-F1524</f>
        <v>1</v>
      </c>
      <c r="I1525" s="40">
        <f t="shared" si="1165"/>
        <v>773</v>
      </c>
      <c r="J1525" s="66">
        <f t="shared" si="1142"/>
        <v>2.7540259370101183E-2</v>
      </c>
      <c r="K1525" s="65">
        <f t="shared" si="1143"/>
        <v>2.7540259370101183E-2</v>
      </c>
      <c r="L1525" s="38" t="s">
        <v>612</v>
      </c>
    </row>
    <row r="1526" spans="1:12" ht="13">
      <c r="A1526" s="18" t="s">
        <v>839</v>
      </c>
      <c r="B1526" s="18" t="s">
        <v>345</v>
      </c>
      <c r="C1526" s="18" t="s">
        <v>840</v>
      </c>
      <c r="D1526" s="18" t="s">
        <v>841</v>
      </c>
      <c r="E1526" s="18" t="s">
        <v>647</v>
      </c>
      <c r="F1526" s="18">
        <v>2002</v>
      </c>
      <c r="G1526" s="40">
        <v>29116</v>
      </c>
      <c r="H1526" s="40">
        <f t="shared" ref="H1526:I1526" si="1166">F1526-F1525</f>
        <v>1</v>
      </c>
      <c r="I1526" s="40">
        <f t="shared" si="1166"/>
        <v>275</v>
      </c>
      <c r="J1526" s="66">
        <f t="shared" si="1142"/>
        <v>9.5350369265975524E-3</v>
      </c>
      <c r="K1526" s="65">
        <f t="shared" si="1143"/>
        <v>9.5350369265975524E-3</v>
      </c>
      <c r="L1526" s="38" t="s">
        <v>612</v>
      </c>
    </row>
    <row r="1527" spans="1:12" ht="13">
      <c r="A1527" s="18" t="s">
        <v>839</v>
      </c>
      <c r="B1527" s="18" t="s">
        <v>345</v>
      </c>
      <c r="C1527" s="18" t="s">
        <v>840</v>
      </c>
      <c r="D1527" s="18" t="s">
        <v>841</v>
      </c>
      <c r="E1527" s="18" t="s">
        <v>647</v>
      </c>
      <c r="F1527" s="18">
        <v>2003</v>
      </c>
      <c r="G1527" s="40">
        <v>28971</v>
      </c>
      <c r="H1527" s="40">
        <f t="shared" ref="H1527:I1527" si="1167">F1527-F1526</f>
        <v>1</v>
      </c>
      <c r="I1527" s="40">
        <f t="shared" si="1167"/>
        <v>-145</v>
      </c>
      <c r="J1527" s="66">
        <f t="shared" si="1142"/>
        <v>-4.9800796812749003E-3</v>
      </c>
      <c r="K1527" s="65">
        <f t="shared" si="1143"/>
        <v>-4.9800796812749003E-3</v>
      </c>
      <c r="L1527" s="38" t="s">
        <v>612</v>
      </c>
    </row>
    <row r="1528" spans="1:12" ht="13">
      <c r="A1528" s="18" t="s">
        <v>839</v>
      </c>
      <c r="B1528" s="18" t="s">
        <v>345</v>
      </c>
      <c r="C1528" s="18" t="s">
        <v>840</v>
      </c>
      <c r="D1528" s="18" t="s">
        <v>841</v>
      </c>
      <c r="E1528" s="18" t="s">
        <v>647</v>
      </c>
      <c r="F1528" s="18">
        <v>2004</v>
      </c>
      <c r="G1528" s="40">
        <v>30711</v>
      </c>
      <c r="H1528" s="40">
        <f t="shared" ref="H1528:I1528" si="1168">F1528-F1527</f>
        <v>1</v>
      </c>
      <c r="I1528" s="40">
        <f t="shared" si="1168"/>
        <v>1740</v>
      </c>
      <c r="J1528" s="66">
        <f t="shared" si="1142"/>
        <v>6.006006006006006E-2</v>
      </c>
      <c r="K1528" s="65">
        <f t="shared" si="1143"/>
        <v>6.006006006006006E-2</v>
      </c>
      <c r="L1528" s="38" t="s">
        <v>612</v>
      </c>
    </row>
    <row r="1529" spans="1:12" ht="13">
      <c r="A1529" s="18" t="s">
        <v>839</v>
      </c>
      <c r="B1529" s="18" t="s">
        <v>345</v>
      </c>
      <c r="C1529" s="18" t="s">
        <v>840</v>
      </c>
      <c r="D1529" s="18" t="s">
        <v>841</v>
      </c>
      <c r="E1529" s="18" t="s">
        <v>647</v>
      </c>
      <c r="F1529" s="18">
        <v>2005</v>
      </c>
      <c r="G1529" s="40">
        <v>30720</v>
      </c>
      <c r="H1529" s="40">
        <f t="shared" ref="H1529:I1529" si="1169">F1529-F1528</f>
        <v>1</v>
      </c>
      <c r="I1529" s="40">
        <f t="shared" si="1169"/>
        <v>9</v>
      </c>
      <c r="J1529" s="66">
        <f t="shared" si="1142"/>
        <v>2.9305460584155515E-4</v>
      </c>
      <c r="K1529" s="65">
        <f t="shared" si="1143"/>
        <v>2.9305460584155515E-4</v>
      </c>
      <c r="L1529" s="38" t="s">
        <v>612</v>
      </c>
    </row>
    <row r="1530" spans="1:12" ht="13">
      <c r="A1530" s="18" t="s">
        <v>839</v>
      </c>
      <c r="B1530" s="18" t="s">
        <v>345</v>
      </c>
      <c r="C1530" s="18" t="s">
        <v>840</v>
      </c>
      <c r="D1530" s="18" t="s">
        <v>841</v>
      </c>
      <c r="E1530" s="18" t="s">
        <v>647</v>
      </c>
      <c r="F1530" s="18">
        <v>2006</v>
      </c>
      <c r="G1530" s="40">
        <v>31344</v>
      </c>
      <c r="H1530" s="40">
        <f t="shared" ref="H1530:I1530" si="1170">F1530-F1529</f>
        <v>1</v>
      </c>
      <c r="I1530" s="40">
        <f t="shared" si="1170"/>
        <v>624</v>
      </c>
      <c r="J1530" s="66">
        <f t="shared" si="1142"/>
        <v>2.0312500000000001E-2</v>
      </c>
      <c r="K1530" s="65">
        <f t="shared" si="1143"/>
        <v>2.0312500000000001E-2</v>
      </c>
      <c r="L1530" s="38" t="s">
        <v>612</v>
      </c>
    </row>
    <row r="1531" spans="1:12" ht="13">
      <c r="A1531" s="18" t="s">
        <v>839</v>
      </c>
      <c r="B1531" s="18" t="s">
        <v>345</v>
      </c>
      <c r="C1531" s="18" t="s">
        <v>840</v>
      </c>
      <c r="D1531" s="18" t="s">
        <v>841</v>
      </c>
      <c r="E1531" s="18" t="s">
        <v>647</v>
      </c>
      <c r="F1531" s="18">
        <v>2007</v>
      </c>
      <c r="G1531" s="40">
        <v>31583</v>
      </c>
      <c r="H1531" s="40">
        <f t="shared" ref="H1531:I1531" si="1171">F1531-F1530</f>
        <v>1</v>
      </c>
      <c r="I1531" s="40">
        <f t="shared" si="1171"/>
        <v>239</v>
      </c>
      <c r="J1531" s="66">
        <f t="shared" si="1142"/>
        <v>7.6250638080653391E-3</v>
      </c>
      <c r="K1531" s="65">
        <f t="shared" si="1143"/>
        <v>7.6250638080653391E-3</v>
      </c>
      <c r="L1531" s="38" t="s">
        <v>612</v>
      </c>
    </row>
    <row r="1532" spans="1:12" ht="13">
      <c r="A1532" s="18" t="s">
        <v>839</v>
      </c>
      <c r="B1532" s="18" t="s">
        <v>345</v>
      </c>
      <c r="C1532" s="18" t="s">
        <v>840</v>
      </c>
      <c r="D1532" s="18" t="s">
        <v>841</v>
      </c>
      <c r="E1532" s="18" t="s">
        <v>647</v>
      </c>
      <c r="F1532" s="18">
        <v>2008</v>
      </c>
      <c r="G1532" s="40">
        <v>32669</v>
      </c>
      <c r="H1532" s="40">
        <f t="shared" ref="H1532:I1532" si="1172">F1532-F1531</f>
        <v>1</v>
      </c>
      <c r="I1532" s="40">
        <f t="shared" si="1172"/>
        <v>1086</v>
      </c>
      <c r="J1532" s="66">
        <f t="shared" si="1142"/>
        <v>3.4385587182978183E-2</v>
      </c>
      <c r="K1532" s="65">
        <f t="shared" si="1143"/>
        <v>3.4385587182978183E-2</v>
      </c>
      <c r="L1532" s="38" t="s">
        <v>612</v>
      </c>
    </row>
    <row r="1533" spans="1:12" ht="13">
      <c r="A1533" s="18" t="s">
        <v>839</v>
      </c>
      <c r="B1533" s="18" t="s">
        <v>345</v>
      </c>
      <c r="C1533" s="18" t="s">
        <v>840</v>
      </c>
      <c r="D1533" s="18" t="s">
        <v>841</v>
      </c>
      <c r="E1533" s="18" t="s">
        <v>647</v>
      </c>
      <c r="F1533" s="18">
        <v>2009</v>
      </c>
      <c r="G1533" s="40">
        <v>33165</v>
      </c>
      <c r="H1533" s="40">
        <f t="shared" ref="H1533:I1533" si="1173">F1533-F1532</f>
        <v>1</v>
      </c>
      <c r="I1533" s="40">
        <f t="shared" si="1173"/>
        <v>496</v>
      </c>
      <c r="J1533" s="66">
        <f t="shared" si="1142"/>
        <v>1.5182588998744988E-2</v>
      </c>
      <c r="K1533" s="65">
        <f t="shared" si="1143"/>
        <v>1.5182588998744988E-2</v>
      </c>
      <c r="L1533" s="38" t="s">
        <v>612</v>
      </c>
    </row>
    <row r="1534" spans="1:12" ht="13">
      <c r="A1534" s="18" t="s">
        <v>839</v>
      </c>
      <c r="B1534" s="18" t="s">
        <v>345</v>
      </c>
      <c r="C1534" s="18" t="s">
        <v>840</v>
      </c>
      <c r="D1534" s="18" t="s">
        <v>841</v>
      </c>
      <c r="E1534" s="18" t="s">
        <v>647</v>
      </c>
      <c r="F1534" s="18">
        <v>2010</v>
      </c>
      <c r="G1534" s="40">
        <v>33371</v>
      </c>
      <c r="H1534" s="40">
        <f t="shared" ref="H1534:I1534" si="1174">F1534-F1533</f>
        <v>1</v>
      </c>
      <c r="I1534" s="40">
        <f t="shared" si="1174"/>
        <v>206</v>
      </c>
      <c r="J1534" s="66">
        <f t="shared" si="1142"/>
        <v>6.2113674053972563E-3</v>
      </c>
      <c r="K1534" s="65">
        <f t="shared" si="1143"/>
        <v>6.2113674053972563E-3</v>
      </c>
      <c r="L1534" s="38" t="s">
        <v>612</v>
      </c>
    </row>
    <row r="1535" spans="1:12" ht="13">
      <c r="A1535" s="18" t="s">
        <v>839</v>
      </c>
      <c r="B1535" s="18" t="s">
        <v>345</v>
      </c>
      <c r="C1535" s="18" t="s">
        <v>840</v>
      </c>
      <c r="D1535" s="18" t="s">
        <v>841</v>
      </c>
      <c r="E1535" s="18" t="s">
        <v>647</v>
      </c>
      <c r="F1535" s="18">
        <v>2011</v>
      </c>
      <c r="G1535" s="40">
        <v>36287</v>
      </c>
      <c r="H1535" s="40">
        <f t="shared" ref="H1535:I1535" si="1175">F1535-F1534</f>
        <v>1</v>
      </c>
      <c r="I1535" s="40">
        <f t="shared" si="1175"/>
        <v>2916</v>
      </c>
      <c r="J1535" s="66">
        <f t="shared" si="1142"/>
        <v>8.7381259177129841E-2</v>
      </c>
      <c r="K1535" s="65">
        <f t="shared" si="1143"/>
        <v>8.7381259177129841E-2</v>
      </c>
      <c r="L1535" s="38" t="s">
        <v>612</v>
      </c>
    </row>
    <row r="1536" spans="1:12" ht="13">
      <c r="A1536" s="18" t="s">
        <v>839</v>
      </c>
      <c r="B1536" s="18" t="s">
        <v>345</v>
      </c>
      <c r="C1536" s="18" t="s">
        <v>840</v>
      </c>
      <c r="D1536" s="18" t="s">
        <v>841</v>
      </c>
      <c r="E1536" s="18" t="s">
        <v>647</v>
      </c>
      <c r="F1536" s="18">
        <v>2012</v>
      </c>
      <c r="G1536" s="40">
        <v>35559</v>
      </c>
      <c r="H1536" s="40">
        <f t="shared" ref="H1536:I1536" si="1176">F1536-F1535</f>
        <v>1</v>
      </c>
      <c r="I1536" s="40">
        <f t="shared" si="1176"/>
        <v>-728</v>
      </c>
      <c r="J1536" s="66">
        <f t="shared" si="1142"/>
        <v>-2.0062281257750711E-2</v>
      </c>
      <c r="K1536" s="65">
        <f t="shared" si="1143"/>
        <v>-2.0062281257750711E-2</v>
      </c>
      <c r="L1536" s="38" t="s">
        <v>612</v>
      </c>
    </row>
    <row r="1537" spans="1:12" ht="13">
      <c r="A1537" s="18" t="s">
        <v>839</v>
      </c>
      <c r="B1537" s="18" t="s">
        <v>345</v>
      </c>
      <c r="C1537" s="18" t="s">
        <v>840</v>
      </c>
      <c r="D1537" s="18" t="s">
        <v>841</v>
      </c>
      <c r="E1537" s="18" t="s">
        <v>647</v>
      </c>
      <c r="F1537" s="18">
        <v>2013</v>
      </c>
      <c r="G1537" s="40">
        <v>36570</v>
      </c>
      <c r="H1537" s="40">
        <f t="shared" ref="H1537:I1537" si="1177">F1537-F1536</f>
        <v>1</v>
      </c>
      <c r="I1537" s="40">
        <f t="shared" si="1177"/>
        <v>1011</v>
      </c>
      <c r="J1537" s="66">
        <f t="shared" si="1142"/>
        <v>2.843162068674597E-2</v>
      </c>
      <c r="K1537" s="65">
        <f t="shared" si="1143"/>
        <v>2.843162068674597E-2</v>
      </c>
      <c r="L1537" s="38" t="s">
        <v>612</v>
      </c>
    </row>
    <row r="1538" spans="1:12" ht="13">
      <c r="A1538" s="18" t="s">
        <v>839</v>
      </c>
      <c r="B1538" s="18" t="s">
        <v>345</v>
      </c>
      <c r="C1538" s="18" t="s">
        <v>840</v>
      </c>
      <c r="D1538" s="18" t="s">
        <v>841</v>
      </c>
      <c r="E1538" s="18" t="s">
        <v>647</v>
      </c>
      <c r="F1538" s="18">
        <v>2014</v>
      </c>
      <c r="G1538" s="40">
        <v>36372</v>
      </c>
      <c r="H1538" s="40">
        <f t="shared" ref="H1538:I1538" si="1178">F1538-F1537</f>
        <v>1</v>
      </c>
      <c r="I1538" s="40">
        <f t="shared" si="1178"/>
        <v>-198</v>
      </c>
      <c r="J1538" s="66">
        <f t="shared" si="1142"/>
        <v>-5.4142739950779331E-3</v>
      </c>
      <c r="K1538" s="65">
        <f t="shared" si="1143"/>
        <v>-5.4142739950779331E-3</v>
      </c>
      <c r="L1538" s="38" t="s">
        <v>612</v>
      </c>
    </row>
    <row r="1539" spans="1:12" ht="13">
      <c r="A1539" s="18" t="s">
        <v>839</v>
      </c>
      <c r="B1539" s="18" t="s">
        <v>345</v>
      </c>
      <c r="C1539" s="18" t="s">
        <v>840</v>
      </c>
      <c r="D1539" s="18" t="s">
        <v>841</v>
      </c>
      <c r="E1539" s="18" t="s">
        <v>647</v>
      </c>
      <c r="F1539" s="18">
        <v>2015</v>
      </c>
      <c r="G1539" s="40">
        <v>38232</v>
      </c>
      <c r="H1539" s="40">
        <f t="shared" ref="H1539:I1539" si="1179">F1539-F1538</f>
        <v>1</v>
      </c>
      <c r="I1539" s="40">
        <f t="shared" si="1179"/>
        <v>1860</v>
      </c>
      <c r="J1539" s="66">
        <f t="shared" si="1142"/>
        <v>5.1138238205212801E-2</v>
      </c>
      <c r="K1539" s="65">
        <f t="shared" si="1143"/>
        <v>5.1138238205212801E-2</v>
      </c>
      <c r="L1539" s="38" t="s">
        <v>612</v>
      </c>
    </row>
    <row r="1540" spans="1:12" ht="13">
      <c r="A1540" s="18" t="s">
        <v>839</v>
      </c>
      <c r="B1540" s="18" t="s">
        <v>345</v>
      </c>
      <c r="C1540" s="18" t="s">
        <v>840</v>
      </c>
      <c r="D1540" s="18" t="s">
        <v>841</v>
      </c>
      <c r="E1540" s="18" t="s">
        <v>647</v>
      </c>
      <c r="F1540" s="18">
        <v>2016</v>
      </c>
      <c r="G1540" s="40">
        <v>38723</v>
      </c>
      <c r="H1540" s="40">
        <f t="shared" ref="H1540:I1540" si="1180">F1540-F1539</f>
        <v>1</v>
      </c>
      <c r="I1540" s="40">
        <f t="shared" si="1180"/>
        <v>491</v>
      </c>
      <c r="J1540" s="66">
        <f t="shared" si="1142"/>
        <v>1.2842644904791797E-2</v>
      </c>
      <c r="K1540" s="65">
        <f t="shared" si="1143"/>
        <v>1.2842644904791797E-2</v>
      </c>
      <c r="L1540" s="38" t="s">
        <v>612</v>
      </c>
    </row>
    <row r="1541" spans="1:12" ht="13">
      <c r="A1541" s="18" t="s">
        <v>839</v>
      </c>
      <c r="B1541" s="18" t="s">
        <v>345</v>
      </c>
      <c r="C1541" s="18" t="s">
        <v>840</v>
      </c>
      <c r="D1541" s="18" t="s">
        <v>841</v>
      </c>
      <c r="E1541" s="18" t="s">
        <v>647</v>
      </c>
      <c r="F1541" s="18">
        <v>2017</v>
      </c>
      <c r="G1541" s="40">
        <v>39643</v>
      </c>
      <c r="H1541" s="40">
        <f t="shared" ref="H1541:I1541" si="1181">F1541-F1540</f>
        <v>1</v>
      </c>
      <c r="I1541" s="40">
        <f t="shared" si="1181"/>
        <v>920</v>
      </c>
      <c r="J1541" s="66">
        <f t="shared" si="1142"/>
        <v>2.3758489786431837E-2</v>
      </c>
      <c r="K1541" s="65">
        <f t="shared" si="1143"/>
        <v>2.3758489786431837E-2</v>
      </c>
      <c r="L1541" s="38" t="s">
        <v>612</v>
      </c>
    </row>
    <row r="1542" spans="1:12" ht="13">
      <c r="A1542" s="18" t="s">
        <v>839</v>
      </c>
      <c r="B1542" s="18" t="s">
        <v>345</v>
      </c>
      <c r="C1542" s="18" t="s">
        <v>840</v>
      </c>
      <c r="D1542" s="18" t="s">
        <v>841</v>
      </c>
      <c r="E1542" s="18" t="s">
        <v>647</v>
      </c>
      <c r="F1542" s="18">
        <v>2018</v>
      </c>
      <c r="G1542" s="40">
        <v>39207</v>
      </c>
      <c r="H1542" s="40">
        <f t="shared" ref="H1542:I1542" si="1182">F1542-F1541</f>
        <v>1</v>
      </c>
      <c r="I1542" s="40">
        <f t="shared" si="1182"/>
        <v>-436</v>
      </c>
      <c r="J1542" s="66">
        <f t="shared" si="1142"/>
        <v>-1.0998158565194359E-2</v>
      </c>
      <c r="K1542" s="65">
        <f t="shared" si="1143"/>
        <v>-1.0998158565194359E-2</v>
      </c>
      <c r="L1542" s="38" t="s">
        <v>612</v>
      </c>
    </row>
    <row r="1543" spans="1:12" ht="13">
      <c r="A1543" s="18" t="s">
        <v>839</v>
      </c>
      <c r="B1543" s="18" t="s">
        <v>345</v>
      </c>
      <c r="C1543" s="18" t="s">
        <v>840</v>
      </c>
      <c r="D1543" s="18" t="s">
        <v>841</v>
      </c>
      <c r="E1543" s="18" t="s">
        <v>647</v>
      </c>
      <c r="F1543" s="18">
        <v>2019</v>
      </c>
      <c r="G1543" s="40">
        <v>37446</v>
      </c>
      <c r="H1543" s="40">
        <f t="shared" ref="H1543:I1543" si="1183">F1543-F1542</f>
        <v>1</v>
      </c>
      <c r="I1543" s="40">
        <f t="shared" si="1183"/>
        <v>-1761</v>
      </c>
      <c r="J1543" s="66">
        <f t="shared" si="1142"/>
        <v>-4.4915448771902976E-2</v>
      </c>
      <c r="K1543" s="65">
        <f t="shared" si="1143"/>
        <v>-4.4915448771902976E-2</v>
      </c>
      <c r="L1543" s="37" t="s">
        <v>612</v>
      </c>
    </row>
    <row r="1544" spans="1:12" ht="13">
      <c r="A1544" s="18" t="s">
        <v>843</v>
      </c>
      <c r="B1544" s="18" t="s">
        <v>345</v>
      </c>
      <c r="C1544" s="63" t="s">
        <v>844</v>
      </c>
      <c r="D1544" s="18" t="s">
        <v>845</v>
      </c>
      <c r="E1544" s="18" t="s">
        <v>690</v>
      </c>
      <c r="F1544" s="18">
        <v>1979</v>
      </c>
      <c r="G1544" s="40">
        <v>7955</v>
      </c>
      <c r="H1544" s="40" t="s">
        <v>402</v>
      </c>
      <c r="I1544" s="40" t="s">
        <v>402</v>
      </c>
      <c r="J1544" s="66" t="s">
        <v>402</v>
      </c>
      <c r="K1544" s="65" t="s">
        <v>402</v>
      </c>
      <c r="L1544" s="38" t="s">
        <v>637</v>
      </c>
    </row>
    <row r="1545" spans="1:12" ht="13">
      <c r="A1545" s="18" t="s">
        <v>843</v>
      </c>
      <c r="B1545" s="18" t="s">
        <v>345</v>
      </c>
      <c r="C1545" s="63" t="s">
        <v>844</v>
      </c>
      <c r="D1545" s="18" t="s">
        <v>845</v>
      </c>
      <c r="E1545" s="18" t="s">
        <v>690</v>
      </c>
      <c r="F1545" s="18">
        <v>1982</v>
      </c>
      <c r="G1545" s="40">
        <v>6439</v>
      </c>
      <c r="H1545" s="40" t="s">
        <v>402</v>
      </c>
      <c r="I1545" s="40" t="s">
        <v>402</v>
      </c>
      <c r="J1545" s="66" t="s">
        <v>402</v>
      </c>
      <c r="K1545" s="65" t="s">
        <v>402</v>
      </c>
      <c r="L1545" s="38" t="s">
        <v>637</v>
      </c>
    </row>
    <row r="1546" spans="1:12" ht="13">
      <c r="A1546" s="18" t="s">
        <v>843</v>
      </c>
      <c r="B1546" s="18" t="s">
        <v>345</v>
      </c>
      <c r="C1546" s="63" t="s">
        <v>844</v>
      </c>
      <c r="D1546" s="18" t="s">
        <v>845</v>
      </c>
      <c r="E1546" s="18" t="s">
        <v>690</v>
      </c>
      <c r="F1546" s="18">
        <v>1985</v>
      </c>
      <c r="G1546" s="40">
        <v>5208</v>
      </c>
      <c r="H1546" s="40" t="s">
        <v>402</v>
      </c>
      <c r="I1546" s="40" t="s">
        <v>402</v>
      </c>
      <c r="J1546" s="66" t="s">
        <v>402</v>
      </c>
      <c r="K1546" s="65" t="s">
        <v>402</v>
      </c>
      <c r="L1546" s="38" t="s">
        <v>637</v>
      </c>
    </row>
    <row r="1547" spans="1:12" ht="13">
      <c r="A1547" s="18" t="s">
        <v>843</v>
      </c>
      <c r="B1547" s="18" t="s">
        <v>345</v>
      </c>
      <c r="C1547" s="63" t="s">
        <v>844</v>
      </c>
      <c r="D1547" s="18" t="s">
        <v>845</v>
      </c>
      <c r="E1547" s="18" t="s">
        <v>690</v>
      </c>
      <c r="F1547" s="18">
        <v>1986</v>
      </c>
      <c r="G1547" s="40">
        <v>3977</v>
      </c>
      <c r="H1547" s="40" t="s">
        <v>402</v>
      </c>
      <c r="I1547" s="40" t="s">
        <v>402</v>
      </c>
      <c r="J1547" s="66" t="s">
        <v>402</v>
      </c>
      <c r="K1547" s="65" t="s">
        <v>402</v>
      </c>
      <c r="L1547" s="38" t="s">
        <v>637</v>
      </c>
    </row>
    <row r="1548" spans="1:12" ht="13">
      <c r="A1548" s="18" t="s">
        <v>843</v>
      </c>
      <c r="B1548" s="18" t="s">
        <v>345</v>
      </c>
      <c r="C1548" s="63" t="s">
        <v>844</v>
      </c>
      <c r="D1548" s="18" t="s">
        <v>845</v>
      </c>
      <c r="E1548" s="18" t="s">
        <v>690</v>
      </c>
      <c r="F1548" s="18">
        <v>1989</v>
      </c>
      <c r="G1548" s="40">
        <v>2652</v>
      </c>
      <c r="H1548" s="40" t="s">
        <v>402</v>
      </c>
      <c r="I1548" s="40" t="s">
        <v>402</v>
      </c>
      <c r="J1548" s="66" t="s">
        <v>402</v>
      </c>
      <c r="K1548" s="65" t="s">
        <v>402</v>
      </c>
      <c r="L1548" s="38" t="s">
        <v>637</v>
      </c>
    </row>
    <row r="1549" spans="1:12" ht="13">
      <c r="A1549" s="18" t="s">
        <v>843</v>
      </c>
      <c r="B1549" s="18" t="s">
        <v>345</v>
      </c>
      <c r="C1549" s="63" t="s">
        <v>844</v>
      </c>
      <c r="D1549" s="18" t="s">
        <v>845</v>
      </c>
      <c r="E1549" s="18" t="s">
        <v>690</v>
      </c>
      <c r="F1549" s="18">
        <v>1990</v>
      </c>
      <c r="G1549" s="40">
        <v>2415</v>
      </c>
      <c r="H1549" s="40" t="s">
        <v>402</v>
      </c>
      <c r="I1549" s="40" t="s">
        <v>402</v>
      </c>
      <c r="J1549" s="66" t="s">
        <v>402</v>
      </c>
      <c r="K1549" s="65" t="s">
        <v>402</v>
      </c>
      <c r="L1549" s="38" t="s">
        <v>637</v>
      </c>
    </row>
    <row r="1550" spans="1:12" ht="13">
      <c r="A1550" s="18" t="s">
        <v>843</v>
      </c>
      <c r="B1550" s="18" t="s">
        <v>345</v>
      </c>
      <c r="C1550" s="63" t="s">
        <v>844</v>
      </c>
      <c r="D1550" s="18" t="s">
        <v>845</v>
      </c>
      <c r="E1550" s="18" t="s">
        <v>690</v>
      </c>
      <c r="F1550" s="18">
        <v>1991</v>
      </c>
      <c r="G1550" s="40">
        <v>2462</v>
      </c>
      <c r="H1550" s="40" t="s">
        <v>402</v>
      </c>
      <c r="I1550" s="40" t="s">
        <v>402</v>
      </c>
      <c r="J1550" s="66" t="s">
        <v>402</v>
      </c>
      <c r="K1550" s="65" t="s">
        <v>402</v>
      </c>
      <c r="L1550" s="38" t="s">
        <v>637</v>
      </c>
    </row>
    <row r="1551" spans="1:12" ht="13">
      <c r="A1551" s="18" t="s">
        <v>843</v>
      </c>
      <c r="B1551" s="18" t="s">
        <v>345</v>
      </c>
      <c r="C1551" s="63" t="s">
        <v>844</v>
      </c>
      <c r="D1551" s="18" t="s">
        <v>845</v>
      </c>
      <c r="E1551" s="18" t="s">
        <v>690</v>
      </c>
      <c r="F1551" s="18">
        <v>1992</v>
      </c>
      <c r="G1551" s="40">
        <v>2273</v>
      </c>
      <c r="H1551" s="40" t="s">
        <v>402</v>
      </c>
      <c r="I1551" s="40" t="s">
        <v>402</v>
      </c>
      <c r="J1551" s="66" t="s">
        <v>402</v>
      </c>
      <c r="K1551" s="65" t="s">
        <v>402</v>
      </c>
      <c r="L1551" s="38" t="s">
        <v>637</v>
      </c>
    </row>
    <row r="1552" spans="1:12" ht="13">
      <c r="A1552" s="18" t="s">
        <v>843</v>
      </c>
      <c r="B1552" s="18" t="s">
        <v>345</v>
      </c>
      <c r="C1552" s="63" t="s">
        <v>844</v>
      </c>
      <c r="D1552" s="18" t="s">
        <v>845</v>
      </c>
      <c r="E1552" s="18" t="s">
        <v>690</v>
      </c>
      <c r="F1552" s="18">
        <v>1993</v>
      </c>
      <c r="G1552" s="40">
        <v>2178</v>
      </c>
      <c r="H1552" s="40" t="s">
        <v>402</v>
      </c>
      <c r="I1552" s="40" t="s">
        <v>402</v>
      </c>
      <c r="J1552" s="66" t="s">
        <v>402</v>
      </c>
      <c r="K1552" s="65" t="s">
        <v>402</v>
      </c>
      <c r="L1552" s="38" t="s">
        <v>637</v>
      </c>
    </row>
    <row r="1553" spans="1:12" ht="13">
      <c r="A1553" s="18" t="s">
        <v>843</v>
      </c>
      <c r="B1553" s="18" t="s">
        <v>345</v>
      </c>
      <c r="C1553" s="63" t="s">
        <v>844</v>
      </c>
      <c r="D1553" s="18" t="s">
        <v>845</v>
      </c>
      <c r="E1553" s="18" t="s">
        <v>690</v>
      </c>
      <c r="F1553" s="18">
        <v>1994</v>
      </c>
      <c r="G1553" s="40">
        <v>2083</v>
      </c>
      <c r="H1553" s="40" t="s">
        <v>402</v>
      </c>
      <c r="I1553" s="40" t="s">
        <v>402</v>
      </c>
      <c r="J1553" s="66" t="s">
        <v>402</v>
      </c>
      <c r="K1553" s="65" t="s">
        <v>402</v>
      </c>
      <c r="L1553" s="38" t="s">
        <v>637</v>
      </c>
    </row>
    <row r="1554" spans="1:12" ht="13">
      <c r="A1554" s="18" t="s">
        <v>843</v>
      </c>
      <c r="B1554" s="18" t="s">
        <v>345</v>
      </c>
      <c r="C1554" s="63" t="s">
        <v>844</v>
      </c>
      <c r="D1554" s="18" t="s">
        <v>845</v>
      </c>
      <c r="E1554" s="18" t="s">
        <v>690</v>
      </c>
      <c r="F1554" s="18">
        <v>1995</v>
      </c>
      <c r="G1554" s="40">
        <v>2036</v>
      </c>
      <c r="H1554" s="40" t="s">
        <v>402</v>
      </c>
      <c r="I1554" s="40" t="s">
        <v>402</v>
      </c>
      <c r="J1554" s="66" t="s">
        <v>402</v>
      </c>
      <c r="K1554" s="65" t="s">
        <v>402</v>
      </c>
      <c r="L1554" s="38" t="s">
        <v>637</v>
      </c>
    </row>
    <row r="1555" spans="1:12" ht="13">
      <c r="A1555" s="18" t="s">
        <v>843</v>
      </c>
      <c r="B1555" s="18" t="s">
        <v>345</v>
      </c>
      <c r="C1555" s="63" t="s">
        <v>844</v>
      </c>
      <c r="D1555" s="18" t="s">
        <v>845</v>
      </c>
      <c r="E1555" s="18" t="s">
        <v>690</v>
      </c>
      <c r="F1555" s="18">
        <v>1996</v>
      </c>
      <c r="G1555" s="40">
        <v>2083</v>
      </c>
      <c r="H1555" s="40" t="s">
        <v>402</v>
      </c>
      <c r="I1555" s="40" t="s">
        <v>402</v>
      </c>
      <c r="J1555" s="66" t="s">
        <v>402</v>
      </c>
      <c r="K1555" s="65" t="s">
        <v>402</v>
      </c>
      <c r="L1555" s="38" t="s">
        <v>637</v>
      </c>
    </row>
    <row r="1556" spans="1:12" ht="13">
      <c r="A1556" s="18" t="s">
        <v>843</v>
      </c>
      <c r="B1556" s="18" t="s">
        <v>345</v>
      </c>
      <c r="C1556" s="63" t="s">
        <v>844</v>
      </c>
      <c r="D1556" s="18" t="s">
        <v>845</v>
      </c>
      <c r="E1556" s="18" t="s">
        <v>690</v>
      </c>
      <c r="F1556" s="18">
        <v>1997</v>
      </c>
      <c r="G1556" s="40">
        <v>1799</v>
      </c>
      <c r="H1556" s="40" t="s">
        <v>402</v>
      </c>
      <c r="I1556" s="40" t="s">
        <v>402</v>
      </c>
      <c r="J1556" s="66" t="s">
        <v>402</v>
      </c>
      <c r="K1556" s="65" t="s">
        <v>402</v>
      </c>
      <c r="L1556" s="38" t="s">
        <v>637</v>
      </c>
    </row>
    <row r="1557" spans="1:12" ht="13">
      <c r="A1557" s="18" t="s">
        <v>843</v>
      </c>
      <c r="B1557" s="18" t="s">
        <v>345</v>
      </c>
      <c r="C1557" s="63" t="s">
        <v>844</v>
      </c>
      <c r="D1557" s="18" t="s">
        <v>845</v>
      </c>
      <c r="E1557" s="18" t="s">
        <v>690</v>
      </c>
      <c r="F1557" s="18">
        <v>1998</v>
      </c>
      <c r="G1557" s="40">
        <v>1705</v>
      </c>
      <c r="H1557" s="40" t="s">
        <v>402</v>
      </c>
      <c r="I1557" s="40" t="s">
        <v>402</v>
      </c>
      <c r="J1557" s="66" t="s">
        <v>402</v>
      </c>
      <c r="K1557" s="65" t="s">
        <v>402</v>
      </c>
      <c r="L1557" s="38" t="s">
        <v>637</v>
      </c>
    </row>
    <row r="1558" spans="1:12" ht="13">
      <c r="A1558" s="18" t="s">
        <v>843</v>
      </c>
      <c r="B1558" s="18" t="s">
        <v>345</v>
      </c>
      <c r="C1558" s="63" t="s">
        <v>844</v>
      </c>
      <c r="D1558" s="18" t="s">
        <v>845</v>
      </c>
      <c r="E1558" s="18" t="s">
        <v>690</v>
      </c>
      <c r="F1558" s="18">
        <v>2000</v>
      </c>
      <c r="G1558" s="40">
        <v>1799</v>
      </c>
      <c r="H1558" s="40" t="s">
        <v>402</v>
      </c>
      <c r="I1558" s="40" t="s">
        <v>402</v>
      </c>
      <c r="J1558" s="66" t="s">
        <v>402</v>
      </c>
      <c r="K1558" s="65" t="s">
        <v>402</v>
      </c>
      <c r="L1558" s="38" t="s">
        <v>637</v>
      </c>
    </row>
    <row r="1559" spans="1:12" ht="13">
      <c r="A1559" s="18" t="s">
        <v>843</v>
      </c>
      <c r="B1559" s="18" t="s">
        <v>345</v>
      </c>
      <c r="C1559" s="63" t="s">
        <v>844</v>
      </c>
      <c r="D1559" s="18" t="s">
        <v>845</v>
      </c>
      <c r="E1559" s="18" t="s">
        <v>690</v>
      </c>
      <c r="F1559" s="18">
        <v>2001</v>
      </c>
      <c r="G1559" s="40">
        <v>1847</v>
      </c>
      <c r="H1559" s="40" t="s">
        <v>402</v>
      </c>
      <c r="I1559" s="40" t="s">
        <v>402</v>
      </c>
      <c r="J1559" s="66" t="s">
        <v>402</v>
      </c>
      <c r="K1559" s="65" t="s">
        <v>402</v>
      </c>
      <c r="L1559" s="38" t="s">
        <v>637</v>
      </c>
    </row>
    <row r="1560" spans="1:12" ht="13">
      <c r="A1560" s="18" t="s">
        <v>843</v>
      </c>
      <c r="B1560" s="18" t="s">
        <v>345</v>
      </c>
      <c r="C1560" s="63" t="s">
        <v>844</v>
      </c>
      <c r="D1560" s="18" t="s">
        <v>845</v>
      </c>
      <c r="E1560" s="18" t="s">
        <v>690</v>
      </c>
      <c r="F1560" s="18">
        <v>2002</v>
      </c>
      <c r="G1560" s="40">
        <v>1705</v>
      </c>
      <c r="H1560" s="40" t="s">
        <v>402</v>
      </c>
      <c r="I1560" s="40" t="s">
        <v>402</v>
      </c>
      <c r="J1560" s="66" t="s">
        <v>402</v>
      </c>
      <c r="K1560" s="65" t="s">
        <v>402</v>
      </c>
      <c r="L1560" s="38" t="s">
        <v>637</v>
      </c>
    </row>
    <row r="1561" spans="1:12" ht="13">
      <c r="A1561" s="18" t="s">
        <v>843</v>
      </c>
      <c r="B1561" s="18" t="s">
        <v>345</v>
      </c>
      <c r="C1561" s="63" t="s">
        <v>844</v>
      </c>
      <c r="D1561" s="18" t="s">
        <v>845</v>
      </c>
      <c r="E1561" s="18" t="s">
        <v>690</v>
      </c>
      <c r="F1561" s="18">
        <v>2003</v>
      </c>
      <c r="G1561" s="40">
        <v>1894</v>
      </c>
      <c r="H1561" s="40" t="s">
        <v>402</v>
      </c>
      <c r="I1561" s="40" t="s">
        <v>402</v>
      </c>
      <c r="J1561" s="66" t="s">
        <v>402</v>
      </c>
      <c r="K1561" s="65" t="s">
        <v>402</v>
      </c>
      <c r="L1561" s="38" t="s">
        <v>637</v>
      </c>
    </row>
    <row r="1562" spans="1:12" ht="13">
      <c r="A1562" s="18" t="s">
        <v>843</v>
      </c>
      <c r="B1562" s="18" t="s">
        <v>345</v>
      </c>
      <c r="C1562" s="63" t="s">
        <v>844</v>
      </c>
      <c r="D1562" s="18" t="s">
        <v>845</v>
      </c>
      <c r="E1562" s="18" t="s">
        <v>690</v>
      </c>
      <c r="F1562" s="18">
        <v>2004</v>
      </c>
      <c r="G1562" s="40">
        <v>1989</v>
      </c>
      <c r="H1562" s="40" t="s">
        <v>402</v>
      </c>
      <c r="I1562" s="40" t="s">
        <v>402</v>
      </c>
      <c r="J1562" s="66" t="s">
        <v>402</v>
      </c>
      <c r="K1562" s="65" t="s">
        <v>402</v>
      </c>
      <c r="L1562" s="38" t="s">
        <v>637</v>
      </c>
    </row>
    <row r="1563" spans="1:12" ht="13">
      <c r="A1563" s="18" t="s">
        <v>843</v>
      </c>
      <c r="B1563" s="18" t="s">
        <v>345</v>
      </c>
      <c r="C1563" s="63" t="s">
        <v>844</v>
      </c>
      <c r="D1563" s="18" t="s">
        <v>845</v>
      </c>
      <c r="E1563" s="18" t="s">
        <v>690</v>
      </c>
      <c r="F1563" s="18">
        <v>2005</v>
      </c>
      <c r="G1563" s="40">
        <v>2273</v>
      </c>
      <c r="H1563" s="40" t="s">
        <v>402</v>
      </c>
      <c r="I1563" s="40" t="s">
        <v>402</v>
      </c>
      <c r="J1563" s="66" t="s">
        <v>402</v>
      </c>
      <c r="K1563" s="65" t="s">
        <v>402</v>
      </c>
      <c r="L1563" s="38" t="s">
        <v>637</v>
      </c>
    </row>
    <row r="1564" spans="1:12" ht="13">
      <c r="A1564" s="18" t="s">
        <v>843</v>
      </c>
      <c r="B1564" s="18" t="s">
        <v>345</v>
      </c>
      <c r="C1564" s="63" t="s">
        <v>844</v>
      </c>
      <c r="D1564" s="18" t="s">
        <v>845</v>
      </c>
      <c r="E1564" s="18" t="s">
        <v>690</v>
      </c>
      <c r="F1564" s="18">
        <v>2007</v>
      </c>
      <c r="G1564" s="40">
        <v>2462</v>
      </c>
      <c r="H1564" s="40" t="s">
        <v>402</v>
      </c>
      <c r="I1564" s="40" t="s">
        <v>402</v>
      </c>
      <c r="J1564" s="66" t="s">
        <v>402</v>
      </c>
      <c r="K1564" s="65" t="s">
        <v>402</v>
      </c>
      <c r="L1564" s="38" t="s">
        <v>637</v>
      </c>
    </row>
    <row r="1565" spans="1:12" ht="13">
      <c r="A1565" s="18" t="s">
        <v>843</v>
      </c>
      <c r="B1565" s="18" t="s">
        <v>345</v>
      </c>
      <c r="C1565" s="63" t="s">
        <v>844</v>
      </c>
      <c r="D1565" s="18" t="s">
        <v>845</v>
      </c>
      <c r="E1565" s="18" t="s">
        <v>690</v>
      </c>
      <c r="F1565" s="18">
        <v>2009</v>
      </c>
      <c r="G1565" s="40">
        <v>2604</v>
      </c>
      <c r="H1565" s="40" t="s">
        <v>402</v>
      </c>
      <c r="I1565" s="40" t="s">
        <v>402</v>
      </c>
      <c r="J1565" s="66" t="s">
        <v>402</v>
      </c>
      <c r="K1565" s="65" t="s">
        <v>402</v>
      </c>
      <c r="L1565" s="38" t="s">
        <v>637</v>
      </c>
    </row>
    <row r="1566" spans="1:12" ht="13">
      <c r="A1566" s="18" t="s">
        <v>843</v>
      </c>
      <c r="B1566" s="18" t="s">
        <v>345</v>
      </c>
      <c r="C1566" s="63" t="s">
        <v>844</v>
      </c>
      <c r="D1566" s="18" t="s">
        <v>845</v>
      </c>
      <c r="E1566" s="18" t="s">
        <v>690</v>
      </c>
      <c r="F1566" s="18">
        <v>2010</v>
      </c>
      <c r="G1566" s="40">
        <v>2652</v>
      </c>
      <c r="H1566" s="40" t="s">
        <v>402</v>
      </c>
      <c r="I1566" s="40" t="s">
        <v>402</v>
      </c>
      <c r="J1566" s="66" t="s">
        <v>402</v>
      </c>
      <c r="K1566" s="65" t="s">
        <v>402</v>
      </c>
      <c r="L1566" s="38" t="s">
        <v>637</v>
      </c>
    </row>
    <row r="1567" spans="1:12" ht="13">
      <c r="A1567" s="18" t="s">
        <v>843</v>
      </c>
      <c r="B1567" s="18" t="s">
        <v>345</v>
      </c>
      <c r="C1567" s="63" t="s">
        <v>844</v>
      </c>
      <c r="D1567" s="18" t="s">
        <v>845</v>
      </c>
      <c r="E1567" s="18" t="s">
        <v>690</v>
      </c>
      <c r="F1567" s="18">
        <v>2011</v>
      </c>
      <c r="G1567" s="40">
        <v>2699</v>
      </c>
      <c r="H1567" s="40" t="s">
        <v>402</v>
      </c>
      <c r="I1567" s="40" t="s">
        <v>402</v>
      </c>
      <c r="J1567" s="66" t="s">
        <v>402</v>
      </c>
      <c r="K1567" s="65" t="s">
        <v>402</v>
      </c>
      <c r="L1567" s="38" t="s">
        <v>637</v>
      </c>
    </row>
    <row r="1568" spans="1:12" ht="13">
      <c r="A1568" s="18" t="s">
        <v>843</v>
      </c>
      <c r="B1568" s="18" t="s">
        <v>345</v>
      </c>
      <c r="C1568" s="63" t="s">
        <v>844</v>
      </c>
      <c r="D1568" s="18" t="s">
        <v>845</v>
      </c>
      <c r="E1568" s="18" t="s">
        <v>690</v>
      </c>
      <c r="F1568" s="18">
        <v>2014</v>
      </c>
      <c r="G1568" s="40">
        <v>2746</v>
      </c>
      <c r="H1568" s="40" t="s">
        <v>402</v>
      </c>
      <c r="I1568" s="40" t="s">
        <v>402</v>
      </c>
      <c r="J1568" s="66" t="s">
        <v>402</v>
      </c>
      <c r="K1568" s="65" t="s">
        <v>402</v>
      </c>
      <c r="L1568" s="38" t="s">
        <v>637</v>
      </c>
    </row>
    <row r="1569" spans="1:12" ht="13">
      <c r="A1569" s="18" t="s">
        <v>843</v>
      </c>
      <c r="B1569" s="18" t="s">
        <v>345</v>
      </c>
      <c r="C1569" s="63" t="s">
        <v>844</v>
      </c>
      <c r="D1569" s="18" t="s">
        <v>845</v>
      </c>
      <c r="E1569" s="18" t="s">
        <v>690</v>
      </c>
      <c r="F1569" s="18">
        <v>2015</v>
      </c>
      <c r="G1569" s="40">
        <v>2841</v>
      </c>
      <c r="H1569" s="40" t="s">
        <v>402</v>
      </c>
      <c r="I1569" s="40" t="s">
        <v>402</v>
      </c>
      <c r="J1569" s="66" t="s">
        <v>402</v>
      </c>
      <c r="K1569" s="65" t="s">
        <v>402</v>
      </c>
      <c r="L1569" s="38" t="s">
        <v>637</v>
      </c>
    </row>
    <row r="1570" spans="1:12" ht="13">
      <c r="A1570" s="18" t="s">
        <v>843</v>
      </c>
      <c r="B1570" s="18" t="s">
        <v>345</v>
      </c>
      <c r="C1570" s="63" t="s">
        <v>844</v>
      </c>
      <c r="D1570" s="18" t="s">
        <v>845</v>
      </c>
      <c r="E1570" s="18" t="s">
        <v>690</v>
      </c>
      <c r="F1570" s="18">
        <v>2016</v>
      </c>
      <c r="G1570" s="40">
        <v>2794</v>
      </c>
      <c r="H1570" s="40" t="s">
        <v>402</v>
      </c>
      <c r="I1570" s="40" t="s">
        <v>402</v>
      </c>
      <c r="J1570" s="66" t="s">
        <v>402</v>
      </c>
      <c r="K1570" s="65" t="s">
        <v>402</v>
      </c>
      <c r="L1570" s="38" t="s">
        <v>637</v>
      </c>
    </row>
    <row r="1571" spans="1:12" ht="13">
      <c r="A1571" s="18" t="s">
        <v>843</v>
      </c>
      <c r="B1571" s="18" t="s">
        <v>345</v>
      </c>
      <c r="C1571" s="63" t="s">
        <v>844</v>
      </c>
      <c r="D1571" s="18" t="s">
        <v>845</v>
      </c>
      <c r="E1571" s="18" t="s">
        <v>690</v>
      </c>
      <c r="F1571" s="18">
        <v>2018</v>
      </c>
      <c r="G1571" s="40">
        <v>2841</v>
      </c>
      <c r="H1571" s="40" t="s">
        <v>402</v>
      </c>
      <c r="I1571" s="40" t="s">
        <v>402</v>
      </c>
      <c r="J1571" s="66" t="s">
        <v>402</v>
      </c>
      <c r="K1571" s="65" t="s">
        <v>402</v>
      </c>
      <c r="L1571" s="38" t="s">
        <v>637</v>
      </c>
    </row>
    <row r="1572" spans="1:12" ht="13">
      <c r="A1572" s="18" t="s">
        <v>847</v>
      </c>
      <c r="B1572" s="18" t="s">
        <v>345</v>
      </c>
      <c r="C1572" s="63" t="s">
        <v>848</v>
      </c>
      <c r="D1572" s="18" t="s">
        <v>845</v>
      </c>
      <c r="E1572" s="18" t="s">
        <v>690</v>
      </c>
      <c r="F1572" s="18">
        <v>1979</v>
      </c>
      <c r="G1572" s="40">
        <v>4167</v>
      </c>
      <c r="H1572" s="40" t="s">
        <v>402</v>
      </c>
      <c r="I1572" s="40" t="s">
        <v>402</v>
      </c>
      <c r="J1572" s="66" t="s">
        <v>402</v>
      </c>
      <c r="K1572" s="65" t="s">
        <v>402</v>
      </c>
      <c r="L1572" s="38" t="s">
        <v>637</v>
      </c>
    </row>
    <row r="1573" spans="1:12" ht="13">
      <c r="A1573" s="18" t="s">
        <v>847</v>
      </c>
      <c r="B1573" s="18" t="s">
        <v>345</v>
      </c>
      <c r="C1573" s="63" t="s">
        <v>848</v>
      </c>
      <c r="D1573" s="18" t="s">
        <v>845</v>
      </c>
      <c r="E1573" s="18" t="s">
        <v>690</v>
      </c>
      <c r="F1573" s="18">
        <v>1989</v>
      </c>
      <c r="G1573" s="40">
        <v>2083</v>
      </c>
      <c r="H1573" s="40" t="s">
        <v>402</v>
      </c>
      <c r="I1573" s="40" t="s">
        <v>402</v>
      </c>
      <c r="J1573" s="66" t="s">
        <v>402</v>
      </c>
      <c r="K1573" s="65" t="s">
        <v>402</v>
      </c>
      <c r="L1573" s="38" t="s">
        <v>637</v>
      </c>
    </row>
    <row r="1574" spans="1:12" ht="13">
      <c r="A1574" s="18" t="s">
        <v>847</v>
      </c>
      <c r="B1574" s="18" t="s">
        <v>345</v>
      </c>
      <c r="C1574" s="63" t="s">
        <v>848</v>
      </c>
      <c r="D1574" s="18" t="s">
        <v>845</v>
      </c>
      <c r="E1574" s="18" t="s">
        <v>690</v>
      </c>
      <c r="F1574" s="18">
        <v>1990</v>
      </c>
      <c r="G1574" s="40">
        <v>1894</v>
      </c>
      <c r="H1574" s="40" t="s">
        <v>402</v>
      </c>
      <c r="I1574" s="40" t="s">
        <v>402</v>
      </c>
      <c r="J1574" s="66" t="s">
        <v>402</v>
      </c>
      <c r="K1574" s="65" t="s">
        <v>402</v>
      </c>
      <c r="L1574" s="38" t="s">
        <v>637</v>
      </c>
    </row>
    <row r="1575" spans="1:12" ht="13">
      <c r="A1575" s="18" t="s">
        <v>847</v>
      </c>
      <c r="B1575" s="18" t="s">
        <v>345</v>
      </c>
      <c r="C1575" s="63" t="s">
        <v>848</v>
      </c>
      <c r="D1575" s="18" t="s">
        <v>845</v>
      </c>
      <c r="E1575" s="18" t="s">
        <v>690</v>
      </c>
      <c r="F1575" s="18">
        <v>1994</v>
      </c>
      <c r="G1575" s="40">
        <v>1326</v>
      </c>
      <c r="H1575" s="40" t="s">
        <v>402</v>
      </c>
      <c r="I1575" s="40" t="s">
        <v>402</v>
      </c>
      <c r="J1575" s="66" t="s">
        <v>402</v>
      </c>
      <c r="K1575" s="65" t="s">
        <v>402</v>
      </c>
      <c r="L1575" s="38" t="s">
        <v>637</v>
      </c>
    </row>
    <row r="1576" spans="1:12" ht="13">
      <c r="A1576" s="18" t="s">
        <v>847</v>
      </c>
      <c r="B1576" s="18" t="s">
        <v>345</v>
      </c>
      <c r="C1576" s="63" t="s">
        <v>848</v>
      </c>
      <c r="D1576" s="18" t="s">
        <v>845</v>
      </c>
      <c r="E1576" s="18" t="s">
        <v>690</v>
      </c>
      <c r="F1576" s="18">
        <v>1997</v>
      </c>
      <c r="G1576" s="40">
        <v>947</v>
      </c>
      <c r="H1576" s="40" t="s">
        <v>402</v>
      </c>
      <c r="I1576" s="40" t="s">
        <v>402</v>
      </c>
      <c r="J1576" s="66" t="s">
        <v>402</v>
      </c>
      <c r="K1576" s="65" t="s">
        <v>402</v>
      </c>
      <c r="L1576" s="38" t="s">
        <v>637</v>
      </c>
    </row>
    <row r="1577" spans="1:12" ht="13">
      <c r="A1577" s="18" t="s">
        <v>847</v>
      </c>
      <c r="B1577" s="18" t="s">
        <v>345</v>
      </c>
      <c r="C1577" s="63" t="s">
        <v>848</v>
      </c>
      <c r="D1577" s="18" t="s">
        <v>845</v>
      </c>
      <c r="E1577" s="18" t="s">
        <v>690</v>
      </c>
      <c r="F1577" s="18">
        <v>1998</v>
      </c>
      <c r="G1577" s="40">
        <v>758</v>
      </c>
      <c r="H1577" s="40" t="s">
        <v>402</v>
      </c>
      <c r="I1577" s="40" t="s">
        <v>402</v>
      </c>
      <c r="J1577" s="66" t="s">
        <v>402</v>
      </c>
      <c r="K1577" s="65" t="s">
        <v>402</v>
      </c>
      <c r="L1577" s="38" t="s">
        <v>637</v>
      </c>
    </row>
    <row r="1578" spans="1:12" ht="13">
      <c r="A1578" s="18" t="s">
        <v>847</v>
      </c>
      <c r="B1578" s="18" t="s">
        <v>345</v>
      </c>
      <c r="C1578" s="63" t="s">
        <v>848</v>
      </c>
      <c r="D1578" s="18" t="s">
        <v>845</v>
      </c>
      <c r="E1578" s="18" t="s">
        <v>690</v>
      </c>
      <c r="F1578" s="18">
        <v>2002</v>
      </c>
      <c r="G1578" s="40">
        <v>473</v>
      </c>
      <c r="H1578" s="40" t="s">
        <v>402</v>
      </c>
      <c r="I1578" s="40" t="s">
        <v>402</v>
      </c>
      <c r="J1578" s="66" t="s">
        <v>402</v>
      </c>
      <c r="K1578" s="65" t="s">
        <v>402</v>
      </c>
      <c r="L1578" s="38" t="s">
        <v>637</v>
      </c>
    </row>
    <row r="1579" spans="1:12" ht="13">
      <c r="A1579" s="18" t="s">
        <v>847</v>
      </c>
      <c r="B1579" s="18" t="s">
        <v>345</v>
      </c>
      <c r="C1579" s="63" t="s">
        <v>848</v>
      </c>
      <c r="D1579" s="18" t="s">
        <v>845</v>
      </c>
      <c r="E1579" s="18" t="s">
        <v>690</v>
      </c>
      <c r="F1579" s="18">
        <v>2004</v>
      </c>
      <c r="G1579" s="40">
        <v>379</v>
      </c>
      <c r="H1579" s="40" t="s">
        <v>402</v>
      </c>
      <c r="I1579" s="40" t="s">
        <v>402</v>
      </c>
      <c r="J1579" s="66" t="s">
        <v>402</v>
      </c>
      <c r="K1579" s="65" t="s">
        <v>402</v>
      </c>
      <c r="L1579" s="38" t="s">
        <v>637</v>
      </c>
    </row>
    <row r="1580" spans="1:12" ht="13">
      <c r="A1580" s="18" t="s">
        <v>847</v>
      </c>
      <c r="B1580" s="18" t="s">
        <v>345</v>
      </c>
      <c r="C1580" s="63" t="s">
        <v>848</v>
      </c>
      <c r="D1580" s="18" t="s">
        <v>845</v>
      </c>
      <c r="E1580" s="18" t="s">
        <v>690</v>
      </c>
      <c r="F1580" s="18">
        <v>2005</v>
      </c>
      <c r="G1580" s="40">
        <v>331</v>
      </c>
      <c r="H1580" s="40" t="s">
        <v>402</v>
      </c>
      <c r="I1580" s="40" t="s">
        <v>402</v>
      </c>
      <c r="J1580" s="66" t="s">
        <v>402</v>
      </c>
      <c r="K1580" s="65" t="s">
        <v>402</v>
      </c>
      <c r="L1580" s="38" t="s">
        <v>637</v>
      </c>
    </row>
    <row r="1581" spans="1:12" ht="13">
      <c r="A1581" s="18" t="s">
        <v>847</v>
      </c>
      <c r="B1581" s="18" t="s">
        <v>345</v>
      </c>
      <c r="C1581" s="63" t="s">
        <v>848</v>
      </c>
      <c r="D1581" s="18" t="s">
        <v>845</v>
      </c>
      <c r="E1581" s="18" t="s">
        <v>690</v>
      </c>
      <c r="F1581" s="18">
        <v>2008</v>
      </c>
      <c r="G1581" s="40">
        <v>189</v>
      </c>
      <c r="H1581" s="40" t="s">
        <v>402</v>
      </c>
      <c r="I1581" s="40" t="s">
        <v>402</v>
      </c>
      <c r="J1581" s="66" t="s">
        <v>402</v>
      </c>
      <c r="K1581" s="65" t="s">
        <v>402</v>
      </c>
      <c r="L1581" s="38" t="s">
        <v>637</v>
      </c>
    </row>
    <row r="1582" spans="1:12" ht="13">
      <c r="A1582" s="18" t="s">
        <v>847</v>
      </c>
      <c r="B1582" s="18" t="s">
        <v>345</v>
      </c>
      <c r="C1582" s="63" t="s">
        <v>848</v>
      </c>
      <c r="D1582" s="18" t="s">
        <v>845</v>
      </c>
      <c r="E1582" s="18" t="s">
        <v>690</v>
      </c>
      <c r="F1582" s="18">
        <v>2009</v>
      </c>
      <c r="G1582" s="40">
        <v>189</v>
      </c>
      <c r="H1582" s="40" t="s">
        <v>402</v>
      </c>
      <c r="I1582" s="40" t="s">
        <v>402</v>
      </c>
      <c r="J1582" s="66" t="s">
        <v>402</v>
      </c>
      <c r="K1582" s="65" t="s">
        <v>402</v>
      </c>
      <c r="L1582" s="38" t="s">
        <v>637</v>
      </c>
    </row>
    <row r="1583" spans="1:12" ht="13">
      <c r="A1583" s="18" t="s">
        <v>847</v>
      </c>
      <c r="B1583" s="18" t="s">
        <v>345</v>
      </c>
      <c r="C1583" s="63" t="s">
        <v>848</v>
      </c>
      <c r="D1583" s="18" t="s">
        <v>845</v>
      </c>
      <c r="E1583" s="18" t="s">
        <v>690</v>
      </c>
      <c r="F1583" s="18">
        <v>2011</v>
      </c>
      <c r="G1583" s="40">
        <v>189</v>
      </c>
      <c r="H1583" s="40" t="s">
        <v>402</v>
      </c>
      <c r="I1583" s="40" t="s">
        <v>402</v>
      </c>
      <c r="J1583" s="66" t="s">
        <v>402</v>
      </c>
      <c r="K1583" s="65" t="s">
        <v>402</v>
      </c>
      <c r="L1583" s="38" t="s">
        <v>637</v>
      </c>
    </row>
    <row r="1584" spans="1:12" ht="13">
      <c r="A1584" s="18" t="s">
        <v>847</v>
      </c>
      <c r="B1584" s="18" t="s">
        <v>345</v>
      </c>
      <c r="C1584" s="63" t="s">
        <v>848</v>
      </c>
      <c r="D1584" s="18" t="s">
        <v>845</v>
      </c>
      <c r="E1584" s="18" t="s">
        <v>690</v>
      </c>
      <c r="F1584" s="18">
        <v>2012</v>
      </c>
      <c r="G1584" s="40">
        <v>189</v>
      </c>
      <c r="H1584" s="40" t="s">
        <v>402</v>
      </c>
      <c r="I1584" s="40" t="s">
        <v>402</v>
      </c>
      <c r="J1584" s="66" t="s">
        <v>402</v>
      </c>
      <c r="K1584" s="65" t="s">
        <v>402</v>
      </c>
      <c r="L1584" s="38" t="s">
        <v>637</v>
      </c>
    </row>
    <row r="1585" spans="1:12" ht="13">
      <c r="A1585" s="18" t="s">
        <v>847</v>
      </c>
      <c r="B1585" s="18" t="s">
        <v>345</v>
      </c>
      <c r="C1585" s="63" t="s">
        <v>848</v>
      </c>
      <c r="D1585" s="18" t="s">
        <v>845</v>
      </c>
      <c r="E1585" s="18" t="s">
        <v>690</v>
      </c>
      <c r="F1585" s="18">
        <v>2013</v>
      </c>
      <c r="G1585" s="40">
        <v>142</v>
      </c>
      <c r="H1585" s="40" t="s">
        <v>402</v>
      </c>
      <c r="I1585" s="40" t="s">
        <v>402</v>
      </c>
      <c r="J1585" s="66" t="s">
        <v>402</v>
      </c>
      <c r="K1585" s="65" t="s">
        <v>402</v>
      </c>
      <c r="L1585" s="38" t="s">
        <v>637</v>
      </c>
    </row>
    <row r="1586" spans="1:12" ht="13">
      <c r="A1586" s="18" t="s">
        <v>847</v>
      </c>
      <c r="B1586" s="18" t="s">
        <v>345</v>
      </c>
      <c r="C1586" s="63" t="s">
        <v>848</v>
      </c>
      <c r="D1586" s="18" t="s">
        <v>845</v>
      </c>
      <c r="E1586" s="18" t="s">
        <v>690</v>
      </c>
      <c r="F1586" s="18">
        <v>2014</v>
      </c>
      <c r="G1586" s="40">
        <v>95</v>
      </c>
      <c r="H1586" s="40" t="s">
        <v>402</v>
      </c>
      <c r="I1586" s="40" t="s">
        <v>402</v>
      </c>
      <c r="J1586" s="66" t="s">
        <v>402</v>
      </c>
      <c r="K1586" s="65" t="s">
        <v>402</v>
      </c>
      <c r="L1586" s="38" t="s">
        <v>637</v>
      </c>
    </row>
    <row r="1587" spans="1:12" ht="13">
      <c r="A1587" s="18" t="s">
        <v>847</v>
      </c>
      <c r="B1587" s="18" t="s">
        <v>345</v>
      </c>
      <c r="C1587" s="63" t="s">
        <v>848</v>
      </c>
      <c r="D1587" s="18" t="s">
        <v>845</v>
      </c>
      <c r="E1587" s="18" t="s">
        <v>690</v>
      </c>
      <c r="F1587" s="18">
        <v>2016</v>
      </c>
      <c r="G1587" s="40">
        <v>189</v>
      </c>
      <c r="H1587" s="40" t="s">
        <v>402</v>
      </c>
      <c r="I1587" s="40" t="s">
        <v>402</v>
      </c>
      <c r="J1587" s="66" t="s">
        <v>402</v>
      </c>
      <c r="K1587" s="65" t="s">
        <v>402</v>
      </c>
      <c r="L1587" s="38" t="s">
        <v>637</v>
      </c>
    </row>
    <row r="1588" spans="1:12" ht="13">
      <c r="A1588" s="18" t="s">
        <v>847</v>
      </c>
      <c r="B1588" s="18" t="s">
        <v>345</v>
      </c>
      <c r="C1588" s="63" t="s">
        <v>848</v>
      </c>
      <c r="D1588" s="18" t="s">
        <v>845</v>
      </c>
      <c r="E1588" s="18" t="s">
        <v>690</v>
      </c>
      <c r="F1588" s="18">
        <v>2017</v>
      </c>
      <c r="G1588" s="40">
        <v>95</v>
      </c>
      <c r="H1588" s="40" t="s">
        <v>402</v>
      </c>
      <c r="I1588" s="40" t="s">
        <v>402</v>
      </c>
      <c r="J1588" s="66" t="s">
        <v>402</v>
      </c>
      <c r="K1588" s="65" t="s">
        <v>402</v>
      </c>
      <c r="L1588" s="38" t="s">
        <v>637</v>
      </c>
    </row>
    <row r="1589" spans="1:12" ht="13">
      <c r="A1589" s="18" t="s">
        <v>847</v>
      </c>
      <c r="B1589" s="18" t="s">
        <v>345</v>
      </c>
      <c r="C1589" s="63" t="s">
        <v>848</v>
      </c>
      <c r="D1589" s="18" t="s">
        <v>845</v>
      </c>
      <c r="E1589" s="18" t="s">
        <v>690</v>
      </c>
      <c r="F1589" s="18">
        <v>2018</v>
      </c>
      <c r="G1589" s="40">
        <v>189</v>
      </c>
      <c r="H1589" s="40" t="s">
        <v>402</v>
      </c>
      <c r="I1589" s="40" t="s">
        <v>402</v>
      </c>
      <c r="J1589" s="66" t="s">
        <v>402</v>
      </c>
      <c r="K1589" s="65" t="s">
        <v>402</v>
      </c>
      <c r="L1589" s="38" t="s">
        <v>637</v>
      </c>
    </row>
    <row r="1590" spans="1:12" ht="13">
      <c r="A1590" s="18" t="s">
        <v>849</v>
      </c>
      <c r="B1590" s="18" t="s">
        <v>345</v>
      </c>
      <c r="C1590" s="63" t="s">
        <v>850</v>
      </c>
      <c r="D1590" s="18" t="s">
        <v>845</v>
      </c>
      <c r="E1590" s="18" t="s">
        <v>690</v>
      </c>
      <c r="F1590" s="18">
        <v>1979</v>
      </c>
      <c r="G1590" s="40">
        <v>8333</v>
      </c>
      <c r="H1590" s="40" t="s">
        <v>402</v>
      </c>
      <c r="I1590" s="40" t="s">
        <v>402</v>
      </c>
      <c r="J1590" s="66" t="s">
        <v>402</v>
      </c>
      <c r="K1590" s="65" t="s">
        <v>402</v>
      </c>
      <c r="L1590" s="37" t="s">
        <v>637</v>
      </c>
    </row>
    <row r="1591" spans="1:12" ht="13">
      <c r="A1591" s="18" t="s">
        <v>849</v>
      </c>
      <c r="B1591" s="18" t="s">
        <v>345</v>
      </c>
      <c r="C1591" s="63" t="s">
        <v>850</v>
      </c>
      <c r="D1591" s="18" t="s">
        <v>845</v>
      </c>
      <c r="E1591" s="18" t="s">
        <v>690</v>
      </c>
      <c r="F1591" s="18">
        <v>1985</v>
      </c>
      <c r="G1591" s="40">
        <v>9801</v>
      </c>
      <c r="H1591" s="40" t="s">
        <v>402</v>
      </c>
      <c r="I1591" s="40" t="s">
        <v>402</v>
      </c>
      <c r="J1591" s="66" t="s">
        <v>402</v>
      </c>
      <c r="K1591" s="65" t="s">
        <v>402</v>
      </c>
      <c r="L1591" s="38" t="s">
        <v>637</v>
      </c>
    </row>
    <row r="1592" spans="1:12" ht="13">
      <c r="A1592" s="18" t="s">
        <v>849</v>
      </c>
      <c r="B1592" s="18" t="s">
        <v>345</v>
      </c>
      <c r="C1592" s="63" t="s">
        <v>850</v>
      </c>
      <c r="D1592" s="18" t="s">
        <v>845</v>
      </c>
      <c r="E1592" s="18" t="s">
        <v>690</v>
      </c>
      <c r="F1592" s="18">
        <v>1989</v>
      </c>
      <c r="G1592" s="40">
        <v>4356</v>
      </c>
      <c r="H1592" s="40" t="s">
        <v>402</v>
      </c>
      <c r="I1592" s="40" t="s">
        <v>402</v>
      </c>
      <c r="J1592" s="66" t="s">
        <v>402</v>
      </c>
      <c r="K1592" s="65" t="s">
        <v>402</v>
      </c>
      <c r="L1592" s="38" t="s">
        <v>637</v>
      </c>
    </row>
    <row r="1593" spans="1:12" ht="13">
      <c r="A1593" s="18" t="s">
        <v>849</v>
      </c>
      <c r="B1593" s="18" t="s">
        <v>345</v>
      </c>
      <c r="C1593" s="63" t="s">
        <v>850</v>
      </c>
      <c r="D1593" s="18" t="s">
        <v>845</v>
      </c>
      <c r="E1593" s="18" t="s">
        <v>690</v>
      </c>
      <c r="F1593" s="18">
        <v>1990</v>
      </c>
      <c r="G1593" s="40">
        <v>3788</v>
      </c>
      <c r="H1593" s="40" t="s">
        <v>402</v>
      </c>
      <c r="I1593" s="40" t="s">
        <v>402</v>
      </c>
      <c r="J1593" s="66" t="s">
        <v>402</v>
      </c>
      <c r="K1593" s="65" t="s">
        <v>402</v>
      </c>
      <c r="L1593" s="38" t="s">
        <v>637</v>
      </c>
    </row>
    <row r="1594" spans="1:12" ht="13">
      <c r="A1594" s="18" t="s">
        <v>849</v>
      </c>
      <c r="B1594" s="18" t="s">
        <v>345</v>
      </c>
      <c r="C1594" s="63" t="s">
        <v>850</v>
      </c>
      <c r="D1594" s="18" t="s">
        <v>845</v>
      </c>
      <c r="E1594" s="18" t="s">
        <v>690</v>
      </c>
      <c r="F1594" s="18">
        <v>1994</v>
      </c>
      <c r="G1594" s="40">
        <v>3409</v>
      </c>
      <c r="H1594" s="40" t="s">
        <v>402</v>
      </c>
      <c r="I1594" s="40" t="s">
        <v>402</v>
      </c>
      <c r="J1594" s="66" t="s">
        <v>402</v>
      </c>
      <c r="K1594" s="65" t="s">
        <v>402</v>
      </c>
      <c r="L1594" s="38" t="s">
        <v>637</v>
      </c>
    </row>
    <row r="1595" spans="1:12" ht="13">
      <c r="A1595" s="18" t="s">
        <v>849</v>
      </c>
      <c r="B1595" s="18" t="s">
        <v>345</v>
      </c>
      <c r="C1595" s="63" t="s">
        <v>850</v>
      </c>
      <c r="D1595" s="18" t="s">
        <v>845</v>
      </c>
      <c r="E1595" s="18" t="s">
        <v>690</v>
      </c>
      <c r="F1595" s="18">
        <v>1997</v>
      </c>
      <c r="G1595" s="40">
        <v>3220</v>
      </c>
      <c r="H1595" s="40" t="s">
        <v>402</v>
      </c>
      <c r="I1595" s="40" t="s">
        <v>402</v>
      </c>
      <c r="J1595" s="66" t="s">
        <v>402</v>
      </c>
      <c r="K1595" s="65" t="s">
        <v>402</v>
      </c>
      <c r="L1595" s="38" t="s">
        <v>637</v>
      </c>
    </row>
    <row r="1596" spans="1:12" ht="13">
      <c r="A1596" s="18" t="s">
        <v>849</v>
      </c>
      <c r="B1596" s="18" t="s">
        <v>345</v>
      </c>
      <c r="C1596" s="63" t="s">
        <v>850</v>
      </c>
      <c r="D1596" s="18" t="s">
        <v>845</v>
      </c>
      <c r="E1596" s="18" t="s">
        <v>690</v>
      </c>
      <c r="F1596" s="18">
        <v>1998</v>
      </c>
      <c r="G1596" s="40">
        <v>3030</v>
      </c>
      <c r="H1596" s="40" t="s">
        <v>402</v>
      </c>
      <c r="I1596" s="40" t="s">
        <v>402</v>
      </c>
      <c r="J1596" s="66" t="s">
        <v>402</v>
      </c>
      <c r="K1596" s="65" t="s">
        <v>402</v>
      </c>
      <c r="L1596" s="38" t="s">
        <v>637</v>
      </c>
    </row>
    <row r="1597" spans="1:12" ht="13">
      <c r="A1597" s="18" t="s">
        <v>849</v>
      </c>
      <c r="B1597" s="18" t="s">
        <v>345</v>
      </c>
      <c r="C1597" s="63" t="s">
        <v>850</v>
      </c>
      <c r="D1597" s="18" t="s">
        <v>845</v>
      </c>
      <c r="E1597" s="18" t="s">
        <v>690</v>
      </c>
      <c r="F1597" s="18">
        <v>1999</v>
      </c>
      <c r="G1597" s="40">
        <v>3030</v>
      </c>
      <c r="H1597" s="40" t="s">
        <v>402</v>
      </c>
      <c r="I1597" s="40" t="s">
        <v>402</v>
      </c>
      <c r="J1597" s="66" t="s">
        <v>402</v>
      </c>
      <c r="K1597" s="65" t="s">
        <v>402</v>
      </c>
      <c r="L1597" s="38" t="s">
        <v>637</v>
      </c>
    </row>
    <row r="1598" spans="1:12" ht="13">
      <c r="A1598" s="18" t="s">
        <v>849</v>
      </c>
      <c r="B1598" s="18" t="s">
        <v>345</v>
      </c>
      <c r="C1598" s="63" t="s">
        <v>850</v>
      </c>
      <c r="D1598" s="18" t="s">
        <v>845</v>
      </c>
      <c r="E1598" s="18" t="s">
        <v>690</v>
      </c>
      <c r="F1598" s="18">
        <v>2000</v>
      </c>
      <c r="G1598" s="40">
        <v>2888</v>
      </c>
      <c r="H1598" s="40" t="s">
        <v>402</v>
      </c>
      <c r="I1598" s="40" t="s">
        <v>402</v>
      </c>
      <c r="J1598" s="66" t="s">
        <v>402</v>
      </c>
      <c r="K1598" s="65" t="s">
        <v>402</v>
      </c>
      <c r="L1598" s="38" t="s">
        <v>637</v>
      </c>
    </row>
    <row r="1599" spans="1:12" ht="13">
      <c r="A1599" s="18" t="s">
        <v>849</v>
      </c>
      <c r="B1599" s="18" t="s">
        <v>345</v>
      </c>
      <c r="C1599" s="63" t="s">
        <v>850</v>
      </c>
      <c r="D1599" s="18" t="s">
        <v>845</v>
      </c>
      <c r="E1599" s="18" t="s">
        <v>690</v>
      </c>
      <c r="F1599" s="18">
        <v>2001</v>
      </c>
      <c r="G1599" s="40">
        <v>2746</v>
      </c>
      <c r="H1599" s="40" t="s">
        <v>402</v>
      </c>
      <c r="I1599" s="40" t="s">
        <v>402</v>
      </c>
      <c r="J1599" s="66" t="s">
        <v>402</v>
      </c>
      <c r="K1599" s="65" t="s">
        <v>402</v>
      </c>
      <c r="L1599" s="38" t="s">
        <v>637</v>
      </c>
    </row>
    <row r="1600" spans="1:12" ht="13">
      <c r="A1600" s="18" t="s">
        <v>849</v>
      </c>
      <c r="B1600" s="18" t="s">
        <v>345</v>
      </c>
      <c r="C1600" s="63" t="s">
        <v>850</v>
      </c>
      <c r="D1600" s="18" t="s">
        <v>845</v>
      </c>
      <c r="E1600" s="18" t="s">
        <v>690</v>
      </c>
      <c r="F1600" s="18">
        <v>2002</v>
      </c>
      <c r="G1600" s="40">
        <v>2888</v>
      </c>
      <c r="H1600" s="40" t="s">
        <v>402</v>
      </c>
      <c r="I1600" s="40" t="s">
        <v>402</v>
      </c>
      <c r="J1600" s="66" t="s">
        <v>402</v>
      </c>
      <c r="K1600" s="65" t="s">
        <v>402</v>
      </c>
      <c r="L1600" s="38" t="s">
        <v>637</v>
      </c>
    </row>
    <row r="1601" spans="1:12" ht="13">
      <c r="A1601" s="18" t="s">
        <v>849</v>
      </c>
      <c r="B1601" s="18" t="s">
        <v>345</v>
      </c>
      <c r="C1601" s="63" t="s">
        <v>850</v>
      </c>
      <c r="D1601" s="18" t="s">
        <v>845</v>
      </c>
      <c r="E1601" s="18" t="s">
        <v>690</v>
      </c>
      <c r="F1601" s="18">
        <v>2004</v>
      </c>
      <c r="G1601" s="40">
        <v>2794</v>
      </c>
      <c r="H1601" s="40" t="s">
        <v>402</v>
      </c>
      <c r="I1601" s="40" t="s">
        <v>402</v>
      </c>
      <c r="J1601" s="66" t="s">
        <v>402</v>
      </c>
      <c r="K1601" s="65" t="s">
        <v>402</v>
      </c>
      <c r="L1601" s="38" t="s">
        <v>637</v>
      </c>
    </row>
    <row r="1602" spans="1:12" ht="13">
      <c r="A1602" s="18" t="s">
        <v>849</v>
      </c>
      <c r="B1602" s="18" t="s">
        <v>345</v>
      </c>
      <c r="C1602" s="63" t="s">
        <v>850</v>
      </c>
      <c r="D1602" s="18" t="s">
        <v>845</v>
      </c>
      <c r="E1602" s="18" t="s">
        <v>690</v>
      </c>
      <c r="F1602" s="18">
        <v>2005</v>
      </c>
      <c r="G1602" s="40">
        <v>2936</v>
      </c>
      <c r="H1602" s="40" t="s">
        <v>402</v>
      </c>
      <c r="I1602" s="40" t="s">
        <v>402</v>
      </c>
      <c r="J1602" s="66" t="s">
        <v>402</v>
      </c>
      <c r="K1602" s="65" t="s">
        <v>402</v>
      </c>
      <c r="L1602" s="38" t="s">
        <v>637</v>
      </c>
    </row>
    <row r="1603" spans="1:12" ht="13">
      <c r="A1603" s="18" t="s">
        <v>849</v>
      </c>
      <c r="B1603" s="18" t="s">
        <v>345</v>
      </c>
      <c r="C1603" s="63" t="s">
        <v>850</v>
      </c>
      <c r="D1603" s="18" t="s">
        <v>845</v>
      </c>
      <c r="E1603" s="18" t="s">
        <v>690</v>
      </c>
      <c r="F1603" s="18">
        <v>2007</v>
      </c>
      <c r="G1603" s="40">
        <v>2841</v>
      </c>
      <c r="H1603" s="40" t="s">
        <v>402</v>
      </c>
      <c r="I1603" s="40" t="s">
        <v>402</v>
      </c>
      <c r="J1603" s="66" t="s">
        <v>402</v>
      </c>
      <c r="K1603" s="65" t="s">
        <v>402</v>
      </c>
      <c r="L1603" s="38" t="s">
        <v>637</v>
      </c>
    </row>
    <row r="1604" spans="1:12" ht="13">
      <c r="A1604" s="18" t="s">
        <v>849</v>
      </c>
      <c r="B1604" s="18" t="s">
        <v>345</v>
      </c>
      <c r="C1604" s="63" t="s">
        <v>850</v>
      </c>
      <c r="D1604" s="18" t="s">
        <v>845</v>
      </c>
      <c r="E1604" s="18" t="s">
        <v>690</v>
      </c>
      <c r="F1604" s="18">
        <v>2009</v>
      </c>
      <c r="G1604" s="40">
        <v>2746</v>
      </c>
      <c r="H1604" s="40" t="s">
        <v>402</v>
      </c>
      <c r="I1604" s="40" t="s">
        <v>402</v>
      </c>
      <c r="J1604" s="66" t="s">
        <v>402</v>
      </c>
      <c r="K1604" s="65" t="s">
        <v>402</v>
      </c>
      <c r="L1604" s="38" t="s">
        <v>637</v>
      </c>
    </row>
    <row r="1605" spans="1:12" ht="13">
      <c r="A1605" s="18" t="s">
        <v>849</v>
      </c>
      <c r="B1605" s="18" t="s">
        <v>345</v>
      </c>
      <c r="C1605" s="63" t="s">
        <v>850</v>
      </c>
      <c r="D1605" s="18" t="s">
        <v>845</v>
      </c>
      <c r="E1605" s="18" t="s">
        <v>690</v>
      </c>
      <c r="F1605" s="18">
        <v>2010</v>
      </c>
      <c r="G1605" s="40">
        <v>2652</v>
      </c>
      <c r="H1605" s="40" t="s">
        <v>402</v>
      </c>
      <c r="I1605" s="40" t="s">
        <v>402</v>
      </c>
      <c r="J1605" s="66" t="s">
        <v>402</v>
      </c>
      <c r="K1605" s="65" t="s">
        <v>402</v>
      </c>
      <c r="L1605" s="38" t="s">
        <v>637</v>
      </c>
    </row>
    <row r="1606" spans="1:12" ht="13">
      <c r="A1606" s="18" t="s">
        <v>849</v>
      </c>
      <c r="B1606" s="18" t="s">
        <v>345</v>
      </c>
      <c r="C1606" s="63" t="s">
        <v>850</v>
      </c>
      <c r="D1606" s="18" t="s">
        <v>845</v>
      </c>
      <c r="E1606" s="18" t="s">
        <v>690</v>
      </c>
      <c r="F1606" s="18">
        <v>2011</v>
      </c>
      <c r="G1606" s="40">
        <v>2652</v>
      </c>
      <c r="H1606" s="40" t="s">
        <v>402</v>
      </c>
      <c r="I1606" s="40" t="s">
        <v>402</v>
      </c>
      <c r="J1606" s="66" t="s">
        <v>402</v>
      </c>
      <c r="K1606" s="65" t="s">
        <v>402</v>
      </c>
      <c r="L1606" s="38" t="s">
        <v>637</v>
      </c>
    </row>
    <row r="1607" spans="1:12" ht="13">
      <c r="A1607" s="18" t="s">
        <v>849</v>
      </c>
      <c r="B1607" s="18" t="s">
        <v>345</v>
      </c>
      <c r="C1607" s="63" t="s">
        <v>850</v>
      </c>
      <c r="D1607" s="18" t="s">
        <v>845</v>
      </c>
      <c r="E1607" s="18" t="s">
        <v>690</v>
      </c>
      <c r="F1607" s="18">
        <v>2013</v>
      </c>
      <c r="G1607" s="40">
        <v>2462</v>
      </c>
      <c r="H1607" s="40" t="s">
        <v>402</v>
      </c>
      <c r="I1607" s="40" t="s">
        <v>402</v>
      </c>
      <c r="J1607" s="66" t="s">
        <v>402</v>
      </c>
      <c r="K1607" s="65" t="s">
        <v>402</v>
      </c>
      <c r="L1607" s="38" t="s">
        <v>637</v>
      </c>
    </row>
    <row r="1608" spans="1:12" ht="13">
      <c r="A1608" s="18" t="s">
        <v>849</v>
      </c>
      <c r="B1608" s="18" t="s">
        <v>345</v>
      </c>
      <c r="C1608" s="63" t="s">
        <v>850</v>
      </c>
      <c r="D1608" s="18" t="s">
        <v>845</v>
      </c>
      <c r="E1608" s="18" t="s">
        <v>690</v>
      </c>
      <c r="F1608" s="18">
        <v>2014</v>
      </c>
      <c r="G1608" s="40">
        <v>2462</v>
      </c>
      <c r="H1608" s="40" t="s">
        <v>402</v>
      </c>
      <c r="I1608" s="40" t="s">
        <v>402</v>
      </c>
      <c r="J1608" s="66" t="s">
        <v>402</v>
      </c>
      <c r="K1608" s="65" t="s">
        <v>402</v>
      </c>
      <c r="L1608" s="38" t="s">
        <v>637</v>
      </c>
    </row>
    <row r="1609" spans="1:12" ht="13">
      <c r="A1609" s="18" t="s">
        <v>849</v>
      </c>
      <c r="B1609" s="18" t="s">
        <v>345</v>
      </c>
      <c r="C1609" s="63" t="s">
        <v>850</v>
      </c>
      <c r="D1609" s="18" t="s">
        <v>845</v>
      </c>
      <c r="E1609" s="18" t="s">
        <v>690</v>
      </c>
      <c r="F1609" s="18">
        <v>2015</v>
      </c>
      <c r="G1609" s="40">
        <v>2462</v>
      </c>
      <c r="H1609" s="40" t="s">
        <v>402</v>
      </c>
      <c r="I1609" s="40" t="s">
        <v>402</v>
      </c>
      <c r="J1609" s="66" t="s">
        <v>402</v>
      </c>
      <c r="K1609" s="65" t="s">
        <v>402</v>
      </c>
      <c r="L1609" s="38" t="s">
        <v>637</v>
      </c>
    </row>
    <row r="1610" spans="1:12" ht="13">
      <c r="A1610" s="18" t="s">
        <v>849</v>
      </c>
      <c r="B1610" s="18" t="s">
        <v>345</v>
      </c>
      <c r="C1610" s="63" t="s">
        <v>850</v>
      </c>
      <c r="D1610" s="18" t="s">
        <v>845</v>
      </c>
      <c r="E1610" s="18" t="s">
        <v>690</v>
      </c>
      <c r="F1610" s="18">
        <v>2016</v>
      </c>
      <c r="G1610" s="40">
        <v>2462</v>
      </c>
      <c r="H1610" s="40" t="s">
        <v>402</v>
      </c>
      <c r="I1610" s="40" t="s">
        <v>402</v>
      </c>
      <c r="J1610" s="66" t="s">
        <v>402</v>
      </c>
      <c r="K1610" s="65" t="s">
        <v>402</v>
      </c>
      <c r="L1610" s="38" t="s">
        <v>637</v>
      </c>
    </row>
    <row r="1611" spans="1:12" ht="13">
      <c r="A1611" s="18" t="s">
        <v>849</v>
      </c>
      <c r="B1611" s="18" t="s">
        <v>345</v>
      </c>
      <c r="C1611" s="63" t="s">
        <v>850</v>
      </c>
      <c r="D1611" s="18" t="s">
        <v>845</v>
      </c>
      <c r="E1611" s="18" t="s">
        <v>690</v>
      </c>
      <c r="F1611" s="18">
        <v>2017</v>
      </c>
      <c r="G1611" s="40">
        <v>2462</v>
      </c>
      <c r="H1611" s="40" t="s">
        <v>402</v>
      </c>
      <c r="I1611" s="40" t="s">
        <v>402</v>
      </c>
      <c r="J1611" s="66" t="s">
        <v>402</v>
      </c>
      <c r="K1611" s="65" t="s">
        <v>402</v>
      </c>
      <c r="L1611" s="38" t="s">
        <v>637</v>
      </c>
    </row>
    <row r="1612" spans="1:12" ht="13">
      <c r="A1612" s="18" t="s">
        <v>849</v>
      </c>
      <c r="B1612" s="18" t="s">
        <v>345</v>
      </c>
      <c r="C1612" s="63" t="s">
        <v>850</v>
      </c>
      <c r="D1612" s="18" t="s">
        <v>845</v>
      </c>
      <c r="E1612" s="18" t="s">
        <v>690</v>
      </c>
      <c r="F1612" s="18">
        <v>2018</v>
      </c>
      <c r="G1612" s="40">
        <v>2273</v>
      </c>
      <c r="H1612" s="40" t="s">
        <v>402</v>
      </c>
      <c r="I1612" s="40" t="s">
        <v>402</v>
      </c>
      <c r="J1612" s="66" t="s">
        <v>402</v>
      </c>
      <c r="K1612" s="65" t="s">
        <v>402</v>
      </c>
      <c r="L1612" s="38" t="s">
        <v>637</v>
      </c>
    </row>
    <row r="1613" spans="1:12" ht="13">
      <c r="A1613" s="18" t="s">
        <v>851</v>
      </c>
      <c r="B1613" s="18" t="s">
        <v>345</v>
      </c>
      <c r="C1613" s="63" t="s">
        <v>852</v>
      </c>
      <c r="D1613" s="18" t="s">
        <v>845</v>
      </c>
      <c r="E1613" s="18" t="s">
        <v>690</v>
      </c>
      <c r="F1613" s="18">
        <v>1978</v>
      </c>
      <c r="G1613" s="40">
        <v>8343</v>
      </c>
      <c r="H1613" s="40" t="s">
        <v>402</v>
      </c>
      <c r="I1613" s="40" t="s">
        <v>402</v>
      </c>
      <c r="J1613" s="66" t="s">
        <v>402</v>
      </c>
      <c r="K1613" s="65" t="s">
        <v>402</v>
      </c>
      <c r="L1613" s="38" t="s">
        <v>637</v>
      </c>
    </row>
    <row r="1614" spans="1:12" ht="13">
      <c r="A1614" s="18" t="s">
        <v>851</v>
      </c>
      <c r="B1614" s="18" t="s">
        <v>345</v>
      </c>
      <c r="C1614" s="63" t="s">
        <v>852</v>
      </c>
      <c r="D1614" s="18" t="s">
        <v>845</v>
      </c>
      <c r="E1614" s="18" t="s">
        <v>690</v>
      </c>
      <c r="F1614" s="18">
        <v>1979</v>
      </c>
      <c r="G1614" s="40">
        <v>9578</v>
      </c>
      <c r="H1614" s="40" t="s">
        <v>402</v>
      </c>
      <c r="I1614" s="40" t="s">
        <v>402</v>
      </c>
      <c r="J1614" s="66" t="s">
        <v>402</v>
      </c>
      <c r="K1614" s="65" t="s">
        <v>402</v>
      </c>
      <c r="L1614" s="38" t="s">
        <v>637</v>
      </c>
    </row>
    <row r="1615" spans="1:12" ht="13">
      <c r="A1615" s="18" t="s">
        <v>851</v>
      </c>
      <c r="B1615" s="18" t="s">
        <v>345</v>
      </c>
      <c r="C1615" s="63" t="s">
        <v>852</v>
      </c>
      <c r="D1615" s="18" t="s">
        <v>845</v>
      </c>
      <c r="E1615" s="18" t="s">
        <v>690</v>
      </c>
      <c r="F1615" s="18">
        <v>1984</v>
      </c>
      <c r="G1615" s="40">
        <v>5908</v>
      </c>
      <c r="H1615" s="40" t="s">
        <v>402</v>
      </c>
      <c r="I1615" s="40" t="s">
        <v>402</v>
      </c>
      <c r="J1615" s="66" t="s">
        <v>402</v>
      </c>
      <c r="K1615" s="65" t="s">
        <v>402</v>
      </c>
      <c r="L1615" s="38" t="s">
        <v>637</v>
      </c>
    </row>
    <row r="1616" spans="1:12" ht="13">
      <c r="A1616" s="18" t="s">
        <v>851</v>
      </c>
      <c r="B1616" s="18" t="s">
        <v>345</v>
      </c>
      <c r="C1616" s="63" t="s">
        <v>852</v>
      </c>
      <c r="D1616" s="18" t="s">
        <v>845</v>
      </c>
      <c r="E1616" s="18" t="s">
        <v>690</v>
      </c>
      <c r="F1616" s="18">
        <v>1986</v>
      </c>
      <c r="G1616" s="40">
        <v>4165</v>
      </c>
      <c r="H1616" s="40" t="s">
        <v>402</v>
      </c>
      <c r="I1616" s="40" t="s">
        <v>402</v>
      </c>
      <c r="J1616" s="66" t="s">
        <v>402</v>
      </c>
      <c r="K1616" s="65" t="s">
        <v>402</v>
      </c>
      <c r="L1616" s="38" t="s">
        <v>637</v>
      </c>
    </row>
    <row r="1617" spans="1:12" ht="13">
      <c r="A1617" s="18" t="s">
        <v>851</v>
      </c>
      <c r="B1617" s="18" t="s">
        <v>345</v>
      </c>
      <c r="C1617" s="63" t="s">
        <v>852</v>
      </c>
      <c r="D1617" s="18" t="s">
        <v>845</v>
      </c>
      <c r="E1617" s="18" t="s">
        <v>690</v>
      </c>
      <c r="F1617" s="18">
        <v>1990</v>
      </c>
      <c r="G1617" s="40">
        <v>2432</v>
      </c>
      <c r="H1617" s="40" t="s">
        <v>402</v>
      </c>
      <c r="I1617" s="40" t="s">
        <v>402</v>
      </c>
      <c r="J1617" s="66" t="s">
        <v>402</v>
      </c>
      <c r="K1617" s="65" t="s">
        <v>402</v>
      </c>
      <c r="L1617" s="38" t="s">
        <v>637</v>
      </c>
    </row>
    <row r="1618" spans="1:12" ht="13">
      <c r="A1618" s="18" t="s">
        <v>851</v>
      </c>
      <c r="B1618" s="18" t="s">
        <v>345</v>
      </c>
      <c r="C1618" s="63" t="s">
        <v>852</v>
      </c>
      <c r="D1618" s="18" t="s">
        <v>845</v>
      </c>
      <c r="E1618" s="18" t="s">
        <v>690</v>
      </c>
      <c r="F1618" s="18">
        <v>1991</v>
      </c>
      <c r="G1618" s="40">
        <v>2295</v>
      </c>
      <c r="H1618" s="40" t="s">
        <v>402</v>
      </c>
      <c r="I1618" s="40" t="s">
        <v>402</v>
      </c>
      <c r="J1618" s="66" t="s">
        <v>402</v>
      </c>
      <c r="K1618" s="65" t="s">
        <v>402</v>
      </c>
      <c r="L1618" s="38" t="s">
        <v>637</v>
      </c>
    </row>
    <row r="1619" spans="1:12" ht="13">
      <c r="A1619" s="18" t="s">
        <v>851</v>
      </c>
      <c r="B1619" s="18" t="s">
        <v>345</v>
      </c>
      <c r="C1619" s="63" t="s">
        <v>852</v>
      </c>
      <c r="D1619" s="18" t="s">
        <v>845</v>
      </c>
      <c r="E1619" s="18" t="s">
        <v>690</v>
      </c>
      <c r="F1619" s="18">
        <v>1992</v>
      </c>
      <c r="G1619" s="40">
        <v>2157</v>
      </c>
      <c r="H1619" s="40" t="s">
        <v>402</v>
      </c>
      <c r="I1619" s="40" t="s">
        <v>402</v>
      </c>
      <c r="J1619" s="66" t="s">
        <v>402</v>
      </c>
      <c r="K1619" s="65" t="s">
        <v>402</v>
      </c>
      <c r="L1619" s="38" t="s">
        <v>637</v>
      </c>
    </row>
    <row r="1620" spans="1:12" ht="13">
      <c r="A1620" s="18" t="s">
        <v>851</v>
      </c>
      <c r="B1620" s="18" t="s">
        <v>345</v>
      </c>
      <c r="C1620" s="63" t="s">
        <v>852</v>
      </c>
      <c r="D1620" s="18" t="s">
        <v>845</v>
      </c>
      <c r="E1620" s="18" t="s">
        <v>690</v>
      </c>
      <c r="F1620" s="18">
        <v>1993</v>
      </c>
      <c r="G1620" s="40">
        <v>2162</v>
      </c>
      <c r="H1620" s="40" t="s">
        <v>402</v>
      </c>
      <c r="I1620" s="40" t="s">
        <v>402</v>
      </c>
      <c r="J1620" s="66" t="s">
        <v>402</v>
      </c>
      <c r="K1620" s="65" t="s">
        <v>402</v>
      </c>
      <c r="L1620" s="38" t="s">
        <v>637</v>
      </c>
    </row>
    <row r="1621" spans="1:12" ht="13">
      <c r="A1621" s="18" t="s">
        <v>851</v>
      </c>
      <c r="B1621" s="18" t="s">
        <v>345</v>
      </c>
      <c r="C1621" s="63" t="s">
        <v>852</v>
      </c>
      <c r="D1621" s="18" t="s">
        <v>845</v>
      </c>
      <c r="E1621" s="18" t="s">
        <v>690</v>
      </c>
      <c r="F1621" s="18">
        <v>1994</v>
      </c>
      <c r="G1621" s="40">
        <v>1978</v>
      </c>
      <c r="H1621" s="40" t="s">
        <v>402</v>
      </c>
      <c r="I1621" s="40" t="s">
        <v>402</v>
      </c>
      <c r="J1621" s="66" t="s">
        <v>402</v>
      </c>
      <c r="K1621" s="65" t="s">
        <v>402</v>
      </c>
      <c r="L1621" s="38" t="s">
        <v>637</v>
      </c>
    </row>
    <row r="1622" spans="1:12" ht="13">
      <c r="A1622" s="18" t="s">
        <v>851</v>
      </c>
      <c r="B1622" s="18" t="s">
        <v>345</v>
      </c>
      <c r="C1622" s="63" t="s">
        <v>852</v>
      </c>
      <c r="D1622" s="18" t="s">
        <v>845</v>
      </c>
      <c r="E1622" s="18" t="s">
        <v>690</v>
      </c>
      <c r="F1622" s="18">
        <v>1996</v>
      </c>
      <c r="G1622" s="40">
        <v>1891</v>
      </c>
      <c r="H1622" s="40" t="s">
        <v>402</v>
      </c>
      <c r="I1622" s="40" t="s">
        <v>402</v>
      </c>
      <c r="J1622" s="66" t="s">
        <v>402</v>
      </c>
      <c r="K1622" s="65" t="s">
        <v>402</v>
      </c>
      <c r="L1622" s="38" t="s">
        <v>637</v>
      </c>
    </row>
    <row r="1623" spans="1:12" ht="13">
      <c r="A1623" s="18" t="s">
        <v>851</v>
      </c>
      <c r="B1623" s="18" t="s">
        <v>345</v>
      </c>
      <c r="C1623" s="63" t="s">
        <v>852</v>
      </c>
      <c r="D1623" s="18" t="s">
        <v>845</v>
      </c>
      <c r="E1623" s="18" t="s">
        <v>690</v>
      </c>
      <c r="F1623" s="18">
        <v>1998</v>
      </c>
      <c r="G1623" s="40">
        <v>1806</v>
      </c>
      <c r="H1623" s="40" t="s">
        <v>402</v>
      </c>
      <c r="I1623" s="40" t="s">
        <v>402</v>
      </c>
      <c r="J1623" s="66" t="s">
        <v>402</v>
      </c>
      <c r="K1623" s="65" t="s">
        <v>402</v>
      </c>
      <c r="L1623" s="38" t="s">
        <v>637</v>
      </c>
    </row>
    <row r="1624" spans="1:12" ht="13">
      <c r="A1624" s="18" t="s">
        <v>851</v>
      </c>
      <c r="B1624" s="18" t="s">
        <v>345</v>
      </c>
      <c r="C1624" s="63" t="s">
        <v>852</v>
      </c>
      <c r="D1624" s="18" t="s">
        <v>845</v>
      </c>
      <c r="E1624" s="18" t="s">
        <v>690</v>
      </c>
      <c r="F1624" s="18">
        <v>2000</v>
      </c>
      <c r="G1624" s="40">
        <v>1816</v>
      </c>
      <c r="H1624" s="40" t="s">
        <v>402</v>
      </c>
      <c r="I1624" s="40" t="s">
        <v>402</v>
      </c>
      <c r="J1624" s="66" t="s">
        <v>402</v>
      </c>
      <c r="K1624" s="65" t="s">
        <v>402</v>
      </c>
      <c r="L1624" s="38" t="s">
        <v>637</v>
      </c>
    </row>
    <row r="1625" spans="1:12" ht="13">
      <c r="A1625" s="18" t="s">
        <v>851</v>
      </c>
      <c r="B1625" s="18" t="s">
        <v>345</v>
      </c>
      <c r="C1625" s="63" t="s">
        <v>852</v>
      </c>
      <c r="D1625" s="18" t="s">
        <v>845</v>
      </c>
      <c r="E1625" s="18" t="s">
        <v>690</v>
      </c>
      <c r="F1625" s="18">
        <v>2001</v>
      </c>
      <c r="G1625" s="40">
        <v>1631</v>
      </c>
      <c r="H1625" s="40" t="s">
        <v>402</v>
      </c>
      <c r="I1625" s="40" t="s">
        <v>402</v>
      </c>
      <c r="J1625" s="66" t="s">
        <v>402</v>
      </c>
      <c r="K1625" s="65" t="s">
        <v>402</v>
      </c>
      <c r="L1625" s="38" t="s">
        <v>637</v>
      </c>
    </row>
    <row r="1626" spans="1:12" ht="13">
      <c r="A1626" s="18" t="s">
        <v>851</v>
      </c>
      <c r="B1626" s="18" t="s">
        <v>345</v>
      </c>
      <c r="C1626" s="63" t="s">
        <v>852</v>
      </c>
      <c r="D1626" s="18" t="s">
        <v>845</v>
      </c>
      <c r="E1626" s="18" t="s">
        <v>690</v>
      </c>
      <c r="F1626" s="18">
        <v>2002</v>
      </c>
      <c r="G1626" s="40">
        <v>2014</v>
      </c>
      <c r="H1626" s="40" t="s">
        <v>402</v>
      </c>
      <c r="I1626" s="40" t="s">
        <v>402</v>
      </c>
      <c r="J1626" s="66" t="s">
        <v>402</v>
      </c>
      <c r="K1626" s="65" t="s">
        <v>402</v>
      </c>
      <c r="L1626" s="38" t="s">
        <v>637</v>
      </c>
    </row>
    <row r="1627" spans="1:12" ht="13">
      <c r="A1627" s="18" t="s">
        <v>851</v>
      </c>
      <c r="B1627" s="18" t="s">
        <v>345</v>
      </c>
      <c r="C1627" s="63" t="s">
        <v>852</v>
      </c>
      <c r="D1627" s="18" t="s">
        <v>845</v>
      </c>
      <c r="E1627" s="18" t="s">
        <v>690</v>
      </c>
      <c r="F1627" s="18">
        <v>2003</v>
      </c>
      <c r="G1627" s="40">
        <v>1734</v>
      </c>
      <c r="H1627" s="40" t="s">
        <v>402</v>
      </c>
      <c r="I1627" s="40" t="s">
        <v>402</v>
      </c>
      <c r="J1627" s="66" t="s">
        <v>402</v>
      </c>
      <c r="K1627" s="65" t="s">
        <v>402</v>
      </c>
      <c r="L1627" s="38" t="s">
        <v>637</v>
      </c>
    </row>
    <row r="1628" spans="1:12" ht="13">
      <c r="A1628" s="18" t="s">
        <v>851</v>
      </c>
      <c r="B1628" s="18" t="s">
        <v>345</v>
      </c>
      <c r="C1628" s="63" t="s">
        <v>852</v>
      </c>
      <c r="D1628" s="18" t="s">
        <v>845</v>
      </c>
      <c r="E1628" s="18" t="s">
        <v>690</v>
      </c>
      <c r="F1628" s="18">
        <v>2004</v>
      </c>
      <c r="G1628" s="40">
        <v>2023</v>
      </c>
      <c r="H1628" s="40" t="s">
        <v>402</v>
      </c>
      <c r="I1628" s="40" t="s">
        <v>402</v>
      </c>
      <c r="J1628" s="66" t="s">
        <v>402</v>
      </c>
      <c r="K1628" s="65" t="s">
        <v>402</v>
      </c>
      <c r="L1628" s="38" t="s">
        <v>637</v>
      </c>
    </row>
    <row r="1629" spans="1:12" ht="13">
      <c r="A1629" s="18" t="s">
        <v>851</v>
      </c>
      <c r="B1629" s="18" t="s">
        <v>345</v>
      </c>
      <c r="C1629" s="63" t="s">
        <v>852</v>
      </c>
      <c r="D1629" s="18" t="s">
        <v>845</v>
      </c>
      <c r="E1629" s="18" t="s">
        <v>690</v>
      </c>
      <c r="F1629" s="18">
        <v>2005</v>
      </c>
      <c r="G1629" s="40">
        <v>2027</v>
      </c>
      <c r="H1629" s="40" t="s">
        <v>402</v>
      </c>
      <c r="I1629" s="40" t="s">
        <v>402</v>
      </c>
      <c r="J1629" s="66" t="s">
        <v>402</v>
      </c>
      <c r="K1629" s="65" t="s">
        <v>402</v>
      </c>
      <c r="L1629" s="38" t="s">
        <v>637</v>
      </c>
    </row>
    <row r="1630" spans="1:12" ht="13">
      <c r="A1630" s="18" t="s">
        <v>851</v>
      </c>
      <c r="B1630" s="18" t="s">
        <v>345</v>
      </c>
      <c r="C1630" s="63" t="s">
        <v>852</v>
      </c>
      <c r="D1630" s="18" t="s">
        <v>845</v>
      </c>
      <c r="E1630" s="18" t="s">
        <v>690</v>
      </c>
      <c r="F1630" s="18">
        <v>2009</v>
      </c>
      <c r="G1630" s="40">
        <v>2614</v>
      </c>
      <c r="H1630" s="40" t="s">
        <v>402</v>
      </c>
      <c r="I1630" s="40" t="s">
        <v>402</v>
      </c>
      <c r="J1630" s="66" t="s">
        <v>402</v>
      </c>
      <c r="K1630" s="65" t="s">
        <v>402</v>
      </c>
      <c r="L1630" s="38" t="s">
        <v>637</v>
      </c>
    </row>
    <row r="1631" spans="1:12" ht="13">
      <c r="A1631" s="18" t="s">
        <v>851</v>
      </c>
      <c r="B1631" s="18" t="s">
        <v>345</v>
      </c>
      <c r="C1631" s="63" t="s">
        <v>852</v>
      </c>
      <c r="D1631" s="18" t="s">
        <v>845</v>
      </c>
      <c r="E1631" s="18" t="s">
        <v>690</v>
      </c>
      <c r="F1631" s="18">
        <v>2011</v>
      </c>
      <c r="G1631" s="40">
        <v>2908</v>
      </c>
      <c r="H1631" s="40" t="s">
        <v>402</v>
      </c>
      <c r="I1631" s="40" t="s">
        <v>402</v>
      </c>
      <c r="J1631" s="66" t="s">
        <v>402</v>
      </c>
      <c r="K1631" s="65" t="s">
        <v>402</v>
      </c>
      <c r="L1631" s="38" t="s">
        <v>637</v>
      </c>
    </row>
    <row r="1632" spans="1:12" ht="13">
      <c r="A1632" s="18" t="s">
        <v>851</v>
      </c>
      <c r="B1632" s="18" t="s">
        <v>345</v>
      </c>
      <c r="C1632" s="63" t="s">
        <v>852</v>
      </c>
      <c r="D1632" s="18" t="s">
        <v>845</v>
      </c>
      <c r="E1632" s="18" t="s">
        <v>690</v>
      </c>
      <c r="F1632" s="18">
        <v>2013</v>
      </c>
      <c r="G1632" s="40">
        <v>3012</v>
      </c>
      <c r="H1632" s="40" t="s">
        <v>402</v>
      </c>
      <c r="I1632" s="40" t="s">
        <v>402</v>
      </c>
      <c r="J1632" s="66" t="s">
        <v>402</v>
      </c>
      <c r="K1632" s="65" t="s">
        <v>402</v>
      </c>
      <c r="L1632" s="38" t="s">
        <v>637</v>
      </c>
    </row>
    <row r="1633" spans="1:12" ht="13">
      <c r="A1633" s="18" t="s">
        <v>851</v>
      </c>
      <c r="B1633" s="18" t="s">
        <v>345</v>
      </c>
      <c r="C1633" s="63" t="s">
        <v>852</v>
      </c>
      <c r="D1633" s="18" t="s">
        <v>845</v>
      </c>
      <c r="E1633" s="18" t="s">
        <v>690</v>
      </c>
      <c r="F1633" s="18">
        <v>2014</v>
      </c>
      <c r="G1633" s="40">
        <v>2685</v>
      </c>
      <c r="H1633" s="40" t="s">
        <v>402</v>
      </c>
      <c r="I1633" s="40" t="s">
        <v>402</v>
      </c>
      <c r="J1633" s="66" t="s">
        <v>402</v>
      </c>
      <c r="K1633" s="65" t="s">
        <v>402</v>
      </c>
      <c r="L1633" s="38" t="s">
        <v>637</v>
      </c>
    </row>
    <row r="1634" spans="1:12" ht="13">
      <c r="A1634" s="18" t="s">
        <v>851</v>
      </c>
      <c r="B1634" s="18" t="s">
        <v>345</v>
      </c>
      <c r="C1634" s="63" t="s">
        <v>852</v>
      </c>
      <c r="D1634" s="18" t="s">
        <v>845</v>
      </c>
      <c r="E1634" s="18" t="s">
        <v>690</v>
      </c>
      <c r="F1634" s="18">
        <v>2015</v>
      </c>
      <c r="G1634" s="40">
        <v>2926</v>
      </c>
      <c r="H1634" s="40" t="s">
        <v>402</v>
      </c>
      <c r="I1634" s="40" t="s">
        <v>402</v>
      </c>
      <c r="J1634" s="66" t="s">
        <v>402</v>
      </c>
      <c r="K1634" s="65" t="s">
        <v>402</v>
      </c>
      <c r="L1634" s="38" t="s">
        <v>637</v>
      </c>
    </row>
    <row r="1635" spans="1:12" ht="13">
      <c r="A1635" s="18" t="s">
        <v>851</v>
      </c>
      <c r="B1635" s="18" t="s">
        <v>345</v>
      </c>
      <c r="C1635" s="63" t="s">
        <v>852</v>
      </c>
      <c r="D1635" s="18" t="s">
        <v>845</v>
      </c>
      <c r="E1635" s="18" t="s">
        <v>690</v>
      </c>
      <c r="F1635" s="18">
        <v>2016</v>
      </c>
      <c r="G1635" s="40">
        <v>3025</v>
      </c>
      <c r="H1635" s="40" t="s">
        <v>402</v>
      </c>
      <c r="I1635" s="40" t="s">
        <v>402</v>
      </c>
      <c r="J1635" s="66" t="s">
        <v>402</v>
      </c>
      <c r="K1635" s="65" t="s">
        <v>402</v>
      </c>
      <c r="L1635" s="38" t="s">
        <v>637</v>
      </c>
    </row>
    <row r="1636" spans="1:12" ht="13">
      <c r="A1636" s="18" t="s">
        <v>851</v>
      </c>
      <c r="B1636" s="18" t="s">
        <v>345</v>
      </c>
      <c r="C1636" s="63" t="s">
        <v>852</v>
      </c>
      <c r="D1636" s="18" t="s">
        <v>845</v>
      </c>
      <c r="E1636" s="18" t="s">
        <v>690</v>
      </c>
      <c r="F1636" s="18">
        <v>2017</v>
      </c>
      <c r="G1636" s="40">
        <v>3030</v>
      </c>
      <c r="H1636" s="40" t="s">
        <v>402</v>
      </c>
      <c r="I1636" s="40" t="s">
        <v>402</v>
      </c>
      <c r="J1636" s="66" t="s">
        <v>402</v>
      </c>
      <c r="K1636" s="65" t="s">
        <v>402</v>
      </c>
      <c r="L1636" s="38" t="s">
        <v>637</v>
      </c>
    </row>
    <row r="1637" spans="1:12" ht="13">
      <c r="A1637" s="18" t="s">
        <v>851</v>
      </c>
      <c r="B1637" s="18" t="s">
        <v>345</v>
      </c>
      <c r="C1637" s="63" t="s">
        <v>852</v>
      </c>
      <c r="D1637" s="18" t="s">
        <v>845</v>
      </c>
      <c r="E1637" s="18" t="s">
        <v>690</v>
      </c>
      <c r="F1637" s="18">
        <v>2018</v>
      </c>
      <c r="G1637" s="40">
        <v>3034</v>
      </c>
      <c r="H1637" s="40" t="s">
        <v>402</v>
      </c>
      <c r="I1637" s="40" t="s">
        <v>402</v>
      </c>
      <c r="J1637" s="66" t="s">
        <v>402</v>
      </c>
      <c r="K1637" s="65" t="s">
        <v>402</v>
      </c>
      <c r="L1637" s="38" t="s">
        <v>637</v>
      </c>
    </row>
    <row r="1638" spans="1:12" ht="13">
      <c r="A1638" s="18" t="s">
        <v>851</v>
      </c>
      <c r="B1638" s="18" t="s">
        <v>345</v>
      </c>
      <c r="C1638" s="63" t="s">
        <v>852</v>
      </c>
      <c r="D1638" s="18" t="s">
        <v>845</v>
      </c>
      <c r="E1638" s="18" t="s">
        <v>690</v>
      </c>
      <c r="F1638" s="18">
        <v>2019</v>
      </c>
      <c r="G1638" s="40">
        <v>3229</v>
      </c>
      <c r="H1638" s="40" t="s">
        <v>402</v>
      </c>
      <c r="I1638" s="40" t="s">
        <v>402</v>
      </c>
      <c r="J1638" s="66" t="s">
        <v>402</v>
      </c>
      <c r="K1638" s="65" t="s">
        <v>402</v>
      </c>
      <c r="L1638" s="38" t="s">
        <v>637</v>
      </c>
    </row>
    <row r="1639" spans="1:12" ht="13">
      <c r="A1639" s="18" t="s">
        <v>853</v>
      </c>
      <c r="B1639" s="18" t="s">
        <v>345</v>
      </c>
      <c r="C1639" s="63" t="s">
        <v>854</v>
      </c>
      <c r="D1639" s="18" t="s">
        <v>845</v>
      </c>
      <c r="E1639" s="18" t="s">
        <v>690</v>
      </c>
      <c r="F1639" s="18">
        <v>1978</v>
      </c>
      <c r="G1639" s="40">
        <v>568</v>
      </c>
      <c r="H1639" s="40" t="s">
        <v>402</v>
      </c>
      <c r="I1639" s="40" t="s">
        <v>402</v>
      </c>
      <c r="J1639" s="66" t="s">
        <v>402</v>
      </c>
      <c r="K1639" s="65" t="s">
        <v>402</v>
      </c>
      <c r="L1639" s="38" t="s">
        <v>637</v>
      </c>
    </row>
    <row r="1640" spans="1:12" ht="13">
      <c r="A1640" s="18" t="s">
        <v>853</v>
      </c>
      <c r="B1640" s="18" t="s">
        <v>345</v>
      </c>
      <c r="C1640" s="63" t="s">
        <v>854</v>
      </c>
      <c r="D1640" s="18" t="s">
        <v>845</v>
      </c>
      <c r="E1640" s="18" t="s">
        <v>690</v>
      </c>
      <c r="F1640" s="18">
        <v>1989</v>
      </c>
      <c r="G1640" s="40">
        <v>1136</v>
      </c>
      <c r="H1640" s="40" t="s">
        <v>402</v>
      </c>
      <c r="I1640" s="40" t="s">
        <v>402</v>
      </c>
      <c r="J1640" s="66" t="s">
        <v>402</v>
      </c>
      <c r="K1640" s="65" t="s">
        <v>402</v>
      </c>
      <c r="L1640" s="38" t="s">
        <v>637</v>
      </c>
    </row>
    <row r="1641" spans="1:12" ht="13">
      <c r="A1641" s="18" t="s">
        <v>853</v>
      </c>
      <c r="B1641" s="18" t="s">
        <v>345</v>
      </c>
      <c r="C1641" s="63" t="s">
        <v>854</v>
      </c>
      <c r="D1641" s="18" t="s">
        <v>845</v>
      </c>
      <c r="E1641" s="18" t="s">
        <v>690</v>
      </c>
      <c r="F1641" s="18">
        <v>1990</v>
      </c>
      <c r="G1641" s="40">
        <v>1136</v>
      </c>
      <c r="H1641" s="40" t="s">
        <v>402</v>
      </c>
      <c r="I1641" s="40" t="s">
        <v>402</v>
      </c>
      <c r="J1641" s="66" t="s">
        <v>402</v>
      </c>
      <c r="K1641" s="65" t="s">
        <v>402</v>
      </c>
      <c r="L1641" s="38" t="s">
        <v>637</v>
      </c>
    </row>
    <row r="1642" spans="1:12" ht="13">
      <c r="A1642" s="18" t="s">
        <v>853</v>
      </c>
      <c r="B1642" s="18" t="s">
        <v>345</v>
      </c>
      <c r="C1642" s="63" t="s">
        <v>854</v>
      </c>
      <c r="D1642" s="18" t="s">
        <v>845</v>
      </c>
      <c r="E1642" s="18" t="s">
        <v>690</v>
      </c>
      <c r="F1642" s="18">
        <v>1991</v>
      </c>
      <c r="G1642" s="40">
        <v>1184</v>
      </c>
      <c r="H1642" s="40" t="s">
        <v>402</v>
      </c>
      <c r="I1642" s="40" t="s">
        <v>402</v>
      </c>
      <c r="J1642" s="66" t="s">
        <v>402</v>
      </c>
      <c r="K1642" s="65" t="s">
        <v>402</v>
      </c>
      <c r="L1642" s="38" t="s">
        <v>637</v>
      </c>
    </row>
    <row r="1643" spans="1:12" ht="13">
      <c r="A1643" s="18" t="s">
        <v>853</v>
      </c>
      <c r="B1643" s="18" t="s">
        <v>345</v>
      </c>
      <c r="C1643" s="63" t="s">
        <v>854</v>
      </c>
      <c r="D1643" s="18" t="s">
        <v>845</v>
      </c>
      <c r="E1643" s="18" t="s">
        <v>690</v>
      </c>
      <c r="F1643" s="18">
        <v>1993</v>
      </c>
      <c r="G1643" s="40">
        <v>1136</v>
      </c>
      <c r="H1643" s="40" t="s">
        <v>402</v>
      </c>
      <c r="I1643" s="40" t="s">
        <v>402</v>
      </c>
      <c r="J1643" s="66" t="s">
        <v>402</v>
      </c>
      <c r="K1643" s="65" t="s">
        <v>402</v>
      </c>
      <c r="L1643" s="38" t="s">
        <v>637</v>
      </c>
    </row>
    <row r="1644" spans="1:12" ht="13">
      <c r="A1644" s="18" t="s">
        <v>853</v>
      </c>
      <c r="B1644" s="18" t="s">
        <v>345</v>
      </c>
      <c r="C1644" s="63" t="s">
        <v>854</v>
      </c>
      <c r="D1644" s="18" t="s">
        <v>845</v>
      </c>
      <c r="E1644" s="18" t="s">
        <v>690</v>
      </c>
      <c r="F1644" s="18">
        <v>1994</v>
      </c>
      <c r="G1644" s="40">
        <v>947</v>
      </c>
      <c r="H1644" s="40" t="s">
        <v>402</v>
      </c>
      <c r="I1644" s="40" t="s">
        <v>402</v>
      </c>
      <c r="J1644" s="66" t="s">
        <v>402</v>
      </c>
      <c r="K1644" s="65" t="s">
        <v>402</v>
      </c>
      <c r="L1644" s="38" t="s">
        <v>637</v>
      </c>
    </row>
    <row r="1645" spans="1:12" ht="13">
      <c r="A1645" s="18" t="s">
        <v>853</v>
      </c>
      <c r="B1645" s="18" t="s">
        <v>345</v>
      </c>
      <c r="C1645" s="63" t="s">
        <v>854</v>
      </c>
      <c r="D1645" s="18" t="s">
        <v>845</v>
      </c>
      <c r="E1645" s="18" t="s">
        <v>690</v>
      </c>
      <c r="F1645" s="18">
        <v>1996</v>
      </c>
      <c r="G1645" s="40">
        <v>663</v>
      </c>
      <c r="H1645" s="40" t="s">
        <v>402</v>
      </c>
      <c r="I1645" s="40" t="s">
        <v>402</v>
      </c>
      <c r="J1645" s="66" t="s">
        <v>402</v>
      </c>
      <c r="K1645" s="65" t="s">
        <v>402</v>
      </c>
      <c r="L1645" s="38" t="s">
        <v>637</v>
      </c>
    </row>
    <row r="1646" spans="1:12" ht="13">
      <c r="A1646" s="18" t="s">
        <v>853</v>
      </c>
      <c r="B1646" s="18" t="s">
        <v>345</v>
      </c>
      <c r="C1646" s="63" t="s">
        <v>854</v>
      </c>
      <c r="D1646" s="18" t="s">
        <v>845</v>
      </c>
      <c r="E1646" s="18" t="s">
        <v>690</v>
      </c>
      <c r="F1646" s="18">
        <v>1997</v>
      </c>
      <c r="G1646" s="40">
        <v>758</v>
      </c>
      <c r="H1646" s="40" t="s">
        <v>402</v>
      </c>
      <c r="I1646" s="40" t="s">
        <v>402</v>
      </c>
      <c r="J1646" s="66" t="s">
        <v>402</v>
      </c>
      <c r="K1646" s="65" t="s">
        <v>402</v>
      </c>
      <c r="L1646" s="38" t="s">
        <v>637</v>
      </c>
    </row>
    <row r="1647" spans="1:12" ht="13">
      <c r="A1647" s="18" t="s">
        <v>853</v>
      </c>
      <c r="B1647" s="18" t="s">
        <v>345</v>
      </c>
      <c r="C1647" s="63" t="s">
        <v>854</v>
      </c>
      <c r="D1647" s="18" t="s">
        <v>845</v>
      </c>
      <c r="E1647" s="18" t="s">
        <v>690</v>
      </c>
      <c r="F1647" s="18">
        <v>1998</v>
      </c>
      <c r="G1647" s="40">
        <v>758</v>
      </c>
      <c r="H1647" s="40" t="s">
        <v>402</v>
      </c>
      <c r="I1647" s="40" t="s">
        <v>402</v>
      </c>
      <c r="J1647" s="66" t="s">
        <v>402</v>
      </c>
      <c r="K1647" s="65" t="s">
        <v>402</v>
      </c>
      <c r="L1647" s="38" t="s">
        <v>637</v>
      </c>
    </row>
    <row r="1648" spans="1:12" ht="13">
      <c r="A1648" s="18" t="s">
        <v>853</v>
      </c>
      <c r="B1648" s="18" t="s">
        <v>345</v>
      </c>
      <c r="C1648" s="63" t="s">
        <v>854</v>
      </c>
      <c r="D1648" s="18" t="s">
        <v>845</v>
      </c>
      <c r="E1648" s="18" t="s">
        <v>690</v>
      </c>
      <c r="F1648" s="18">
        <v>2000</v>
      </c>
      <c r="G1648" s="40">
        <v>758</v>
      </c>
      <c r="H1648" s="40" t="s">
        <v>402</v>
      </c>
      <c r="I1648" s="40" t="s">
        <v>402</v>
      </c>
      <c r="J1648" s="66" t="s">
        <v>402</v>
      </c>
      <c r="K1648" s="65" t="s">
        <v>402</v>
      </c>
      <c r="L1648" s="38" t="s">
        <v>637</v>
      </c>
    </row>
    <row r="1649" spans="1:12" ht="13">
      <c r="A1649" s="18" t="s">
        <v>853</v>
      </c>
      <c r="B1649" s="18" t="s">
        <v>345</v>
      </c>
      <c r="C1649" s="63" t="s">
        <v>854</v>
      </c>
      <c r="D1649" s="18" t="s">
        <v>845</v>
      </c>
      <c r="E1649" s="18" t="s">
        <v>690</v>
      </c>
      <c r="F1649" s="18">
        <v>2001</v>
      </c>
      <c r="G1649" s="40">
        <v>710</v>
      </c>
      <c r="H1649" s="40" t="s">
        <v>402</v>
      </c>
      <c r="I1649" s="40" t="s">
        <v>402</v>
      </c>
      <c r="J1649" s="66" t="s">
        <v>402</v>
      </c>
      <c r="K1649" s="65" t="s">
        <v>402</v>
      </c>
      <c r="L1649" s="38" t="s">
        <v>637</v>
      </c>
    </row>
    <row r="1650" spans="1:12" ht="13">
      <c r="A1650" s="18" t="s">
        <v>853</v>
      </c>
      <c r="B1650" s="18" t="s">
        <v>345</v>
      </c>
      <c r="C1650" s="63" t="s">
        <v>854</v>
      </c>
      <c r="D1650" s="18" t="s">
        <v>845</v>
      </c>
      <c r="E1650" s="18" t="s">
        <v>690</v>
      </c>
      <c r="F1650" s="18">
        <v>2002</v>
      </c>
      <c r="G1650" s="40">
        <v>663</v>
      </c>
      <c r="H1650" s="40" t="s">
        <v>402</v>
      </c>
      <c r="I1650" s="40" t="s">
        <v>402</v>
      </c>
      <c r="J1650" s="66" t="s">
        <v>402</v>
      </c>
      <c r="K1650" s="65" t="s">
        <v>402</v>
      </c>
      <c r="L1650" s="38" t="s">
        <v>637</v>
      </c>
    </row>
    <row r="1651" spans="1:12" ht="13">
      <c r="A1651" s="18" t="s">
        <v>853</v>
      </c>
      <c r="B1651" s="18" t="s">
        <v>345</v>
      </c>
      <c r="C1651" s="63" t="s">
        <v>854</v>
      </c>
      <c r="D1651" s="18" t="s">
        <v>845</v>
      </c>
      <c r="E1651" s="18" t="s">
        <v>690</v>
      </c>
      <c r="F1651" s="18">
        <v>2003</v>
      </c>
      <c r="G1651" s="40">
        <v>758</v>
      </c>
      <c r="H1651" s="40" t="s">
        <v>402</v>
      </c>
      <c r="I1651" s="40" t="s">
        <v>402</v>
      </c>
      <c r="J1651" s="66" t="s">
        <v>402</v>
      </c>
      <c r="K1651" s="65" t="s">
        <v>402</v>
      </c>
      <c r="L1651" s="38" t="s">
        <v>637</v>
      </c>
    </row>
    <row r="1652" spans="1:12" ht="13">
      <c r="A1652" s="18" t="s">
        <v>853</v>
      </c>
      <c r="B1652" s="18" t="s">
        <v>345</v>
      </c>
      <c r="C1652" s="63" t="s">
        <v>854</v>
      </c>
      <c r="D1652" s="18" t="s">
        <v>845</v>
      </c>
      <c r="E1652" s="18" t="s">
        <v>690</v>
      </c>
      <c r="F1652" s="18">
        <v>2004</v>
      </c>
      <c r="G1652" s="40">
        <v>758</v>
      </c>
      <c r="H1652" s="40" t="s">
        <v>402</v>
      </c>
      <c r="I1652" s="40" t="s">
        <v>402</v>
      </c>
      <c r="J1652" s="66" t="s">
        <v>402</v>
      </c>
      <c r="K1652" s="65" t="s">
        <v>402</v>
      </c>
      <c r="L1652" s="38" t="s">
        <v>637</v>
      </c>
    </row>
    <row r="1653" spans="1:12" ht="13">
      <c r="A1653" s="18" t="s">
        <v>853</v>
      </c>
      <c r="B1653" s="18" t="s">
        <v>345</v>
      </c>
      <c r="C1653" s="63" t="s">
        <v>854</v>
      </c>
      <c r="D1653" s="18" t="s">
        <v>845</v>
      </c>
      <c r="E1653" s="18" t="s">
        <v>690</v>
      </c>
      <c r="F1653" s="18">
        <v>2005</v>
      </c>
      <c r="G1653" s="40">
        <v>758</v>
      </c>
      <c r="H1653" s="40" t="s">
        <v>402</v>
      </c>
      <c r="I1653" s="40" t="s">
        <v>402</v>
      </c>
      <c r="J1653" s="66" t="s">
        <v>402</v>
      </c>
      <c r="K1653" s="65" t="s">
        <v>402</v>
      </c>
      <c r="L1653" s="38" t="s">
        <v>637</v>
      </c>
    </row>
    <row r="1654" spans="1:12" ht="13">
      <c r="A1654" s="18" t="s">
        <v>853</v>
      </c>
      <c r="B1654" s="18" t="s">
        <v>345</v>
      </c>
      <c r="C1654" s="63" t="s">
        <v>854</v>
      </c>
      <c r="D1654" s="18" t="s">
        <v>845</v>
      </c>
      <c r="E1654" s="18" t="s">
        <v>690</v>
      </c>
      <c r="F1654" s="18">
        <v>2009</v>
      </c>
      <c r="G1654" s="40">
        <v>1089</v>
      </c>
      <c r="H1654" s="40" t="s">
        <v>402</v>
      </c>
      <c r="I1654" s="40" t="s">
        <v>402</v>
      </c>
      <c r="J1654" s="66" t="s">
        <v>402</v>
      </c>
      <c r="K1654" s="65" t="s">
        <v>402</v>
      </c>
      <c r="L1654" s="38" t="s">
        <v>637</v>
      </c>
    </row>
    <row r="1655" spans="1:12" ht="13">
      <c r="A1655" s="18" t="s">
        <v>853</v>
      </c>
      <c r="B1655" s="18" t="s">
        <v>345</v>
      </c>
      <c r="C1655" s="63" t="s">
        <v>854</v>
      </c>
      <c r="D1655" s="18" t="s">
        <v>845</v>
      </c>
      <c r="E1655" s="18" t="s">
        <v>690</v>
      </c>
      <c r="F1655" s="18">
        <v>2010</v>
      </c>
      <c r="G1655" s="40">
        <v>947</v>
      </c>
      <c r="H1655" s="40" t="s">
        <v>402</v>
      </c>
      <c r="I1655" s="40" t="s">
        <v>402</v>
      </c>
      <c r="J1655" s="66" t="s">
        <v>402</v>
      </c>
      <c r="K1655" s="65" t="s">
        <v>402</v>
      </c>
      <c r="L1655" s="38" t="s">
        <v>637</v>
      </c>
    </row>
    <row r="1656" spans="1:12" ht="13">
      <c r="A1656" s="18" t="s">
        <v>853</v>
      </c>
      <c r="B1656" s="18" t="s">
        <v>345</v>
      </c>
      <c r="C1656" s="63" t="s">
        <v>854</v>
      </c>
      <c r="D1656" s="18" t="s">
        <v>845</v>
      </c>
      <c r="E1656" s="18" t="s">
        <v>690</v>
      </c>
      <c r="F1656" s="18">
        <v>2011</v>
      </c>
      <c r="G1656" s="40">
        <v>1136</v>
      </c>
      <c r="H1656" s="40" t="s">
        <v>402</v>
      </c>
      <c r="I1656" s="40" t="s">
        <v>402</v>
      </c>
      <c r="J1656" s="66" t="s">
        <v>402</v>
      </c>
      <c r="K1656" s="65" t="s">
        <v>402</v>
      </c>
      <c r="L1656" s="38" t="s">
        <v>637</v>
      </c>
    </row>
    <row r="1657" spans="1:12" ht="13">
      <c r="A1657" s="18" t="s">
        <v>853</v>
      </c>
      <c r="B1657" s="18" t="s">
        <v>345</v>
      </c>
      <c r="C1657" s="63" t="s">
        <v>854</v>
      </c>
      <c r="D1657" s="18" t="s">
        <v>845</v>
      </c>
      <c r="E1657" s="18" t="s">
        <v>690</v>
      </c>
      <c r="F1657" s="18">
        <v>2013</v>
      </c>
      <c r="G1657" s="40">
        <v>1231</v>
      </c>
      <c r="H1657" s="40" t="s">
        <v>402</v>
      </c>
      <c r="I1657" s="40" t="s">
        <v>402</v>
      </c>
      <c r="J1657" s="66" t="s">
        <v>402</v>
      </c>
      <c r="K1657" s="65" t="s">
        <v>402</v>
      </c>
      <c r="L1657" s="38" t="s">
        <v>637</v>
      </c>
    </row>
    <row r="1658" spans="1:12" ht="13">
      <c r="A1658" s="18" t="s">
        <v>853</v>
      </c>
      <c r="B1658" s="18" t="s">
        <v>345</v>
      </c>
      <c r="C1658" s="63" t="s">
        <v>854</v>
      </c>
      <c r="D1658" s="18" t="s">
        <v>845</v>
      </c>
      <c r="E1658" s="18" t="s">
        <v>690</v>
      </c>
      <c r="F1658" s="18">
        <v>2015</v>
      </c>
      <c r="G1658" s="40">
        <v>1231</v>
      </c>
      <c r="H1658" s="40" t="s">
        <v>402</v>
      </c>
      <c r="I1658" s="40" t="s">
        <v>402</v>
      </c>
      <c r="J1658" s="66" t="s">
        <v>402</v>
      </c>
      <c r="K1658" s="65" t="s">
        <v>402</v>
      </c>
      <c r="L1658" s="38" t="s">
        <v>637</v>
      </c>
    </row>
    <row r="1659" spans="1:12" ht="13">
      <c r="A1659" s="18" t="s">
        <v>853</v>
      </c>
      <c r="B1659" s="18" t="s">
        <v>345</v>
      </c>
      <c r="C1659" s="63" t="s">
        <v>854</v>
      </c>
      <c r="D1659" s="18" t="s">
        <v>845</v>
      </c>
      <c r="E1659" s="18" t="s">
        <v>690</v>
      </c>
      <c r="F1659" s="18">
        <v>2017</v>
      </c>
      <c r="G1659" s="40">
        <v>758</v>
      </c>
      <c r="H1659" s="40" t="s">
        <v>402</v>
      </c>
      <c r="I1659" s="40" t="s">
        <v>402</v>
      </c>
      <c r="J1659" s="66" t="s">
        <v>402</v>
      </c>
      <c r="K1659" s="65" t="s">
        <v>402</v>
      </c>
      <c r="L1659" s="38" t="s">
        <v>637</v>
      </c>
    </row>
    <row r="1660" spans="1:12" ht="13">
      <c r="A1660" s="18" t="s">
        <v>853</v>
      </c>
      <c r="B1660" s="18" t="s">
        <v>345</v>
      </c>
      <c r="C1660" s="63" t="s">
        <v>854</v>
      </c>
      <c r="D1660" s="18" t="s">
        <v>845</v>
      </c>
      <c r="E1660" s="18" t="s">
        <v>690</v>
      </c>
      <c r="F1660" s="18">
        <v>2019</v>
      </c>
      <c r="G1660" s="40">
        <v>1184</v>
      </c>
      <c r="H1660" s="40" t="s">
        <v>402</v>
      </c>
      <c r="I1660" s="40" t="s">
        <v>402</v>
      </c>
      <c r="J1660" s="66" t="s">
        <v>402</v>
      </c>
      <c r="K1660" s="65" t="s">
        <v>402</v>
      </c>
      <c r="L1660" s="38" t="s">
        <v>637</v>
      </c>
    </row>
    <row r="1661" spans="1:12" ht="13">
      <c r="A1661" s="18" t="s">
        <v>855</v>
      </c>
      <c r="B1661" s="18" t="s">
        <v>345</v>
      </c>
      <c r="C1661" s="63" t="s">
        <v>856</v>
      </c>
      <c r="D1661" s="18" t="s">
        <v>845</v>
      </c>
      <c r="E1661" s="18" t="s">
        <v>690</v>
      </c>
      <c r="F1661" s="18">
        <v>1978</v>
      </c>
      <c r="G1661" s="40">
        <v>17992</v>
      </c>
      <c r="H1661" s="40" t="s">
        <v>402</v>
      </c>
      <c r="I1661" s="40" t="s">
        <v>402</v>
      </c>
      <c r="J1661" s="66" t="s">
        <v>402</v>
      </c>
      <c r="K1661" s="65" t="s">
        <v>402</v>
      </c>
      <c r="L1661" s="38" t="s">
        <v>637</v>
      </c>
    </row>
    <row r="1662" spans="1:12" ht="13">
      <c r="A1662" s="18" t="s">
        <v>855</v>
      </c>
      <c r="B1662" s="18" t="s">
        <v>345</v>
      </c>
      <c r="C1662" s="63" t="s">
        <v>856</v>
      </c>
      <c r="D1662" s="18" t="s">
        <v>845</v>
      </c>
      <c r="E1662" s="18" t="s">
        <v>690</v>
      </c>
      <c r="F1662" s="18">
        <v>1979</v>
      </c>
      <c r="G1662" s="40">
        <v>18182</v>
      </c>
      <c r="H1662" s="40" t="s">
        <v>402</v>
      </c>
      <c r="I1662" s="40" t="s">
        <v>402</v>
      </c>
      <c r="J1662" s="66" t="s">
        <v>402</v>
      </c>
      <c r="K1662" s="65" t="s">
        <v>402</v>
      </c>
      <c r="L1662" s="38" t="s">
        <v>637</v>
      </c>
    </row>
    <row r="1663" spans="1:12" ht="13">
      <c r="A1663" s="18" t="s">
        <v>855</v>
      </c>
      <c r="B1663" s="18" t="s">
        <v>345</v>
      </c>
      <c r="C1663" s="63" t="s">
        <v>856</v>
      </c>
      <c r="D1663" s="18" t="s">
        <v>845</v>
      </c>
      <c r="E1663" s="18" t="s">
        <v>690</v>
      </c>
      <c r="F1663" s="18">
        <v>1984</v>
      </c>
      <c r="G1663" s="40">
        <v>12879</v>
      </c>
      <c r="H1663" s="40" t="s">
        <v>402</v>
      </c>
      <c r="I1663" s="40" t="s">
        <v>402</v>
      </c>
      <c r="J1663" s="66" t="s">
        <v>402</v>
      </c>
      <c r="K1663" s="65" t="s">
        <v>402</v>
      </c>
      <c r="L1663" s="38" t="s">
        <v>637</v>
      </c>
    </row>
    <row r="1664" spans="1:12" ht="13">
      <c r="A1664" s="18" t="s">
        <v>855</v>
      </c>
      <c r="B1664" s="18" t="s">
        <v>345</v>
      </c>
      <c r="C1664" s="63" t="s">
        <v>856</v>
      </c>
      <c r="D1664" s="18" t="s">
        <v>845</v>
      </c>
      <c r="E1664" s="18" t="s">
        <v>690</v>
      </c>
      <c r="F1664" s="18">
        <v>1986</v>
      </c>
      <c r="G1664" s="40">
        <v>10985</v>
      </c>
      <c r="H1664" s="40" t="s">
        <v>402</v>
      </c>
      <c r="I1664" s="40" t="s">
        <v>402</v>
      </c>
      <c r="J1664" s="66" t="s">
        <v>402</v>
      </c>
      <c r="K1664" s="65" t="s">
        <v>402</v>
      </c>
      <c r="L1664" s="38" t="s">
        <v>637</v>
      </c>
    </row>
    <row r="1665" spans="1:12" ht="13">
      <c r="A1665" s="18" t="s">
        <v>855</v>
      </c>
      <c r="B1665" s="18" t="s">
        <v>345</v>
      </c>
      <c r="C1665" s="63" t="s">
        <v>856</v>
      </c>
      <c r="D1665" s="18" t="s">
        <v>845</v>
      </c>
      <c r="E1665" s="18" t="s">
        <v>690</v>
      </c>
      <c r="F1665" s="18">
        <v>1989</v>
      </c>
      <c r="G1665" s="40">
        <v>6487</v>
      </c>
      <c r="H1665" s="40" t="s">
        <v>402</v>
      </c>
      <c r="I1665" s="40" t="s">
        <v>402</v>
      </c>
      <c r="J1665" s="66" t="s">
        <v>402</v>
      </c>
      <c r="K1665" s="65" t="s">
        <v>402</v>
      </c>
      <c r="L1665" s="38" t="s">
        <v>637</v>
      </c>
    </row>
    <row r="1666" spans="1:12" ht="13">
      <c r="A1666" s="18" t="s">
        <v>855</v>
      </c>
      <c r="B1666" s="18" t="s">
        <v>345</v>
      </c>
      <c r="C1666" s="63" t="s">
        <v>856</v>
      </c>
      <c r="D1666" s="18" t="s">
        <v>845</v>
      </c>
      <c r="E1666" s="18" t="s">
        <v>690</v>
      </c>
      <c r="F1666" s="18">
        <v>1990</v>
      </c>
      <c r="G1666" s="40">
        <v>4924</v>
      </c>
      <c r="H1666" s="40" t="s">
        <v>402</v>
      </c>
      <c r="I1666" s="40" t="s">
        <v>402</v>
      </c>
      <c r="J1666" s="66" t="s">
        <v>402</v>
      </c>
      <c r="K1666" s="65" t="s">
        <v>402</v>
      </c>
      <c r="L1666" s="38" t="s">
        <v>637</v>
      </c>
    </row>
    <row r="1667" spans="1:12" ht="13">
      <c r="A1667" s="18" t="s">
        <v>855</v>
      </c>
      <c r="B1667" s="18" t="s">
        <v>345</v>
      </c>
      <c r="C1667" s="63" t="s">
        <v>856</v>
      </c>
      <c r="D1667" s="18" t="s">
        <v>845</v>
      </c>
      <c r="E1667" s="18" t="s">
        <v>690</v>
      </c>
      <c r="F1667" s="18">
        <v>1991</v>
      </c>
      <c r="G1667" s="40">
        <v>4545</v>
      </c>
      <c r="H1667" s="40" t="s">
        <v>402</v>
      </c>
      <c r="I1667" s="40" t="s">
        <v>402</v>
      </c>
      <c r="J1667" s="66" t="s">
        <v>402</v>
      </c>
      <c r="K1667" s="65" t="s">
        <v>402</v>
      </c>
      <c r="L1667" s="38" t="s">
        <v>637</v>
      </c>
    </row>
    <row r="1668" spans="1:12" ht="13">
      <c r="A1668" s="18" t="s">
        <v>855</v>
      </c>
      <c r="B1668" s="18" t="s">
        <v>345</v>
      </c>
      <c r="C1668" s="63" t="s">
        <v>856</v>
      </c>
      <c r="D1668" s="18" t="s">
        <v>845</v>
      </c>
      <c r="E1668" s="18" t="s">
        <v>690</v>
      </c>
      <c r="F1668" s="18">
        <v>1992</v>
      </c>
      <c r="G1668" s="40">
        <v>3598</v>
      </c>
      <c r="H1668" s="40" t="s">
        <v>402</v>
      </c>
      <c r="I1668" s="40" t="s">
        <v>402</v>
      </c>
      <c r="J1668" s="66" t="s">
        <v>402</v>
      </c>
      <c r="K1668" s="65" t="s">
        <v>402</v>
      </c>
      <c r="L1668" s="38" t="s">
        <v>637</v>
      </c>
    </row>
    <row r="1669" spans="1:12" ht="13">
      <c r="A1669" s="18" t="s">
        <v>855</v>
      </c>
      <c r="B1669" s="18" t="s">
        <v>345</v>
      </c>
      <c r="C1669" s="63" t="s">
        <v>856</v>
      </c>
      <c r="D1669" s="18" t="s">
        <v>845</v>
      </c>
      <c r="E1669" s="18" t="s">
        <v>690</v>
      </c>
      <c r="F1669" s="18">
        <v>1993</v>
      </c>
      <c r="G1669" s="40">
        <v>3220</v>
      </c>
      <c r="H1669" s="40" t="s">
        <v>402</v>
      </c>
      <c r="I1669" s="40" t="s">
        <v>402</v>
      </c>
      <c r="J1669" s="66" t="s">
        <v>402</v>
      </c>
      <c r="K1669" s="65" t="s">
        <v>402</v>
      </c>
      <c r="L1669" s="38" t="s">
        <v>637</v>
      </c>
    </row>
    <row r="1670" spans="1:12" ht="13">
      <c r="A1670" s="18" t="s">
        <v>855</v>
      </c>
      <c r="B1670" s="18" t="s">
        <v>345</v>
      </c>
      <c r="C1670" s="63" t="s">
        <v>856</v>
      </c>
      <c r="D1670" s="18" t="s">
        <v>845</v>
      </c>
      <c r="E1670" s="18" t="s">
        <v>690</v>
      </c>
      <c r="F1670" s="18">
        <v>1994</v>
      </c>
      <c r="G1670" s="40">
        <v>2983</v>
      </c>
      <c r="H1670" s="40" t="s">
        <v>402</v>
      </c>
      <c r="I1670" s="40" t="s">
        <v>402</v>
      </c>
      <c r="J1670" s="66" t="s">
        <v>402</v>
      </c>
      <c r="K1670" s="65" t="s">
        <v>402</v>
      </c>
      <c r="L1670" s="38" t="s">
        <v>637</v>
      </c>
    </row>
    <row r="1671" spans="1:12" ht="13">
      <c r="A1671" s="18" t="s">
        <v>855</v>
      </c>
      <c r="B1671" s="18" t="s">
        <v>345</v>
      </c>
      <c r="C1671" s="63" t="s">
        <v>856</v>
      </c>
      <c r="D1671" s="18" t="s">
        <v>845</v>
      </c>
      <c r="E1671" s="18" t="s">
        <v>690</v>
      </c>
      <c r="F1671" s="18">
        <v>1996</v>
      </c>
      <c r="G1671" s="40">
        <v>2273</v>
      </c>
      <c r="H1671" s="40" t="s">
        <v>402</v>
      </c>
      <c r="I1671" s="40" t="s">
        <v>402</v>
      </c>
      <c r="J1671" s="66" t="s">
        <v>402</v>
      </c>
      <c r="K1671" s="65" t="s">
        <v>402</v>
      </c>
      <c r="L1671" s="38" t="s">
        <v>637</v>
      </c>
    </row>
    <row r="1672" spans="1:12" ht="13">
      <c r="A1672" s="18" t="s">
        <v>855</v>
      </c>
      <c r="B1672" s="18" t="s">
        <v>345</v>
      </c>
      <c r="C1672" s="63" t="s">
        <v>856</v>
      </c>
      <c r="D1672" s="18" t="s">
        <v>845</v>
      </c>
      <c r="E1672" s="18" t="s">
        <v>690</v>
      </c>
      <c r="F1672" s="18">
        <v>1997</v>
      </c>
      <c r="G1672" s="40">
        <v>2273</v>
      </c>
      <c r="H1672" s="40" t="s">
        <v>402</v>
      </c>
      <c r="I1672" s="40" t="s">
        <v>402</v>
      </c>
      <c r="J1672" s="66" t="s">
        <v>402</v>
      </c>
      <c r="K1672" s="65" t="s">
        <v>402</v>
      </c>
      <c r="L1672" s="38" t="s">
        <v>637</v>
      </c>
    </row>
    <row r="1673" spans="1:12" ht="13">
      <c r="A1673" s="18" t="s">
        <v>855</v>
      </c>
      <c r="B1673" s="18" t="s">
        <v>345</v>
      </c>
      <c r="C1673" s="63" t="s">
        <v>856</v>
      </c>
      <c r="D1673" s="18" t="s">
        <v>845</v>
      </c>
      <c r="E1673" s="18" t="s">
        <v>690</v>
      </c>
      <c r="F1673" s="18">
        <v>1998</v>
      </c>
      <c r="G1673" s="40">
        <v>1941</v>
      </c>
      <c r="H1673" s="40" t="s">
        <v>402</v>
      </c>
      <c r="I1673" s="40" t="s">
        <v>402</v>
      </c>
      <c r="J1673" s="66" t="s">
        <v>402</v>
      </c>
      <c r="K1673" s="65" t="s">
        <v>402</v>
      </c>
      <c r="L1673" s="38" t="s">
        <v>637</v>
      </c>
    </row>
    <row r="1674" spans="1:12" ht="13">
      <c r="A1674" s="18" t="s">
        <v>855</v>
      </c>
      <c r="B1674" s="18" t="s">
        <v>345</v>
      </c>
      <c r="C1674" s="63" t="s">
        <v>856</v>
      </c>
      <c r="D1674" s="18" t="s">
        <v>845</v>
      </c>
      <c r="E1674" s="18" t="s">
        <v>690</v>
      </c>
      <c r="F1674" s="18">
        <v>2000</v>
      </c>
      <c r="G1674" s="40">
        <v>1989</v>
      </c>
      <c r="H1674" s="40" t="s">
        <v>402</v>
      </c>
      <c r="I1674" s="40" t="s">
        <v>402</v>
      </c>
      <c r="J1674" s="66" t="s">
        <v>402</v>
      </c>
      <c r="K1674" s="65" t="s">
        <v>402</v>
      </c>
      <c r="L1674" s="38" t="s">
        <v>637</v>
      </c>
    </row>
    <row r="1675" spans="1:12" ht="13">
      <c r="A1675" s="18" t="s">
        <v>855</v>
      </c>
      <c r="B1675" s="18" t="s">
        <v>345</v>
      </c>
      <c r="C1675" s="63" t="s">
        <v>856</v>
      </c>
      <c r="D1675" s="18" t="s">
        <v>845</v>
      </c>
      <c r="E1675" s="18" t="s">
        <v>690</v>
      </c>
      <c r="F1675" s="18">
        <v>2001</v>
      </c>
      <c r="G1675" s="40">
        <v>1657</v>
      </c>
      <c r="H1675" s="40" t="s">
        <v>402</v>
      </c>
      <c r="I1675" s="40" t="s">
        <v>402</v>
      </c>
      <c r="J1675" s="66" t="s">
        <v>402</v>
      </c>
      <c r="K1675" s="65" t="s">
        <v>402</v>
      </c>
      <c r="L1675" s="38" t="s">
        <v>637</v>
      </c>
    </row>
    <row r="1676" spans="1:12" ht="13">
      <c r="A1676" s="18" t="s">
        <v>855</v>
      </c>
      <c r="B1676" s="18" t="s">
        <v>345</v>
      </c>
      <c r="C1676" s="63" t="s">
        <v>856</v>
      </c>
      <c r="D1676" s="18" t="s">
        <v>845</v>
      </c>
      <c r="E1676" s="18" t="s">
        <v>690</v>
      </c>
      <c r="F1676" s="18">
        <v>2002</v>
      </c>
      <c r="G1676" s="40">
        <v>1752</v>
      </c>
      <c r="H1676" s="40" t="s">
        <v>402</v>
      </c>
      <c r="I1676" s="40" t="s">
        <v>402</v>
      </c>
      <c r="J1676" s="66" t="s">
        <v>402</v>
      </c>
      <c r="K1676" s="65" t="s">
        <v>402</v>
      </c>
      <c r="L1676" s="38" t="s">
        <v>637</v>
      </c>
    </row>
    <row r="1677" spans="1:12" ht="13">
      <c r="A1677" s="18" t="s">
        <v>855</v>
      </c>
      <c r="B1677" s="18" t="s">
        <v>345</v>
      </c>
      <c r="C1677" s="63" t="s">
        <v>856</v>
      </c>
      <c r="D1677" s="18" t="s">
        <v>845</v>
      </c>
      <c r="E1677" s="18" t="s">
        <v>690</v>
      </c>
      <c r="F1677" s="18">
        <v>2003</v>
      </c>
      <c r="G1677" s="40">
        <v>1705</v>
      </c>
      <c r="H1677" s="40" t="s">
        <v>402</v>
      </c>
      <c r="I1677" s="40" t="s">
        <v>402</v>
      </c>
      <c r="J1677" s="66" t="s">
        <v>402</v>
      </c>
      <c r="K1677" s="65" t="s">
        <v>402</v>
      </c>
      <c r="L1677" s="38" t="s">
        <v>637</v>
      </c>
    </row>
    <row r="1678" spans="1:12" ht="13">
      <c r="A1678" s="18" t="s">
        <v>855</v>
      </c>
      <c r="B1678" s="18" t="s">
        <v>345</v>
      </c>
      <c r="C1678" s="63" t="s">
        <v>856</v>
      </c>
      <c r="D1678" s="18" t="s">
        <v>845</v>
      </c>
      <c r="E1678" s="18" t="s">
        <v>690</v>
      </c>
      <c r="F1678" s="18">
        <v>2004</v>
      </c>
      <c r="G1678" s="40">
        <v>1705</v>
      </c>
      <c r="H1678" s="40" t="s">
        <v>402</v>
      </c>
      <c r="I1678" s="40" t="s">
        <v>402</v>
      </c>
      <c r="J1678" s="66" t="s">
        <v>402</v>
      </c>
      <c r="K1678" s="65" t="s">
        <v>402</v>
      </c>
      <c r="L1678" s="38" t="s">
        <v>637</v>
      </c>
    </row>
    <row r="1679" spans="1:12" ht="13">
      <c r="A1679" s="18" t="s">
        <v>855</v>
      </c>
      <c r="B1679" s="18" t="s">
        <v>345</v>
      </c>
      <c r="C1679" s="63" t="s">
        <v>856</v>
      </c>
      <c r="D1679" s="18" t="s">
        <v>845</v>
      </c>
      <c r="E1679" s="18" t="s">
        <v>690</v>
      </c>
      <c r="F1679" s="18">
        <v>2005</v>
      </c>
      <c r="G1679" s="40">
        <v>1705</v>
      </c>
      <c r="H1679" s="40" t="s">
        <v>402</v>
      </c>
      <c r="I1679" s="40" t="s">
        <v>402</v>
      </c>
      <c r="J1679" s="66" t="s">
        <v>402</v>
      </c>
      <c r="K1679" s="65" t="s">
        <v>402</v>
      </c>
      <c r="L1679" s="38" t="s">
        <v>637</v>
      </c>
    </row>
    <row r="1680" spans="1:12" ht="13">
      <c r="A1680" s="18" t="s">
        <v>855</v>
      </c>
      <c r="B1680" s="18" t="s">
        <v>345</v>
      </c>
      <c r="C1680" s="63" t="s">
        <v>856</v>
      </c>
      <c r="D1680" s="18" t="s">
        <v>845</v>
      </c>
      <c r="E1680" s="18" t="s">
        <v>690</v>
      </c>
      <c r="F1680" s="18">
        <v>2007</v>
      </c>
      <c r="G1680" s="40">
        <v>1894</v>
      </c>
      <c r="H1680" s="40" t="s">
        <v>402</v>
      </c>
      <c r="I1680" s="40" t="s">
        <v>402</v>
      </c>
      <c r="J1680" s="66" t="s">
        <v>402</v>
      </c>
      <c r="K1680" s="65" t="s">
        <v>402</v>
      </c>
      <c r="L1680" s="38" t="s">
        <v>637</v>
      </c>
    </row>
    <row r="1681" spans="1:12" ht="13">
      <c r="A1681" s="18" t="s">
        <v>855</v>
      </c>
      <c r="B1681" s="18" t="s">
        <v>345</v>
      </c>
      <c r="C1681" s="63" t="s">
        <v>856</v>
      </c>
      <c r="D1681" s="18" t="s">
        <v>845</v>
      </c>
      <c r="E1681" s="18" t="s">
        <v>690</v>
      </c>
      <c r="F1681" s="18">
        <v>2009</v>
      </c>
      <c r="G1681" s="40">
        <v>1941</v>
      </c>
      <c r="H1681" s="40" t="s">
        <v>402</v>
      </c>
      <c r="I1681" s="40" t="s">
        <v>402</v>
      </c>
      <c r="J1681" s="66" t="s">
        <v>402</v>
      </c>
      <c r="K1681" s="65" t="s">
        <v>402</v>
      </c>
      <c r="L1681" s="38" t="s">
        <v>637</v>
      </c>
    </row>
    <row r="1682" spans="1:12" ht="13">
      <c r="A1682" s="18" t="s">
        <v>855</v>
      </c>
      <c r="B1682" s="18" t="s">
        <v>345</v>
      </c>
      <c r="C1682" s="63" t="s">
        <v>856</v>
      </c>
      <c r="D1682" s="18" t="s">
        <v>845</v>
      </c>
      <c r="E1682" s="18" t="s">
        <v>690</v>
      </c>
      <c r="F1682" s="18">
        <v>2010</v>
      </c>
      <c r="G1682" s="40">
        <v>2083</v>
      </c>
      <c r="H1682" s="40" t="s">
        <v>402</v>
      </c>
      <c r="I1682" s="40" t="s">
        <v>402</v>
      </c>
      <c r="J1682" s="66" t="s">
        <v>402</v>
      </c>
      <c r="K1682" s="65" t="s">
        <v>402</v>
      </c>
      <c r="L1682" s="38" t="s">
        <v>637</v>
      </c>
    </row>
    <row r="1683" spans="1:12" ht="13">
      <c r="A1683" s="18" t="s">
        <v>855</v>
      </c>
      <c r="B1683" s="18" t="s">
        <v>345</v>
      </c>
      <c r="C1683" s="63" t="s">
        <v>856</v>
      </c>
      <c r="D1683" s="18" t="s">
        <v>845</v>
      </c>
      <c r="E1683" s="18" t="s">
        <v>690</v>
      </c>
      <c r="F1683" s="18">
        <v>2011</v>
      </c>
      <c r="G1683" s="40">
        <v>2273</v>
      </c>
      <c r="H1683" s="40" t="s">
        <v>402</v>
      </c>
      <c r="I1683" s="40" t="s">
        <v>402</v>
      </c>
      <c r="J1683" s="66" t="s">
        <v>402</v>
      </c>
      <c r="K1683" s="65" t="s">
        <v>402</v>
      </c>
      <c r="L1683" s="38" t="s">
        <v>637</v>
      </c>
    </row>
    <row r="1684" spans="1:12" ht="13">
      <c r="A1684" s="18" t="s">
        <v>855</v>
      </c>
      <c r="B1684" s="18" t="s">
        <v>345</v>
      </c>
      <c r="C1684" s="63" t="s">
        <v>856</v>
      </c>
      <c r="D1684" s="18" t="s">
        <v>845</v>
      </c>
      <c r="E1684" s="18" t="s">
        <v>690</v>
      </c>
      <c r="F1684" s="18">
        <v>2013</v>
      </c>
      <c r="G1684" s="40">
        <v>2652</v>
      </c>
      <c r="H1684" s="40" t="s">
        <v>402</v>
      </c>
      <c r="I1684" s="40" t="s">
        <v>402</v>
      </c>
      <c r="J1684" s="66" t="s">
        <v>402</v>
      </c>
      <c r="K1684" s="65" t="s">
        <v>402</v>
      </c>
      <c r="L1684" s="38" t="s">
        <v>637</v>
      </c>
    </row>
    <row r="1685" spans="1:12" ht="1.5" customHeight="1">
      <c r="A1685" s="18" t="s">
        <v>855</v>
      </c>
      <c r="B1685" s="18" t="s">
        <v>345</v>
      </c>
      <c r="C1685" s="63" t="s">
        <v>856</v>
      </c>
      <c r="D1685" s="18" t="s">
        <v>845</v>
      </c>
      <c r="E1685" s="18" t="s">
        <v>690</v>
      </c>
      <c r="F1685" s="18">
        <v>2015</v>
      </c>
      <c r="G1685" s="40">
        <v>2699</v>
      </c>
      <c r="H1685" s="40" t="s">
        <v>402</v>
      </c>
      <c r="I1685" s="40" t="s">
        <v>402</v>
      </c>
      <c r="J1685" s="66" t="s">
        <v>402</v>
      </c>
      <c r="K1685" s="65" t="s">
        <v>402</v>
      </c>
      <c r="L1685" s="38" t="s">
        <v>637</v>
      </c>
    </row>
    <row r="1686" spans="1:12" ht="13">
      <c r="A1686" s="18" t="s">
        <v>855</v>
      </c>
      <c r="B1686" s="18" t="s">
        <v>345</v>
      </c>
      <c r="C1686" s="63" t="s">
        <v>856</v>
      </c>
      <c r="D1686" s="18" t="s">
        <v>845</v>
      </c>
      <c r="E1686" s="18" t="s">
        <v>690</v>
      </c>
      <c r="F1686" s="18">
        <v>2017</v>
      </c>
      <c r="G1686" s="40">
        <v>2225</v>
      </c>
      <c r="H1686" s="40" t="s">
        <v>402</v>
      </c>
      <c r="I1686" s="40" t="s">
        <v>402</v>
      </c>
      <c r="J1686" s="66" t="s">
        <v>402</v>
      </c>
      <c r="K1686" s="65" t="s">
        <v>402</v>
      </c>
      <c r="L1686" s="38" t="s">
        <v>637</v>
      </c>
    </row>
    <row r="1687" spans="1:12" ht="13">
      <c r="A1687" s="18" t="s">
        <v>855</v>
      </c>
      <c r="B1687" s="18" t="s">
        <v>345</v>
      </c>
      <c r="C1687" s="63" t="s">
        <v>856</v>
      </c>
      <c r="D1687" s="18" t="s">
        <v>845</v>
      </c>
      <c r="E1687" s="18" t="s">
        <v>690</v>
      </c>
      <c r="F1687" s="18">
        <v>2018</v>
      </c>
      <c r="G1687" s="40">
        <v>2557</v>
      </c>
      <c r="H1687" s="40" t="s">
        <v>402</v>
      </c>
      <c r="I1687" s="40" t="s">
        <v>402</v>
      </c>
      <c r="J1687" s="66" t="s">
        <v>402</v>
      </c>
      <c r="K1687" s="65" t="s">
        <v>402</v>
      </c>
      <c r="L1687" s="38" t="s">
        <v>637</v>
      </c>
    </row>
    <row r="1688" spans="1:12" ht="13">
      <c r="A1688" s="18" t="s">
        <v>855</v>
      </c>
      <c r="B1688" s="18" t="s">
        <v>345</v>
      </c>
      <c r="C1688" s="63" t="s">
        <v>856</v>
      </c>
      <c r="D1688" s="18" t="s">
        <v>845</v>
      </c>
      <c r="E1688" s="18" t="s">
        <v>690</v>
      </c>
      <c r="F1688" s="18">
        <v>2019</v>
      </c>
      <c r="G1688" s="40">
        <v>2699</v>
      </c>
      <c r="H1688" s="40" t="s">
        <v>402</v>
      </c>
      <c r="I1688" s="40" t="s">
        <v>402</v>
      </c>
      <c r="J1688" s="66" t="s">
        <v>402</v>
      </c>
      <c r="K1688" s="65" t="s">
        <v>402</v>
      </c>
      <c r="L1688" s="38" t="s">
        <v>637</v>
      </c>
    </row>
    <row r="1689" spans="1:12" ht="13">
      <c r="A1689" s="18" t="s">
        <v>843</v>
      </c>
      <c r="B1689" s="18" t="s">
        <v>345</v>
      </c>
      <c r="C1689" s="63" t="s">
        <v>844</v>
      </c>
      <c r="D1689" s="18" t="s">
        <v>845</v>
      </c>
      <c r="E1689" s="18" t="s">
        <v>647</v>
      </c>
      <c r="F1689" s="18">
        <v>1978</v>
      </c>
      <c r="G1689" s="40">
        <v>17083</v>
      </c>
      <c r="H1689" s="40" t="s">
        <v>402</v>
      </c>
      <c r="I1689" s="40" t="s">
        <v>402</v>
      </c>
      <c r="J1689" s="66" t="s">
        <v>402</v>
      </c>
      <c r="K1689" s="65" t="s">
        <v>402</v>
      </c>
      <c r="L1689" s="38" t="s">
        <v>637</v>
      </c>
    </row>
    <row r="1690" spans="1:12" ht="13">
      <c r="A1690" s="18" t="s">
        <v>843</v>
      </c>
      <c r="B1690" s="18" t="s">
        <v>345</v>
      </c>
      <c r="C1690" s="63" t="s">
        <v>844</v>
      </c>
      <c r="D1690" s="18" t="s">
        <v>845</v>
      </c>
      <c r="E1690" s="18" t="s">
        <v>647</v>
      </c>
      <c r="F1690" s="18">
        <v>1979</v>
      </c>
      <c r="G1690" s="40">
        <v>15833</v>
      </c>
      <c r="H1690" s="40" t="s">
        <v>402</v>
      </c>
      <c r="I1690" s="40" t="s">
        <v>402</v>
      </c>
      <c r="J1690" s="66" t="s">
        <v>402</v>
      </c>
      <c r="K1690" s="65" t="s">
        <v>402</v>
      </c>
      <c r="L1690" s="38" t="s">
        <v>637</v>
      </c>
    </row>
    <row r="1691" spans="1:12" ht="13">
      <c r="A1691" s="18" t="s">
        <v>843</v>
      </c>
      <c r="B1691" s="18" t="s">
        <v>345</v>
      </c>
      <c r="C1691" s="63" t="s">
        <v>844</v>
      </c>
      <c r="D1691" s="18" t="s">
        <v>845</v>
      </c>
      <c r="E1691" s="18" t="s">
        <v>647</v>
      </c>
      <c r="F1691" s="18">
        <v>1982</v>
      </c>
      <c r="G1691" s="40">
        <v>13333</v>
      </c>
      <c r="H1691" s="40" t="s">
        <v>402</v>
      </c>
      <c r="I1691" s="40" t="s">
        <v>402</v>
      </c>
      <c r="J1691" s="66" t="s">
        <v>402</v>
      </c>
      <c r="K1691" s="65" t="s">
        <v>402</v>
      </c>
      <c r="L1691" s="38" t="s">
        <v>637</v>
      </c>
    </row>
    <row r="1692" spans="1:12" ht="13">
      <c r="A1692" s="18" t="s">
        <v>843</v>
      </c>
      <c r="B1692" s="18" t="s">
        <v>345</v>
      </c>
      <c r="C1692" s="63" t="s">
        <v>844</v>
      </c>
      <c r="D1692" s="18" t="s">
        <v>845</v>
      </c>
      <c r="E1692" s="18" t="s">
        <v>647</v>
      </c>
      <c r="F1692" s="18">
        <v>1983</v>
      </c>
      <c r="G1692" s="40">
        <v>12083</v>
      </c>
      <c r="H1692" s="40" t="s">
        <v>402</v>
      </c>
      <c r="I1692" s="40" t="s">
        <v>402</v>
      </c>
      <c r="J1692" s="66" t="s">
        <v>402</v>
      </c>
      <c r="K1692" s="65" t="s">
        <v>402</v>
      </c>
      <c r="L1692" s="38" t="s">
        <v>637</v>
      </c>
    </row>
    <row r="1693" spans="1:12" ht="13">
      <c r="A1693" s="18" t="s">
        <v>843</v>
      </c>
      <c r="B1693" s="18" t="s">
        <v>345</v>
      </c>
      <c r="C1693" s="63" t="s">
        <v>844</v>
      </c>
      <c r="D1693" s="18" t="s">
        <v>845</v>
      </c>
      <c r="E1693" s="18" t="s">
        <v>647</v>
      </c>
      <c r="F1693" s="18">
        <v>1984</v>
      </c>
      <c r="G1693" s="40">
        <v>13542</v>
      </c>
      <c r="H1693" s="40" t="s">
        <v>402</v>
      </c>
      <c r="I1693" s="40" t="s">
        <v>402</v>
      </c>
      <c r="J1693" s="66" t="s">
        <v>402</v>
      </c>
      <c r="K1693" s="65" t="s">
        <v>402</v>
      </c>
      <c r="L1693" s="38" t="s">
        <v>637</v>
      </c>
    </row>
    <row r="1694" spans="1:12" ht="13">
      <c r="A1694" s="18" t="s">
        <v>843</v>
      </c>
      <c r="B1694" s="18" t="s">
        <v>345</v>
      </c>
      <c r="C1694" s="63" t="s">
        <v>844</v>
      </c>
      <c r="D1694" s="18" t="s">
        <v>845</v>
      </c>
      <c r="E1694" s="18" t="s">
        <v>647</v>
      </c>
      <c r="F1694" s="18">
        <v>1985</v>
      </c>
      <c r="G1694" s="40">
        <v>12708</v>
      </c>
      <c r="H1694" s="40" t="s">
        <v>402</v>
      </c>
      <c r="I1694" s="40" t="s">
        <v>402</v>
      </c>
      <c r="J1694" s="66" t="s">
        <v>402</v>
      </c>
      <c r="K1694" s="65" t="s">
        <v>402</v>
      </c>
      <c r="L1694" s="38" t="s">
        <v>637</v>
      </c>
    </row>
    <row r="1695" spans="1:12" ht="13">
      <c r="A1695" s="18" t="s">
        <v>843</v>
      </c>
      <c r="B1695" s="18" t="s">
        <v>345</v>
      </c>
      <c r="C1695" s="63" t="s">
        <v>844</v>
      </c>
      <c r="D1695" s="18" t="s">
        <v>845</v>
      </c>
      <c r="E1695" s="18" t="s">
        <v>647</v>
      </c>
      <c r="F1695" s="18">
        <v>1986</v>
      </c>
      <c r="G1695" s="40">
        <v>10417</v>
      </c>
      <c r="H1695" s="40" t="s">
        <v>402</v>
      </c>
      <c r="I1695" s="40" t="s">
        <v>402</v>
      </c>
      <c r="J1695" s="66" t="s">
        <v>402</v>
      </c>
      <c r="K1695" s="65" t="s">
        <v>402</v>
      </c>
      <c r="L1695" s="38" t="s">
        <v>637</v>
      </c>
    </row>
    <row r="1696" spans="1:12" ht="13">
      <c r="A1696" s="18" t="s">
        <v>843</v>
      </c>
      <c r="B1696" s="18" t="s">
        <v>345</v>
      </c>
      <c r="C1696" s="63" t="s">
        <v>844</v>
      </c>
      <c r="D1696" s="18" t="s">
        <v>845</v>
      </c>
      <c r="E1696" s="18" t="s">
        <v>647</v>
      </c>
      <c r="F1696" s="18">
        <v>1987</v>
      </c>
      <c r="G1696" s="40">
        <v>8333</v>
      </c>
      <c r="H1696" s="40" t="s">
        <v>402</v>
      </c>
      <c r="I1696" s="40" t="s">
        <v>402</v>
      </c>
      <c r="J1696" s="66" t="s">
        <v>402</v>
      </c>
      <c r="K1696" s="65" t="s">
        <v>402</v>
      </c>
      <c r="L1696" s="38" t="s">
        <v>637</v>
      </c>
    </row>
    <row r="1697" spans="1:12" ht="13">
      <c r="A1697" s="18" t="s">
        <v>843</v>
      </c>
      <c r="B1697" s="18" t="s">
        <v>345</v>
      </c>
      <c r="C1697" s="63" t="s">
        <v>844</v>
      </c>
      <c r="D1697" s="18" t="s">
        <v>845</v>
      </c>
      <c r="E1697" s="18" t="s">
        <v>647</v>
      </c>
      <c r="F1697" s="18">
        <v>1988</v>
      </c>
      <c r="G1697" s="40">
        <v>7500</v>
      </c>
      <c r="H1697" s="40" t="s">
        <v>402</v>
      </c>
      <c r="I1697" s="40" t="s">
        <v>402</v>
      </c>
      <c r="J1697" s="66" t="s">
        <v>402</v>
      </c>
      <c r="K1697" s="65" t="s">
        <v>402</v>
      </c>
      <c r="L1697" s="38" t="s">
        <v>637</v>
      </c>
    </row>
    <row r="1698" spans="1:12" ht="13">
      <c r="A1698" s="18" t="s">
        <v>843</v>
      </c>
      <c r="B1698" s="18" t="s">
        <v>345</v>
      </c>
      <c r="C1698" s="63" t="s">
        <v>844</v>
      </c>
      <c r="D1698" s="18" t="s">
        <v>845</v>
      </c>
      <c r="E1698" s="18" t="s">
        <v>647</v>
      </c>
      <c r="F1698" s="18">
        <v>1989</v>
      </c>
      <c r="G1698" s="40">
        <v>4375</v>
      </c>
      <c r="H1698" s="40" t="s">
        <v>402</v>
      </c>
      <c r="I1698" s="40" t="s">
        <v>402</v>
      </c>
      <c r="J1698" s="66" t="s">
        <v>402</v>
      </c>
      <c r="K1698" s="65" t="s">
        <v>402</v>
      </c>
      <c r="L1698" s="38" t="s">
        <v>637</v>
      </c>
    </row>
    <row r="1699" spans="1:12" ht="13">
      <c r="A1699" s="18" t="s">
        <v>843</v>
      </c>
      <c r="B1699" s="18" t="s">
        <v>345</v>
      </c>
      <c r="C1699" s="63" t="s">
        <v>844</v>
      </c>
      <c r="D1699" s="18" t="s">
        <v>845</v>
      </c>
      <c r="E1699" s="18" t="s">
        <v>647</v>
      </c>
      <c r="F1699" s="18">
        <v>1990</v>
      </c>
      <c r="G1699" s="40">
        <v>6250</v>
      </c>
      <c r="H1699" s="40" t="s">
        <v>402</v>
      </c>
      <c r="I1699" s="40" t="s">
        <v>402</v>
      </c>
      <c r="J1699" s="66" t="s">
        <v>402</v>
      </c>
      <c r="K1699" s="65" t="s">
        <v>402</v>
      </c>
      <c r="L1699" s="38" t="s">
        <v>637</v>
      </c>
    </row>
    <row r="1700" spans="1:12" ht="13">
      <c r="A1700" s="18" t="s">
        <v>843</v>
      </c>
      <c r="B1700" s="18" t="s">
        <v>345</v>
      </c>
      <c r="C1700" s="63" t="s">
        <v>844</v>
      </c>
      <c r="D1700" s="18" t="s">
        <v>845</v>
      </c>
      <c r="E1700" s="18" t="s">
        <v>647</v>
      </c>
      <c r="F1700" s="18">
        <v>1991</v>
      </c>
      <c r="G1700" s="40">
        <v>6250</v>
      </c>
      <c r="H1700" s="40" t="s">
        <v>402</v>
      </c>
      <c r="I1700" s="40" t="s">
        <v>402</v>
      </c>
      <c r="J1700" s="66" t="s">
        <v>402</v>
      </c>
      <c r="K1700" s="65" t="s">
        <v>402</v>
      </c>
      <c r="L1700" s="38" t="s">
        <v>637</v>
      </c>
    </row>
    <row r="1701" spans="1:12" ht="13">
      <c r="A1701" s="18" t="s">
        <v>843</v>
      </c>
      <c r="B1701" s="18" t="s">
        <v>345</v>
      </c>
      <c r="C1701" s="63" t="s">
        <v>844</v>
      </c>
      <c r="D1701" s="18" t="s">
        <v>845</v>
      </c>
      <c r="E1701" s="18" t="s">
        <v>647</v>
      </c>
      <c r="F1701" s="18">
        <v>1992</v>
      </c>
      <c r="G1701" s="40">
        <v>6875</v>
      </c>
      <c r="H1701" s="40" t="s">
        <v>402</v>
      </c>
      <c r="I1701" s="40" t="s">
        <v>402</v>
      </c>
      <c r="J1701" s="66" t="s">
        <v>402</v>
      </c>
      <c r="K1701" s="65" t="s">
        <v>402</v>
      </c>
      <c r="L1701" s="38" t="s">
        <v>637</v>
      </c>
    </row>
    <row r="1702" spans="1:12" ht="13">
      <c r="A1702" s="18" t="s">
        <v>843</v>
      </c>
      <c r="B1702" s="18" t="s">
        <v>345</v>
      </c>
      <c r="C1702" s="63" t="s">
        <v>844</v>
      </c>
      <c r="D1702" s="18" t="s">
        <v>845</v>
      </c>
      <c r="E1702" s="18" t="s">
        <v>647</v>
      </c>
      <c r="F1702" s="18">
        <v>1993</v>
      </c>
      <c r="G1702" s="40">
        <v>6667</v>
      </c>
      <c r="H1702" s="40" t="s">
        <v>402</v>
      </c>
      <c r="I1702" s="40" t="s">
        <v>402</v>
      </c>
      <c r="J1702" s="66" t="s">
        <v>402</v>
      </c>
      <c r="K1702" s="65" t="s">
        <v>402</v>
      </c>
      <c r="L1702" s="38" t="s">
        <v>637</v>
      </c>
    </row>
    <row r="1703" spans="1:12" ht="13">
      <c r="A1703" s="18" t="s">
        <v>843</v>
      </c>
      <c r="B1703" s="18" t="s">
        <v>345</v>
      </c>
      <c r="C1703" s="63" t="s">
        <v>844</v>
      </c>
      <c r="D1703" s="18" t="s">
        <v>845</v>
      </c>
      <c r="E1703" s="18" t="s">
        <v>647</v>
      </c>
      <c r="F1703" s="18">
        <v>1994</v>
      </c>
      <c r="G1703" s="40">
        <v>6771</v>
      </c>
      <c r="H1703" s="40" t="s">
        <v>402</v>
      </c>
      <c r="I1703" s="40" t="s">
        <v>402</v>
      </c>
      <c r="J1703" s="66" t="s">
        <v>402</v>
      </c>
      <c r="K1703" s="65" t="s">
        <v>402</v>
      </c>
      <c r="L1703" s="38" t="s">
        <v>637</v>
      </c>
    </row>
    <row r="1704" spans="1:12" ht="13">
      <c r="A1704" s="18" t="s">
        <v>843</v>
      </c>
      <c r="B1704" s="18" t="s">
        <v>345</v>
      </c>
      <c r="C1704" s="63" t="s">
        <v>844</v>
      </c>
      <c r="D1704" s="18" t="s">
        <v>845</v>
      </c>
      <c r="E1704" s="18" t="s">
        <v>647</v>
      </c>
      <c r="F1704" s="18">
        <v>1996</v>
      </c>
      <c r="G1704" s="40">
        <v>6979</v>
      </c>
      <c r="H1704" s="40" t="s">
        <v>402</v>
      </c>
      <c r="I1704" s="40" t="s">
        <v>402</v>
      </c>
      <c r="J1704" s="66" t="s">
        <v>402</v>
      </c>
      <c r="K1704" s="65" t="s">
        <v>402</v>
      </c>
      <c r="L1704" s="38" t="s">
        <v>637</v>
      </c>
    </row>
    <row r="1705" spans="1:12" ht="13">
      <c r="A1705" s="18" t="s">
        <v>843</v>
      </c>
      <c r="B1705" s="18" t="s">
        <v>345</v>
      </c>
      <c r="C1705" s="63" t="s">
        <v>844</v>
      </c>
      <c r="D1705" s="18" t="s">
        <v>845</v>
      </c>
      <c r="E1705" s="18" t="s">
        <v>647</v>
      </c>
      <c r="F1705" s="18">
        <v>1997</v>
      </c>
      <c r="G1705" s="40">
        <v>6562</v>
      </c>
      <c r="H1705" s="40" t="s">
        <v>402</v>
      </c>
      <c r="I1705" s="40" t="s">
        <v>402</v>
      </c>
      <c r="J1705" s="66" t="s">
        <v>402</v>
      </c>
      <c r="K1705" s="65" t="s">
        <v>402</v>
      </c>
      <c r="L1705" s="38" t="s">
        <v>637</v>
      </c>
    </row>
    <row r="1706" spans="1:12" ht="13">
      <c r="A1706" s="18" t="s">
        <v>843</v>
      </c>
      <c r="B1706" s="18" t="s">
        <v>345</v>
      </c>
      <c r="C1706" s="63" t="s">
        <v>844</v>
      </c>
      <c r="D1706" s="18" t="s">
        <v>845</v>
      </c>
      <c r="E1706" s="18" t="s">
        <v>647</v>
      </c>
      <c r="F1706" s="18">
        <v>1998</v>
      </c>
      <c r="G1706" s="40">
        <v>6667</v>
      </c>
      <c r="H1706" s="40" t="s">
        <v>402</v>
      </c>
      <c r="I1706" s="40" t="s">
        <v>402</v>
      </c>
      <c r="J1706" s="66" t="s">
        <v>402</v>
      </c>
      <c r="K1706" s="65" t="s">
        <v>402</v>
      </c>
      <c r="L1706" s="38" t="s">
        <v>637</v>
      </c>
    </row>
    <row r="1707" spans="1:12" ht="13">
      <c r="A1707" s="18" t="s">
        <v>843</v>
      </c>
      <c r="B1707" s="18" t="s">
        <v>345</v>
      </c>
      <c r="C1707" s="63" t="s">
        <v>844</v>
      </c>
      <c r="D1707" s="18" t="s">
        <v>845</v>
      </c>
      <c r="E1707" s="18" t="s">
        <v>647</v>
      </c>
      <c r="F1707" s="18">
        <v>1999</v>
      </c>
      <c r="G1707" s="40">
        <v>6667</v>
      </c>
      <c r="H1707" s="40" t="s">
        <v>402</v>
      </c>
      <c r="I1707" s="40" t="s">
        <v>402</v>
      </c>
      <c r="J1707" s="66" t="s">
        <v>402</v>
      </c>
      <c r="K1707" s="65" t="s">
        <v>402</v>
      </c>
      <c r="L1707" s="38" t="s">
        <v>637</v>
      </c>
    </row>
    <row r="1708" spans="1:12" ht="13">
      <c r="A1708" s="18" t="s">
        <v>843</v>
      </c>
      <c r="B1708" s="18" t="s">
        <v>345</v>
      </c>
      <c r="C1708" s="63" t="s">
        <v>844</v>
      </c>
      <c r="D1708" s="18" t="s">
        <v>845</v>
      </c>
      <c r="E1708" s="18" t="s">
        <v>647</v>
      </c>
      <c r="F1708" s="18">
        <v>2000</v>
      </c>
      <c r="G1708" s="40">
        <v>5833</v>
      </c>
      <c r="H1708" s="40" t="s">
        <v>402</v>
      </c>
      <c r="I1708" s="40" t="s">
        <v>402</v>
      </c>
      <c r="J1708" s="66" t="s">
        <v>402</v>
      </c>
      <c r="K1708" s="65" t="s">
        <v>402</v>
      </c>
      <c r="L1708" s="38" t="s">
        <v>637</v>
      </c>
    </row>
    <row r="1709" spans="1:12" ht="13">
      <c r="A1709" s="18" t="s">
        <v>843</v>
      </c>
      <c r="B1709" s="18" t="s">
        <v>345</v>
      </c>
      <c r="C1709" s="63" t="s">
        <v>844</v>
      </c>
      <c r="D1709" s="18" t="s">
        <v>845</v>
      </c>
      <c r="E1709" s="18" t="s">
        <v>647</v>
      </c>
      <c r="F1709" s="18">
        <v>2001</v>
      </c>
      <c r="G1709" s="40">
        <v>6667</v>
      </c>
      <c r="H1709" s="40" t="s">
        <v>402</v>
      </c>
      <c r="I1709" s="40" t="s">
        <v>402</v>
      </c>
      <c r="J1709" s="66" t="s">
        <v>402</v>
      </c>
      <c r="K1709" s="65" t="s">
        <v>402</v>
      </c>
      <c r="L1709" s="38" t="s">
        <v>637</v>
      </c>
    </row>
    <row r="1710" spans="1:12" ht="13">
      <c r="A1710" s="18" t="s">
        <v>843</v>
      </c>
      <c r="B1710" s="18" t="s">
        <v>345</v>
      </c>
      <c r="C1710" s="63" t="s">
        <v>844</v>
      </c>
      <c r="D1710" s="18" t="s">
        <v>845</v>
      </c>
      <c r="E1710" s="18" t="s">
        <v>647</v>
      </c>
      <c r="F1710" s="18">
        <v>2002</v>
      </c>
      <c r="G1710" s="40">
        <v>6042</v>
      </c>
      <c r="H1710" s="40" t="s">
        <v>402</v>
      </c>
      <c r="I1710" s="40" t="s">
        <v>402</v>
      </c>
      <c r="J1710" s="66" t="s">
        <v>402</v>
      </c>
      <c r="K1710" s="65" t="s">
        <v>402</v>
      </c>
      <c r="L1710" s="38" t="s">
        <v>637</v>
      </c>
    </row>
    <row r="1711" spans="1:12" ht="13">
      <c r="A1711" s="18" t="s">
        <v>843</v>
      </c>
      <c r="B1711" s="18" t="s">
        <v>345</v>
      </c>
      <c r="C1711" s="63" t="s">
        <v>844</v>
      </c>
      <c r="D1711" s="18" t="s">
        <v>845</v>
      </c>
      <c r="E1711" s="18" t="s">
        <v>647</v>
      </c>
      <c r="F1711" s="18">
        <v>2004</v>
      </c>
      <c r="G1711" s="40">
        <v>7083</v>
      </c>
      <c r="H1711" s="40" t="s">
        <v>402</v>
      </c>
      <c r="I1711" s="40" t="s">
        <v>402</v>
      </c>
      <c r="J1711" s="66" t="s">
        <v>402</v>
      </c>
      <c r="K1711" s="65" t="s">
        <v>402</v>
      </c>
      <c r="L1711" s="38" t="s">
        <v>637</v>
      </c>
    </row>
    <row r="1712" spans="1:12" ht="13">
      <c r="A1712" s="18" t="s">
        <v>843</v>
      </c>
      <c r="B1712" s="18" t="s">
        <v>345</v>
      </c>
      <c r="C1712" s="63" t="s">
        <v>844</v>
      </c>
      <c r="D1712" s="18" t="s">
        <v>845</v>
      </c>
      <c r="E1712" s="18" t="s">
        <v>647</v>
      </c>
      <c r="F1712" s="18">
        <v>2005</v>
      </c>
      <c r="G1712" s="40">
        <v>7083</v>
      </c>
      <c r="H1712" s="40" t="s">
        <v>402</v>
      </c>
      <c r="I1712" s="40" t="s">
        <v>402</v>
      </c>
      <c r="J1712" s="66" t="s">
        <v>402</v>
      </c>
      <c r="K1712" s="65" t="s">
        <v>402</v>
      </c>
      <c r="L1712" s="38" t="s">
        <v>637</v>
      </c>
    </row>
    <row r="1713" spans="1:12" ht="13">
      <c r="A1713" s="18" t="s">
        <v>843</v>
      </c>
      <c r="B1713" s="18" t="s">
        <v>345</v>
      </c>
      <c r="C1713" s="63" t="s">
        <v>844</v>
      </c>
      <c r="D1713" s="18" t="s">
        <v>845</v>
      </c>
      <c r="E1713" s="18" t="s">
        <v>647</v>
      </c>
      <c r="F1713" s="18">
        <v>2006</v>
      </c>
      <c r="G1713" s="40">
        <v>7083</v>
      </c>
      <c r="H1713" s="40" t="s">
        <v>402</v>
      </c>
      <c r="I1713" s="40" t="s">
        <v>402</v>
      </c>
      <c r="J1713" s="66" t="s">
        <v>402</v>
      </c>
      <c r="K1713" s="65" t="s">
        <v>402</v>
      </c>
      <c r="L1713" s="38" t="s">
        <v>637</v>
      </c>
    </row>
    <row r="1714" spans="1:12" ht="13">
      <c r="A1714" s="18" t="s">
        <v>843</v>
      </c>
      <c r="B1714" s="18" t="s">
        <v>345</v>
      </c>
      <c r="C1714" s="63" t="s">
        <v>844</v>
      </c>
      <c r="D1714" s="18" t="s">
        <v>845</v>
      </c>
      <c r="E1714" s="18" t="s">
        <v>647</v>
      </c>
      <c r="F1714" s="18">
        <v>2007</v>
      </c>
      <c r="G1714" s="40">
        <v>7083</v>
      </c>
      <c r="H1714" s="40" t="s">
        <v>402</v>
      </c>
      <c r="I1714" s="40" t="s">
        <v>402</v>
      </c>
      <c r="J1714" s="66" t="s">
        <v>402</v>
      </c>
      <c r="K1714" s="65" t="s">
        <v>402</v>
      </c>
      <c r="L1714" s="38" t="s">
        <v>637</v>
      </c>
    </row>
    <row r="1715" spans="1:12" ht="13">
      <c r="A1715" s="18" t="s">
        <v>843</v>
      </c>
      <c r="B1715" s="18" t="s">
        <v>345</v>
      </c>
      <c r="C1715" s="63" t="s">
        <v>844</v>
      </c>
      <c r="D1715" s="18" t="s">
        <v>845</v>
      </c>
      <c r="E1715" s="18" t="s">
        <v>647</v>
      </c>
      <c r="F1715" s="18">
        <v>2008</v>
      </c>
      <c r="G1715" s="40">
        <v>7500</v>
      </c>
      <c r="H1715" s="40" t="s">
        <v>402</v>
      </c>
      <c r="I1715" s="40" t="s">
        <v>402</v>
      </c>
      <c r="J1715" s="66" t="s">
        <v>402</v>
      </c>
      <c r="K1715" s="65" t="s">
        <v>402</v>
      </c>
      <c r="L1715" s="38" t="s">
        <v>637</v>
      </c>
    </row>
    <row r="1716" spans="1:12" ht="13">
      <c r="A1716" s="18" t="s">
        <v>843</v>
      </c>
      <c r="B1716" s="18" t="s">
        <v>345</v>
      </c>
      <c r="C1716" s="63" t="s">
        <v>844</v>
      </c>
      <c r="D1716" s="18" t="s">
        <v>845</v>
      </c>
      <c r="E1716" s="18" t="s">
        <v>647</v>
      </c>
      <c r="F1716" s="18">
        <v>2009</v>
      </c>
      <c r="G1716" s="40">
        <v>7500</v>
      </c>
      <c r="H1716" s="40" t="s">
        <v>402</v>
      </c>
      <c r="I1716" s="40" t="s">
        <v>402</v>
      </c>
      <c r="J1716" s="66" t="s">
        <v>402</v>
      </c>
      <c r="K1716" s="65" t="s">
        <v>402</v>
      </c>
      <c r="L1716" s="38" t="s">
        <v>637</v>
      </c>
    </row>
    <row r="1717" spans="1:12" ht="13">
      <c r="A1717" s="18" t="s">
        <v>843</v>
      </c>
      <c r="B1717" s="18" t="s">
        <v>345</v>
      </c>
      <c r="C1717" s="63" t="s">
        <v>844</v>
      </c>
      <c r="D1717" s="18" t="s">
        <v>845</v>
      </c>
      <c r="E1717" s="18" t="s">
        <v>647</v>
      </c>
      <c r="F1717" s="18">
        <v>2010</v>
      </c>
      <c r="G1717" s="40">
        <v>7917</v>
      </c>
      <c r="H1717" s="40" t="s">
        <v>402</v>
      </c>
      <c r="I1717" s="40" t="s">
        <v>402</v>
      </c>
      <c r="J1717" s="66" t="s">
        <v>402</v>
      </c>
      <c r="K1717" s="65" t="s">
        <v>402</v>
      </c>
      <c r="L1717" s="38" t="s">
        <v>637</v>
      </c>
    </row>
    <row r="1718" spans="1:12" ht="13">
      <c r="A1718" s="18" t="s">
        <v>843</v>
      </c>
      <c r="B1718" s="18" t="s">
        <v>345</v>
      </c>
      <c r="C1718" s="63" t="s">
        <v>844</v>
      </c>
      <c r="D1718" s="18" t="s">
        <v>845</v>
      </c>
      <c r="E1718" s="18" t="s">
        <v>647</v>
      </c>
      <c r="F1718" s="18">
        <v>2011</v>
      </c>
      <c r="G1718" s="40">
        <v>7500</v>
      </c>
      <c r="H1718" s="40" t="s">
        <v>402</v>
      </c>
      <c r="I1718" s="40" t="s">
        <v>402</v>
      </c>
      <c r="J1718" s="66" t="s">
        <v>402</v>
      </c>
      <c r="K1718" s="65" t="s">
        <v>402</v>
      </c>
      <c r="L1718" s="38" t="s">
        <v>637</v>
      </c>
    </row>
    <row r="1719" spans="1:12" ht="13">
      <c r="A1719" s="18" t="s">
        <v>843</v>
      </c>
      <c r="B1719" s="18" t="s">
        <v>345</v>
      </c>
      <c r="C1719" s="63" t="s">
        <v>844</v>
      </c>
      <c r="D1719" s="18" t="s">
        <v>845</v>
      </c>
      <c r="E1719" s="18" t="s">
        <v>647</v>
      </c>
      <c r="F1719" s="18">
        <v>2012</v>
      </c>
      <c r="G1719" s="40">
        <v>7917</v>
      </c>
      <c r="H1719" s="40" t="s">
        <v>402</v>
      </c>
      <c r="I1719" s="40" t="s">
        <v>402</v>
      </c>
      <c r="J1719" s="66" t="s">
        <v>402</v>
      </c>
      <c r="K1719" s="65" t="s">
        <v>402</v>
      </c>
      <c r="L1719" s="38" t="s">
        <v>637</v>
      </c>
    </row>
    <row r="1720" spans="1:12" ht="13">
      <c r="A1720" s="18" t="s">
        <v>843</v>
      </c>
      <c r="B1720" s="18" t="s">
        <v>345</v>
      </c>
      <c r="C1720" s="63" t="s">
        <v>844</v>
      </c>
      <c r="D1720" s="18" t="s">
        <v>845</v>
      </c>
      <c r="E1720" s="18" t="s">
        <v>647</v>
      </c>
      <c r="F1720" s="18">
        <v>2013</v>
      </c>
      <c r="G1720" s="40">
        <v>7917</v>
      </c>
      <c r="H1720" s="40" t="s">
        <v>402</v>
      </c>
      <c r="I1720" s="40" t="s">
        <v>402</v>
      </c>
      <c r="J1720" s="66" t="s">
        <v>402</v>
      </c>
      <c r="K1720" s="65" t="s">
        <v>402</v>
      </c>
      <c r="L1720" s="38" t="s">
        <v>637</v>
      </c>
    </row>
    <row r="1721" spans="1:12" ht="13">
      <c r="A1721" s="18" t="s">
        <v>843</v>
      </c>
      <c r="B1721" s="18" t="s">
        <v>345</v>
      </c>
      <c r="C1721" s="63" t="s">
        <v>844</v>
      </c>
      <c r="D1721" s="18" t="s">
        <v>845</v>
      </c>
      <c r="E1721" s="18" t="s">
        <v>647</v>
      </c>
      <c r="F1721" s="18">
        <v>2014</v>
      </c>
      <c r="G1721" s="40">
        <v>7812</v>
      </c>
      <c r="H1721" s="40" t="s">
        <v>402</v>
      </c>
      <c r="I1721" s="40" t="s">
        <v>402</v>
      </c>
      <c r="J1721" s="66" t="s">
        <v>402</v>
      </c>
      <c r="K1721" s="65" t="s">
        <v>402</v>
      </c>
      <c r="L1721" s="38" t="s">
        <v>637</v>
      </c>
    </row>
    <row r="1722" spans="1:12" ht="13">
      <c r="A1722" s="18" t="s">
        <v>843</v>
      </c>
      <c r="B1722" s="18" t="s">
        <v>345</v>
      </c>
      <c r="C1722" s="63" t="s">
        <v>844</v>
      </c>
      <c r="D1722" s="18" t="s">
        <v>845</v>
      </c>
      <c r="E1722" s="18" t="s">
        <v>647</v>
      </c>
      <c r="F1722" s="18">
        <v>2015</v>
      </c>
      <c r="G1722" s="40">
        <v>8333</v>
      </c>
      <c r="H1722" s="40" t="s">
        <v>402</v>
      </c>
      <c r="I1722" s="40" t="s">
        <v>402</v>
      </c>
      <c r="J1722" s="66" t="s">
        <v>402</v>
      </c>
      <c r="K1722" s="65" t="s">
        <v>402</v>
      </c>
      <c r="L1722" s="38" t="s">
        <v>637</v>
      </c>
    </row>
    <row r="1723" spans="1:12" ht="13">
      <c r="A1723" s="18" t="s">
        <v>843</v>
      </c>
      <c r="B1723" s="18" t="s">
        <v>345</v>
      </c>
      <c r="C1723" s="63" t="s">
        <v>844</v>
      </c>
      <c r="D1723" s="18" t="s">
        <v>845</v>
      </c>
      <c r="E1723" s="18" t="s">
        <v>647</v>
      </c>
      <c r="F1723" s="18">
        <v>2016</v>
      </c>
      <c r="G1723" s="40">
        <v>8333</v>
      </c>
      <c r="H1723" s="40" t="s">
        <v>402</v>
      </c>
      <c r="I1723" s="40" t="s">
        <v>402</v>
      </c>
      <c r="J1723" s="66" t="s">
        <v>402</v>
      </c>
      <c r="K1723" s="65" t="s">
        <v>402</v>
      </c>
      <c r="L1723" s="38" t="s">
        <v>637</v>
      </c>
    </row>
    <row r="1724" spans="1:12" ht="13">
      <c r="A1724" s="18" t="s">
        <v>843</v>
      </c>
      <c r="B1724" s="18" t="s">
        <v>345</v>
      </c>
      <c r="C1724" s="63" t="s">
        <v>844</v>
      </c>
      <c r="D1724" s="18" t="s">
        <v>845</v>
      </c>
      <c r="E1724" s="18" t="s">
        <v>647</v>
      </c>
      <c r="F1724" s="18">
        <v>2017</v>
      </c>
      <c r="G1724" s="40">
        <v>8750</v>
      </c>
      <c r="H1724" s="40" t="s">
        <v>402</v>
      </c>
      <c r="I1724" s="40" t="s">
        <v>402</v>
      </c>
      <c r="J1724" s="66" t="s">
        <v>402</v>
      </c>
      <c r="K1724" s="65" t="s">
        <v>402</v>
      </c>
      <c r="L1724" s="38" t="s">
        <v>637</v>
      </c>
    </row>
    <row r="1725" spans="1:12" ht="13">
      <c r="A1725" s="18" t="s">
        <v>843</v>
      </c>
      <c r="B1725" s="18" t="s">
        <v>345</v>
      </c>
      <c r="C1725" s="63" t="s">
        <v>844</v>
      </c>
      <c r="D1725" s="18" t="s">
        <v>845</v>
      </c>
      <c r="E1725" s="18" t="s">
        <v>647</v>
      </c>
      <c r="F1725" s="18">
        <v>2018</v>
      </c>
      <c r="G1725" s="40">
        <v>8750</v>
      </c>
      <c r="H1725" s="40" t="s">
        <v>402</v>
      </c>
      <c r="I1725" s="40" t="s">
        <v>402</v>
      </c>
      <c r="J1725" s="66" t="s">
        <v>402</v>
      </c>
      <c r="K1725" s="65" t="s">
        <v>402</v>
      </c>
      <c r="L1725" s="38" t="s">
        <v>637</v>
      </c>
    </row>
    <row r="1726" spans="1:12" ht="13">
      <c r="A1726" s="18" t="s">
        <v>847</v>
      </c>
      <c r="B1726" s="18" t="s">
        <v>345</v>
      </c>
      <c r="C1726" s="63" t="s">
        <v>848</v>
      </c>
      <c r="D1726" s="18" t="s">
        <v>845</v>
      </c>
      <c r="E1726" s="18" t="s">
        <v>647</v>
      </c>
      <c r="F1726" s="18">
        <v>1978</v>
      </c>
      <c r="G1726" s="40">
        <v>28542</v>
      </c>
      <c r="H1726" s="40" t="s">
        <v>402</v>
      </c>
      <c r="I1726" s="40" t="s">
        <v>402</v>
      </c>
      <c r="J1726" s="66" t="s">
        <v>402</v>
      </c>
      <c r="K1726" s="65" t="s">
        <v>402</v>
      </c>
      <c r="L1726" s="38" t="s">
        <v>637</v>
      </c>
    </row>
    <row r="1727" spans="1:12" ht="13">
      <c r="A1727" s="18" t="s">
        <v>847</v>
      </c>
      <c r="B1727" s="18" t="s">
        <v>345</v>
      </c>
      <c r="C1727" s="63" t="s">
        <v>848</v>
      </c>
      <c r="D1727" s="18" t="s">
        <v>845</v>
      </c>
      <c r="E1727" s="18" t="s">
        <v>647</v>
      </c>
      <c r="F1727" s="18">
        <v>1979</v>
      </c>
      <c r="G1727" s="40">
        <v>22396</v>
      </c>
      <c r="H1727" s="40" t="s">
        <v>402</v>
      </c>
      <c r="I1727" s="40" t="s">
        <v>402</v>
      </c>
      <c r="J1727" s="66" t="s">
        <v>402</v>
      </c>
      <c r="K1727" s="65" t="s">
        <v>402</v>
      </c>
      <c r="L1727" s="38" t="s">
        <v>637</v>
      </c>
    </row>
    <row r="1728" spans="1:12" ht="13">
      <c r="A1728" s="18" t="s">
        <v>847</v>
      </c>
      <c r="B1728" s="18" t="s">
        <v>345</v>
      </c>
      <c r="C1728" s="63" t="s">
        <v>848</v>
      </c>
      <c r="D1728" s="18" t="s">
        <v>845</v>
      </c>
      <c r="E1728" s="18" t="s">
        <v>647</v>
      </c>
      <c r="F1728" s="18">
        <v>1985</v>
      </c>
      <c r="G1728" s="40">
        <v>8750</v>
      </c>
      <c r="H1728" s="40" t="s">
        <v>402</v>
      </c>
      <c r="I1728" s="40" t="s">
        <v>402</v>
      </c>
      <c r="J1728" s="66" t="s">
        <v>402</v>
      </c>
      <c r="K1728" s="65" t="s">
        <v>402</v>
      </c>
      <c r="L1728" s="38" t="s">
        <v>637</v>
      </c>
    </row>
    <row r="1729" spans="1:12" ht="13">
      <c r="A1729" s="18" t="s">
        <v>847</v>
      </c>
      <c r="B1729" s="18" t="s">
        <v>345</v>
      </c>
      <c r="C1729" s="63" t="s">
        <v>848</v>
      </c>
      <c r="D1729" s="18" t="s">
        <v>845</v>
      </c>
      <c r="E1729" s="18" t="s">
        <v>647</v>
      </c>
      <c r="F1729" s="18">
        <v>1988</v>
      </c>
      <c r="G1729" s="40">
        <v>5521</v>
      </c>
      <c r="H1729" s="40" t="s">
        <v>402</v>
      </c>
      <c r="I1729" s="40" t="s">
        <v>402</v>
      </c>
      <c r="J1729" s="66" t="s">
        <v>402</v>
      </c>
      <c r="K1729" s="65" t="s">
        <v>402</v>
      </c>
      <c r="L1729" s="38" t="s">
        <v>637</v>
      </c>
    </row>
    <row r="1730" spans="1:12" ht="13">
      <c r="A1730" s="18" t="s">
        <v>847</v>
      </c>
      <c r="B1730" s="18" t="s">
        <v>345</v>
      </c>
      <c r="C1730" s="63" t="s">
        <v>848</v>
      </c>
      <c r="D1730" s="18" t="s">
        <v>845</v>
      </c>
      <c r="E1730" s="18" t="s">
        <v>647</v>
      </c>
      <c r="F1730" s="18">
        <v>1989</v>
      </c>
      <c r="G1730" s="40">
        <v>5833</v>
      </c>
      <c r="H1730" s="40" t="s">
        <v>402</v>
      </c>
      <c r="I1730" s="40" t="s">
        <v>402</v>
      </c>
      <c r="J1730" s="66" t="s">
        <v>402</v>
      </c>
      <c r="K1730" s="65" t="s">
        <v>402</v>
      </c>
      <c r="L1730" s="38" t="s">
        <v>637</v>
      </c>
    </row>
    <row r="1731" spans="1:12" ht="13">
      <c r="A1731" s="18" t="s">
        <v>847</v>
      </c>
      <c r="B1731" s="18" t="s">
        <v>345</v>
      </c>
      <c r="C1731" s="63" t="s">
        <v>848</v>
      </c>
      <c r="D1731" s="18" t="s">
        <v>845</v>
      </c>
      <c r="E1731" s="18" t="s">
        <v>647</v>
      </c>
      <c r="F1731" s="18">
        <v>1991</v>
      </c>
      <c r="G1731" s="40">
        <v>5000</v>
      </c>
      <c r="H1731" s="40" t="s">
        <v>402</v>
      </c>
      <c r="I1731" s="40" t="s">
        <v>402</v>
      </c>
      <c r="J1731" s="66" t="s">
        <v>402</v>
      </c>
      <c r="K1731" s="65" t="s">
        <v>402</v>
      </c>
      <c r="L1731" s="38" t="s">
        <v>637</v>
      </c>
    </row>
    <row r="1732" spans="1:12" ht="13">
      <c r="A1732" s="18" t="s">
        <v>847</v>
      </c>
      <c r="B1732" s="18" t="s">
        <v>345</v>
      </c>
      <c r="C1732" s="63" t="s">
        <v>848</v>
      </c>
      <c r="D1732" s="18" t="s">
        <v>845</v>
      </c>
      <c r="E1732" s="18" t="s">
        <v>647</v>
      </c>
      <c r="F1732" s="18">
        <v>1992</v>
      </c>
      <c r="G1732" s="40">
        <v>4583</v>
      </c>
      <c r="H1732" s="40" t="s">
        <v>402</v>
      </c>
      <c r="I1732" s="40" t="s">
        <v>402</v>
      </c>
      <c r="J1732" s="66" t="s">
        <v>402</v>
      </c>
      <c r="K1732" s="65" t="s">
        <v>402</v>
      </c>
      <c r="L1732" s="38" t="s">
        <v>637</v>
      </c>
    </row>
    <row r="1733" spans="1:12" ht="13">
      <c r="A1733" s="18" t="s">
        <v>847</v>
      </c>
      <c r="B1733" s="18" t="s">
        <v>345</v>
      </c>
      <c r="C1733" s="63" t="s">
        <v>848</v>
      </c>
      <c r="D1733" s="18" t="s">
        <v>845</v>
      </c>
      <c r="E1733" s="18" t="s">
        <v>647</v>
      </c>
      <c r="F1733" s="18">
        <v>1994</v>
      </c>
      <c r="G1733" s="40">
        <v>3333</v>
      </c>
      <c r="H1733" s="40" t="s">
        <v>402</v>
      </c>
      <c r="I1733" s="40" t="s">
        <v>402</v>
      </c>
      <c r="J1733" s="66" t="s">
        <v>402</v>
      </c>
      <c r="K1733" s="65" t="s">
        <v>402</v>
      </c>
      <c r="L1733" s="38" t="s">
        <v>637</v>
      </c>
    </row>
    <row r="1734" spans="1:12" ht="13">
      <c r="A1734" s="18" t="s">
        <v>847</v>
      </c>
      <c r="B1734" s="18" t="s">
        <v>345</v>
      </c>
      <c r="C1734" s="63" t="s">
        <v>848</v>
      </c>
      <c r="D1734" s="18" t="s">
        <v>845</v>
      </c>
      <c r="E1734" s="18" t="s">
        <v>647</v>
      </c>
      <c r="F1734" s="18">
        <v>1996</v>
      </c>
      <c r="G1734" s="40">
        <v>3333</v>
      </c>
      <c r="H1734" s="40" t="s">
        <v>402</v>
      </c>
      <c r="I1734" s="40" t="s">
        <v>402</v>
      </c>
      <c r="J1734" s="66" t="s">
        <v>402</v>
      </c>
      <c r="K1734" s="65" t="s">
        <v>402</v>
      </c>
      <c r="L1734" s="38" t="s">
        <v>637</v>
      </c>
    </row>
    <row r="1735" spans="1:12" ht="13">
      <c r="A1735" s="18" t="s">
        <v>847</v>
      </c>
      <c r="B1735" s="18" t="s">
        <v>345</v>
      </c>
      <c r="C1735" s="63" t="s">
        <v>848</v>
      </c>
      <c r="D1735" s="18" t="s">
        <v>845</v>
      </c>
      <c r="E1735" s="18" t="s">
        <v>647</v>
      </c>
      <c r="F1735" s="18">
        <v>1998</v>
      </c>
      <c r="G1735" s="40">
        <v>2917</v>
      </c>
      <c r="H1735" s="40" t="s">
        <v>402</v>
      </c>
      <c r="I1735" s="40" t="s">
        <v>402</v>
      </c>
      <c r="J1735" s="66" t="s">
        <v>402</v>
      </c>
      <c r="K1735" s="65" t="s">
        <v>402</v>
      </c>
      <c r="L1735" s="38" t="s">
        <v>637</v>
      </c>
    </row>
    <row r="1736" spans="1:12" ht="13">
      <c r="A1736" s="18" t="s">
        <v>847</v>
      </c>
      <c r="B1736" s="18" t="s">
        <v>345</v>
      </c>
      <c r="C1736" s="63" t="s">
        <v>848</v>
      </c>
      <c r="D1736" s="18" t="s">
        <v>845</v>
      </c>
      <c r="E1736" s="18" t="s">
        <v>647</v>
      </c>
      <c r="F1736" s="18">
        <v>2000</v>
      </c>
      <c r="G1736" s="40">
        <v>1667</v>
      </c>
      <c r="H1736" s="40" t="s">
        <v>402</v>
      </c>
      <c r="I1736" s="40" t="s">
        <v>402</v>
      </c>
      <c r="J1736" s="66" t="s">
        <v>402</v>
      </c>
      <c r="K1736" s="65" t="s">
        <v>402</v>
      </c>
      <c r="L1736" s="38" t="s">
        <v>637</v>
      </c>
    </row>
    <row r="1737" spans="1:12" ht="13">
      <c r="A1737" s="18" t="s">
        <v>847</v>
      </c>
      <c r="B1737" s="18" t="s">
        <v>345</v>
      </c>
      <c r="C1737" s="63" t="s">
        <v>848</v>
      </c>
      <c r="D1737" s="18" t="s">
        <v>845</v>
      </c>
      <c r="E1737" s="18" t="s">
        <v>647</v>
      </c>
      <c r="F1737" s="18">
        <v>2002</v>
      </c>
      <c r="G1737" s="40">
        <v>1042</v>
      </c>
      <c r="H1737" s="40" t="s">
        <v>402</v>
      </c>
      <c r="I1737" s="40" t="s">
        <v>402</v>
      </c>
      <c r="J1737" s="66" t="s">
        <v>402</v>
      </c>
      <c r="K1737" s="65" t="s">
        <v>402</v>
      </c>
      <c r="L1737" s="38" t="s">
        <v>637</v>
      </c>
    </row>
    <row r="1738" spans="1:12" ht="13">
      <c r="A1738" s="18" t="s">
        <v>847</v>
      </c>
      <c r="B1738" s="18" t="s">
        <v>345</v>
      </c>
      <c r="C1738" s="63" t="s">
        <v>848</v>
      </c>
      <c r="D1738" s="18" t="s">
        <v>845</v>
      </c>
      <c r="E1738" s="18" t="s">
        <v>647</v>
      </c>
      <c r="F1738" s="18">
        <v>2004</v>
      </c>
      <c r="G1738" s="40">
        <v>1250</v>
      </c>
      <c r="H1738" s="40" t="s">
        <v>402</v>
      </c>
      <c r="I1738" s="40" t="s">
        <v>402</v>
      </c>
      <c r="J1738" s="66" t="s">
        <v>402</v>
      </c>
      <c r="K1738" s="65" t="s">
        <v>402</v>
      </c>
      <c r="L1738" s="38" t="s">
        <v>637</v>
      </c>
    </row>
    <row r="1739" spans="1:12" ht="13">
      <c r="A1739" s="18" t="s">
        <v>847</v>
      </c>
      <c r="B1739" s="18" t="s">
        <v>345</v>
      </c>
      <c r="C1739" s="63" t="s">
        <v>848</v>
      </c>
      <c r="D1739" s="18" t="s">
        <v>845</v>
      </c>
      <c r="E1739" s="18" t="s">
        <v>647</v>
      </c>
      <c r="F1739" s="18">
        <v>2005</v>
      </c>
      <c r="G1739" s="40">
        <v>1042</v>
      </c>
      <c r="H1739" s="40" t="s">
        <v>402</v>
      </c>
      <c r="I1739" s="40" t="s">
        <v>402</v>
      </c>
      <c r="J1739" s="66" t="s">
        <v>402</v>
      </c>
      <c r="K1739" s="65" t="s">
        <v>402</v>
      </c>
      <c r="L1739" s="38" t="s">
        <v>637</v>
      </c>
    </row>
    <row r="1740" spans="1:12" ht="13">
      <c r="A1740" s="18" t="s">
        <v>847</v>
      </c>
      <c r="B1740" s="18" t="s">
        <v>345</v>
      </c>
      <c r="C1740" s="63" t="s">
        <v>848</v>
      </c>
      <c r="D1740" s="18" t="s">
        <v>845</v>
      </c>
      <c r="E1740" s="18" t="s">
        <v>647</v>
      </c>
      <c r="F1740" s="18">
        <v>2006</v>
      </c>
      <c r="G1740" s="40">
        <v>833</v>
      </c>
      <c r="H1740" s="40" t="s">
        <v>402</v>
      </c>
      <c r="I1740" s="40" t="s">
        <v>402</v>
      </c>
      <c r="J1740" s="66" t="s">
        <v>402</v>
      </c>
      <c r="K1740" s="65" t="s">
        <v>402</v>
      </c>
      <c r="L1740" s="38" t="s">
        <v>637</v>
      </c>
    </row>
    <row r="1741" spans="1:12" ht="13">
      <c r="A1741" s="18" t="s">
        <v>847</v>
      </c>
      <c r="B1741" s="18" t="s">
        <v>345</v>
      </c>
      <c r="C1741" s="63" t="s">
        <v>848</v>
      </c>
      <c r="D1741" s="18" t="s">
        <v>845</v>
      </c>
      <c r="E1741" s="18" t="s">
        <v>647</v>
      </c>
      <c r="F1741" s="18">
        <v>2008</v>
      </c>
      <c r="G1741" s="40">
        <v>833</v>
      </c>
      <c r="H1741" s="40" t="s">
        <v>402</v>
      </c>
      <c r="I1741" s="40" t="s">
        <v>402</v>
      </c>
      <c r="J1741" s="66" t="s">
        <v>402</v>
      </c>
      <c r="K1741" s="65" t="s">
        <v>402</v>
      </c>
      <c r="L1741" s="38" t="s">
        <v>637</v>
      </c>
    </row>
    <row r="1742" spans="1:12" ht="13">
      <c r="A1742" s="18" t="s">
        <v>847</v>
      </c>
      <c r="B1742" s="18" t="s">
        <v>345</v>
      </c>
      <c r="C1742" s="63" t="s">
        <v>848</v>
      </c>
      <c r="D1742" s="18" t="s">
        <v>845</v>
      </c>
      <c r="E1742" s="18" t="s">
        <v>647</v>
      </c>
      <c r="F1742" s="18">
        <v>2010</v>
      </c>
      <c r="G1742" s="40">
        <v>833</v>
      </c>
      <c r="H1742" s="40" t="s">
        <v>402</v>
      </c>
      <c r="I1742" s="40" t="s">
        <v>402</v>
      </c>
      <c r="J1742" s="66" t="s">
        <v>402</v>
      </c>
      <c r="K1742" s="65" t="s">
        <v>402</v>
      </c>
      <c r="L1742" s="38" t="s">
        <v>637</v>
      </c>
    </row>
    <row r="1743" spans="1:12" ht="13">
      <c r="A1743" s="18" t="s">
        <v>847</v>
      </c>
      <c r="B1743" s="18" t="s">
        <v>345</v>
      </c>
      <c r="C1743" s="63" t="s">
        <v>848</v>
      </c>
      <c r="D1743" s="18" t="s">
        <v>845</v>
      </c>
      <c r="E1743" s="18" t="s">
        <v>647</v>
      </c>
      <c r="F1743" s="18">
        <v>2011</v>
      </c>
      <c r="G1743" s="40">
        <v>729</v>
      </c>
      <c r="H1743" s="40" t="s">
        <v>402</v>
      </c>
      <c r="I1743" s="40" t="s">
        <v>402</v>
      </c>
      <c r="J1743" s="66" t="s">
        <v>402</v>
      </c>
      <c r="K1743" s="65" t="s">
        <v>402</v>
      </c>
      <c r="L1743" s="38" t="s">
        <v>637</v>
      </c>
    </row>
    <row r="1744" spans="1:12" ht="13">
      <c r="A1744" s="18" t="s">
        <v>847</v>
      </c>
      <c r="B1744" s="18" t="s">
        <v>345</v>
      </c>
      <c r="C1744" s="63" t="s">
        <v>848</v>
      </c>
      <c r="D1744" s="18" t="s">
        <v>845</v>
      </c>
      <c r="E1744" s="18" t="s">
        <v>647</v>
      </c>
      <c r="F1744" s="18">
        <v>2012</v>
      </c>
      <c r="G1744" s="40">
        <v>625</v>
      </c>
      <c r="H1744" s="40" t="s">
        <v>402</v>
      </c>
      <c r="I1744" s="40" t="s">
        <v>402</v>
      </c>
      <c r="J1744" s="66" t="s">
        <v>402</v>
      </c>
      <c r="K1744" s="65" t="s">
        <v>402</v>
      </c>
      <c r="L1744" s="38" t="s">
        <v>637</v>
      </c>
    </row>
    <row r="1745" spans="1:12" ht="13">
      <c r="A1745" s="18" t="s">
        <v>847</v>
      </c>
      <c r="B1745" s="18" t="s">
        <v>345</v>
      </c>
      <c r="C1745" s="63" t="s">
        <v>848</v>
      </c>
      <c r="D1745" s="18" t="s">
        <v>845</v>
      </c>
      <c r="E1745" s="18" t="s">
        <v>647</v>
      </c>
      <c r="F1745" s="18">
        <v>2013</v>
      </c>
      <c r="G1745" s="40">
        <v>625</v>
      </c>
      <c r="H1745" s="40" t="s">
        <v>402</v>
      </c>
      <c r="I1745" s="40" t="s">
        <v>402</v>
      </c>
      <c r="J1745" s="66" t="s">
        <v>402</v>
      </c>
      <c r="K1745" s="65" t="s">
        <v>402</v>
      </c>
      <c r="L1745" s="38" t="s">
        <v>637</v>
      </c>
    </row>
    <row r="1746" spans="1:12" ht="13">
      <c r="A1746" s="18" t="s">
        <v>847</v>
      </c>
      <c r="B1746" s="18" t="s">
        <v>345</v>
      </c>
      <c r="C1746" s="63" t="s">
        <v>848</v>
      </c>
      <c r="D1746" s="18" t="s">
        <v>845</v>
      </c>
      <c r="E1746" s="18" t="s">
        <v>647</v>
      </c>
      <c r="F1746" s="18">
        <v>2014</v>
      </c>
      <c r="G1746" s="40">
        <v>417</v>
      </c>
      <c r="H1746" s="40" t="s">
        <v>402</v>
      </c>
      <c r="I1746" s="40" t="s">
        <v>402</v>
      </c>
      <c r="J1746" s="66" t="s">
        <v>402</v>
      </c>
      <c r="K1746" s="65" t="s">
        <v>402</v>
      </c>
      <c r="L1746" s="38" t="s">
        <v>637</v>
      </c>
    </row>
    <row r="1747" spans="1:12" ht="13">
      <c r="A1747" s="18" t="s">
        <v>847</v>
      </c>
      <c r="B1747" s="18" t="s">
        <v>345</v>
      </c>
      <c r="C1747" s="63" t="s">
        <v>848</v>
      </c>
      <c r="D1747" s="18" t="s">
        <v>845</v>
      </c>
      <c r="E1747" s="18" t="s">
        <v>647</v>
      </c>
      <c r="F1747" s="18">
        <v>2015</v>
      </c>
      <c r="G1747" s="40">
        <v>417</v>
      </c>
      <c r="H1747" s="40" t="s">
        <v>402</v>
      </c>
      <c r="I1747" s="40" t="s">
        <v>402</v>
      </c>
      <c r="J1747" s="66" t="s">
        <v>402</v>
      </c>
      <c r="K1747" s="65" t="s">
        <v>402</v>
      </c>
      <c r="L1747" s="38" t="s">
        <v>637</v>
      </c>
    </row>
    <row r="1748" spans="1:12" ht="13">
      <c r="A1748" s="18" t="s">
        <v>847</v>
      </c>
      <c r="B1748" s="18" t="s">
        <v>345</v>
      </c>
      <c r="C1748" s="63" t="s">
        <v>848</v>
      </c>
      <c r="D1748" s="18" t="s">
        <v>845</v>
      </c>
      <c r="E1748" s="18" t="s">
        <v>647</v>
      </c>
      <c r="F1748" s="18">
        <v>2016</v>
      </c>
      <c r="G1748" s="40">
        <v>417</v>
      </c>
      <c r="H1748" s="40" t="s">
        <v>402</v>
      </c>
      <c r="I1748" s="40" t="s">
        <v>402</v>
      </c>
      <c r="J1748" s="66" t="s">
        <v>402</v>
      </c>
      <c r="K1748" s="65" t="s">
        <v>402</v>
      </c>
      <c r="L1748" s="38" t="s">
        <v>637</v>
      </c>
    </row>
    <row r="1749" spans="1:12" ht="13">
      <c r="A1749" s="18" t="s">
        <v>847</v>
      </c>
      <c r="B1749" s="18" t="s">
        <v>345</v>
      </c>
      <c r="C1749" s="63" t="s">
        <v>848</v>
      </c>
      <c r="D1749" s="18" t="s">
        <v>845</v>
      </c>
      <c r="E1749" s="18" t="s">
        <v>647</v>
      </c>
      <c r="F1749" s="18">
        <v>2017</v>
      </c>
      <c r="G1749" s="40">
        <v>417</v>
      </c>
      <c r="H1749" s="40" t="s">
        <v>402</v>
      </c>
      <c r="I1749" s="40" t="s">
        <v>402</v>
      </c>
      <c r="J1749" s="66" t="s">
        <v>402</v>
      </c>
      <c r="K1749" s="65" t="s">
        <v>402</v>
      </c>
      <c r="L1749" s="38" t="s">
        <v>637</v>
      </c>
    </row>
    <row r="1750" spans="1:12" ht="13">
      <c r="A1750" s="18" t="s">
        <v>847</v>
      </c>
      <c r="B1750" s="18" t="s">
        <v>345</v>
      </c>
      <c r="C1750" s="63" t="s">
        <v>848</v>
      </c>
      <c r="D1750" s="18" t="s">
        <v>845</v>
      </c>
      <c r="E1750" s="18" t="s">
        <v>647</v>
      </c>
      <c r="F1750" s="18">
        <v>2018</v>
      </c>
      <c r="G1750" s="40">
        <v>417</v>
      </c>
      <c r="H1750" s="40" t="s">
        <v>402</v>
      </c>
      <c r="I1750" s="40" t="s">
        <v>402</v>
      </c>
      <c r="J1750" s="66" t="s">
        <v>402</v>
      </c>
      <c r="K1750" s="65" t="s">
        <v>402</v>
      </c>
      <c r="L1750" s="38" t="s">
        <v>637</v>
      </c>
    </row>
    <row r="1751" spans="1:12" ht="13">
      <c r="A1751" s="18" t="s">
        <v>849</v>
      </c>
      <c r="B1751" s="18" t="s">
        <v>345</v>
      </c>
      <c r="C1751" s="63" t="s">
        <v>850</v>
      </c>
      <c r="D1751" s="18" t="s">
        <v>845</v>
      </c>
      <c r="E1751" s="18" t="s">
        <v>647</v>
      </c>
      <c r="F1751" s="18">
        <v>1978</v>
      </c>
      <c r="G1751" s="40">
        <v>45067</v>
      </c>
      <c r="H1751" s="40" t="s">
        <v>402</v>
      </c>
      <c r="I1751" s="40" t="s">
        <v>402</v>
      </c>
      <c r="J1751" s="66" t="s">
        <v>402</v>
      </c>
      <c r="K1751" s="65" t="s">
        <v>402</v>
      </c>
      <c r="L1751" s="38" t="s">
        <v>637</v>
      </c>
    </row>
    <row r="1752" spans="1:12" ht="13">
      <c r="A1752" s="18" t="s">
        <v>849</v>
      </c>
      <c r="B1752" s="18" t="s">
        <v>345</v>
      </c>
      <c r="C1752" s="63" t="s">
        <v>850</v>
      </c>
      <c r="D1752" s="18" t="s">
        <v>845</v>
      </c>
      <c r="E1752" s="18" t="s">
        <v>647</v>
      </c>
      <c r="F1752" s="18">
        <v>1979</v>
      </c>
      <c r="G1752" s="40">
        <v>41745</v>
      </c>
      <c r="H1752" s="40" t="s">
        <v>402</v>
      </c>
      <c r="I1752" s="40" t="s">
        <v>402</v>
      </c>
      <c r="J1752" s="66" t="s">
        <v>402</v>
      </c>
      <c r="K1752" s="65" t="s">
        <v>402</v>
      </c>
      <c r="L1752" s="38" t="s">
        <v>637</v>
      </c>
    </row>
    <row r="1753" spans="1:12" ht="13">
      <c r="A1753" s="18" t="s">
        <v>849</v>
      </c>
      <c r="B1753" s="18" t="s">
        <v>345</v>
      </c>
      <c r="C1753" s="63" t="s">
        <v>850</v>
      </c>
      <c r="D1753" s="18" t="s">
        <v>845</v>
      </c>
      <c r="E1753" s="18" t="s">
        <v>647</v>
      </c>
      <c r="F1753" s="18">
        <v>1985</v>
      </c>
      <c r="G1753" s="40">
        <v>28264</v>
      </c>
      <c r="H1753" s="40" t="s">
        <v>402</v>
      </c>
      <c r="I1753" s="40" t="s">
        <v>402</v>
      </c>
      <c r="J1753" s="66" t="s">
        <v>402</v>
      </c>
      <c r="K1753" s="65" t="s">
        <v>402</v>
      </c>
      <c r="L1753" s="38" t="s">
        <v>637</v>
      </c>
    </row>
    <row r="1754" spans="1:12" ht="13">
      <c r="A1754" s="18" t="s">
        <v>849</v>
      </c>
      <c r="B1754" s="18" t="s">
        <v>345</v>
      </c>
      <c r="C1754" s="63" t="s">
        <v>850</v>
      </c>
      <c r="D1754" s="18" t="s">
        <v>845</v>
      </c>
      <c r="E1754" s="18" t="s">
        <v>647</v>
      </c>
      <c r="F1754" s="18">
        <v>1987</v>
      </c>
      <c r="G1754" s="40">
        <v>16827</v>
      </c>
      <c r="H1754" s="40" t="s">
        <v>402</v>
      </c>
      <c r="I1754" s="40" t="s">
        <v>402</v>
      </c>
      <c r="J1754" s="66" t="s">
        <v>402</v>
      </c>
      <c r="K1754" s="65" t="s">
        <v>402</v>
      </c>
      <c r="L1754" s="38" t="s">
        <v>637</v>
      </c>
    </row>
    <row r="1755" spans="1:12" ht="13">
      <c r="A1755" s="18" t="s">
        <v>849</v>
      </c>
      <c r="B1755" s="18" t="s">
        <v>345</v>
      </c>
      <c r="C1755" s="63" t="s">
        <v>850</v>
      </c>
      <c r="D1755" s="18" t="s">
        <v>845</v>
      </c>
      <c r="E1755" s="18" t="s">
        <v>647</v>
      </c>
      <c r="F1755" s="18">
        <v>1989</v>
      </c>
      <c r="G1755" s="40">
        <v>10178</v>
      </c>
      <c r="H1755" s="40" t="s">
        <v>402</v>
      </c>
      <c r="I1755" s="40" t="s">
        <v>402</v>
      </c>
      <c r="J1755" s="66" t="s">
        <v>402</v>
      </c>
      <c r="K1755" s="65" t="s">
        <v>402</v>
      </c>
      <c r="L1755" s="38" t="s">
        <v>637</v>
      </c>
    </row>
    <row r="1756" spans="1:12" ht="13">
      <c r="A1756" s="18" t="s">
        <v>849</v>
      </c>
      <c r="B1756" s="18" t="s">
        <v>345</v>
      </c>
      <c r="C1756" s="63" t="s">
        <v>850</v>
      </c>
      <c r="D1756" s="18" t="s">
        <v>845</v>
      </c>
      <c r="E1756" s="18" t="s">
        <v>647</v>
      </c>
      <c r="F1756" s="18">
        <v>1990</v>
      </c>
      <c r="G1756" s="40">
        <v>11023</v>
      </c>
      <c r="H1756" s="40" t="s">
        <v>402</v>
      </c>
      <c r="I1756" s="40" t="s">
        <v>402</v>
      </c>
      <c r="J1756" s="66" t="s">
        <v>402</v>
      </c>
      <c r="K1756" s="65" t="s">
        <v>402</v>
      </c>
      <c r="L1756" s="38" t="s">
        <v>637</v>
      </c>
    </row>
    <row r="1757" spans="1:12" ht="13">
      <c r="A1757" s="18" t="s">
        <v>849</v>
      </c>
      <c r="B1757" s="18" t="s">
        <v>345</v>
      </c>
      <c r="C1757" s="63" t="s">
        <v>850</v>
      </c>
      <c r="D1757" s="18" t="s">
        <v>845</v>
      </c>
      <c r="E1757" s="18" t="s">
        <v>647</v>
      </c>
      <c r="F1757" s="18">
        <v>1991</v>
      </c>
      <c r="G1757" s="40">
        <v>10615</v>
      </c>
      <c r="H1757" s="40" t="s">
        <v>402</v>
      </c>
      <c r="I1757" s="40" t="s">
        <v>402</v>
      </c>
      <c r="J1757" s="66" t="s">
        <v>402</v>
      </c>
      <c r="K1757" s="65" t="s">
        <v>402</v>
      </c>
      <c r="L1757" s="38" t="s">
        <v>637</v>
      </c>
    </row>
    <row r="1758" spans="1:12" ht="13">
      <c r="A1758" s="18" t="s">
        <v>849</v>
      </c>
      <c r="B1758" s="18" t="s">
        <v>345</v>
      </c>
      <c r="C1758" s="63" t="s">
        <v>850</v>
      </c>
      <c r="D1758" s="18" t="s">
        <v>845</v>
      </c>
      <c r="E1758" s="18" t="s">
        <v>647</v>
      </c>
      <c r="F1758" s="18">
        <v>1992</v>
      </c>
      <c r="G1758" s="40">
        <v>9376</v>
      </c>
      <c r="H1758" s="40" t="s">
        <v>402</v>
      </c>
      <c r="I1758" s="40" t="s">
        <v>402</v>
      </c>
      <c r="J1758" s="66" t="s">
        <v>402</v>
      </c>
      <c r="K1758" s="65" t="s">
        <v>402</v>
      </c>
      <c r="L1758" s="38" t="s">
        <v>637</v>
      </c>
    </row>
    <row r="1759" spans="1:12" ht="13">
      <c r="A1759" s="18" t="s">
        <v>849</v>
      </c>
      <c r="B1759" s="18" t="s">
        <v>345</v>
      </c>
      <c r="C1759" s="63" t="s">
        <v>850</v>
      </c>
      <c r="D1759" s="18" t="s">
        <v>845</v>
      </c>
      <c r="E1759" s="18" t="s">
        <v>647</v>
      </c>
      <c r="F1759" s="18">
        <v>1994</v>
      </c>
      <c r="G1759" s="40">
        <v>8564</v>
      </c>
      <c r="H1759" s="40" t="s">
        <v>402</v>
      </c>
      <c r="I1759" s="40" t="s">
        <v>402</v>
      </c>
      <c r="J1759" s="66" t="s">
        <v>402</v>
      </c>
      <c r="K1759" s="65" t="s">
        <v>402</v>
      </c>
      <c r="L1759" s="38" t="s">
        <v>637</v>
      </c>
    </row>
    <row r="1760" spans="1:12" ht="13">
      <c r="A1760" s="18" t="s">
        <v>849</v>
      </c>
      <c r="B1760" s="18" t="s">
        <v>345</v>
      </c>
      <c r="C1760" s="63" t="s">
        <v>850</v>
      </c>
      <c r="D1760" s="18" t="s">
        <v>845</v>
      </c>
      <c r="E1760" s="18" t="s">
        <v>647</v>
      </c>
      <c r="F1760" s="18">
        <v>1996</v>
      </c>
      <c r="G1760" s="40">
        <v>8167</v>
      </c>
      <c r="H1760" s="40" t="s">
        <v>402</v>
      </c>
      <c r="I1760" s="40" t="s">
        <v>402</v>
      </c>
      <c r="J1760" s="66" t="s">
        <v>402</v>
      </c>
      <c r="K1760" s="65" t="s">
        <v>402</v>
      </c>
      <c r="L1760" s="38" t="s">
        <v>637</v>
      </c>
    </row>
    <row r="1761" spans="1:12" ht="13">
      <c r="A1761" s="18" t="s">
        <v>849</v>
      </c>
      <c r="B1761" s="18" t="s">
        <v>345</v>
      </c>
      <c r="C1761" s="63" t="s">
        <v>850</v>
      </c>
      <c r="D1761" s="18" t="s">
        <v>845</v>
      </c>
      <c r="E1761" s="18" t="s">
        <v>647</v>
      </c>
      <c r="F1761" s="18">
        <v>1998</v>
      </c>
      <c r="G1761" s="40">
        <v>8604</v>
      </c>
      <c r="H1761" s="40" t="s">
        <v>402</v>
      </c>
      <c r="I1761" s="40" t="s">
        <v>402</v>
      </c>
      <c r="J1761" s="66" t="s">
        <v>402</v>
      </c>
      <c r="K1761" s="65" t="s">
        <v>402</v>
      </c>
      <c r="L1761" s="38" t="s">
        <v>637</v>
      </c>
    </row>
    <row r="1762" spans="1:12" ht="13">
      <c r="A1762" s="18" t="s">
        <v>849</v>
      </c>
      <c r="B1762" s="18" t="s">
        <v>345</v>
      </c>
      <c r="C1762" s="63" t="s">
        <v>850</v>
      </c>
      <c r="D1762" s="18" t="s">
        <v>845</v>
      </c>
      <c r="E1762" s="18" t="s">
        <v>647</v>
      </c>
      <c r="F1762" s="18">
        <v>2000</v>
      </c>
      <c r="G1762" s="40">
        <v>7791</v>
      </c>
      <c r="H1762" s="40" t="s">
        <v>402</v>
      </c>
      <c r="I1762" s="40" t="s">
        <v>402</v>
      </c>
      <c r="J1762" s="66" t="s">
        <v>402</v>
      </c>
      <c r="K1762" s="65" t="s">
        <v>402</v>
      </c>
      <c r="L1762" s="38" t="s">
        <v>637</v>
      </c>
    </row>
    <row r="1763" spans="1:12" ht="13">
      <c r="A1763" s="18" t="s">
        <v>849</v>
      </c>
      <c r="B1763" s="18" t="s">
        <v>345</v>
      </c>
      <c r="C1763" s="63" t="s">
        <v>850</v>
      </c>
      <c r="D1763" s="18" t="s">
        <v>845</v>
      </c>
      <c r="E1763" s="18" t="s">
        <v>647</v>
      </c>
      <c r="F1763" s="18">
        <v>2002</v>
      </c>
      <c r="G1763" s="40">
        <v>7809</v>
      </c>
      <c r="H1763" s="40" t="s">
        <v>402</v>
      </c>
      <c r="I1763" s="40" t="s">
        <v>402</v>
      </c>
      <c r="J1763" s="66" t="s">
        <v>402</v>
      </c>
      <c r="K1763" s="65" t="s">
        <v>402</v>
      </c>
      <c r="L1763" s="38" t="s">
        <v>637</v>
      </c>
    </row>
    <row r="1764" spans="1:12" ht="13">
      <c r="A1764" s="18" t="s">
        <v>849</v>
      </c>
      <c r="B1764" s="18" t="s">
        <v>345</v>
      </c>
      <c r="C1764" s="63" t="s">
        <v>850</v>
      </c>
      <c r="D1764" s="18" t="s">
        <v>845</v>
      </c>
      <c r="E1764" s="18" t="s">
        <v>647</v>
      </c>
      <c r="F1764" s="18">
        <v>2004</v>
      </c>
      <c r="G1764" s="40">
        <v>8246</v>
      </c>
      <c r="H1764" s="40" t="s">
        <v>402</v>
      </c>
      <c r="I1764" s="40" t="s">
        <v>402</v>
      </c>
      <c r="J1764" s="66" t="s">
        <v>402</v>
      </c>
      <c r="K1764" s="65" t="s">
        <v>402</v>
      </c>
      <c r="L1764" s="38" t="s">
        <v>637</v>
      </c>
    </row>
    <row r="1765" spans="1:12" ht="13">
      <c r="A1765" s="18" t="s">
        <v>849</v>
      </c>
      <c r="B1765" s="18" t="s">
        <v>345</v>
      </c>
      <c r="C1765" s="63" t="s">
        <v>850</v>
      </c>
      <c r="D1765" s="18" t="s">
        <v>845</v>
      </c>
      <c r="E1765" s="18" t="s">
        <v>647</v>
      </c>
      <c r="F1765" s="18">
        <v>2005</v>
      </c>
      <c r="G1765" s="40">
        <v>7841</v>
      </c>
      <c r="H1765" s="40" t="s">
        <v>402</v>
      </c>
      <c r="I1765" s="40" t="s">
        <v>402</v>
      </c>
      <c r="J1765" s="66" t="s">
        <v>402</v>
      </c>
      <c r="K1765" s="65" t="s">
        <v>402</v>
      </c>
      <c r="L1765" s="38" t="s">
        <v>637</v>
      </c>
    </row>
    <row r="1766" spans="1:12" ht="13">
      <c r="A1766" s="18" t="s">
        <v>849</v>
      </c>
      <c r="B1766" s="18" t="s">
        <v>345</v>
      </c>
      <c r="C1766" s="63" t="s">
        <v>850</v>
      </c>
      <c r="D1766" s="18" t="s">
        <v>845</v>
      </c>
      <c r="E1766" s="18" t="s">
        <v>647</v>
      </c>
      <c r="F1766" s="18">
        <v>2006</v>
      </c>
      <c r="G1766" s="40">
        <v>7850</v>
      </c>
      <c r="H1766" s="40" t="s">
        <v>402</v>
      </c>
      <c r="I1766" s="40" t="s">
        <v>402</v>
      </c>
      <c r="J1766" s="66" t="s">
        <v>402</v>
      </c>
      <c r="K1766" s="65" t="s">
        <v>402</v>
      </c>
      <c r="L1766" s="38" t="s">
        <v>637</v>
      </c>
    </row>
    <row r="1767" spans="1:12" ht="13">
      <c r="A1767" s="18" t="s">
        <v>849</v>
      </c>
      <c r="B1767" s="18" t="s">
        <v>345</v>
      </c>
      <c r="C1767" s="63" t="s">
        <v>850</v>
      </c>
      <c r="D1767" s="18" t="s">
        <v>845</v>
      </c>
      <c r="E1767" s="18" t="s">
        <v>647</v>
      </c>
      <c r="F1767" s="18">
        <v>2007</v>
      </c>
      <c r="G1767" s="40">
        <v>7442</v>
      </c>
      <c r="H1767" s="40" t="s">
        <v>402</v>
      </c>
      <c r="I1767" s="40" t="s">
        <v>402</v>
      </c>
      <c r="J1767" s="66" t="s">
        <v>402</v>
      </c>
      <c r="K1767" s="65" t="s">
        <v>402</v>
      </c>
      <c r="L1767" s="38" t="s">
        <v>637</v>
      </c>
    </row>
    <row r="1768" spans="1:12" ht="13">
      <c r="A1768" s="18" t="s">
        <v>849</v>
      </c>
      <c r="B1768" s="18" t="s">
        <v>345</v>
      </c>
      <c r="C1768" s="63" t="s">
        <v>850</v>
      </c>
      <c r="D1768" s="18" t="s">
        <v>845</v>
      </c>
      <c r="E1768" s="18" t="s">
        <v>647</v>
      </c>
      <c r="F1768" s="18">
        <v>2008</v>
      </c>
      <c r="G1768" s="40">
        <v>7453</v>
      </c>
      <c r="H1768" s="40" t="s">
        <v>402</v>
      </c>
      <c r="I1768" s="40" t="s">
        <v>402</v>
      </c>
      <c r="J1768" s="66" t="s">
        <v>402</v>
      </c>
      <c r="K1768" s="65" t="s">
        <v>402</v>
      </c>
      <c r="L1768" s="38" t="s">
        <v>637</v>
      </c>
    </row>
    <row r="1769" spans="1:12" ht="13">
      <c r="A1769" s="18" t="s">
        <v>849</v>
      </c>
      <c r="B1769" s="18" t="s">
        <v>345</v>
      </c>
      <c r="C1769" s="63" t="s">
        <v>850</v>
      </c>
      <c r="D1769" s="18" t="s">
        <v>845</v>
      </c>
      <c r="E1769" s="18" t="s">
        <v>647</v>
      </c>
      <c r="F1769" s="18">
        <v>2009</v>
      </c>
      <c r="G1769" s="40">
        <v>7465</v>
      </c>
      <c r="H1769" s="40" t="s">
        <v>402</v>
      </c>
      <c r="I1769" s="40" t="s">
        <v>402</v>
      </c>
      <c r="J1769" s="66" t="s">
        <v>402</v>
      </c>
      <c r="K1769" s="65" t="s">
        <v>402</v>
      </c>
      <c r="L1769" s="38" t="s">
        <v>637</v>
      </c>
    </row>
    <row r="1770" spans="1:12" ht="13">
      <c r="A1770" s="18" t="s">
        <v>849</v>
      </c>
      <c r="B1770" s="18" t="s">
        <v>345</v>
      </c>
      <c r="C1770" s="63" t="s">
        <v>850</v>
      </c>
      <c r="D1770" s="18" t="s">
        <v>845</v>
      </c>
      <c r="E1770" s="18" t="s">
        <v>647</v>
      </c>
      <c r="F1770" s="18">
        <v>2010</v>
      </c>
      <c r="G1770" s="40">
        <v>7682</v>
      </c>
      <c r="H1770" s="40" t="s">
        <v>402</v>
      </c>
      <c r="I1770" s="40" t="s">
        <v>402</v>
      </c>
      <c r="J1770" s="66" t="s">
        <v>402</v>
      </c>
      <c r="K1770" s="65" t="s">
        <v>402</v>
      </c>
      <c r="L1770" s="38" t="s">
        <v>637</v>
      </c>
    </row>
    <row r="1771" spans="1:12" ht="13">
      <c r="A1771" s="18" t="s">
        <v>849</v>
      </c>
      <c r="B1771" s="18" t="s">
        <v>345</v>
      </c>
      <c r="C1771" s="63" t="s">
        <v>850</v>
      </c>
      <c r="D1771" s="18" t="s">
        <v>845</v>
      </c>
      <c r="E1771" s="18" t="s">
        <v>647</v>
      </c>
      <c r="F1771" s="18">
        <v>2011</v>
      </c>
      <c r="G1771" s="40">
        <v>7692</v>
      </c>
      <c r="H1771" s="40" t="s">
        <v>402</v>
      </c>
      <c r="I1771" s="40" t="s">
        <v>402</v>
      </c>
      <c r="J1771" s="66" t="s">
        <v>402</v>
      </c>
      <c r="K1771" s="65" t="s">
        <v>402</v>
      </c>
      <c r="L1771" s="38" t="s">
        <v>637</v>
      </c>
    </row>
    <row r="1772" spans="1:12" ht="13">
      <c r="A1772" s="18" t="s">
        <v>849</v>
      </c>
      <c r="B1772" s="18" t="s">
        <v>345</v>
      </c>
      <c r="C1772" s="63" t="s">
        <v>850</v>
      </c>
      <c r="D1772" s="18" t="s">
        <v>845</v>
      </c>
      <c r="E1772" s="18" t="s">
        <v>647</v>
      </c>
      <c r="F1772" s="18">
        <v>2012</v>
      </c>
      <c r="G1772" s="40">
        <v>7494</v>
      </c>
      <c r="H1772" s="40" t="s">
        <v>402</v>
      </c>
      <c r="I1772" s="40" t="s">
        <v>402</v>
      </c>
      <c r="J1772" s="66" t="s">
        <v>402</v>
      </c>
      <c r="K1772" s="65" t="s">
        <v>402</v>
      </c>
      <c r="L1772" s="38" t="s">
        <v>637</v>
      </c>
    </row>
    <row r="1773" spans="1:12" ht="13">
      <c r="A1773" s="18" t="s">
        <v>849</v>
      </c>
      <c r="B1773" s="18" t="s">
        <v>345</v>
      </c>
      <c r="C1773" s="63" t="s">
        <v>850</v>
      </c>
      <c r="D1773" s="18" t="s">
        <v>845</v>
      </c>
      <c r="E1773" s="18" t="s">
        <v>647</v>
      </c>
      <c r="F1773" s="18">
        <v>2013</v>
      </c>
      <c r="G1773" s="40">
        <v>7503</v>
      </c>
      <c r="H1773" s="40" t="s">
        <v>402</v>
      </c>
      <c r="I1773" s="40" t="s">
        <v>402</v>
      </c>
      <c r="J1773" s="66" t="s">
        <v>402</v>
      </c>
      <c r="K1773" s="65" t="s">
        <v>402</v>
      </c>
      <c r="L1773" s="38" t="s">
        <v>637</v>
      </c>
    </row>
    <row r="1774" spans="1:12" ht="13">
      <c r="A1774" s="18" t="s">
        <v>849</v>
      </c>
      <c r="B1774" s="18" t="s">
        <v>345</v>
      </c>
      <c r="C1774" s="63" t="s">
        <v>850</v>
      </c>
      <c r="D1774" s="18" t="s">
        <v>845</v>
      </c>
      <c r="E1774" s="18" t="s">
        <v>647</v>
      </c>
      <c r="F1774" s="18">
        <v>2014</v>
      </c>
      <c r="G1774" s="40">
        <v>6681</v>
      </c>
      <c r="H1774" s="40" t="s">
        <v>402</v>
      </c>
      <c r="I1774" s="40" t="s">
        <v>402</v>
      </c>
      <c r="J1774" s="66" t="s">
        <v>402</v>
      </c>
      <c r="K1774" s="65" t="s">
        <v>402</v>
      </c>
      <c r="L1774" s="38" t="s">
        <v>637</v>
      </c>
    </row>
    <row r="1775" spans="1:12" ht="13">
      <c r="A1775" s="18" t="s">
        <v>849</v>
      </c>
      <c r="B1775" s="18" t="s">
        <v>345</v>
      </c>
      <c r="C1775" s="63" t="s">
        <v>850</v>
      </c>
      <c r="D1775" s="18" t="s">
        <v>845</v>
      </c>
      <c r="E1775" s="18" t="s">
        <v>647</v>
      </c>
      <c r="F1775" s="18">
        <v>2015</v>
      </c>
      <c r="G1775" s="40">
        <v>7107</v>
      </c>
      <c r="H1775" s="40" t="s">
        <v>402</v>
      </c>
      <c r="I1775" s="40" t="s">
        <v>402</v>
      </c>
      <c r="J1775" s="66" t="s">
        <v>402</v>
      </c>
      <c r="K1775" s="65" t="s">
        <v>402</v>
      </c>
      <c r="L1775" s="38" t="s">
        <v>637</v>
      </c>
    </row>
    <row r="1776" spans="1:12" ht="13">
      <c r="A1776" s="18" t="s">
        <v>849</v>
      </c>
      <c r="B1776" s="18" t="s">
        <v>345</v>
      </c>
      <c r="C1776" s="63" t="s">
        <v>850</v>
      </c>
      <c r="D1776" s="18" t="s">
        <v>845</v>
      </c>
      <c r="E1776" s="18" t="s">
        <v>647</v>
      </c>
      <c r="F1776" s="18">
        <v>2016</v>
      </c>
      <c r="G1776" s="40">
        <v>7535</v>
      </c>
      <c r="H1776" s="40" t="s">
        <v>402</v>
      </c>
      <c r="I1776" s="40" t="s">
        <v>402</v>
      </c>
      <c r="J1776" s="66" t="s">
        <v>402</v>
      </c>
      <c r="K1776" s="65" t="s">
        <v>402</v>
      </c>
      <c r="L1776" s="38" t="s">
        <v>637</v>
      </c>
    </row>
    <row r="1777" spans="1:12" ht="13">
      <c r="A1777" s="18" t="s">
        <v>849</v>
      </c>
      <c r="B1777" s="18" t="s">
        <v>345</v>
      </c>
      <c r="C1777" s="63" t="s">
        <v>850</v>
      </c>
      <c r="D1777" s="18" t="s">
        <v>845</v>
      </c>
      <c r="E1777" s="18" t="s">
        <v>647</v>
      </c>
      <c r="F1777" s="18">
        <v>2017</v>
      </c>
      <c r="G1777" s="40">
        <v>7547</v>
      </c>
      <c r="H1777" s="40" t="s">
        <v>402</v>
      </c>
      <c r="I1777" s="40" t="s">
        <v>402</v>
      </c>
      <c r="J1777" s="66" t="s">
        <v>402</v>
      </c>
      <c r="K1777" s="65" t="s">
        <v>402</v>
      </c>
      <c r="L1777" s="38" t="s">
        <v>637</v>
      </c>
    </row>
    <row r="1778" spans="1:12" ht="13">
      <c r="A1778" s="18" t="s">
        <v>849</v>
      </c>
      <c r="B1778" s="18" t="s">
        <v>345</v>
      </c>
      <c r="C1778" s="63" t="s">
        <v>850</v>
      </c>
      <c r="D1778" s="18" t="s">
        <v>845</v>
      </c>
      <c r="E1778" s="18" t="s">
        <v>647</v>
      </c>
      <c r="F1778" s="18">
        <v>2018</v>
      </c>
      <c r="G1778" s="40">
        <v>7555</v>
      </c>
      <c r="H1778" s="40" t="s">
        <v>402</v>
      </c>
      <c r="I1778" s="40" t="s">
        <v>402</v>
      </c>
      <c r="J1778" s="66" t="s">
        <v>402</v>
      </c>
      <c r="K1778" s="65" t="s">
        <v>402</v>
      </c>
      <c r="L1778" s="38" t="s">
        <v>637</v>
      </c>
    </row>
    <row r="1779" spans="1:12" ht="13">
      <c r="A1779" s="18" t="s">
        <v>853</v>
      </c>
      <c r="B1779" s="18" t="s">
        <v>345</v>
      </c>
      <c r="C1779" s="63" t="s">
        <v>854</v>
      </c>
      <c r="D1779" s="18" t="s">
        <v>845</v>
      </c>
      <c r="E1779" s="18" t="s">
        <v>647</v>
      </c>
      <c r="F1779" s="18">
        <v>1978</v>
      </c>
      <c r="G1779" s="40">
        <v>9583</v>
      </c>
      <c r="H1779" s="40" t="s">
        <v>402</v>
      </c>
      <c r="I1779" s="40" t="s">
        <v>402</v>
      </c>
      <c r="J1779" s="66" t="s">
        <v>402</v>
      </c>
      <c r="K1779" s="65" t="s">
        <v>402</v>
      </c>
      <c r="L1779" s="38" t="s">
        <v>637</v>
      </c>
    </row>
    <row r="1780" spans="1:12" ht="13">
      <c r="A1780" s="18" t="s">
        <v>853</v>
      </c>
      <c r="B1780" s="18" t="s">
        <v>345</v>
      </c>
      <c r="C1780" s="63" t="s">
        <v>854</v>
      </c>
      <c r="D1780" s="18" t="s">
        <v>845</v>
      </c>
      <c r="E1780" s="18" t="s">
        <v>647</v>
      </c>
      <c r="F1780" s="18">
        <v>1979</v>
      </c>
      <c r="G1780" s="40">
        <v>10000</v>
      </c>
      <c r="H1780" s="40" t="s">
        <v>402</v>
      </c>
      <c r="I1780" s="40" t="s">
        <v>402</v>
      </c>
      <c r="J1780" s="66" t="s">
        <v>402</v>
      </c>
      <c r="K1780" s="65" t="s">
        <v>402</v>
      </c>
      <c r="L1780" s="38" t="s">
        <v>637</v>
      </c>
    </row>
    <row r="1781" spans="1:12" ht="13">
      <c r="A1781" s="18" t="s">
        <v>853</v>
      </c>
      <c r="B1781" s="18" t="s">
        <v>345</v>
      </c>
      <c r="C1781" s="63" t="s">
        <v>854</v>
      </c>
      <c r="D1781" s="18" t="s">
        <v>845</v>
      </c>
      <c r="E1781" s="18" t="s">
        <v>647</v>
      </c>
      <c r="F1781" s="18">
        <v>1989</v>
      </c>
      <c r="G1781" s="40">
        <v>7917</v>
      </c>
      <c r="H1781" s="40" t="s">
        <v>402</v>
      </c>
      <c r="I1781" s="40" t="s">
        <v>402</v>
      </c>
      <c r="J1781" s="66" t="s">
        <v>402</v>
      </c>
      <c r="K1781" s="65" t="s">
        <v>402</v>
      </c>
      <c r="L1781" s="38" t="s">
        <v>637</v>
      </c>
    </row>
    <row r="1782" spans="1:12" ht="13">
      <c r="A1782" s="18" t="s">
        <v>853</v>
      </c>
      <c r="B1782" s="18" t="s">
        <v>345</v>
      </c>
      <c r="C1782" s="63" t="s">
        <v>854</v>
      </c>
      <c r="D1782" s="18" t="s">
        <v>845</v>
      </c>
      <c r="E1782" s="18" t="s">
        <v>647</v>
      </c>
      <c r="F1782" s="18">
        <v>1990</v>
      </c>
      <c r="G1782" s="40">
        <v>6250</v>
      </c>
      <c r="H1782" s="40" t="s">
        <v>402</v>
      </c>
      <c r="I1782" s="40" t="s">
        <v>402</v>
      </c>
      <c r="J1782" s="66" t="s">
        <v>402</v>
      </c>
      <c r="K1782" s="65" t="s">
        <v>402</v>
      </c>
      <c r="L1782" s="38" t="s">
        <v>637</v>
      </c>
    </row>
    <row r="1783" spans="1:12" ht="13">
      <c r="A1783" s="18" t="s">
        <v>853</v>
      </c>
      <c r="B1783" s="18" t="s">
        <v>345</v>
      </c>
      <c r="C1783" s="63" t="s">
        <v>854</v>
      </c>
      <c r="D1783" s="18" t="s">
        <v>845</v>
      </c>
      <c r="E1783" s="18" t="s">
        <v>647</v>
      </c>
      <c r="F1783" s="18">
        <v>1991</v>
      </c>
      <c r="G1783" s="40">
        <v>5417</v>
      </c>
      <c r="H1783" s="40" t="s">
        <v>402</v>
      </c>
      <c r="I1783" s="40" t="s">
        <v>402</v>
      </c>
      <c r="J1783" s="66" t="s">
        <v>402</v>
      </c>
      <c r="K1783" s="65" t="s">
        <v>402</v>
      </c>
      <c r="L1783" s="38" t="s">
        <v>637</v>
      </c>
    </row>
    <row r="1784" spans="1:12" ht="13">
      <c r="A1784" s="18" t="s">
        <v>853</v>
      </c>
      <c r="B1784" s="18" t="s">
        <v>345</v>
      </c>
      <c r="C1784" s="63" t="s">
        <v>854</v>
      </c>
      <c r="D1784" s="18" t="s">
        <v>845</v>
      </c>
      <c r="E1784" s="18" t="s">
        <v>647</v>
      </c>
      <c r="F1784" s="18">
        <v>1992</v>
      </c>
      <c r="G1784" s="40">
        <v>4583</v>
      </c>
      <c r="H1784" s="40" t="s">
        <v>402</v>
      </c>
      <c r="I1784" s="40" t="s">
        <v>402</v>
      </c>
      <c r="J1784" s="66" t="s">
        <v>402</v>
      </c>
      <c r="K1784" s="65" t="s">
        <v>402</v>
      </c>
      <c r="L1784" s="38" t="s">
        <v>637</v>
      </c>
    </row>
    <row r="1785" spans="1:12" ht="13">
      <c r="A1785" s="18" t="s">
        <v>853</v>
      </c>
      <c r="B1785" s="18" t="s">
        <v>345</v>
      </c>
      <c r="C1785" s="63" t="s">
        <v>854</v>
      </c>
      <c r="D1785" s="18" t="s">
        <v>845</v>
      </c>
      <c r="E1785" s="18" t="s">
        <v>647</v>
      </c>
      <c r="F1785" s="18">
        <v>1994</v>
      </c>
      <c r="G1785" s="40">
        <v>4271</v>
      </c>
      <c r="H1785" s="40" t="s">
        <v>402</v>
      </c>
      <c r="I1785" s="40" t="s">
        <v>402</v>
      </c>
      <c r="J1785" s="66" t="s">
        <v>402</v>
      </c>
      <c r="K1785" s="65" t="s">
        <v>402</v>
      </c>
      <c r="L1785" s="38" t="s">
        <v>637</v>
      </c>
    </row>
    <row r="1786" spans="1:12" ht="13">
      <c r="A1786" s="18" t="s">
        <v>853</v>
      </c>
      <c r="B1786" s="18" t="s">
        <v>345</v>
      </c>
      <c r="C1786" s="63" t="s">
        <v>854</v>
      </c>
      <c r="D1786" s="18" t="s">
        <v>845</v>
      </c>
      <c r="E1786" s="18" t="s">
        <v>647</v>
      </c>
      <c r="F1786" s="18">
        <v>1996</v>
      </c>
      <c r="G1786" s="40">
        <v>2604</v>
      </c>
      <c r="H1786" s="40" t="s">
        <v>402</v>
      </c>
      <c r="I1786" s="40" t="s">
        <v>402</v>
      </c>
      <c r="J1786" s="66" t="s">
        <v>402</v>
      </c>
      <c r="K1786" s="65" t="s">
        <v>402</v>
      </c>
      <c r="L1786" s="38" t="s">
        <v>637</v>
      </c>
    </row>
    <row r="1787" spans="1:12" ht="13">
      <c r="A1787" s="18" t="s">
        <v>853</v>
      </c>
      <c r="B1787" s="18" t="s">
        <v>345</v>
      </c>
      <c r="C1787" s="63" t="s">
        <v>854</v>
      </c>
      <c r="D1787" s="18" t="s">
        <v>845</v>
      </c>
      <c r="E1787" s="18" t="s">
        <v>647</v>
      </c>
      <c r="F1787" s="18">
        <v>1997</v>
      </c>
      <c r="G1787" s="40">
        <v>3333</v>
      </c>
      <c r="H1787" s="40" t="s">
        <v>402</v>
      </c>
      <c r="I1787" s="40" t="s">
        <v>402</v>
      </c>
      <c r="J1787" s="66" t="s">
        <v>402</v>
      </c>
      <c r="K1787" s="65" t="s">
        <v>402</v>
      </c>
      <c r="L1787" s="38" t="s">
        <v>637</v>
      </c>
    </row>
    <row r="1788" spans="1:12" ht="13">
      <c r="A1788" s="18" t="s">
        <v>853</v>
      </c>
      <c r="B1788" s="18" t="s">
        <v>345</v>
      </c>
      <c r="C1788" s="63" t="s">
        <v>854</v>
      </c>
      <c r="D1788" s="18" t="s">
        <v>845</v>
      </c>
      <c r="E1788" s="18" t="s">
        <v>647</v>
      </c>
      <c r="F1788" s="18">
        <v>1998</v>
      </c>
      <c r="G1788" s="40">
        <v>2500</v>
      </c>
      <c r="H1788" s="40" t="s">
        <v>402</v>
      </c>
      <c r="I1788" s="40" t="s">
        <v>402</v>
      </c>
      <c r="J1788" s="66" t="s">
        <v>402</v>
      </c>
      <c r="K1788" s="65" t="s">
        <v>402</v>
      </c>
      <c r="L1788" s="38" t="s">
        <v>637</v>
      </c>
    </row>
    <row r="1789" spans="1:12" ht="13">
      <c r="A1789" s="18" t="s">
        <v>853</v>
      </c>
      <c r="B1789" s="18" t="s">
        <v>345</v>
      </c>
      <c r="C1789" s="63" t="s">
        <v>854</v>
      </c>
      <c r="D1789" s="18" t="s">
        <v>845</v>
      </c>
      <c r="E1789" s="18" t="s">
        <v>647</v>
      </c>
      <c r="F1789" s="18">
        <v>2000</v>
      </c>
      <c r="G1789" s="40">
        <v>2500</v>
      </c>
      <c r="H1789" s="40" t="s">
        <v>402</v>
      </c>
      <c r="I1789" s="40" t="s">
        <v>402</v>
      </c>
      <c r="J1789" s="66" t="s">
        <v>402</v>
      </c>
      <c r="K1789" s="65" t="s">
        <v>402</v>
      </c>
      <c r="L1789" s="38" t="s">
        <v>637</v>
      </c>
    </row>
    <row r="1790" spans="1:12" ht="13">
      <c r="A1790" s="18" t="s">
        <v>853</v>
      </c>
      <c r="B1790" s="18" t="s">
        <v>345</v>
      </c>
      <c r="C1790" s="63" t="s">
        <v>854</v>
      </c>
      <c r="D1790" s="18" t="s">
        <v>845</v>
      </c>
      <c r="E1790" s="18" t="s">
        <v>647</v>
      </c>
      <c r="F1790" s="18">
        <v>2002</v>
      </c>
      <c r="G1790" s="40">
        <v>3333</v>
      </c>
      <c r="H1790" s="40" t="s">
        <v>402</v>
      </c>
      <c r="I1790" s="40" t="s">
        <v>402</v>
      </c>
      <c r="J1790" s="66" t="s">
        <v>402</v>
      </c>
      <c r="K1790" s="65" t="s">
        <v>402</v>
      </c>
      <c r="L1790" s="38" t="s">
        <v>637</v>
      </c>
    </row>
    <row r="1791" spans="1:12" ht="13">
      <c r="A1791" s="18" t="s">
        <v>853</v>
      </c>
      <c r="B1791" s="18" t="s">
        <v>345</v>
      </c>
      <c r="C1791" s="63" t="s">
        <v>854</v>
      </c>
      <c r="D1791" s="18" t="s">
        <v>845</v>
      </c>
      <c r="E1791" s="18" t="s">
        <v>647</v>
      </c>
      <c r="F1791" s="18">
        <v>2004</v>
      </c>
      <c r="G1791" s="40">
        <v>3333</v>
      </c>
      <c r="H1791" s="40" t="s">
        <v>402</v>
      </c>
      <c r="I1791" s="40" t="s">
        <v>402</v>
      </c>
      <c r="J1791" s="66" t="s">
        <v>402</v>
      </c>
      <c r="K1791" s="65" t="s">
        <v>402</v>
      </c>
      <c r="L1791" s="38" t="s">
        <v>637</v>
      </c>
    </row>
    <row r="1792" spans="1:12" ht="13">
      <c r="A1792" s="18" t="s">
        <v>853</v>
      </c>
      <c r="B1792" s="18" t="s">
        <v>345</v>
      </c>
      <c r="C1792" s="63" t="s">
        <v>854</v>
      </c>
      <c r="D1792" s="18" t="s">
        <v>845</v>
      </c>
      <c r="E1792" s="18" t="s">
        <v>647</v>
      </c>
      <c r="F1792" s="18">
        <v>2005</v>
      </c>
      <c r="G1792" s="40">
        <v>3750</v>
      </c>
      <c r="H1792" s="40" t="s">
        <v>402</v>
      </c>
      <c r="I1792" s="40" t="s">
        <v>402</v>
      </c>
      <c r="J1792" s="66" t="s">
        <v>402</v>
      </c>
      <c r="K1792" s="65" t="s">
        <v>402</v>
      </c>
      <c r="L1792" s="38" t="s">
        <v>637</v>
      </c>
    </row>
    <row r="1793" spans="1:12" ht="13">
      <c r="A1793" s="18" t="s">
        <v>853</v>
      </c>
      <c r="B1793" s="18" t="s">
        <v>345</v>
      </c>
      <c r="C1793" s="63" t="s">
        <v>854</v>
      </c>
      <c r="D1793" s="18" t="s">
        <v>845</v>
      </c>
      <c r="E1793" s="18" t="s">
        <v>647</v>
      </c>
      <c r="F1793" s="18">
        <v>2006</v>
      </c>
      <c r="G1793" s="40">
        <v>3750</v>
      </c>
      <c r="H1793" s="40" t="s">
        <v>402</v>
      </c>
      <c r="I1793" s="40" t="s">
        <v>402</v>
      </c>
      <c r="J1793" s="66" t="s">
        <v>402</v>
      </c>
      <c r="K1793" s="65" t="s">
        <v>402</v>
      </c>
      <c r="L1793" s="38" t="s">
        <v>637</v>
      </c>
    </row>
    <row r="1794" spans="1:12" ht="13">
      <c r="A1794" s="18" t="s">
        <v>853</v>
      </c>
      <c r="B1794" s="18" t="s">
        <v>345</v>
      </c>
      <c r="C1794" s="63" t="s">
        <v>854</v>
      </c>
      <c r="D1794" s="18" t="s">
        <v>845</v>
      </c>
      <c r="E1794" s="18" t="s">
        <v>647</v>
      </c>
      <c r="F1794" s="18">
        <v>2007</v>
      </c>
      <c r="G1794" s="40">
        <v>3750</v>
      </c>
      <c r="H1794" s="40" t="s">
        <v>402</v>
      </c>
      <c r="I1794" s="40" t="s">
        <v>402</v>
      </c>
      <c r="J1794" s="66" t="s">
        <v>402</v>
      </c>
      <c r="K1794" s="65" t="s">
        <v>402</v>
      </c>
      <c r="L1794" s="38" t="s">
        <v>637</v>
      </c>
    </row>
    <row r="1795" spans="1:12" ht="13">
      <c r="A1795" s="18" t="s">
        <v>853</v>
      </c>
      <c r="B1795" s="18" t="s">
        <v>345</v>
      </c>
      <c r="C1795" s="63" t="s">
        <v>854</v>
      </c>
      <c r="D1795" s="18" t="s">
        <v>845</v>
      </c>
      <c r="E1795" s="18" t="s">
        <v>647</v>
      </c>
      <c r="F1795" s="18">
        <v>2008</v>
      </c>
      <c r="G1795" s="40">
        <v>5000</v>
      </c>
      <c r="H1795" s="40" t="s">
        <v>402</v>
      </c>
      <c r="I1795" s="40" t="s">
        <v>402</v>
      </c>
      <c r="J1795" s="66" t="s">
        <v>402</v>
      </c>
      <c r="K1795" s="65" t="s">
        <v>402</v>
      </c>
      <c r="L1795" s="38" t="s">
        <v>637</v>
      </c>
    </row>
    <row r="1796" spans="1:12" ht="13">
      <c r="A1796" s="18" t="s">
        <v>853</v>
      </c>
      <c r="B1796" s="18" t="s">
        <v>345</v>
      </c>
      <c r="C1796" s="63" t="s">
        <v>854</v>
      </c>
      <c r="D1796" s="18" t="s">
        <v>845</v>
      </c>
      <c r="E1796" s="18" t="s">
        <v>647</v>
      </c>
      <c r="F1796" s="18">
        <v>2009</v>
      </c>
      <c r="G1796" s="40">
        <v>4167</v>
      </c>
      <c r="H1796" s="40" t="s">
        <v>402</v>
      </c>
      <c r="I1796" s="40" t="s">
        <v>402</v>
      </c>
      <c r="J1796" s="66" t="s">
        <v>402</v>
      </c>
      <c r="K1796" s="65" t="s">
        <v>402</v>
      </c>
      <c r="L1796" s="38" t="s">
        <v>637</v>
      </c>
    </row>
    <row r="1797" spans="1:12" ht="13">
      <c r="A1797" s="18" t="s">
        <v>853</v>
      </c>
      <c r="B1797" s="18" t="s">
        <v>345</v>
      </c>
      <c r="C1797" s="63" t="s">
        <v>854</v>
      </c>
      <c r="D1797" s="18" t="s">
        <v>845</v>
      </c>
      <c r="E1797" s="18" t="s">
        <v>647</v>
      </c>
      <c r="F1797" s="18">
        <v>2010</v>
      </c>
      <c r="G1797" s="40">
        <v>4167</v>
      </c>
      <c r="H1797" s="40" t="s">
        <v>402</v>
      </c>
      <c r="I1797" s="40" t="s">
        <v>402</v>
      </c>
      <c r="J1797" s="66" t="s">
        <v>402</v>
      </c>
      <c r="K1797" s="65" t="s">
        <v>402</v>
      </c>
      <c r="L1797" s="38" t="s">
        <v>637</v>
      </c>
    </row>
    <row r="1798" spans="1:12" ht="13">
      <c r="A1798" s="18" t="s">
        <v>853</v>
      </c>
      <c r="B1798" s="18" t="s">
        <v>345</v>
      </c>
      <c r="C1798" s="63" t="s">
        <v>854</v>
      </c>
      <c r="D1798" s="18" t="s">
        <v>845</v>
      </c>
      <c r="E1798" s="18" t="s">
        <v>647</v>
      </c>
      <c r="F1798" s="18">
        <v>2011</v>
      </c>
      <c r="G1798" s="40">
        <v>5417</v>
      </c>
      <c r="H1798" s="40" t="s">
        <v>402</v>
      </c>
      <c r="I1798" s="40" t="s">
        <v>402</v>
      </c>
      <c r="J1798" s="66" t="s">
        <v>402</v>
      </c>
      <c r="K1798" s="65" t="s">
        <v>402</v>
      </c>
      <c r="L1798" s="38" t="s">
        <v>637</v>
      </c>
    </row>
    <row r="1799" spans="1:12" ht="13">
      <c r="A1799" s="18" t="s">
        <v>853</v>
      </c>
      <c r="B1799" s="18" t="s">
        <v>345</v>
      </c>
      <c r="C1799" s="63" t="s">
        <v>854</v>
      </c>
      <c r="D1799" s="18" t="s">
        <v>845</v>
      </c>
      <c r="E1799" s="18" t="s">
        <v>647</v>
      </c>
      <c r="F1799" s="18">
        <v>2013</v>
      </c>
      <c r="G1799" s="40">
        <v>5417</v>
      </c>
      <c r="H1799" s="40" t="s">
        <v>402</v>
      </c>
      <c r="I1799" s="40" t="s">
        <v>402</v>
      </c>
      <c r="J1799" s="66" t="s">
        <v>402</v>
      </c>
      <c r="K1799" s="65" t="s">
        <v>402</v>
      </c>
      <c r="L1799" s="38" t="s">
        <v>637</v>
      </c>
    </row>
    <row r="1800" spans="1:12" ht="13">
      <c r="A1800" s="18" t="s">
        <v>853</v>
      </c>
      <c r="B1800" s="18" t="s">
        <v>345</v>
      </c>
      <c r="C1800" s="63" t="s">
        <v>854</v>
      </c>
      <c r="D1800" s="18" t="s">
        <v>845</v>
      </c>
      <c r="E1800" s="18" t="s">
        <v>647</v>
      </c>
      <c r="F1800" s="18">
        <v>2015</v>
      </c>
      <c r="G1800" s="40">
        <v>6250</v>
      </c>
      <c r="H1800" s="40" t="s">
        <v>402</v>
      </c>
      <c r="I1800" s="40" t="s">
        <v>402</v>
      </c>
      <c r="J1800" s="66" t="s">
        <v>402</v>
      </c>
      <c r="K1800" s="65" t="s">
        <v>402</v>
      </c>
      <c r="L1800" s="38" t="s">
        <v>637</v>
      </c>
    </row>
    <row r="1801" spans="1:12" ht="13">
      <c r="A1801" s="18" t="s">
        <v>853</v>
      </c>
      <c r="B1801" s="18" t="s">
        <v>345</v>
      </c>
      <c r="C1801" s="63" t="s">
        <v>854</v>
      </c>
      <c r="D1801" s="18" t="s">
        <v>845</v>
      </c>
      <c r="E1801" s="18" t="s">
        <v>647</v>
      </c>
      <c r="F1801" s="18">
        <v>2017</v>
      </c>
      <c r="G1801" s="40">
        <v>5000</v>
      </c>
      <c r="H1801" s="40" t="s">
        <v>402</v>
      </c>
      <c r="I1801" s="40" t="s">
        <v>402</v>
      </c>
      <c r="J1801" s="66" t="s">
        <v>402</v>
      </c>
      <c r="K1801" s="65" t="s">
        <v>402</v>
      </c>
      <c r="L1801" s="38" t="s">
        <v>637</v>
      </c>
    </row>
    <row r="1802" spans="1:12" ht="13">
      <c r="A1802" s="18" t="s">
        <v>853</v>
      </c>
      <c r="B1802" s="18" t="s">
        <v>345</v>
      </c>
      <c r="C1802" s="63" t="s">
        <v>854</v>
      </c>
      <c r="D1802" s="18" t="s">
        <v>845</v>
      </c>
      <c r="E1802" s="18" t="s">
        <v>647</v>
      </c>
      <c r="F1802" s="18">
        <v>2019</v>
      </c>
      <c r="G1802" s="40">
        <v>4167</v>
      </c>
      <c r="H1802" s="40" t="s">
        <v>402</v>
      </c>
      <c r="I1802" s="40" t="s">
        <v>402</v>
      </c>
      <c r="J1802" s="66" t="s">
        <v>402</v>
      </c>
      <c r="K1802" s="65" t="s">
        <v>402</v>
      </c>
      <c r="L1802" s="38" t="s">
        <v>637</v>
      </c>
    </row>
    <row r="1803" spans="1:12" ht="13">
      <c r="A1803" s="18" t="s">
        <v>851</v>
      </c>
      <c r="B1803" s="18" t="s">
        <v>345</v>
      </c>
      <c r="C1803" s="63" t="s">
        <v>852</v>
      </c>
      <c r="D1803" s="18" t="s">
        <v>845</v>
      </c>
      <c r="E1803" s="18" t="s">
        <v>647</v>
      </c>
      <c r="F1803" s="18">
        <v>1978</v>
      </c>
      <c r="G1803" s="40">
        <v>18354</v>
      </c>
      <c r="H1803" s="40" t="s">
        <v>402</v>
      </c>
      <c r="I1803" s="40" t="s">
        <v>402</v>
      </c>
      <c r="J1803" s="66" t="s">
        <v>402</v>
      </c>
      <c r="K1803" s="65" t="s">
        <v>402</v>
      </c>
      <c r="L1803" s="38" t="s">
        <v>637</v>
      </c>
    </row>
    <row r="1804" spans="1:12" ht="13">
      <c r="A1804" s="18" t="s">
        <v>851</v>
      </c>
      <c r="B1804" s="18" t="s">
        <v>345</v>
      </c>
      <c r="C1804" s="63" t="s">
        <v>852</v>
      </c>
      <c r="D1804" s="18" t="s">
        <v>845</v>
      </c>
      <c r="E1804" s="18" t="s">
        <v>647</v>
      </c>
      <c r="F1804" s="18">
        <v>1979</v>
      </c>
      <c r="G1804" s="40">
        <v>15030</v>
      </c>
      <c r="H1804" s="40" t="s">
        <v>402</v>
      </c>
      <c r="I1804" s="40" t="s">
        <v>402</v>
      </c>
      <c r="J1804" s="66" t="s">
        <v>402</v>
      </c>
      <c r="K1804" s="65" t="s">
        <v>402</v>
      </c>
      <c r="L1804" s="38" t="s">
        <v>637</v>
      </c>
    </row>
    <row r="1805" spans="1:12" ht="13">
      <c r="A1805" s="18" t="s">
        <v>851</v>
      </c>
      <c r="B1805" s="18" t="s">
        <v>345</v>
      </c>
      <c r="C1805" s="63" t="s">
        <v>852</v>
      </c>
      <c r="D1805" s="18" t="s">
        <v>845</v>
      </c>
      <c r="E1805" s="18" t="s">
        <v>647</v>
      </c>
      <c r="F1805" s="18">
        <v>1985</v>
      </c>
      <c r="G1805" s="40">
        <v>8842</v>
      </c>
      <c r="H1805" s="40" t="s">
        <v>402</v>
      </c>
      <c r="I1805" s="40" t="s">
        <v>402</v>
      </c>
      <c r="J1805" s="66" t="s">
        <v>402</v>
      </c>
      <c r="K1805" s="65" t="s">
        <v>402</v>
      </c>
      <c r="L1805" s="38" t="s">
        <v>637</v>
      </c>
    </row>
    <row r="1806" spans="1:12" ht="13">
      <c r="A1806" s="18" t="s">
        <v>851</v>
      </c>
      <c r="B1806" s="18" t="s">
        <v>345</v>
      </c>
      <c r="C1806" s="63" t="s">
        <v>852</v>
      </c>
      <c r="D1806" s="18" t="s">
        <v>845</v>
      </c>
      <c r="E1806" s="18" t="s">
        <v>647</v>
      </c>
      <c r="F1806" s="18">
        <v>1986</v>
      </c>
      <c r="G1806" s="40">
        <v>8437</v>
      </c>
      <c r="H1806" s="40" t="s">
        <v>402</v>
      </c>
      <c r="I1806" s="40" t="s">
        <v>402</v>
      </c>
      <c r="J1806" s="66" t="s">
        <v>402</v>
      </c>
      <c r="K1806" s="65" t="s">
        <v>402</v>
      </c>
      <c r="L1806" s="38" t="s">
        <v>637</v>
      </c>
    </row>
    <row r="1807" spans="1:12" ht="13">
      <c r="A1807" s="18" t="s">
        <v>851</v>
      </c>
      <c r="B1807" s="18" t="s">
        <v>345</v>
      </c>
      <c r="C1807" s="63" t="s">
        <v>852</v>
      </c>
      <c r="D1807" s="18" t="s">
        <v>845</v>
      </c>
      <c r="E1807" s="18" t="s">
        <v>647</v>
      </c>
      <c r="F1807" s="18">
        <v>1987</v>
      </c>
      <c r="G1807" s="40">
        <v>6779</v>
      </c>
      <c r="H1807" s="40" t="s">
        <v>402</v>
      </c>
      <c r="I1807" s="40" t="s">
        <v>402</v>
      </c>
      <c r="J1807" s="66" t="s">
        <v>402</v>
      </c>
      <c r="K1807" s="65" t="s">
        <v>402</v>
      </c>
      <c r="L1807" s="38" t="s">
        <v>637</v>
      </c>
    </row>
    <row r="1808" spans="1:12" ht="13">
      <c r="A1808" s="18" t="s">
        <v>851</v>
      </c>
      <c r="B1808" s="18" t="s">
        <v>345</v>
      </c>
      <c r="C1808" s="63" t="s">
        <v>852</v>
      </c>
      <c r="D1808" s="18" t="s">
        <v>845</v>
      </c>
      <c r="E1808" s="18" t="s">
        <v>647</v>
      </c>
      <c r="F1808" s="18">
        <v>1988</v>
      </c>
      <c r="G1808" s="40">
        <v>7207</v>
      </c>
      <c r="H1808" s="40" t="s">
        <v>402</v>
      </c>
      <c r="I1808" s="40" t="s">
        <v>402</v>
      </c>
      <c r="J1808" s="66" t="s">
        <v>402</v>
      </c>
      <c r="K1808" s="65" t="s">
        <v>402</v>
      </c>
      <c r="L1808" s="38" t="s">
        <v>637</v>
      </c>
    </row>
    <row r="1809" spans="1:12" ht="13">
      <c r="A1809" s="18" t="s">
        <v>851</v>
      </c>
      <c r="B1809" s="18" t="s">
        <v>345</v>
      </c>
      <c r="C1809" s="63" t="s">
        <v>852</v>
      </c>
      <c r="D1809" s="18" t="s">
        <v>845</v>
      </c>
      <c r="E1809" s="18" t="s">
        <v>647</v>
      </c>
      <c r="F1809" s="18">
        <v>1989</v>
      </c>
      <c r="G1809" s="40">
        <v>6175</v>
      </c>
      <c r="H1809" s="40" t="s">
        <v>402</v>
      </c>
      <c r="I1809" s="40" t="s">
        <v>402</v>
      </c>
      <c r="J1809" s="66" t="s">
        <v>402</v>
      </c>
      <c r="K1809" s="65" t="s">
        <v>402</v>
      </c>
      <c r="L1809" s="38" t="s">
        <v>637</v>
      </c>
    </row>
    <row r="1810" spans="1:12" ht="13">
      <c r="A1810" s="18" t="s">
        <v>851</v>
      </c>
      <c r="B1810" s="18" t="s">
        <v>345</v>
      </c>
      <c r="C1810" s="63" t="s">
        <v>852</v>
      </c>
      <c r="D1810" s="18" t="s">
        <v>845</v>
      </c>
      <c r="E1810" s="18" t="s">
        <v>647</v>
      </c>
      <c r="F1810" s="18">
        <v>1990</v>
      </c>
      <c r="G1810" s="40">
        <v>5978</v>
      </c>
      <c r="H1810" s="40" t="s">
        <v>402</v>
      </c>
      <c r="I1810" s="40" t="s">
        <v>402</v>
      </c>
      <c r="J1810" s="66" t="s">
        <v>402</v>
      </c>
      <c r="K1810" s="65" t="s">
        <v>402</v>
      </c>
      <c r="L1810" s="38" t="s">
        <v>637</v>
      </c>
    </row>
    <row r="1811" spans="1:12" ht="13">
      <c r="A1811" s="18" t="s">
        <v>851</v>
      </c>
      <c r="B1811" s="18" t="s">
        <v>345</v>
      </c>
      <c r="C1811" s="63" t="s">
        <v>852</v>
      </c>
      <c r="D1811" s="18" t="s">
        <v>845</v>
      </c>
      <c r="E1811" s="18" t="s">
        <v>647</v>
      </c>
      <c r="F1811" s="18">
        <v>1991</v>
      </c>
      <c r="G1811" s="40">
        <v>5987</v>
      </c>
      <c r="H1811" s="40" t="s">
        <v>402</v>
      </c>
      <c r="I1811" s="40" t="s">
        <v>402</v>
      </c>
      <c r="J1811" s="66" t="s">
        <v>402</v>
      </c>
      <c r="K1811" s="65" t="s">
        <v>402</v>
      </c>
      <c r="L1811" s="38" t="s">
        <v>637</v>
      </c>
    </row>
    <row r="1812" spans="1:12" ht="13">
      <c r="A1812" s="18" t="s">
        <v>851</v>
      </c>
      <c r="B1812" s="18" t="s">
        <v>345</v>
      </c>
      <c r="C1812" s="63" t="s">
        <v>852</v>
      </c>
      <c r="D1812" s="18" t="s">
        <v>845</v>
      </c>
      <c r="E1812" s="18" t="s">
        <v>647</v>
      </c>
      <c r="F1812" s="18">
        <v>1992</v>
      </c>
      <c r="G1812" s="40">
        <v>5996</v>
      </c>
      <c r="H1812" s="40" t="s">
        <v>402</v>
      </c>
      <c r="I1812" s="40" t="s">
        <v>402</v>
      </c>
      <c r="J1812" s="66" t="s">
        <v>402</v>
      </c>
      <c r="K1812" s="65" t="s">
        <v>402</v>
      </c>
      <c r="L1812" s="38" t="s">
        <v>637</v>
      </c>
    </row>
    <row r="1813" spans="1:12" ht="13">
      <c r="A1813" s="18" t="s">
        <v>851</v>
      </c>
      <c r="B1813" s="18" t="s">
        <v>345</v>
      </c>
      <c r="C1813" s="63" t="s">
        <v>852</v>
      </c>
      <c r="D1813" s="18" t="s">
        <v>845</v>
      </c>
      <c r="E1813" s="18" t="s">
        <v>647</v>
      </c>
      <c r="F1813" s="18">
        <v>1994</v>
      </c>
      <c r="G1813" s="40">
        <v>6746</v>
      </c>
      <c r="H1813" s="40" t="s">
        <v>402</v>
      </c>
      <c r="I1813" s="40" t="s">
        <v>402</v>
      </c>
      <c r="J1813" s="66" t="s">
        <v>402</v>
      </c>
      <c r="K1813" s="65" t="s">
        <v>402</v>
      </c>
      <c r="L1813" s="38" t="s">
        <v>637</v>
      </c>
    </row>
    <row r="1814" spans="1:12" ht="13">
      <c r="A1814" s="18" t="s">
        <v>851</v>
      </c>
      <c r="B1814" s="18" t="s">
        <v>345</v>
      </c>
      <c r="C1814" s="63" t="s">
        <v>852</v>
      </c>
      <c r="D1814" s="18" t="s">
        <v>845</v>
      </c>
      <c r="E1814" s="18" t="s">
        <v>647</v>
      </c>
      <c r="F1814" s="18">
        <v>1996</v>
      </c>
      <c r="G1814" s="40">
        <v>6454</v>
      </c>
      <c r="H1814" s="40" t="s">
        <v>402</v>
      </c>
      <c r="I1814" s="40" t="s">
        <v>402</v>
      </c>
      <c r="J1814" s="66" t="s">
        <v>402</v>
      </c>
      <c r="K1814" s="65" t="s">
        <v>402</v>
      </c>
      <c r="L1814" s="38" t="s">
        <v>637</v>
      </c>
    </row>
    <row r="1815" spans="1:12" ht="13">
      <c r="A1815" s="18" t="s">
        <v>851</v>
      </c>
      <c r="B1815" s="18" t="s">
        <v>345</v>
      </c>
      <c r="C1815" s="63" t="s">
        <v>852</v>
      </c>
      <c r="D1815" s="18" t="s">
        <v>845</v>
      </c>
      <c r="E1815" s="18" t="s">
        <v>647</v>
      </c>
      <c r="F1815" s="18">
        <v>1997</v>
      </c>
      <c r="G1815" s="40">
        <v>6463</v>
      </c>
      <c r="H1815" s="40" t="s">
        <v>402</v>
      </c>
      <c r="I1815" s="40" t="s">
        <v>402</v>
      </c>
      <c r="J1815" s="66" t="s">
        <v>402</v>
      </c>
      <c r="K1815" s="65" t="s">
        <v>402</v>
      </c>
      <c r="L1815" s="38" t="s">
        <v>637</v>
      </c>
    </row>
    <row r="1816" spans="1:12" ht="13">
      <c r="A1816" s="18" t="s">
        <v>851</v>
      </c>
      <c r="B1816" s="18" t="s">
        <v>345</v>
      </c>
      <c r="C1816" s="63" t="s">
        <v>852</v>
      </c>
      <c r="D1816" s="18" t="s">
        <v>845</v>
      </c>
      <c r="E1816" s="18" t="s">
        <v>647</v>
      </c>
      <c r="F1816" s="18">
        <v>1998</v>
      </c>
      <c r="G1816" s="40">
        <v>6475</v>
      </c>
      <c r="H1816" s="40" t="s">
        <v>402</v>
      </c>
      <c r="I1816" s="40" t="s">
        <v>402</v>
      </c>
      <c r="J1816" s="66" t="s">
        <v>402</v>
      </c>
      <c r="K1816" s="65" t="s">
        <v>402</v>
      </c>
      <c r="L1816" s="38" t="s">
        <v>637</v>
      </c>
    </row>
    <row r="1817" spans="1:12" ht="13">
      <c r="A1817" s="18" t="s">
        <v>851</v>
      </c>
      <c r="B1817" s="18" t="s">
        <v>345</v>
      </c>
      <c r="C1817" s="63" t="s">
        <v>852</v>
      </c>
      <c r="D1817" s="18" t="s">
        <v>845</v>
      </c>
      <c r="E1817" s="18" t="s">
        <v>647</v>
      </c>
      <c r="F1817" s="18">
        <v>2000</v>
      </c>
      <c r="G1817" s="40">
        <v>4829</v>
      </c>
      <c r="H1817" s="40" t="s">
        <v>402</v>
      </c>
      <c r="I1817" s="40" t="s">
        <v>402</v>
      </c>
      <c r="J1817" s="66" t="s">
        <v>402</v>
      </c>
      <c r="K1817" s="65" t="s">
        <v>402</v>
      </c>
      <c r="L1817" s="38" t="s">
        <v>637</v>
      </c>
    </row>
    <row r="1818" spans="1:12" ht="13">
      <c r="A1818" s="18" t="s">
        <v>851</v>
      </c>
      <c r="B1818" s="18" t="s">
        <v>345</v>
      </c>
      <c r="C1818" s="63" t="s">
        <v>852</v>
      </c>
      <c r="D1818" s="18" t="s">
        <v>845</v>
      </c>
      <c r="E1818" s="18" t="s">
        <v>647</v>
      </c>
      <c r="F1818" s="18">
        <v>2002</v>
      </c>
      <c r="G1818" s="40">
        <v>5683</v>
      </c>
      <c r="H1818" s="40" t="s">
        <v>402</v>
      </c>
      <c r="I1818" s="40" t="s">
        <v>402</v>
      </c>
      <c r="J1818" s="66" t="s">
        <v>402</v>
      </c>
      <c r="K1818" s="65" t="s">
        <v>402</v>
      </c>
      <c r="L1818" s="38" t="s">
        <v>637</v>
      </c>
    </row>
    <row r="1819" spans="1:12" ht="13">
      <c r="A1819" s="18" t="s">
        <v>851</v>
      </c>
      <c r="B1819" s="18" t="s">
        <v>345</v>
      </c>
      <c r="C1819" s="63" t="s">
        <v>852</v>
      </c>
      <c r="D1819" s="18" t="s">
        <v>845</v>
      </c>
      <c r="E1819" s="18" t="s">
        <v>647</v>
      </c>
      <c r="F1819" s="18">
        <v>2004</v>
      </c>
      <c r="G1819" s="40">
        <v>6537</v>
      </c>
      <c r="H1819" s="40" t="s">
        <v>402</v>
      </c>
      <c r="I1819" s="40" t="s">
        <v>402</v>
      </c>
      <c r="J1819" s="66" t="s">
        <v>402</v>
      </c>
      <c r="K1819" s="65" t="s">
        <v>402</v>
      </c>
      <c r="L1819" s="38" t="s">
        <v>637</v>
      </c>
    </row>
    <row r="1820" spans="1:12" ht="13">
      <c r="A1820" s="18" t="s">
        <v>851</v>
      </c>
      <c r="B1820" s="18" t="s">
        <v>345</v>
      </c>
      <c r="C1820" s="63" t="s">
        <v>852</v>
      </c>
      <c r="D1820" s="18" t="s">
        <v>845</v>
      </c>
      <c r="E1820" s="18" t="s">
        <v>647</v>
      </c>
      <c r="F1820" s="18">
        <v>2005</v>
      </c>
      <c r="G1820" s="40">
        <v>5818</v>
      </c>
      <c r="H1820" s="40" t="s">
        <v>402</v>
      </c>
      <c r="I1820" s="40" t="s">
        <v>402</v>
      </c>
      <c r="J1820" s="66" t="s">
        <v>402</v>
      </c>
      <c r="K1820" s="65" t="s">
        <v>402</v>
      </c>
      <c r="L1820" s="38" t="s">
        <v>637</v>
      </c>
    </row>
    <row r="1821" spans="1:12" ht="13">
      <c r="A1821" s="18" t="s">
        <v>851</v>
      </c>
      <c r="B1821" s="18" t="s">
        <v>345</v>
      </c>
      <c r="C1821" s="63" t="s">
        <v>852</v>
      </c>
      <c r="D1821" s="18" t="s">
        <v>845</v>
      </c>
      <c r="E1821" s="18" t="s">
        <v>647</v>
      </c>
      <c r="F1821" s="18">
        <v>2006</v>
      </c>
      <c r="G1821" s="40">
        <v>6557</v>
      </c>
      <c r="H1821" s="40" t="s">
        <v>402</v>
      </c>
      <c r="I1821" s="40" t="s">
        <v>402</v>
      </c>
      <c r="J1821" s="66" t="s">
        <v>402</v>
      </c>
      <c r="K1821" s="65" t="s">
        <v>402</v>
      </c>
      <c r="L1821" s="38" t="s">
        <v>637</v>
      </c>
    </row>
    <row r="1822" spans="1:12" ht="13">
      <c r="A1822" s="18" t="s">
        <v>851</v>
      </c>
      <c r="B1822" s="18" t="s">
        <v>345</v>
      </c>
      <c r="C1822" s="63" t="s">
        <v>852</v>
      </c>
      <c r="D1822" s="18" t="s">
        <v>845</v>
      </c>
      <c r="E1822" s="18" t="s">
        <v>647</v>
      </c>
      <c r="F1822" s="18">
        <v>2007</v>
      </c>
      <c r="G1822" s="40">
        <v>6983</v>
      </c>
      <c r="H1822" s="40" t="s">
        <v>402</v>
      </c>
      <c r="I1822" s="40" t="s">
        <v>402</v>
      </c>
      <c r="J1822" s="66" t="s">
        <v>402</v>
      </c>
      <c r="K1822" s="65" t="s">
        <v>402</v>
      </c>
      <c r="L1822" s="38" t="s">
        <v>637</v>
      </c>
    </row>
    <row r="1823" spans="1:12" ht="13">
      <c r="A1823" s="18" t="s">
        <v>851</v>
      </c>
      <c r="B1823" s="18" t="s">
        <v>345</v>
      </c>
      <c r="C1823" s="63" t="s">
        <v>852</v>
      </c>
      <c r="D1823" s="18" t="s">
        <v>845</v>
      </c>
      <c r="E1823" s="18" t="s">
        <v>647</v>
      </c>
      <c r="F1823" s="18">
        <v>2008</v>
      </c>
      <c r="G1823" s="40">
        <v>6995</v>
      </c>
      <c r="H1823" s="40" t="s">
        <v>402</v>
      </c>
      <c r="I1823" s="40" t="s">
        <v>402</v>
      </c>
      <c r="J1823" s="66" t="s">
        <v>402</v>
      </c>
      <c r="K1823" s="65" t="s">
        <v>402</v>
      </c>
      <c r="L1823" s="38" t="s">
        <v>637</v>
      </c>
    </row>
    <row r="1824" spans="1:12" ht="13">
      <c r="A1824" s="18" t="s">
        <v>851</v>
      </c>
      <c r="B1824" s="18" t="s">
        <v>345</v>
      </c>
      <c r="C1824" s="63" t="s">
        <v>852</v>
      </c>
      <c r="D1824" s="18" t="s">
        <v>845</v>
      </c>
      <c r="E1824" s="18" t="s">
        <v>647</v>
      </c>
      <c r="F1824" s="18">
        <v>2009</v>
      </c>
      <c r="G1824" s="40">
        <v>7420</v>
      </c>
      <c r="H1824" s="40" t="s">
        <v>402</v>
      </c>
      <c r="I1824" s="40" t="s">
        <v>402</v>
      </c>
      <c r="J1824" s="66" t="s">
        <v>402</v>
      </c>
      <c r="K1824" s="65" t="s">
        <v>402</v>
      </c>
      <c r="L1824" s="38" t="s">
        <v>637</v>
      </c>
    </row>
    <row r="1825" spans="1:12" ht="13">
      <c r="A1825" s="18" t="s">
        <v>851</v>
      </c>
      <c r="B1825" s="18" t="s">
        <v>345</v>
      </c>
      <c r="C1825" s="63" t="s">
        <v>852</v>
      </c>
      <c r="D1825" s="18" t="s">
        <v>845</v>
      </c>
      <c r="E1825" s="18" t="s">
        <v>647</v>
      </c>
      <c r="F1825" s="18">
        <v>2010</v>
      </c>
      <c r="G1825" s="40">
        <v>7849</v>
      </c>
      <c r="H1825" s="40" t="s">
        <v>402</v>
      </c>
      <c r="I1825" s="40" t="s">
        <v>402</v>
      </c>
      <c r="J1825" s="66" t="s">
        <v>402</v>
      </c>
      <c r="K1825" s="65" t="s">
        <v>402</v>
      </c>
      <c r="L1825" s="38" t="s">
        <v>637</v>
      </c>
    </row>
    <row r="1826" spans="1:12" ht="13">
      <c r="A1826" s="18" t="s">
        <v>851</v>
      </c>
      <c r="B1826" s="18" t="s">
        <v>345</v>
      </c>
      <c r="C1826" s="63" t="s">
        <v>852</v>
      </c>
      <c r="D1826" s="18" t="s">
        <v>845</v>
      </c>
      <c r="E1826" s="18" t="s">
        <v>647</v>
      </c>
      <c r="F1826" s="18">
        <v>2011</v>
      </c>
      <c r="G1826" s="40">
        <v>8899</v>
      </c>
      <c r="H1826" s="40" t="s">
        <v>402</v>
      </c>
      <c r="I1826" s="40" t="s">
        <v>402</v>
      </c>
      <c r="J1826" s="66" t="s">
        <v>402</v>
      </c>
      <c r="K1826" s="65" t="s">
        <v>402</v>
      </c>
      <c r="L1826" s="38" t="s">
        <v>637</v>
      </c>
    </row>
    <row r="1827" spans="1:12" ht="13">
      <c r="A1827" s="18" t="s">
        <v>851</v>
      </c>
      <c r="B1827" s="18" t="s">
        <v>345</v>
      </c>
      <c r="C1827" s="63" t="s">
        <v>852</v>
      </c>
      <c r="D1827" s="18" t="s">
        <v>845</v>
      </c>
      <c r="E1827" s="18" t="s">
        <v>647</v>
      </c>
      <c r="F1827" s="18">
        <v>2013</v>
      </c>
      <c r="G1827" s="40">
        <v>8712</v>
      </c>
      <c r="H1827" s="40" t="s">
        <v>402</v>
      </c>
      <c r="I1827" s="40" t="s">
        <v>402</v>
      </c>
      <c r="J1827" s="66" t="s">
        <v>402</v>
      </c>
      <c r="K1827" s="65" t="s">
        <v>402</v>
      </c>
      <c r="L1827" s="38" t="s">
        <v>637</v>
      </c>
    </row>
    <row r="1828" spans="1:12" ht="13">
      <c r="A1828" s="18" t="s">
        <v>851</v>
      </c>
      <c r="B1828" s="18" t="s">
        <v>345</v>
      </c>
      <c r="C1828" s="63" t="s">
        <v>852</v>
      </c>
      <c r="D1828" s="18" t="s">
        <v>845</v>
      </c>
      <c r="E1828" s="18" t="s">
        <v>647</v>
      </c>
      <c r="F1828" s="18">
        <v>2014</v>
      </c>
      <c r="G1828" s="40">
        <v>8409</v>
      </c>
      <c r="H1828" s="40" t="s">
        <v>402</v>
      </c>
      <c r="I1828" s="40" t="s">
        <v>402</v>
      </c>
      <c r="J1828" s="66" t="s">
        <v>402</v>
      </c>
      <c r="K1828" s="65" t="s">
        <v>402</v>
      </c>
      <c r="L1828" s="38" t="s">
        <v>637</v>
      </c>
    </row>
    <row r="1829" spans="1:12" ht="13">
      <c r="A1829" s="18" t="s">
        <v>851</v>
      </c>
      <c r="B1829" s="18" t="s">
        <v>345</v>
      </c>
      <c r="C1829" s="63" t="s">
        <v>852</v>
      </c>
      <c r="D1829" s="18" t="s">
        <v>845</v>
      </c>
      <c r="E1829" s="18" t="s">
        <v>647</v>
      </c>
      <c r="F1829" s="18">
        <v>2015</v>
      </c>
      <c r="G1829" s="40">
        <v>8732</v>
      </c>
      <c r="H1829" s="40" t="s">
        <v>402</v>
      </c>
      <c r="I1829" s="40" t="s">
        <v>402</v>
      </c>
      <c r="J1829" s="66" t="s">
        <v>402</v>
      </c>
      <c r="K1829" s="65" t="s">
        <v>402</v>
      </c>
      <c r="L1829" s="38" t="s">
        <v>637</v>
      </c>
    </row>
    <row r="1830" spans="1:12" ht="13">
      <c r="A1830" s="18" t="s">
        <v>851</v>
      </c>
      <c r="B1830" s="18" t="s">
        <v>345</v>
      </c>
      <c r="C1830" s="63" t="s">
        <v>852</v>
      </c>
      <c r="D1830" s="18" t="s">
        <v>845</v>
      </c>
      <c r="E1830" s="18" t="s">
        <v>647</v>
      </c>
      <c r="F1830" s="18">
        <v>2016</v>
      </c>
      <c r="G1830" s="40">
        <v>8743</v>
      </c>
      <c r="H1830" s="40" t="s">
        <v>402</v>
      </c>
      <c r="I1830" s="40" t="s">
        <v>402</v>
      </c>
      <c r="J1830" s="66" t="s">
        <v>402</v>
      </c>
      <c r="K1830" s="65" t="s">
        <v>402</v>
      </c>
      <c r="L1830" s="38" t="s">
        <v>637</v>
      </c>
    </row>
    <row r="1831" spans="1:12" ht="13">
      <c r="A1831" s="18" t="s">
        <v>851</v>
      </c>
      <c r="B1831" s="18" t="s">
        <v>345</v>
      </c>
      <c r="C1831" s="63" t="s">
        <v>852</v>
      </c>
      <c r="D1831" s="18" t="s">
        <v>845</v>
      </c>
      <c r="E1831" s="18" t="s">
        <v>647</v>
      </c>
      <c r="F1831" s="18">
        <v>2017</v>
      </c>
      <c r="G1831" s="40">
        <v>9170</v>
      </c>
      <c r="H1831" s="40" t="s">
        <v>402</v>
      </c>
      <c r="I1831" s="40" t="s">
        <v>402</v>
      </c>
      <c r="J1831" s="66" t="s">
        <v>402</v>
      </c>
      <c r="K1831" s="65" t="s">
        <v>402</v>
      </c>
      <c r="L1831" s="38" t="s">
        <v>637</v>
      </c>
    </row>
    <row r="1832" spans="1:12" ht="13">
      <c r="A1832" s="18" t="s">
        <v>851</v>
      </c>
      <c r="B1832" s="18" t="s">
        <v>345</v>
      </c>
      <c r="C1832" s="63" t="s">
        <v>852</v>
      </c>
      <c r="D1832" s="18" t="s">
        <v>845</v>
      </c>
      <c r="E1832" s="18" t="s">
        <v>647</v>
      </c>
      <c r="F1832" s="18">
        <v>2018</v>
      </c>
      <c r="G1832" s="40">
        <v>9178</v>
      </c>
      <c r="H1832" s="40" t="s">
        <v>402</v>
      </c>
      <c r="I1832" s="40" t="s">
        <v>402</v>
      </c>
      <c r="J1832" s="66" t="s">
        <v>402</v>
      </c>
      <c r="K1832" s="65" t="s">
        <v>402</v>
      </c>
      <c r="L1832" s="38" t="s">
        <v>637</v>
      </c>
    </row>
    <row r="1833" spans="1:12" ht="13">
      <c r="A1833" s="18" t="s">
        <v>851</v>
      </c>
      <c r="B1833" s="18" t="s">
        <v>345</v>
      </c>
      <c r="C1833" s="63" t="s">
        <v>852</v>
      </c>
      <c r="D1833" s="18" t="s">
        <v>845</v>
      </c>
      <c r="E1833" s="18" t="s">
        <v>647</v>
      </c>
      <c r="F1833" s="18">
        <v>2019</v>
      </c>
      <c r="G1833" s="40">
        <v>9086</v>
      </c>
      <c r="H1833" s="40" t="s">
        <v>402</v>
      </c>
      <c r="I1833" s="40" t="s">
        <v>402</v>
      </c>
      <c r="J1833" s="66" t="s">
        <v>402</v>
      </c>
      <c r="K1833" s="65" t="s">
        <v>402</v>
      </c>
      <c r="L1833" s="38" t="s">
        <v>637</v>
      </c>
    </row>
    <row r="1834" spans="1:12" ht="13">
      <c r="A1834" s="18" t="s">
        <v>855</v>
      </c>
      <c r="B1834" s="18" t="s">
        <v>345</v>
      </c>
      <c r="C1834" s="63" t="s">
        <v>856</v>
      </c>
      <c r="D1834" s="18" t="s">
        <v>845</v>
      </c>
      <c r="E1834" s="18" t="s">
        <v>647</v>
      </c>
      <c r="F1834" s="18">
        <v>1978</v>
      </c>
      <c r="G1834" s="40">
        <v>37571</v>
      </c>
      <c r="H1834" s="40" t="s">
        <v>402</v>
      </c>
      <c r="I1834" s="40" t="s">
        <v>402</v>
      </c>
      <c r="J1834" s="66" t="s">
        <v>402</v>
      </c>
      <c r="K1834" s="65" t="s">
        <v>402</v>
      </c>
      <c r="L1834" s="38" t="s">
        <v>637</v>
      </c>
    </row>
    <row r="1835" spans="1:12" ht="13">
      <c r="A1835" s="18" t="s">
        <v>855</v>
      </c>
      <c r="B1835" s="18" t="s">
        <v>345</v>
      </c>
      <c r="C1835" s="63" t="s">
        <v>856</v>
      </c>
      <c r="D1835" s="18" t="s">
        <v>845</v>
      </c>
      <c r="E1835" s="18" t="s">
        <v>647</v>
      </c>
      <c r="F1835" s="18">
        <v>1979</v>
      </c>
      <c r="G1835" s="40">
        <v>37999</v>
      </c>
      <c r="H1835" s="40" t="s">
        <v>402</v>
      </c>
      <c r="I1835" s="40" t="s">
        <v>402</v>
      </c>
      <c r="J1835" s="66" t="s">
        <v>402</v>
      </c>
      <c r="K1835" s="65" t="s">
        <v>402</v>
      </c>
      <c r="L1835" s="38" t="s">
        <v>637</v>
      </c>
    </row>
    <row r="1836" spans="1:12" ht="13">
      <c r="A1836" s="18" t="s">
        <v>855</v>
      </c>
      <c r="B1836" s="18" t="s">
        <v>345</v>
      </c>
      <c r="C1836" s="63" t="s">
        <v>856</v>
      </c>
      <c r="D1836" s="18" t="s">
        <v>845</v>
      </c>
      <c r="E1836" s="18" t="s">
        <v>647</v>
      </c>
      <c r="F1836" s="18">
        <v>1985</v>
      </c>
      <c r="G1836" s="40">
        <v>27435</v>
      </c>
      <c r="H1836" s="40" t="s">
        <v>402</v>
      </c>
      <c r="I1836" s="40" t="s">
        <v>402</v>
      </c>
      <c r="J1836" s="66" t="s">
        <v>402</v>
      </c>
      <c r="K1836" s="65" t="s">
        <v>402</v>
      </c>
      <c r="L1836" s="38" t="s">
        <v>637</v>
      </c>
    </row>
    <row r="1837" spans="1:12" ht="13">
      <c r="A1837" s="18" t="s">
        <v>855</v>
      </c>
      <c r="B1837" s="18" t="s">
        <v>345</v>
      </c>
      <c r="C1837" s="63" t="s">
        <v>856</v>
      </c>
      <c r="D1837" s="18" t="s">
        <v>845</v>
      </c>
      <c r="E1837" s="18" t="s">
        <v>647</v>
      </c>
      <c r="F1837" s="18">
        <v>1986</v>
      </c>
      <c r="G1837" s="40">
        <v>23903</v>
      </c>
      <c r="H1837" s="40" t="s">
        <v>402</v>
      </c>
      <c r="I1837" s="40" t="s">
        <v>402</v>
      </c>
      <c r="J1837" s="66" t="s">
        <v>402</v>
      </c>
      <c r="K1837" s="65" t="s">
        <v>402</v>
      </c>
      <c r="L1837" s="38" t="s">
        <v>637</v>
      </c>
    </row>
    <row r="1838" spans="1:12" ht="13">
      <c r="A1838" s="18" t="s">
        <v>855</v>
      </c>
      <c r="B1838" s="18" t="s">
        <v>345</v>
      </c>
      <c r="C1838" s="63" t="s">
        <v>856</v>
      </c>
      <c r="D1838" s="18" t="s">
        <v>845</v>
      </c>
      <c r="E1838" s="18" t="s">
        <v>647</v>
      </c>
      <c r="F1838" s="18">
        <v>1988</v>
      </c>
      <c r="G1838" s="40">
        <v>15173</v>
      </c>
      <c r="H1838" s="40" t="s">
        <v>402</v>
      </c>
      <c r="I1838" s="40" t="s">
        <v>402</v>
      </c>
      <c r="J1838" s="66" t="s">
        <v>402</v>
      </c>
      <c r="K1838" s="65" t="s">
        <v>402</v>
      </c>
      <c r="L1838" s="38" t="s">
        <v>637</v>
      </c>
    </row>
    <row r="1839" spans="1:12" ht="13">
      <c r="A1839" s="18" t="s">
        <v>855</v>
      </c>
      <c r="B1839" s="18" t="s">
        <v>345</v>
      </c>
      <c r="C1839" s="63" t="s">
        <v>856</v>
      </c>
      <c r="D1839" s="18" t="s">
        <v>845</v>
      </c>
      <c r="E1839" s="18" t="s">
        <v>647</v>
      </c>
      <c r="F1839" s="18">
        <v>1989</v>
      </c>
      <c r="G1839" s="40">
        <v>12268</v>
      </c>
      <c r="H1839" s="40" t="s">
        <v>402</v>
      </c>
      <c r="I1839" s="40" t="s">
        <v>402</v>
      </c>
      <c r="J1839" s="66" t="s">
        <v>402</v>
      </c>
      <c r="K1839" s="65" t="s">
        <v>402</v>
      </c>
      <c r="L1839" s="38" t="s">
        <v>637</v>
      </c>
    </row>
    <row r="1840" spans="1:12" ht="13">
      <c r="A1840" s="18" t="s">
        <v>855</v>
      </c>
      <c r="B1840" s="18" t="s">
        <v>345</v>
      </c>
      <c r="C1840" s="63" t="s">
        <v>856</v>
      </c>
      <c r="D1840" s="18" t="s">
        <v>845</v>
      </c>
      <c r="E1840" s="18" t="s">
        <v>647</v>
      </c>
      <c r="F1840" s="18">
        <v>1990</v>
      </c>
      <c r="G1840" s="40">
        <v>10402</v>
      </c>
      <c r="H1840" s="40" t="s">
        <v>402</v>
      </c>
      <c r="I1840" s="40" t="s">
        <v>402</v>
      </c>
      <c r="J1840" s="66" t="s">
        <v>402</v>
      </c>
      <c r="K1840" s="65" t="s">
        <v>402</v>
      </c>
      <c r="L1840" s="38" t="s">
        <v>637</v>
      </c>
    </row>
    <row r="1841" spans="1:12" ht="13">
      <c r="A1841" s="18" t="s">
        <v>855</v>
      </c>
      <c r="B1841" s="18" t="s">
        <v>345</v>
      </c>
      <c r="C1841" s="63" t="s">
        <v>856</v>
      </c>
      <c r="D1841" s="18" t="s">
        <v>845</v>
      </c>
      <c r="E1841" s="18" t="s">
        <v>647</v>
      </c>
      <c r="F1841" s="18">
        <v>1991</v>
      </c>
      <c r="G1841" s="40">
        <v>8953</v>
      </c>
      <c r="H1841" s="40" t="s">
        <v>402</v>
      </c>
      <c r="I1841" s="40" t="s">
        <v>402</v>
      </c>
      <c r="J1841" s="66" t="s">
        <v>402</v>
      </c>
      <c r="K1841" s="65" t="s">
        <v>402</v>
      </c>
      <c r="L1841" s="38" t="s">
        <v>637</v>
      </c>
    </row>
    <row r="1842" spans="1:12" ht="13">
      <c r="A1842" s="18" t="s">
        <v>855</v>
      </c>
      <c r="B1842" s="18" t="s">
        <v>345</v>
      </c>
      <c r="C1842" s="63" t="s">
        <v>856</v>
      </c>
      <c r="D1842" s="18" t="s">
        <v>845</v>
      </c>
      <c r="E1842" s="18" t="s">
        <v>647</v>
      </c>
      <c r="F1842" s="18">
        <v>1992</v>
      </c>
      <c r="G1842" s="40">
        <v>8548</v>
      </c>
      <c r="H1842" s="40" t="s">
        <v>402</v>
      </c>
      <c r="I1842" s="40" t="s">
        <v>402</v>
      </c>
      <c r="J1842" s="66" t="s">
        <v>402</v>
      </c>
      <c r="K1842" s="65" t="s">
        <v>402</v>
      </c>
      <c r="L1842" s="38" t="s">
        <v>637</v>
      </c>
    </row>
    <row r="1843" spans="1:12" ht="13">
      <c r="A1843" s="18" t="s">
        <v>855</v>
      </c>
      <c r="B1843" s="18" t="s">
        <v>345</v>
      </c>
      <c r="C1843" s="63" t="s">
        <v>856</v>
      </c>
      <c r="D1843" s="18" t="s">
        <v>845</v>
      </c>
      <c r="E1843" s="18" t="s">
        <v>647</v>
      </c>
      <c r="F1843" s="18">
        <v>1994</v>
      </c>
      <c r="G1843" s="40">
        <v>7735</v>
      </c>
      <c r="H1843" s="40" t="s">
        <v>402</v>
      </c>
      <c r="I1843" s="40" t="s">
        <v>402</v>
      </c>
      <c r="J1843" s="66" t="s">
        <v>402</v>
      </c>
      <c r="K1843" s="65" t="s">
        <v>402</v>
      </c>
      <c r="L1843" s="38" t="s">
        <v>637</v>
      </c>
    </row>
    <row r="1844" spans="1:12" ht="13">
      <c r="A1844" s="18" t="s">
        <v>855</v>
      </c>
      <c r="B1844" s="18" t="s">
        <v>345</v>
      </c>
      <c r="C1844" s="63" t="s">
        <v>856</v>
      </c>
      <c r="D1844" s="18" t="s">
        <v>845</v>
      </c>
      <c r="E1844" s="18" t="s">
        <v>647</v>
      </c>
      <c r="F1844" s="18">
        <v>1996</v>
      </c>
      <c r="G1844" s="40">
        <v>6505</v>
      </c>
      <c r="H1844" s="40" t="s">
        <v>402</v>
      </c>
      <c r="I1844" s="40" t="s">
        <v>402</v>
      </c>
      <c r="J1844" s="66" t="s">
        <v>402</v>
      </c>
      <c r="K1844" s="65" t="s">
        <v>402</v>
      </c>
      <c r="L1844" s="38" t="s">
        <v>637</v>
      </c>
    </row>
    <row r="1845" spans="1:12" ht="13">
      <c r="A1845" s="18" t="s">
        <v>855</v>
      </c>
      <c r="B1845" s="18" t="s">
        <v>345</v>
      </c>
      <c r="C1845" s="63" t="s">
        <v>856</v>
      </c>
      <c r="D1845" s="18" t="s">
        <v>845</v>
      </c>
      <c r="E1845" s="18" t="s">
        <v>647</v>
      </c>
      <c r="F1845" s="18">
        <v>1997</v>
      </c>
      <c r="G1845" s="40">
        <v>5889</v>
      </c>
      <c r="H1845" s="40" t="s">
        <v>402</v>
      </c>
      <c r="I1845" s="40" t="s">
        <v>402</v>
      </c>
      <c r="J1845" s="66" t="s">
        <v>402</v>
      </c>
      <c r="K1845" s="65" t="s">
        <v>402</v>
      </c>
      <c r="L1845" s="38" t="s">
        <v>637</v>
      </c>
    </row>
    <row r="1846" spans="1:12" ht="13">
      <c r="A1846" s="18" t="s">
        <v>855</v>
      </c>
      <c r="B1846" s="18" t="s">
        <v>345</v>
      </c>
      <c r="C1846" s="63" t="s">
        <v>856</v>
      </c>
      <c r="D1846" s="18" t="s">
        <v>845</v>
      </c>
      <c r="E1846" s="18" t="s">
        <v>647</v>
      </c>
      <c r="F1846" s="18">
        <v>1998</v>
      </c>
      <c r="G1846" s="40">
        <v>5692</v>
      </c>
      <c r="H1846" s="40" t="s">
        <v>402</v>
      </c>
      <c r="I1846" s="40" t="s">
        <v>402</v>
      </c>
      <c r="J1846" s="66" t="s">
        <v>402</v>
      </c>
      <c r="K1846" s="65" t="s">
        <v>402</v>
      </c>
      <c r="L1846" s="38" t="s">
        <v>637</v>
      </c>
    </row>
    <row r="1847" spans="1:12" ht="13">
      <c r="A1847" s="18" t="s">
        <v>855</v>
      </c>
      <c r="B1847" s="18" t="s">
        <v>345</v>
      </c>
      <c r="C1847" s="63" t="s">
        <v>856</v>
      </c>
      <c r="D1847" s="18" t="s">
        <v>845</v>
      </c>
      <c r="E1847" s="18" t="s">
        <v>647</v>
      </c>
      <c r="F1847" s="18">
        <v>2000</v>
      </c>
      <c r="G1847" s="40">
        <v>5713</v>
      </c>
      <c r="H1847" s="40" t="s">
        <v>402</v>
      </c>
      <c r="I1847" s="40" t="s">
        <v>402</v>
      </c>
      <c r="J1847" s="66" t="s">
        <v>402</v>
      </c>
      <c r="K1847" s="65" t="s">
        <v>402</v>
      </c>
      <c r="L1847" s="38" t="s">
        <v>637</v>
      </c>
    </row>
    <row r="1848" spans="1:12" ht="13">
      <c r="A1848" s="18" t="s">
        <v>855</v>
      </c>
      <c r="B1848" s="18" t="s">
        <v>345</v>
      </c>
      <c r="C1848" s="63" t="s">
        <v>856</v>
      </c>
      <c r="D1848" s="18" t="s">
        <v>845</v>
      </c>
      <c r="E1848" s="18" t="s">
        <v>647</v>
      </c>
      <c r="F1848" s="18">
        <v>2002</v>
      </c>
      <c r="G1848" s="40">
        <v>5524</v>
      </c>
      <c r="H1848" s="40" t="s">
        <v>402</v>
      </c>
      <c r="I1848" s="40" t="s">
        <v>402</v>
      </c>
      <c r="J1848" s="66" t="s">
        <v>402</v>
      </c>
      <c r="K1848" s="65" t="s">
        <v>402</v>
      </c>
      <c r="L1848" s="38" t="s">
        <v>637</v>
      </c>
    </row>
    <row r="1849" spans="1:12" ht="13">
      <c r="A1849" s="18" t="s">
        <v>855</v>
      </c>
      <c r="B1849" s="18" t="s">
        <v>345</v>
      </c>
      <c r="C1849" s="63" t="s">
        <v>856</v>
      </c>
      <c r="D1849" s="18" t="s">
        <v>845</v>
      </c>
      <c r="E1849" s="18" t="s">
        <v>647</v>
      </c>
      <c r="F1849" s="18">
        <v>2004</v>
      </c>
      <c r="G1849" s="40">
        <v>5335</v>
      </c>
      <c r="H1849" s="40" t="s">
        <v>402</v>
      </c>
      <c r="I1849" s="40" t="s">
        <v>402</v>
      </c>
      <c r="J1849" s="66" t="s">
        <v>402</v>
      </c>
      <c r="K1849" s="65" t="s">
        <v>402</v>
      </c>
      <c r="L1849" s="38" t="s">
        <v>637</v>
      </c>
    </row>
    <row r="1850" spans="1:12" ht="13">
      <c r="A1850" s="18" t="s">
        <v>855</v>
      </c>
      <c r="B1850" s="18" t="s">
        <v>345</v>
      </c>
      <c r="C1850" s="63" t="s">
        <v>856</v>
      </c>
      <c r="D1850" s="18" t="s">
        <v>845</v>
      </c>
      <c r="E1850" s="18" t="s">
        <v>647</v>
      </c>
      <c r="F1850" s="18">
        <v>2005</v>
      </c>
      <c r="G1850" s="40">
        <v>6180</v>
      </c>
      <c r="H1850" s="40" t="s">
        <v>402</v>
      </c>
      <c r="I1850" s="40" t="s">
        <v>402</v>
      </c>
      <c r="J1850" s="66" t="s">
        <v>402</v>
      </c>
      <c r="K1850" s="65" t="s">
        <v>402</v>
      </c>
      <c r="L1850" s="38" t="s">
        <v>637</v>
      </c>
    </row>
    <row r="1851" spans="1:12" ht="13">
      <c r="A1851" s="18" t="s">
        <v>855</v>
      </c>
      <c r="B1851" s="18" t="s">
        <v>345</v>
      </c>
      <c r="C1851" s="63" t="s">
        <v>856</v>
      </c>
      <c r="D1851" s="18" t="s">
        <v>845</v>
      </c>
      <c r="E1851" s="18" t="s">
        <v>647</v>
      </c>
      <c r="F1851" s="18">
        <v>2006</v>
      </c>
      <c r="G1851" s="40">
        <v>5877</v>
      </c>
      <c r="H1851" s="40" t="s">
        <v>402</v>
      </c>
      <c r="I1851" s="40" t="s">
        <v>402</v>
      </c>
      <c r="J1851" s="66" t="s">
        <v>402</v>
      </c>
      <c r="K1851" s="65" t="s">
        <v>402</v>
      </c>
      <c r="L1851" s="38" t="s">
        <v>637</v>
      </c>
    </row>
    <row r="1852" spans="1:12" ht="13">
      <c r="A1852" s="18" t="s">
        <v>855</v>
      </c>
      <c r="B1852" s="18" t="s">
        <v>345</v>
      </c>
      <c r="C1852" s="63" t="s">
        <v>856</v>
      </c>
      <c r="D1852" s="18" t="s">
        <v>845</v>
      </c>
      <c r="E1852" s="18" t="s">
        <v>647</v>
      </c>
      <c r="F1852" s="18">
        <v>2007</v>
      </c>
      <c r="G1852" s="40">
        <v>5888</v>
      </c>
      <c r="H1852" s="40" t="s">
        <v>402</v>
      </c>
      <c r="I1852" s="40" t="s">
        <v>402</v>
      </c>
      <c r="J1852" s="66" t="s">
        <v>402</v>
      </c>
      <c r="K1852" s="65" t="s">
        <v>402</v>
      </c>
      <c r="L1852" s="38" t="s">
        <v>637</v>
      </c>
    </row>
    <row r="1853" spans="1:12" ht="13">
      <c r="A1853" s="18" t="s">
        <v>855</v>
      </c>
      <c r="B1853" s="18" t="s">
        <v>345</v>
      </c>
      <c r="C1853" s="63" t="s">
        <v>856</v>
      </c>
      <c r="D1853" s="18" t="s">
        <v>845</v>
      </c>
      <c r="E1853" s="18" t="s">
        <v>647</v>
      </c>
      <c r="F1853" s="18">
        <v>2008</v>
      </c>
      <c r="G1853" s="40">
        <v>5584</v>
      </c>
      <c r="H1853" s="40" t="s">
        <v>402</v>
      </c>
      <c r="I1853" s="40" t="s">
        <v>402</v>
      </c>
      <c r="J1853" s="66" t="s">
        <v>402</v>
      </c>
      <c r="K1853" s="65" t="s">
        <v>402</v>
      </c>
      <c r="L1853" s="38" t="s">
        <v>637</v>
      </c>
    </row>
    <row r="1854" spans="1:12" ht="13">
      <c r="A1854" s="18" t="s">
        <v>855</v>
      </c>
      <c r="B1854" s="18" t="s">
        <v>345</v>
      </c>
      <c r="C1854" s="63" t="s">
        <v>856</v>
      </c>
      <c r="D1854" s="18" t="s">
        <v>845</v>
      </c>
      <c r="E1854" s="18" t="s">
        <v>647</v>
      </c>
      <c r="F1854" s="18">
        <v>2009</v>
      </c>
      <c r="G1854" s="40">
        <v>6221</v>
      </c>
      <c r="H1854" s="40" t="s">
        <v>402</v>
      </c>
      <c r="I1854" s="40" t="s">
        <v>402</v>
      </c>
      <c r="J1854" s="66" t="s">
        <v>402</v>
      </c>
      <c r="K1854" s="65" t="s">
        <v>402</v>
      </c>
      <c r="L1854" s="38" t="s">
        <v>637</v>
      </c>
    </row>
    <row r="1855" spans="1:12" ht="13">
      <c r="A1855" s="18" t="s">
        <v>855</v>
      </c>
      <c r="B1855" s="18" t="s">
        <v>345</v>
      </c>
      <c r="C1855" s="63" t="s">
        <v>856</v>
      </c>
      <c r="D1855" s="18" t="s">
        <v>845</v>
      </c>
      <c r="E1855" s="18" t="s">
        <v>647</v>
      </c>
      <c r="F1855" s="18">
        <v>2010</v>
      </c>
      <c r="G1855" s="40">
        <v>5396</v>
      </c>
      <c r="H1855" s="40" t="s">
        <v>402</v>
      </c>
      <c r="I1855" s="40" t="s">
        <v>402</v>
      </c>
      <c r="J1855" s="66" t="s">
        <v>402</v>
      </c>
      <c r="K1855" s="65" t="s">
        <v>402</v>
      </c>
      <c r="L1855" s="38" t="s">
        <v>637</v>
      </c>
    </row>
    <row r="1856" spans="1:12" ht="13">
      <c r="A1856" s="18" t="s">
        <v>855</v>
      </c>
      <c r="B1856" s="18" t="s">
        <v>345</v>
      </c>
      <c r="C1856" s="63" t="s">
        <v>856</v>
      </c>
      <c r="D1856" s="18" t="s">
        <v>845</v>
      </c>
      <c r="E1856" s="18" t="s">
        <v>647</v>
      </c>
      <c r="F1856" s="18">
        <v>2011</v>
      </c>
      <c r="G1856" s="40">
        <v>7075</v>
      </c>
      <c r="H1856" s="40" t="s">
        <v>402</v>
      </c>
      <c r="I1856" s="40" t="s">
        <v>402</v>
      </c>
      <c r="J1856" s="66" t="s">
        <v>402</v>
      </c>
      <c r="K1856" s="65" t="s">
        <v>402</v>
      </c>
      <c r="L1856" s="38" t="s">
        <v>637</v>
      </c>
    </row>
    <row r="1857" spans="1:31" ht="13">
      <c r="A1857" s="18" t="s">
        <v>855</v>
      </c>
      <c r="B1857" s="18" t="s">
        <v>345</v>
      </c>
      <c r="C1857" s="63" t="s">
        <v>856</v>
      </c>
      <c r="D1857" s="18" t="s">
        <v>845</v>
      </c>
      <c r="E1857" s="18" t="s">
        <v>647</v>
      </c>
      <c r="F1857" s="18">
        <v>2013</v>
      </c>
      <c r="G1857" s="40">
        <v>7928</v>
      </c>
      <c r="H1857" s="40" t="s">
        <v>402</v>
      </c>
      <c r="I1857" s="40" t="s">
        <v>402</v>
      </c>
      <c r="J1857" s="66" t="s">
        <v>402</v>
      </c>
      <c r="K1857" s="65" t="s">
        <v>402</v>
      </c>
      <c r="L1857" s="38" t="s">
        <v>637</v>
      </c>
    </row>
    <row r="1858" spans="1:31" ht="13">
      <c r="A1858" s="18" t="s">
        <v>855</v>
      </c>
      <c r="B1858" s="18" t="s">
        <v>345</v>
      </c>
      <c r="C1858" s="63" t="s">
        <v>856</v>
      </c>
      <c r="D1858" s="18" t="s">
        <v>845</v>
      </c>
      <c r="E1858" s="18" t="s">
        <v>647</v>
      </c>
      <c r="F1858" s="18">
        <v>2015</v>
      </c>
      <c r="G1858" s="40">
        <v>8781</v>
      </c>
      <c r="H1858" s="40" t="s">
        <v>402</v>
      </c>
      <c r="I1858" s="40" t="s">
        <v>402</v>
      </c>
      <c r="J1858" s="66" t="s">
        <v>402</v>
      </c>
      <c r="K1858" s="65" t="s">
        <v>402</v>
      </c>
      <c r="L1858" s="38" t="s">
        <v>637</v>
      </c>
    </row>
    <row r="1859" spans="1:31" ht="13">
      <c r="A1859" s="18" t="s">
        <v>855</v>
      </c>
      <c r="B1859" s="18" t="s">
        <v>345</v>
      </c>
      <c r="C1859" s="63" t="s">
        <v>856</v>
      </c>
      <c r="D1859" s="18" t="s">
        <v>845</v>
      </c>
      <c r="E1859" s="18" t="s">
        <v>647</v>
      </c>
      <c r="F1859" s="18">
        <v>2017</v>
      </c>
      <c r="G1859" s="40">
        <v>9739</v>
      </c>
      <c r="H1859" s="40" t="s">
        <v>402</v>
      </c>
      <c r="I1859" s="40" t="s">
        <v>402</v>
      </c>
      <c r="J1859" s="66" t="s">
        <v>402</v>
      </c>
      <c r="K1859" s="65" t="s">
        <v>402</v>
      </c>
      <c r="L1859" s="38" t="s">
        <v>637</v>
      </c>
    </row>
    <row r="1860" spans="1:31" ht="13">
      <c r="A1860" s="18" t="s">
        <v>855</v>
      </c>
      <c r="B1860" s="18" t="s">
        <v>345</v>
      </c>
      <c r="C1860" s="63" t="s">
        <v>856</v>
      </c>
      <c r="D1860" s="18" t="s">
        <v>845</v>
      </c>
      <c r="E1860" s="18" t="s">
        <v>647</v>
      </c>
      <c r="F1860" s="18">
        <v>2018</v>
      </c>
      <c r="G1860" s="40">
        <v>8812</v>
      </c>
      <c r="H1860" s="40" t="s">
        <v>402</v>
      </c>
      <c r="I1860" s="40" t="s">
        <v>402</v>
      </c>
      <c r="J1860" s="66" t="s">
        <v>402</v>
      </c>
      <c r="K1860" s="65" t="s">
        <v>402</v>
      </c>
      <c r="L1860" s="38" t="s">
        <v>637</v>
      </c>
    </row>
    <row r="1861" spans="1:31" ht="13">
      <c r="A1861" s="18" t="s">
        <v>855</v>
      </c>
      <c r="B1861" s="18" t="s">
        <v>345</v>
      </c>
      <c r="C1861" s="63" t="s">
        <v>856</v>
      </c>
      <c r="D1861" s="18" t="s">
        <v>845</v>
      </c>
      <c r="E1861" s="18" t="s">
        <v>647</v>
      </c>
      <c r="F1861" s="18">
        <v>2019</v>
      </c>
      <c r="G1861" s="40">
        <v>8198</v>
      </c>
      <c r="H1861" s="40" t="s">
        <v>402</v>
      </c>
      <c r="I1861" s="40" t="s">
        <v>402</v>
      </c>
      <c r="J1861" s="66" t="s">
        <v>402</v>
      </c>
      <c r="K1861" s="65" t="s">
        <v>402</v>
      </c>
      <c r="L1861" s="38" t="s">
        <v>637</v>
      </c>
    </row>
    <row r="1862" spans="1:31" ht="16">
      <c r="A1862" s="42" t="s">
        <v>796</v>
      </c>
      <c r="B1862" s="42" t="s">
        <v>571</v>
      </c>
      <c r="C1862" s="18" t="s">
        <v>857</v>
      </c>
      <c r="D1862" s="27" t="s">
        <v>636</v>
      </c>
      <c r="E1862" s="42" t="s">
        <v>761</v>
      </c>
      <c r="F1862" s="43">
        <v>1991</v>
      </c>
      <c r="G1862" s="38">
        <v>35812</v>
      </c>
      <c r="H1862" s="38" t="s">
        <v>402</v>
      </c>
      <c r="I1862" s="40" t="s">
        <v>402</v>
      </c>
      <c r="J1862" s="66" t="s">
        <v>402</v>
      </c>
      <c r="K1862" s="65" t="s">
        <v>402</v>
      </c>
      <c r="L1862" s="38" t="s">
        <v>734</v>
      </c>
      <c r="M1862" s="27"/>
      <c r="N1862" s="27"/>
      <c r="O1862" s="27"/>
      <c r="P1862" s="27"/>
      <c r="Q1862" s="27"/>
      <c r="R1862" s="27"/>
      <c r="S1862" s="27"/>
      <c r="T1862" s="27"/>
      <c r="U1862" s="27"/>
      <c r="V1862" s="27"/>
      <c r="W1862" s="27"/>
      <c r="X1862" s="27"/>
      <c r="Y1862" s="27"/>
      <c r="Z1862" s="27"/>
      <c r="AA1862" s="27"/>
      <c r="AB1862" s="27"/>
      <c r="AC1862" s="27"/>
      <c r="AD1862" s="27"/>
      <c r="AE1862" s="27"/>
    </row>
    <row r="1863" spans="1:31" ht="16">
      <c r="A1863" s="42" t="s">
        <v>796</v>
      </c>
      <c r="B1863" s="42" t="s">
        <v>571</v>
      </c>
      <c r="C1863" s="18" t="s">
        <v>857</v>
      </c>
      <c r="D1863" s="27" t="s">
        <v>636</v>
      </c>
      <c r="E1863" s="42" t="s">
        <v>761</v>
      </c>
      <c r="F1863" s="43">
        <v>1993</v>
      </c>
      <c r="G1863" s="38">
        <v>28838</v>
      </c>
      <c r="H1863" s="38">
        <f t="shared" ref="H1863:I1863" si="1184">F1863-F1862</f>
        <v>2</v>
      </c>
      <c r="I1863" s="38">
        <f t="shared" si="1184"/>
        <v>-6974</v>
      </c>
      <c r="J1863" s="67">
        <f t="shared" ref="J1863:J1868" si="1185">I1863/G1862</f>
        <v>-0.19473919356640232</v>
      </c>
      <c r="K1863" s="65">
        <f t="shared" ref="K1863:K1868" si="1186">J1863/H1863</f>
        <v>-9.7369596783201159E-2</v>
      </c>
      <c r="L1863" s="38" t="s">
        <v>734</v>
      </c>
      <c r="M1863" s="27"/>
      <c r="N1863" s="27"/>
      <c r="O1863" s="27"/>
      <c r="P1863" s="27"/>
      <c r="Q1863" s="27"/>
      <c r="R1863" s="27"/>
      <c r="S1863" s="27"/>
      <c r="T1863" s="27"/>
      <c r="U1863" s="27"/>
      <c r="V1863" s="27"/>
      <c r="W1863" s="27"/>
      <c r="X1863" s="27"/>
      <c r="Y1863" s="27"/>
      <c r="Z1863" s="27"/>
      <c r="AA1863" s="27"/>
      <c r="AB1863" s="27"/>
      <c r="AC1863" s="27"/>
      <c r="AD1863" s="27"/>
      <c r="AE1863" s="27"/>
    </row>
    <row r="1864" spans="1:31" ht="16">
      <c r="A1864" s="42" t="s">
        <v>796</v>
      </c>
      <c r="B1864" s="42" t="s">
        <v>571</v>
      </c>
      <c r="C1864" s="18" t="s">
        <v>857</v>
      </c>
      <c r="D1864" s="27" t="s">
        <v>636</v>
      </c>
      <c r="E1864" s="42" t="s">
        <v>761</v>
      </c>
      <c r="F1864" s="43">
        <v>1996</v>
      </c>
      <c r="G1864" s="38">
        <v>8648</v>
      </c>
      <c r="H1864" s="38">
        <f t="shared" ref="H1864:I1864" si="1187">F1864-F1863</f>
        <v>3</v>
      </c>
      <c r="I1864" s="38">
        <f t="shared" si="1187"/>
        <v>-20190</v>
      </c>
      <c r="J1864" s="67">
        <f t="shared" si="1185"/>
        <v>-0.70011789999306473</v>
      </c>
      <c r="K1864" s="65">
        <f t="shared" si="1186"/>
        <v>-0.23337263333102157</v>
      </c>
      <c r="L1864" s="38" t="s">
        <v>734</v>
      </c>
      <c r="M1864" s="27"/>
      <c r="N1864" s="27"/>
      <c r="O1864" s="27"/>
      <c r="P1864" s="27"/>
      <c r="Q1864" s="27"/>
      <c r="R1864" s="27"/>
      <c r="S1864" s="27"/>
      <c r="T1864" s="27"/>
      <c r="U1864" s="27"/>
      <c r="V1864" s="27"/>
      <c r="W1864" s="27"/>
      <c r="X1864" s="27"/>
      <c r="Y1864" s="27"/>
      <c r="Z1864" s="27"/>
      <c r="AA1864" s="27"/>
      <c r="AB1864" s="27"/>
      <c r="AC1864" s="27"/>
      <c r="AD1864" s="27"/>
      <c r="AE1864" s="27"/>
    </row>
    <row r="1865" spans="1:31" ht="16">
      <c r="A1865" s="42" t="s">
        <v>796</v>
      </c>
      <c r="B1865" s="42" t="s">
        <v>571</v>
      </c>
      <c r="C1865" s="18" t="s">
        <v>857</v>
      </c>
      <c r="D1865" s="27" t="s">
        <v>636</v>
      </c>
      <c r="E1865" s="42" t="s">
        <v>761</v>
      </c>
      <c r="F1865" s="43">
        <v>2001</v>
      </c>
      <c r="G1865" s="38">
        <v>28953</v>
      </c>
      <c r="H1865" s="38">
        <f t="shared" ref="H1865:I1865" si="1188">F1865-F1864</f>
        <v>5</v>
      </c>
      <c r="I1865" s="38">
        <f t="shared" si="1188"/>
        <v>20305</v>
      </c>
      <c r="J1865" s="67">
        <f t="shared" si="1185"/>
        <v>2.3479417206290472</v>
      </c>
      <c r="K1865" s="65">
        <f t="shared" si="1186"/>
        <v>0.46958834412580941</v>
      </c>
      <c r="L1865" s="38" t="s">
        <v>734</v>
      </c>
      <c r="M1865" s="27"/>
      <c r="N1865" s="27"/>
      <c r="O1865" s="27"/>
      <c r="P1865" s="27"/>
      <c r="Q1865" s="27"/>
      <c r="R1865" s="27"/>
      <c r="S1865" s="27"/>
      <c r="T1865" s="27"/>
      <c r="U1865" s="27"/>
      <c r="V1865" s="27"/>
      <c r="W1865" s="27"/>
      <c r="X1865" s="27"/>
      <c r="Y1865" s="27"/>
      <c r="Z1865" s="27"/>
      <c r="AA1865" s="27"/>
      <c r="AB1865" s="27"/>
      <c r="AC1865" s="27"/>
      <c r="AD1865" s="27"/>
      <c r="AE1865" s="27"/>
    </row>
    <row r="1866" spans="1:31" ht="16">
      <c r="A1866" s="42" t="s">
        <v>796</v>
      </c>
      <c r="B1866" s="42" t="s">
        <v>571</v>
      </c>
      <c r="C1866" s="18" t="s">
        <v>857</v>
      </c>
      <c r="D1866" s="27" t="s">
        <v>636</v>
      </c>
      <c r="E1866" s="42" t="s">
        <v>761</v>
      </c>
      <c r="F1866" s="43">
        <v>2005</v>
      </c>
      <c r="G1866" s="38">
        <v>61696</v>
      </c>
      <c r="H1866" s="38">
        <f t="shared" ref="H1866:I1866" si="1189">F1866-F1865</f>
        <v>4</v>
      </c>
      <c r="I1866" s="38">
        <f t="shared" si="1189"/>
        <v>32743</v>
      </c>
      <c r="J1866" s="67">
        <f t="shared" si="1185"/>
        <v>1.1309018063758505</v>
      </c>
      <c r="K1866" s="65">
        <f t="shared" si="1186"/>
        <v>0.28272545159396262</v>
      </c>
      <c r="L1866" s="38" t="s">
        <v>734</v>
      </c>
      <c r="M1866" s="27"/>
      <c r="N1866" s="27"/>
      <c r="O1866" s="27"/>
      <c r="P1866" s="27"/>
      <c r="Q1866" s="27"/>
      <c r="R1866" s="27"/>
      <c r="S1866" s="27"/>
      <c r="T1866" s="27"/>
      <c r="U1866" s="27"/>
      <c r="V1866" s="27"/>
      <c r="W1866" s="27"/>
      <c r="X1866" s="27"/>
      <c r="Y1866" s="27"/>
      <c r="Z1866" s="27"/>
      <c r="AA1866" s="27"/>
      <c r="AB1866" s="27"/>
      <c r="AC1866" s="27"/>
      <c r="AD1866" s="27"/>
      <c r="AE1866" s="27"/>
    </row>
    <row r="1867" spans="1:31" ht="16">
      <c r="A1867" s="42" t="s">
        <v>796</v>
      </c>
      <c r="B1867" s="42" t="s">
        <v>571</v>
      </c>
      <c r="C1867" s="18" t="s">
        <v>857</v>
      </c>
      <c r="D1867" s="27" t="s">
        <v>636</v>
      </c>
      <c r="E1867" s="42" t="s">
        <v>761</v>
      </c>
      <c r="F1867" s="43">
        <v>2008</v>
      </c>
      <c r="G1867" s="38">
        <v>9210</v>
      </c>
      <c r="H1867" s="38">
        <f t="shared" ref="H1867:I1867" si="1190">F1867-F1866</f>
        <v>3</v>
      </c>
      <c r="I1867" s="38">
        <f t="shared" si="1190"/>
        <v>-52486</v>
      </c>
      <c r="J1867" s="67">
        <f t="shared" si="1185"/>
        <v>-0.8507196576763485</v>
      </c>
      <c r="K1867" s="65">
        <f t="shared" si="1186"/>
        <v>-0.28357321922544948</v>
      </c>
      <c r="L1867" s="38" t="s">
        <v>734</v>
      </c>
      <c r="M1867" s="27"/>
      <c r="N1867" s="27"/>
      <c r="O1867" s="27"/>
      <c r="P1867" s="27"/>
      <c r="Q1867" s="27"/>
      <c r="R1867" s="27"/>
      <c r="S1867" s="27"/>
      <c r="T1867" s="27"/>
      <c r="U1867" s="27"/>
      <c r="V1867" s="27"/>
      <c r="W1867" s="27"/>
      <c r="X1867" s="27"/>
      <c r="Y1867" s="27"/>
      <c r="Z1867" s="27"/>
      <c r="AA1867" s="27"/>
      <c r="AB1867" s="27"/>
      <c r="AC1867" s="27"/>
      <c r="AD1867" s="27"/>
      <c r="AE1867" s="27"/>
    </row>
    <row r="1868" spans="1:31" ht="16">
      <c r="A1868" s="42" t="s">
        <v>796</v>
      </c>
      <c r="B1868" s="42" t="s">
        <v>571</v>
      </c>
      <c r="C1868" s="18" t="s">
        <v>857</v>
      </c>
      <c r="D1868" s="27" t="s">
        <v>636</v>
      </c>
      <c r="E1868" s="42" t="s">
        <v>761</v>
      </c>
      <c r="F1868" s="43">
        <v>2014</v>
      </c>
      <c r="G1868" s="38">
        <v>90619</v>
      </c>
      <c r="H1868" s="38">
        <f t="shared" ref="H1868:I1868" si="1191">F1868-F1867</f>
        <v>6</v>
      </c>
      <c r="I1868" s="38">
        <f t="shared" si="1191"/>
        <v>81409</v>
      </c>
      <c r="J1868" s="67">
        <f t="shared" si="1185"/>
        <v>8.8391965255157441</v>
      </c>
      <c r="K1868" s="65">
        <f t="shared" si="1186"/>
        <v>1.4731994209192907</v>
      </c>
      <c r="L1868" s="38" t="s">
        <v>734</v>
      </c>
      <c r="M1868" s="27"/>
      <c r="N1868" s="27"/>
      <c r="O1868" s="27"/>
      <c r="P1868" s="27"/>
      <c r="Q1868" s="27"/>
      <c r="R1868" s="27"/>
      <c r="S1868" s="27"/>
      <c r="T1868" s="27"/>
      <c r="U1868" s="27"/>
      <c r="V1868" s="27"/>
      <c r="W1868" s="27"/>
      <c r="X1868" s="27"/>
      <c r="Y1868" s="27"/>
      <c r="Z1868" s="27"/>
      <c r="AA1868" s="27"/>
      <c r="AB1868" s="27"/>
      <c r="AC1868" s="27"/>
      <c r="AD1868" s="27"/>
      <c r="AE1868" s="27"/>
    </row>
    <row r="1869" spans="1:31" ht="16">
      <c r="A1869" s="42" t="s">
        <v>809</v>
      </c>
      <c r="B1869" s="42" t="s">
        <v>571</v>
      </c>
      <c r="C1869" s="18" t="s">
        <v>859</v>
      </c>
      <c r="D1869" s="27" t="s">
        <v>636</v>
      </c>
      <c r="E1869" s="42" t="s">
        <v>761</v>
      </c>
      <c r="F1869" s="43">
        <v>2002</v>
      </c>
      <c r="G1869" s="38">
        <v>33896</v>
      </c>
      <c r="H1869" s="38" t="s">
        <v>402</v>
      </c>
      <c r="I1869" s="38" t="s">
        <v>402</v>
      </c>
      <c r="J1869" s="67" t="s">
        <v>402</v>
      </c>
      <c r="K1869" s="65" t="s">
        <v>402</v>
      </c>
      <c r="L1869" s="38" t="s">
        <v>612</v>
      </c>
      <c r="M1869" s="27"/>
      <c r="N1869" s="27"/>
      <c r="O1869" s="27"/>
      <c r="P1869" s="27"/>
      <c r="Q1869" s="27"/>
      <c r="R1869" s="27"/>
      <c r="S1869" s="27"/>
      <c r="T1869" s="27"/>
      <c r="U1869" s="27"/>
      <c r="V1869" s="27"/>
      <c r="W1869" s="27"/>
      <c r="X1869" s="27"/>
      <c r="Y1869" s="27"/>
      <c r="Z1869" s="27"/>
      <c r="AA1869" s="27"/>
      <c r="AB1869" s="27"/>
      <c r="AC1869" s="27"/>
      <c r="AD1869" s="27"/>
      <c r="AE1869" s="27"/>
    </row>
    <row r="1870" spans="1:31" ht="16">
      <c r="A1870" s="42" t="s">
        <v>809</v>
      </c>
      <c r="B1870" s="42" t="s">
        <v>571</v>
      </c>
      <c r="C1870" s="18" t="s">
        <v>859</v>
      </c>
      <c r="D1870" s="27" t="s">
        <v>636</v>
      </c>
      <c r="E1870" s="42" t="s">
        <v>761</v>
      </c>
      <c r="F1870" s="43">
        <v>2010</v>
      </c>
      <c r="G1870" s="38">
        <v>61029</v>
      </c>
      <c r="H1870" s="38">
        <f t="shared" ref="H1870:I1870" si="1192">F1870-F1869</f>
        <v>8</v>
      </c>
      <c r="I1870" s="38">
        <f t="shared" si="1192"/>
        <v>27133</v>
      </c>
      <c r="J1870" s="67">
        <f t="shared" ref="J1870:J1871" si="1193">I1870/G1869</f>
        <v>0.80047793249940991</v>
      </c>
      <c r="K1870" s="65">
        <f t="shared" ref="K1870:K1871" si="1194">J1870/H1870</f>
        <v>0.10005974156242624</v>
      </c>
      <c r="L1870" s="38" t="s">
        <v>612</v>
      </c>
      <c r="M1870" s="27"/>
      <c r="N1870" s="27"/>
      <c r="O1870" s="27"/>
      <c r="P1870" s="27"/>
      <c r="Q1870" s="27"/>
      <c r="R1870" s="27"/>
      <c r="S1870" s="27"/>
      <c r="T1870" s="27"/>
      <c r="U1870" s="27"/>
      <c r="V1870" s="27"/>
      <c r="W1870" s="27"/>
      <c r="X1870" s="27"/>
      <c r="Y1870" s="27"/>
      <c r="Z1870" s="27"/>
      <c r="AA1870" s="27"/>
      <c r="AB1870" s="27"/>
      <c r="AC1870" s="27"/>
      <c r="AD1870" s="27"/>
      <c r="AE1870" s="27"/>
    </row>
    <row r="1871" spans="1:31" ht="16">
      <c r="A1871" s="42" t="s">
        <v>809</v>
      </c>
      <c r="B1871" s="42" t="s">
        <v>571</v>
      </c>
      <c r="C1871" s="18" t="s">
        <v>859</v>
      </c>
      <c r="D1871" s="27" t="s">
        <v>636</v>
      </c>
      <c r="E1871" s="42" t="s">
        <v>761</v>
      </c>
      <c r="F1871" s="43">
        <v>2017</v>
      </c>
      <c r="G1871" s="38">
        <v>34271</v>
      </c>
      <c r="H1871" s="38">
        <f t="shared" ref="H1871:I1871" si="1195">F1871-F1870</f>
        <v>7</v>
      </c>
      <c r="I1871" s="38">
        <f t="shared" si="1195"/>
        <v>-26758</v>
      </c>
      <c r="J1871" s="67">
        <f t="shared" si="1193"/>
        <v>-0.43844729554801815</v>
      </c>
      <c r="K1871" s="65">
        <f t="shared" si="1194"/>
        <v>-6.2635327935431168E-2</v>
      </c>
      <c r="L1871" s="38" t="s">
        <v>612</v>
      </c>
      <c r="M1871" s="27"/>
      <c r="N1871" s="27"/>
      <c r="O1871" s="27"/>
      <c r="P1871" s="27"/>
      <c r="Q1871" s="27"/>
      <c r="R1871" s="27"/>
      <c r="S1871" s="27"/>
      <c r="T1871" s="27"/>
      <c r="U1871" s="27"/>
      <c r="V1871" s="27"/>
      <c r="W1871" s="27"/>
      <c r="X1871" s="27"/>
      <c r="Y1871" s="27"/>
      <c r="Z1871" s="27"/>
      <c r="AA1871" s="27"/>
      <c r="AB1871" s="27"/>
      <c r="AC1871" s="27"/>
      <c r="AD1871" s="27"/>
      <c r="AE1871" s="27"/>
    </row>
    <row r="1872" spans="1:31" ht="16">
      <c r="A1872" s="42" t="s">
        <v>809</v>
      </c>
      <c r="B1872" s="42" t="s">
        <v>571</v>
      </c>
      <c r="C1872" s="18" t="s">
        <v>859</v>
      </c>
      <c r="D1872" s="27" t="s">
        <v>106</v>
      </c>
      <c r="E1872" s="42" t="s">
        <v>761</v>
      </c>
      <c r="F1872" s="43">
        <v>2002</v>
      </c>
      <c r="G1872" s="38">
        <v>35817</v>
      </c>
      <c r="H1872" s="38" t="s">
        <v>402</v>
      </c>
      <c r="I1872" s="38" t="s">
        <v>402</v>
      </c>
      <c r="J1872" s="67" t="s">
        <v>402</v>
      </c>
      <c r="K1872" s="65" t="s">
        <v>402</v>
      </c>
      <c r="L1872" s="38" t="s">
        <v>612</v>
      </c>
      <c r="M1872" s="27"/>
      <c r="N1872" s="27"/>
      <c r="O1872" s="27"/>
      <c r="P1872" s="27"/>
      <c r="Q1872" s="27"/>
      <c r="R1872" s="27"/>
      <c r="S1872" s="27"/>
      <c r="T1872" s="27"/>
      <c r="U1872" s="27"/>
      <c r="V1872" s="27"/>
      <c r="W1872" s="27"/>
      <c r="X1872" s="27"/>
      <c r="Y1872" s="27"/>
      <c r="Z1872" s="27"/>
      <c r="AA1872" s="27"/>
      <c r="AB1872" s="27"/>
      <c r="AC1872" s="27"/>
      <c r="AD1872" s="27"/>
      <c r="AE1872" s="27"/>
    </row>
    <row r="1873" spans="1:31" ht="16">
      <c r="A1873" s="42" t="s">
        <v>809</v>
      </c>
      <c r="B1873" s="42" t="s">
        <v>571</v>
      </c>
      <c r="C1873" s="18" t="s">
        <v>859</v>
      </c>
      <c r="D1873" s="27" t="s">
        <v>106</v>
      </c>
      <c r="E1873" s="42" t="s">
        <v>761</v>
      </c>
      <c r="F1873" s="43">
        <v>2010</v>
      </c>
      <c r="G1873" s="38">
        <v>36886</v>
      </c>
      <c r="H1873" s="38">
        <f t="shared" ref="H1873:I1873" si="1196">F1873-F1872</f>
        <v>8</v>
      </c>
      <c r="I1873" s="38">
        <f t="shared" si="1196"/>
        <v>1069</v>
      </c>
      <c r="J1873" s="67">
        <f t="shared" ref="J1873:J1874" si="1197">I1873/G1872</f>
        <v>2.9846162436831671E-2</v>
      </c>
      <c r="K1873" s="65">
        <f t="shared" ref="K1873:K1874" si="1198">J1873/H1873</f>
        <v>3.7307703046039588E-3</v>
      </c>
      <c r="L1873" s="38" t="s">
        <v>612</v>
      </c>
      <c r="M1873" s="27"/>
      <c r="N1873" s="27"/>
      <c r="O1873" s="27"/>
      <c r="P1873" s="27"/>
      <c r="Q1873" s="27"/>
      <c r="R1873" s="27"/>
      <c r="S1873" s="27"/>
      <c r="T1873" s="27"/>
      <c r="U1873" s="27"/>
      <c r="V1873" s="27"/>
      <c r="W1873" s="27"/>
      <c r="X1873" s="27"/>
      <c r="Y1873" s="27"/>
      <c r="Z1873" s="27"/>
      <c r="AA1873" s="27"/>
      <c r="AB1873" s="27"/>
      <c r="AC1873" s="27"/>
      <c r="AD1873" s="27"/>
      <c r="AE1873" s="27"/>
    </row>
    <row r="1874" spans="1:31" ht="16">
      <c r="A1874" s="42" t="s">
        <v>809</v>
      </c>
      <c r="B1874" s="42" t="s">
        <v>571</v>
      </c>
      <c r="C1874" s="18" t="s">
        <v>859</v>
      </c>
      <c r="D1874" s="27" t="s">
        <v>106</v>
      </c>
      <c r="E1874" s="42" t="s">
        <v>761</v>
      </c>
      <c r="F1874" s="43">
        <v>2017</v>
      </c>
      <c r="G1874" s="38">
        <v>35179</v>
      </c>
      <c r="H1874" s="38">
        <f t="shared" ref="H1874:I1874" si="1199">F1874-F1873</f>
        <v>7</v>
      </c>
      <c r="I1874" s="38">
        <f t="shared" si="1199"/>
        <v>-1707</v>
      </c>
      <c r="J1874" s="67">
        <f t="shared" si="1197"/>
        <v>-4.627772054437998E-2</v>
      </c>
      <c r="K1874" s="65">
        <f t="shared" si="1198"/>
        <v>-6.6111029349114258E-3</v>
      </c>
      <c r="L1874" s="38" t="s">
        <v>612</v>
      </c>
      <c r="M1874" s="27"/>
      <c r="N1874" s="27"/>
      <c r="O1874" s="27"/>
      <c r="P1874" s="27"/>
      <c r="Q1874" s="27"/>
      <c r="R1874" s="27"/>
      <c r="S1874" s="27"/>
      <c r="T1874" s="27"/>
      <c r="U1874" s="27"/>
      <c r="V1874" s="27"/>
      <c r="W1874" s="27"/>
      <c r="X1874" s="27"/>
      <c r="Y1874" s="27"/>
      <c r="Z1874" s="27"/>
      <c r="AA1874" s="27"/>
      <c r="AB1874" s="27"/>
      <c r="AC1874" s="27"/>
      <c r="AD1874" s="27"/>
      <c r="AE1874" s="27"/>
    </row>
    <row r="1875" spans="1:31" ht="13">
      <c r="A1875" s="42" t="s">
        <v>796</v>
      </c>
      <c r="B1875" s="18" t="s">
        <v>571</v>
      </c>
      <c r="C1875" s="18" t="s">
        <v>857</v>
      </c>
      <c r="D1875" s="18" t="s">
        <v>621</v>
      </c>
      <c r="E1875" s="18" t="s">
        <v>622</v>
      </c>
      <c r="F1875" s="18">
        <v>1996</v>
      </c>
      <c r="G1875" s="40">
        <v>17758</v>
      </c>
      <c r="H1875" s="40" t="s">
        <v>402</v>
      </c>
      <c r="I1875" s="40" t="s">
        <v>402</v>
      </c>
      <c r="J1875" s="66" t="s">
        <v>402</v>
      </c>
      <c r="K1875" s="65" t="s">
        <v>402</v>
      </c>
      <c r="L1875" s="18" t="s">
        <v>623</v>
      </c>
    </row>
    <row r="1876" spans="1:31" ht="13">
      <c r="A1876" s="42" t="s">
        <v>796</v>
      </c>
      <c r="B1876" s="18" t="s">
        <v>571</v>
      </c>
      <c r="C1876" s="18" t="s">
        <v>857</v>
      </c>
      <c r="D1876" s="18" t="s">
        <v>621</v>
      </c>
      <c r="E1876" s="18" t="s">
        <v>622</v>
      </c>
      <c r="F1876" s="18">
        <v>2001</v>
      </c>
      <c r="G1876" s="40">
        <v>26215</v>
      </c>
      <c r="H1876" s="40">
        <f t="shared" ref="H1876:I1876" si="1200">F1876-F1875</f>
        <v>5</v>
      </c>
      <c r="I1876" s="40">
        <f t="shared" si="1200"/>
        <v>8457</v>
      </c>
      <c r="J1876" s="66">
        <f t="shared" ref="J1876:J1880" si="1201">I1876/G1875</f>
        <v>0.47623606261966439</v>
      </c>
      <c r="K1876" s="65">
        <f t="shared" ref="K1876:K1880" si="1202">J1876/H1876</f>
        <v>9.5247212523932881E-2</v>
      </c>
      <c r="L1876" s="18" t="s">
        <v>623</v>
      </c>
    </row>
    <row r="1877" spans="1:31" ht="13">
      <c r="A1877" s="42" t="s">
        <v>796</v>
      </c>
      <c r="B1877" s="18" t="s">
        <v>571</v>
      </c>
      <c r="C1877" s="18" t="s">
        <v>857</v>
      </c>
      <c r="D1877" s="18" t="s">
        <v>621</v>
      </c>
      <c r="E1877" s="18" t="s">
        <v>622</v>
      </c>
      <c r="F1877" s="18">
        <v>2005</v>
      </c>
      <c r="G1877" s="40">
        <v>47974</v>
      </c>
      <c r="H1877" s="40">
        <f t="shared" ref="H1877:I1877" si="1203">F1877-F1876</f>
        <v>4</v>
      </c>
      <c r="I1877" s="40">
        <f t="shared" si="1203"/>
        <v>21759</v>
      </c>
      <c r="J1877" s="66">
        <f t="shared" si="1201"/>
        <v>0.83002098035475869</v>
      </c>
      <c r="K1877" s="65">
        <f t="shared" si="1202"/>
        <v>0.20750524508868967</v>
      </c>
      <c r="L1877" s="18" t="s">
        <v>623</v>
      </c>
    </row>
    <row r="1878" spans="1:31" ht="13">
      <c r="A1878" s="42" t="s">
        <v>796</v>
      </c>
      <c r="B1878" s="18" t="s">
        <v>571</v>
      </c>
      <c r="C1878" s="18" t="s">
        <v>857</v>
      </c>
      <c r="D1878" s="18" t="s">
        <v>621</v>
      </c>
      <c r="E1878" s="18" t="s">
        <v>622</v>
      </c>
      <c r="F1878" s="18">
        <v>2008</v>
      </c>
      <c r="G1878" s="40">
        <v>46563</v>
      </c>
      <c r="H1878" s="40">
        <f t="shared" ref="H1878:I1878" si="1204">F1878-F1877</f>
        <v>3</v>
      </c>
      <c r="I1878" s="40">
        <f t="shared" si="1204"/>
        <v>-1411</v>
      </c>
      <c r="J1878" s="66">
        <f t="shared" si="1201"/>
        <v>-2.9411764705882353E-2</v>
      </c>
      <c r="K1878" s="65">
        <f t="shared" si="1202"/>
        <v>-9.8039215686274508E-3</v>
      </c>
      <c r="L1878" s="18" t="s">
        <v>623</v>
      </c>
    </row>
    <row r="1879" spans="1:31" ht="13">
      <c r="A1879" s="42" t="s">
        <v>796</v>
      </c>
      <c r="B1879" s="18" t="s">
        <v>571</v>
      </c>
      <c r="C1879" s="18" t="s">
        <v>857</v>
      </c>
      <c r="D1879" s="18" t="s">
        <v>621</v>
      </c>
      <c r="E1879" s="18" t="s">
        <v>622</v>
      </c>
      <c r="F1879" s="18">
        <v>2014</v>
      </c>
      <c r="G1879" s="40">
        <v>70107</v>
      </c>
      <c r="H1879" s="40">
        <f t="shared" ref="H1879:I1879" si="1205">F1879-F1878</f>
        <v>6</v>
      </c>
      <c r="I1879" s="40">
        <f t="shared" si="1205"/>
        <v>23544</v>
      </c>
      <c r="J1879" s="66">
        <f t="shared" si="1201"/>
        <v>0.50563752335545387</v>
      </c>
      <c r="K1879" s="65">
        <f t="shared" si="1202"/>
        <v>8.4272920559242306E-2</v>
      </c>
      <c r="L1879" s="18" t="s">
        <v>623</v>
      </c>
    </row>
    <row r="1880" spans="1:31" ht="13">
      <c r="A1880" s="42" t="s">
        <v>796</v>
      </c>
      <c r="B1880" s="18" t="s">
        <v>571</v>
      </c>
      <c r="C1880" s="18" t="s">
        <v>857</v>
      </c>
      <c r="D1880" s="18" t="s">
        <v>621</v>
      </c>
      <c r="E1880" s="18" t="s">
        <v>622</v>
      </c>
      <c r="F1880" s="18">
        <v>2018</v>
      </c>
      <c r="G1880" s="40">
        <v>29988</v>
      </c>
      <c r="H1880" s="40">
        <f t="shared" ref="H1880:I1880" si="1206">F1880-F1879</f>
        <v>4</v>
      </c>
      <c r="I1880" s="40">
        <f t="shared" si="1206"/>
        <v>-40119</v>
      </c>
      <c r="J1880" s="66">
        <f t="shared" si="1201"/>
        <v>-0.57225384055800421</v>
      </c>
      <c r="K1880" s="65">
        <f t="shared" si="1202"/>
        <v>-0.14306346013950105</v>
      </c>
      <c r="L1880" s="18" t="s">
        <v>623</v>
      </c>
    </row>
    <row r="1881" spans="1:31" ht="13">
      <c r="A1881" s="18"/>
      <c r="B1881" s="18"/>
      <c r="C1881" s="18"/>
      <c r="D1881" s="18"/>
      <c r="E1881" s="18"/>
      <c r="F1881" s="18"/>
      <c r="G1881" s="40"/>
      <c r="H1881" s="40"/>
      <c r="I1881" s="40"/>
      <c r="J1881" s="66"/>
      <c r="K1881" s="66"/>
      <c r="L1881" s="18"/>
    </row>
    <row r="1882" spans="1:31" ht="13">
      <c r="A1882" s="30"/>
      <c r="B1882" s="30"/>
      <c r="C1882" s="30"/>
      <c r="D1882" s="30"/>
      <c r="E1882" s="30"/>
      <c r="F1882" s="48"/>
      <c r="G1882" s="49"/>
      <c r="H1882" s="49"/>
      <c r="I1882" s="49"/>
      <c r="J1882" s="71"/>
      <c r="K1882" s="71"/>
      <c r="L1882" s="50"/>
      <c r="M1882" s="30"/>
      <c r="N1882" s="30"/>
      <c r="O1882" s="30"/>
      <c r="P1882" s="30"/>
      <c r="Q1882" s="30"/>
      <c r="R1882" s="30"/>
      <c r="S1882" s="30"/>
      <c r="T1882" s="30"/>
      <c r="U1882" s="30"/>
      <c r="V1882" s="30"/>
      <c r="W1882" s="30"/>
      <c r="X1882" s="30"/>
      <c r="Y1882" s="30"/>
      <c r="Z1882" s="30"/>
      <c r="AA1882" s="30"/>
      <c r="AB1882" s="30"/>
      <c r="AC1882" s="30"/>
      <c r="AD1882" s="30"/>
      <c r="AE1882" s="30"/>
    </row>
    <row r="1883" spans="1:31" ht="13">
      <c r="A1883" s="30"/>
      <c r="B1883" s="30"/>
      <c r="C1883" s="30"/>
      <c r="D1883" s="30"/>
      <c r="E1883" s="30"/>
      <c r="F1883" s="48"/>
      <c r="G1883" s="49"/>
      <c r="H1883" s="49"/>
      <c r="I1883" s="49"/>
      <c r="J1883" s="71"/>
      <c r="K1883" s="71"/>
      <c r="L1883" s="50"/>
      <c r="M1883" s="30"/>
      <c r="N1883" s="30"/>
      <c r="O1883" s="30"/>
      <c r="P1883" s="30"/>
      <c r="Q1883" s="30"/>
      <c r="R1883" s="30"/>
      <c r="S1883" s="30"/>
      <c r="T1883" s="30"/>
      <c r="U1883" s="30"/>
      <c r="V1883" s="30"/>
      <c r="W1883" s="30"/>
      <c r="X1883" s="30"/>
      <c r="Y1883" s="30"/>
      <c r="Z1883" s="30"/>
      <c r="AA1883" s="30"/>
      <c r="AB1883" s="30"/>
      <c r="AC1883" s="30"/>
      <c r="AD1883" s="30"/>
      <c r="AE1883" s="30"/>
    </row>
    <row r="1884" spans="1:31" ht="13">
      <c r="A1884" s="30"/>
      <c r="B1884" s="30"/>
      <c r="C1884" s="30"/>
      <c r="D1884" s="30"/>
      <c r="E1884" s="30"/>
      <c r="F1884" s="48"/>
      <c r="G1884" s="49"/>
      <c r="H1884" s="49"/>
      <c r="I1884" s="49"/>
      <c r="J1884" s="71"/>
      <c r="K1884" s="71"/>
      <c r="L1884" s="50"/>
      <c r="M1884" s="30"/>
      <c r="N1884" s="30"/>
      <c r="O1884" s="30"/>
      <c r="P1884" s="30"/>
      <c r="Q1884" s="30"/>
      <c r="R1884" s="30"/>
      <c r="S1884" s="30"/>
      <c r="T1884" s="30"/>
      <c r="U1884" s="30"/>
      <c r="V1884" s="30"/>
      <c r="W1884" s="30"/>
      <c r="X1884" s="30"/>
      <c r="Y1884" s="30"/>
      <c r="Z1884" s="30"/>
      <c r="AA1884" s="30"/>
      <c r="AB1884" s="30"/>
      <c r="AC1884" s="30"/>
      <c r="AD1884" s="30"/>
      <c r="AE1884" s="30"/>
    </row>
    <row r="1885" spans="1:31" ht="13">
      <c r="A1885" s="30"/>
      <c r="B1885" s="30"/>
      <c r="C1885" s="30"/>
      <c r="D1885" s="30"/>
      <c r="E1885" s="30"/>
      <c r="F1885" s="48"/>
      <c r="G1885" s="49"/>
      <c r="H1885" s="49"/>
      <c r="I1885" s="49"/>
      <c r="J1885" s="71"/>
      <c r="K1885" s="71"/>
      <c r="L1885" s="50"/>
      <c r="M1885" s="30"/>
      <c r="N1885" s="30"/>
      <c r="O1885" s="30"/>
      <c r="P1885" s="30"/>
      <c r="Q1885" s="30"/>
      <c r="R1885" s="30"/>
      <c r="S1885" s="30"/>
      <c r="T1885" s="30"/>
      <c r="U1885" s="30"/>
      <c r="V1885" s="30"/>
      <c r="W1885" s="30"/>
      <c r="X1885" s="30"/>
      <c r="Y1885" s="30"/>
      <c r="Z1885" s="30"/>
      <c r="AA1885" s="30"/>
      <c r="AB1885" s="30"/>
      <c r="AC1885" s="30"/>
      <c r="AD1885" s="30"/>
      <c r="AE1885" s="30"/>
    </row>
    <row r="1886" spans="1:31" ht="13">
      <c r="A1886" s="30"/>
      <c r="B1886" s="30"/>
      <c r="C1886" s="30"/>
      <c r="D1886" s="30"/>
      <c r="E1886" s="30"/>
      <c r="F1886" s="48"/>
      <c r="G1886" s="49"/>
      <c r="H1886" s="49"/>
      <c r="I1886" s="49"/>
      <c r="J1886" s="71"/>
      <c r="K1886" s="71"/>
      <c r="L1886" s="50"/>
      <c r="M1886" s="30"/>
      <c r="N1886" s="30"/>
      <c r="O1886" s="30"/>
      <c r="P1886" s="30"/>
      <c r="Q1886" s="30"/>
      <c r="R1886" s="30"/>
      <c r="S1886" s="30"/>
      <c r="T1886" s="30"/>
      <c r="U1886" s="30"/>
      <c r="V1886" s="30"/>
      <c r="W1886" s="30"/>
      <c r="X1886" s="30"/>
      <c r="Y1886" s="30"/>
      <c r="Z1886" s="30"/>
      <c r="AA1886" s="30"/>
      <c r="AB1886" s="30"/>
      <c r="AC1886" s="30"/>
      <c r="AD1886" s="30"/>
      <c r="AE1886" s="30"/>
    </row>
    <row r="1887" spans="1:31" ht="13">
      <c r="A1887" s="30"/>
      <c r="B1887" s="30"/>
      <c r="C1887" s="30"/>
      <c r="D1887" s="30"/>
      <c r="E1887" s="30"/>
      <c r="F1887" s="48"/>
      <c r="G1887" s="49"/>
      <c r="H1887" s="49"/>
      <c r="I1887" s="49"/>
      <c r="J1887" s="71"/>
      <c r="K1887" s="71"/>
      <c r="L1887" s="50"/>
      <c r="M1887" s="30"/>
      <c r="N1887" s="30"/>
      <c r="O1887" s="30"/>
      <c r="P1887" s="30"/>
      <c r="Q1887" s="30"/>
      <c r="R1887" s="30"/>
      <c r="S1887" s="30"/>
      <c r="T1887" s="30"/>
      <c r="U1887" s="30"/>
      <c r="V1887" s="30"/>
      <c r="W1887" s="30"/>
      <c r="X1887" s="30"/>
      <c r="Y1887" s="30"/>
      <c r="Z1887" s="30"/>
      <c r="AA1887" s="30"/>
      <c r="AB1887" s="30"/>
      <c r="AC1887" s="30"/>
      <c r="AD1887" s="30"/>
      <c r="AE1887" s="30"/>
    </row>
    <row r="1888" spans="1:31" ht="13">
      <c r="A1888" s="30"/>
      <c r="B1888" s="30"/>
      <c r="C1888" s="30"/>
      <c r="D1888" s="30"/>
      <c r="E1888" s="30"/>
      <c r="F1888" s="48"/>
      <c r="G1888" s="49"/>
      <c r="H1888" s="49"/>
      <c r="I1888" s="49"/>
      <c r="J1888" s="71"/>
      <c r="K1888" s="71"/>
      <c r="L1888" s="50"/>
      <c r="M1888" s="30"/>
      <c r="N1888" s="30"/>
      <c r="O1888" s="30"/>
      <c r="P1888" s="30"/>
      <c r="Q1888" s="30"/>
      <c r="R1888" s="30"/>
      <c r="S1888" s="30"/>
      <c r="T1888" s="30"/>
      <c r="U1888" s="30"/>
      <c r="V1888" s="30"/>
      <c r="W1888" s="30"/>
      <c r="X1888" s="30"/>
      <c r="Y1888" s="30"/>
      <c r="Z1888" s="30"/>
      <c r="AA1888" s="30"/>
      <c r="AB1888" s="30"/>
      <c r="AC1888" s="30"/>
      <c r="AD1888" s="30"/>
      <c r="AE1888" s="30"/>
    </row>
    <row r="1889" spans="1:31" ht="13">
      <c r="A1889" s="30"/>
      <c r="B1889" s="30"/>
      <c r="C1889" s="30"/>
      <c r="D1889" s="30"/>
      <c r="E1889" s="30"/>
      <c r="F1889" s="48"/>
      <c r="G1889" s="49"/>
      <c r="H1889" s="49"/>
      <c r="I1889" s="49"/>
      <c r="J1889" s="71"/>
      <c r="K1889" s="71"/>
      <c r="L1889" s="50"/>
      <c r="M1889" s="30"/>
      <c r="N1889" s="30"/>
      <c r="O1889" s="30"/>
      <c r="P1889" s="30"/>
      <c r="Q1889" s="30"/>
      <c r="R1889" s="30"/>
      <c r="S1889" s="30"/>
      <c r="T1889" s="30"/>
      <c r="U1889" s="30"/>
      <c r="V1889" s="30"/>
      <c r="W1889" s="30"/>
      <c r="X1889" s="30"/>
      <c r="Y1889" s="30"/>
      <c r="Z1889" s="30"/>
      <c r="AA1889" s="30"/>
      <c r="AB1889" s="30"/>
      <c r="AC1889" s="30"/>
      <c r="AD1889" s="30"/>
      <c r="AE1889" s="30"/>
    </row>
    <row r="1890" spans="1:31" ht="13">
      <c r="A1890" s="30"/>
      <c r="B1890" s="30"/>
      <c r="C1890" s="30"/>
      <c r="D1890" s="30"/>
      <c r="E1890" s="30"/>
      <c r="F1890" s="48"/>
      <c r="G1890" s="49"/>
      <c r="H1890" s="49"/>
      <c r="I1890" s="49"/>
      <c r="J1890" s="71"/>
      <c r="K1890" s="71"/>
      <c r="L1890" s="50"/>
      <c r="M1890" s="30"/>
      <c r="N1890" s="30"/>
      <c r="O1890" s="30"/>
      <c r="P1890" s="30"/>
      <c r="Q1890" s="30"/>
      <c r="R1890" s="30"/>
      <c r="S1890" s="30"/>
      <c r="T1890" s="30"/>
      <c r="U1890" s="30"/>
      <c r="V1890" s="30"/>
      <c r="W1890" s="30"/>
      <c r="X1890" s="30"/>
      <c r="Y1890" s="30"/>
      <c r="Z1890" s="30"/>
      <c r="AA1890" s="30"/>
      <c r="AB1890" s="30"/>
      <c r="AC1890" s="30"/>
      <c r="AD1890" s="30"/>
      <c r="AE1890" s="30"/>
    </row>
    <row r="1891" spans="1:31" ht="13">
      <c r="A1891" s="30"/>
      <c r="B1891" s="30"/>
      <c r="C1891" s="30"/>
      <c r="D1891" s="30"/>
      <c r="E1891" s="30"/>
      <c r="F1891" s="48"/>
      <c r="G1891" s="49"/>
      <c r="H1891" s="49"/>
      <c r="I1891" s="49"/>
      <c r="J1891" s="71"/>
      <c r="K1891" s="71"/>
      <c r="L1891" s="50"/>
      <c r="M1891" s="30"/>
      <c r="N1891" s="30"/>
      <c r="O1891" s="30"/>
      <c r="P1891" s="30"/>
      <c r="Q1891" s="30"/>
      <c r="R1891" s="30"/>
      <c r="S1891" s="30"/>
      <c r="T1891" s="30"/>
      <c r="U1891" s="30"/>
      <c r="V1891" s="30"/>
      <c r="W1891" s="30"/>
      <c r="X1891" s="30"/>
      <c r="Y1891" s="30"/>
      <c r="Z1891" s="30"/>
      <c r="AA1891" s="30"/>
      <c r="AB1891" s="30"/>
      <c r="AC1891" s="30"/>
      <c r="AD1891" s="30"/>
      <c r="AE1891" s="30"/>
    </row>
    <row r="1892" spans="1:31" ht="13">
      <c r="A1892" s="30"/>
      <c r="B1892" s="30"/>
      <c r="C1892" s="30"/>
      <c r="D1892" s="30"/>
      <c r="E1892" s="30"/>
      <c r="F1892" s="48"/>
      <c r="G1892" s="49"/>
      <c r="H1892" s="49"/>
      <c r="I1892" s="49"/>
      <c r="J1892" s="71"/>
      <c r="K1892" s="71"/>
      <c r="L1892" s="50"/>
      <c r="M1892" s="30"/>
      <c r="N1892" s="30"/>
      <c r="O1892" s="30"/>
      <c r="P1892" s="30"/>
      <c r="Q1892" s="30"/>
      <c r="R1892" s="30"/>
      <c r="S1892" s="30"/>
      <c r="T1892" s="30"/>
      <c r="U1892" s="30"/>
      <c r="V1892" s="30"/>
      <c r="W1892" s="30"/>
      <c r="X1892" s="30"/>
      <c r="Y1892" s="30"/>
      <c r="Z1892" s="30"/>
      <c r="AA1892" s="30"/>
      <c r="AB1892" s="30"/>
      <c r="AC1892" s="30"/>
      <c r="AD1892" s="30"/>
      <c r="AE1892" s="30"/>
    </row>
    <row r="1893" spans="1:31" ht="13">
      <c r="A1893" s="30"/>
      <c r="B1893" s="30"/>
      <c r="C1893" s="30"/>
      <c r="D1893" s="30"/>
      <c r="E1893" s="30"/>
      <c r="F1893" s="48"/>
      <c r="G1893" s="49"/>
      <c r="H1893" s="49"/>
      <c r="I1893" s="49"/>
      <c r="J1893" s="71"/>
      <c r="K1893" s="71"/>
      <c r="L1893" s="50"/>
      <c r="M1893" s="30"/>
      <c r="N1893" s="30"/>
      <c r="O1893" s="30"/>
      <c r="P1893" s="30"/>
      <c r="Q1893" s="30"/>
      <c r="R1893" s="30"/>
      <c r="S1893" s="30"/>
      <c r="T1893" s="30"/>
      <c r="U1893" s="30"/>
      <c r="V1893" s="30"/>
      <c r="W1893" s="30"/>
      <c r="X1893" s="30"/>
      <c r="Y1893" s="30"/>
      <c r="Z1893" s="30"/>
      <c r="AA1893" s="30"/>
      <c r="AB1893" s="30"/>
      <c r="AC1893" s="30"/>
      <c r="AD1893" s="30"/>
      <c r="AE1893" s="30"/>
    </row>
    <row r="1894" spans="1:31" ht="13">
      <c r="A1894" s="30"/>
      <c r="B1894" s="30"/>
      <c r="C1894" s="30"/>
      <c r="D1894" s="30"/>
      <c r="E1894" s="30"/>
      <c r="F1894" s="48"/>
      <c r="G1894" s="49"/>
      <c r="H1894" s="49"/>
      <c r="I1894" s="49"/>
      <c r="J1894" s="71"/>
      <c r="K1894" s="71"/>
      <c r="L1894" s="50"/>
      <c r="M1894" s="30"/>
      <c r="N1894" s="30"/>
      <c r="O1894" s="30"/>
      <c r="P1894" s="30"/>
      <c r="Q1894" s="30"/>
      <c r="R1894" s="30"/>
      <c r="S1894" s="30"/>
      <c r="T1894" s="30"/>
      <c r="U1894" s="30"/>
      <c r="V1894" s="30"/>
      <c r="W1894" s="30"/>
      <c r="X1894" s="30"/>
      <c r="Y1894" s="30"/>
      <c r="Z1894" s="30"/>
      <c r="AA1894" s="30"/>
      <c r="AB1894" s="30"/>
      <c r="AC1894" s="30"/>
      <c r="AD1894" s="30"/>
      <c r="AE1894" s="30"/>
    </row>
    <row r="1895" spans="1:31" ht="13">
      <c r="A1895" s="30"/>
      <c r="B1895" s="30"/>
      <c r="C1895" s="30"/>
      <c r="D1895" s="30"/>
      <c r="E1895" s="30"/>
      <c r="F1895" s="48"/>
      <c r="G1895" s="49"/>
      <c r="H1895" s="49"/>
      <c r="I1895" s="49"/>
      <c r="J1895" s="71"/>
      <c r="K1895" s="71"/>
      <c r="L1895" s="50"/>
      <c r="M1895" s="30"/>
      <c r="N1895" s="30"/>
      <c r="O1895" s="30"/>
      <c r="P1895" s="30"/>
      <c r="Q1895" s="30"/>
      <c r="R1895" s="30"/>
      <c r="S1895" s="30"/>
      <c r="T1895" s="30"/>
      <c r="U1895" s="30"/>
      <c r="V1895" s="30"/>
      <c r="W1895" s="30"/>
      <c r="X1895" s="30"/>
      <c r="Y1895" s="30"/>
      <c r="Z1895" s="30"/>
      <c r="AA1895" s="30"/>
      <c r="AB1895" s="30"/>
      <c r="AC1895" s="30"/>
      <c r="AD1895" s="30"/>
      <c r="AE1895" s="30"/>
    </row>
    <row r="1896" spans="1:31" ht="13">
      <c r="A1896" s="30"/>
      <c r="B1896" s="30"/>
      <c r="C1896" s="30"/>
      <c r="D1896" s="30"/>
      <c r="E1896" s="30"/>
      <c r="F1896" s="48"/>
      <c r="G1896" s="49"/>
      <c r="H1896" s="49"/>
      <c r="I1896" s="49"/>
      <c r="J1896" s="71"/>
      <c r="K1896" s="71"/>
      <c r="L1896" s="50"/>
      <c r="M1896" s="30"/>
      <c r="N1896" s="30"/>
      <c r="O1896" s="30"/>
      <c r="P1896" s="30"/>
      <c r="Q1896" s="30"/>
      <c r="R1896" s="30"/>
      <c r="S1896" s="30"/>
      <c r="T1896" s="30"/>
      <c r="U1896" s="30"/>
      <c r="V1896" s="30"/>
      <c r="W1896" s="30"/>
      <c r="X1896" s="30"/>
      <c r="Y1896" s="30"/>
      <c r="Z1896" s="30"/>
      <c r="AA1896" s="30"/>
      <c r="AB1896" s="30"/>
      <c r="AC1896" s="30"/>
      <c r="AD1896" s="30"/>
      <c r="AE1896" s="30"/>
    </row>
    <row r="1897" spans="1:31" ht="13">
      <c r="A1897" s="30"/>
      <c r="B1897" s="30"/>
      <c r="C1897" s="30"/>
      <c r="D1897" s="30"/>
      <c r="E1897" s="30"/>
      <c r="F1897" s="48"/>
      <c r="G1897" s="49"/>
      <c r="H1897" s="49"/>
      <c r="I1897" s="49"/>
      <c r="J1897" s="71"/>
      <c r="K1897" s="71"/>
      <c r="L1897" s="50"/>
      <c r="M1897" s="30"/>
      <c r="N1897" s="30"/>
      <c r="O1897" s="30"/>
      <c r="P1897" s="30"/>
      <c r="Q1897" s="30"/>
      <c r="R1897" s="30"/>
      <c r="S1897" s="30"/>
      <c r="T1897" s="30"/>
      <c r="U1897" s="30"/>
      <c r="V1897" s="30"/>
      <c r="W1897" s="30"/>
      <c r="X1897" s="30"/>
      <c r="Y1897" s="30"/>
      <c r="Z1897" s="30"/>
      <c r="AA1897" s="30"/>
      <c r="AB1897" s="30"/>
      <c r="AC1897" s="30"/>
      <c r="AD1897" s="30"/>
      <c r="AE1897" s="30"/>
    </row>
    <row r="1898" spans="1:31" ht="13">
      <c r="A1898" s="30"/>
      <c r="B1898" s="30"/>
      <c r="C1898" s="30"/>
      <c r="D1898" s="30"/>
      <c r="E1898" s="30"/>
      <c r="F1898" s="48"/>
      <c r="G1898" s="49"/>
      <c r="H1898" s="49"/>
      <c r="I1898" s="49"/>
      <c r="J1898" s="71"/>
      <c r="K1898" s="71"/>
      <c r="L1898" s="50"/>
      <c r="M1898" s="30"/>
      <c r="N1898" s="30"/>
      <c r="O1898" s="30"/>
      <c r="P1898" s="30"/>
      <c r="Q1898" s="30"/>
      <c r="R1898" s="30"/>
      <c r="S1898" s="30"/>
      <c r="T1898" s="30"/>
      <c r="U1898" s="30"/>
      <c r="V1898" s="30"/>
      <c r="W1898" s="30"/>
      <c r="X1898" s="30"/>
      <c r="Y1898" s="30"/>
      <c r="Z1898" s="30"/>
      <c r="AA1898" s="30"/>
      <c r="AB1898" s="30"/>
      <c r="AC1898" s="30"/>
      <c r="AD1898" s="30"/>
      <c r="AE1898" s="30"/>
    </row>
    <row r="1899" spans="1:31" ht="13">
      <c r="A1899" s="30"/>
      <c r="B1899" s="30"/>
      <c r="C1899" s="30"/>
      <c r="D1899" s="30"/>
      <c r="E1899" s="30"/>
      <c r="F1899" s="48"/>
      <c r="G1899" s="49"/>
      <c r="H1899" s="49"/>
      <c r="I1899" s="49"/>
      <c r="J1899" s="71"/>
      <c r="K1899" s="71"/>
      <c r="L1899" s="50"/>
      <c r="M1899" s="30"/>
      <c r="N1899" s="30"/>
      <c r="O1899" s="30"/>
      <c r="P1899" s="30"/>
      <c r="Q1899" s="30"/>
      <c r="R1899" s="30"/>
      <c r="S1899" s="30"/>
      <c r="T1899" s="30"/>
      <c r="U1899" s="30"/>
      <c r="V1899" s="30"/>
      <c r="W1899" s="30"/>
      <c r="X1899" s="30"/>
      <c r="Y1899" s="30"/>
      <c r="Z1899" s="30"/>
      <c r="AA1899" s="30"/>
      <c r="AB1899" s="30"/>
      <c r="AC1899" s="30"/>
      <c r="AD1899" s="30"/>
      <c r="AE1899" s="30"/>
    </row>
    <row r="1900" spans="1:31" ht="13">
      <c r="A1900" s="30"/>
      <c r="B1900" s="30"/>
      <c r="C1900" s="30"/>
      <c r="D1900" s="30"/>
      <c r="E1900" s="30"/>
      <c r="F1900" s="48"/>
      <c r="G1900" s="49"/>
      <c r="H1900" s="49"/>
      <c r="I1900" s="49"/>
      <c r="J1900" s="71"/>
      <c r="K1900" s="71"/>
      <c r="L1900" s="50"/>
      <c r="M1900" s="30"/>
      <c r="N1900" s="30"/>
      <c r="O1900" s="30"/>
      <c r="P1900" s="30"/>
      <c r="Q1900" s="30"/>
      <c r="R1900" s="30"/>
      <c r="S1900" s="30"/>
      <c r="T1900" s="30"/>
      <c r="U1900" s="30"/>
      <c r="V1900" s="30"/>
      <c r="W1900" s="30"/>
      <c r="X1900" s="30"/>
      <c r="Y1900" s="30"/>
      <c r="Z1900" s="30"/>
      <c r="AA1900" s="30"/>
      <c r="AB1900" s="30"/>
      <c r="AC1900" s="30"/>
      <c r="AD1900" s="30"/>
      <c r="AE1900" s="30"/>
    </row>
    <row r="1901" spans="1:31" ht="13">
      <c r="A1901" s="30"/>
      <c r="B1901" s="30"/>
      <c r="C1901" s="30"/>
      <c r="D1901" s="30"/>
      <c r="E1901" s="30"/>
      <c r="F1901" s="48"/>
      <c r="G1901" s="49"/>
      <c r="H1901" s="49"/>
      <c r="I1901" s="49"/>
      <c r="J1901" s="71"/>
      <c r="K1901" s="71"/>
      <c r="L1901" s="50"/>
      <c r="M1901" s="30"/>
      <c r="N1901" s="30"/>
      <c r="O1901" s="30"/>
      <c r="P1901" s="30"/>
      <c r="Q1901" s="30"/>
      <c r="R1901" s="30"/>
      <c r="S1901" s="30"/>
      <c r="T1901" s="30"/>
      <c r="U1901" s="30"/>
      <c r="V1901" s="30"/>
      <c r="W1901" s="30"/>
      <c r="X1901" s="30"/>
      <c r="Y1901" s="30"/>
      <c r="Z1901" s="30"/>
      <c r="AA1901" s="30"/>
      <c r="AB1901" s="30"/>
      <c r="AC1901" s="30"/>
      <c r="AD1901" s="30"/>
      <c r="AE1901" s="30"/>
    </row>
    <row r="1902" spans="1:31" ht="13">
      <c r="A1902" s="30"/>
      <c r="B1902" s="30"/>
      <c r="C1902" s="30"/>
      <c r="D1902" s="30"/>
      <c r="E1902" s="30"/>
      <c r="F1902" s="48"/>
      <c r="G1902" s="49"/>
      <c r="H1902" s="49"/>
      <c r="I1902" s="49"/>
      <c r="J1902" s="71"/>
      <c r="K1902" s="71"/>
      <c r="L1902" s="50"/>
      <c r="M1902" s="30"/>
      <c r="N1902" s="30"/>
      <c r="O1902" s="30"/>
      <c r="P1902" s="30"/>
      <c r="Q1902" s="30"/>
      <c r="R1902" s="30"/>
      <c r="S1902" s="30"/>
      <c r="T1902" s="30"/>
      <c r="U1902" s="30"/>
      <c r="V1902" s="30"/>
      <c r="W1902" s="30"/>
      <c r="X1902" s="30"/>
      <c r="Y1902" s="30"/>
      <c r="Z1902" s="30"/>
      <c r="AA1902" s="30"/>
      <c r="AB1902" s="30"/>
      <c r="AC1902" s="30"/>
      <c r="AD1902" s="30"/>
      <c r="AE1902" s="30"/>
    </row>
    <row r="1903" spans="1:31" ht="13">
      <c r="A1903" s="30"/>
      <c r="B1903" s="30"/>
      <c r="C1903" s="30"/>
      <c r="D1903" s="30"/>
      <c r="E1903" s="30"/>
      <c r="F1903" s="48"/>
      <c r="G1903" s="49"/>
      <c r="H1903" s="49"/>
      <c r="I1903" s="49"/>
      <c r="J1903" s="71"/>
      <c r="K1903" s="71"/>
      <c r="L1903" s="50"/>
      <c r="M1903" s="30"/>
      <c r="N1903" s="30"/>
      <c r="O1903" s="30"/>
      <c r="P1903" s="30"/>
      <c r="Q1903" s="30"/>
      <c r="R1903" s="30"/>
      <c r="S1903" s="30"/>
      <c r="T1903" s="30"/>
      <c r="U1903" s="30"/>
      <c r="V1903" s="30"/>
      <c r="W1903" s="30"/>
      <c r="X1903" s="30"/>
      <c r="Y1903" s="30"/>
      <c r="Z1903" s="30"/>
      <c r="AA1903" s="30"/>
      <c r="AB1903" s="30"/>
      <c r="AC1903" s="30"/>
      <c r="AD1903" s="30"/>
      <c r="AE1903" s="30"/>
    </row>
    <row r="1904" spans="1:31" ht="13">
      <c r="A1904" s="30"/>
      <c r="B1904" s="30"/>
      <c r="C1904" s="30"/>
      <c r="D1904" s="30"/>
      <c r="E1904" s="30"/>
      <c r="F1904" s="48"/>
      <c r="G1904" s="49"/>
      <c r="H1904" s="49"/>
      <c r="I1904" s="49"/>
      <c r="J1904" s="71"/>
      <c r="K1904" s="71"/>
      <c r="L1904" s="50"/>
      <c r="M1904" s="30"/>
      <c r="N1904" s="30"/>
      <c r="O1904" s="30"/>
      <c r="P1904" s="30"/>
      <c r="Q1904" s="30"/>
      <c r="R1904" s="30"/>
      <c r="S1904" s="30"/>
      <c r="T1904" s="30"/>
      <c r="U1904" s="30"/>
      <c r="V1904" s="30"/>
      <c r="W1904" s="30"/>
      <c r="X1904" s="30"/>
      <c r="Y1904" s="30"/>
      <c r="Z1904" s="30"/>
      <c r="AA1904" s="30"/>
      <c r="AB1904" s="30"/>
      <c r="AC1904" s="30"/>
      <c r="AD1904" s="30"/>
      <c r="AE1904" s="30"/>
    </row>
    <row r="1905" spans="1:31" ht="13">
      <c r="A1905" s="30"/>
      <c r="B1905" s="30"/>
      <c r="C1905" s="30"/>
      <c r="D1905" s="30"/>
      <c r="E1905" s="30"/>
      <c r="F1905" s="48"/>
      <c r="G1905" s="49"/>
      <c r="H1905" s="49"/>
      <c r="I1905" s="49"/>
      <c r="J1905" s="71"/>
      <c r="K1905" s="71"/>
      <c r="L1905" s="50"/>
      <c r="M1905" s="30"/>
      <c r="N1905" s="30"/>
      <c r="O1905" s="30"/>
      <c r="P1905" s="30"/>
      <c r="Q1905" s="30"/>
      <c r="R1905" s="30"/>
      <c r="S1905" s="30"/>
      <c r="T1905" s="30"/>
      <c r="U1905" s="30"/>
      <c r="V1905" s="30"/>
      <c r="W1905" s="30"/>
      <c r="X1905" s="30"/>
      <c r="Y1905" s="30"/>
      <c r="Z1905" s="30"/>
      <c r="AA1905" s="30"/>
      <c r="AB1905" s="30"/>
      <c r="AC1905" s="30"/>
      <c r="AD1905" s="30"/>
      <c r="AE1905" s="30"/>
    </row>
    <row r="1906" spans="1:31" ht="13">
      <c r="A1906" s="30"/>
      <c r="B1906" s="30"/>
      <c r="C1906" s="30"/>
      <c r="D1906" s="30"/>
      <c r="E1906" s="30"/>
      <c r="F1906" s="48"/>
      <c r="G1906" s="49"/>
      <c r="H1906" s="49"/>
      <c r="I1906" s="49"/>
      <c r="J1906" s="71"/>
      <c r="K1906" s="71"/>
      <c r="L1906" s="50"/>
      <c r="M1906" s="30"/>
      <c r="N1906" s="30"/>
      <c r="O1906" s="30"/>
      <c r="P1906" s="30"/>
      <c r="Q1906" s="30"/>
      <c r="R1906" s="30"/>
      <c r="S1906" s="30"/>
      <c r="T1906" s="30"/>
      <c r="U1906" s="30"/>
      <c r="V1906" s="30"/>
      <c r="W1906" s="30"/>
      <c r="X1906" s="30"/>
      <c r="Y1906" s="30"/>
      <c r="Z1906" s="30"/>
      <c r="AA1906" s="30"/>
      <c r="AB1906" s="30"/>
      <c r="AC1906" s="30"/>
      <c r="AD1906" s="30"/>
      <c r="AE1906" s="30"/>
    </row>
    <row r="1907" spans="1:31" ht="13">
      <c r="A1907" s="30"/>
      <c r="B1907" s="30"/>
      <c r="C1907" s="30"/>
      <c r="D1907" s="30"/>
      <c r="E1907" s="30"/>
      <c r="F1907" s="48"/>
      <c r="G1907" s="49"/>
      <c r="H1907" s="49"/>
      <c r="I1907" s="49"/>
      <c r="J1907" s="71"/>
      <c r="K1907" s="71"/>
      <c r="L1907" s="50"/>
      <c r="M1907" s="30"/>
      <c r="N1907" s="30"/>
      <c r="O1907" s="30"/>
      <c r="P1907" s="30"/>
      <c r="Q1907" s="30"/>
      <c r="R1907" s="30"/>
      <c r="S1907" s="30"/>
      <c r="T1907" s="30"/>
      <c r="U1907" s="30"/>
      <c r="V1907" s="30"/>
      <c r="W1907" s="30"/>
      <c r="X1907" s="30"/>
      <c r="Y1907" s="30"/>
      <c r="Z1907" s="30"/>
      <c r="AA1907" s="30"/>
      <c r="AB1907" s="30"/>
      <c r="AC1907" s="30"/>
      <c r="AD1907" s="30"/>
      <c r="AE1907" s="30"/>
    </row>
    <row r="1908" spans="1:31" ht="13">
      <c r="A1908" s="30"/>
      <c r="B1908" s="30"/>
      <c r="C1908" s="30"/>
      <c r="D1908" s="30"/>
      <c r="E1908" s="30"/>
      <c r="F1908" s="48"/>
      <c r="G1908" s="49"/>
      <c r="H1908" s="49"/>
      <c r="I1908" s="49"/>
      <c r="J1908" s="71"/>
      <c r="K1908" s="71"/>
      <c r="L1908" s="50"/>
      <c r="M1908" s="30"/>
      <c r="N1908" s="30"/>
      <c r="O1908" s="30"/>
      <c r="P1908" s="30"/>
      <c r="Q1908" s="30"/>
      <c r="R1908" s="30"/>
      <c r="S1908" s="30"/>
      <c r="T1908" s="30"/>
      <c r="U1908" s="30"/>
      <c r="V1908" s="30"/>
      <c r="W1908" s="30"/>
      <c r="X1908" s="30"/>
      <c r="Y1908" s="30"/>
      <c r="Z1908" s="30"/>
      <c r="AA1908" s="30"/>
      <c r="AB1908" s="30"/>
      <c r="AC1908" s="30"/>
      <c r="AD1908" s="30"/>
      <c r="AE1908" s="30"/>
    </row>
    <row r="1909" spans="1:31" ht="13">
      <c r="A1909" s="30"/>
      <c r="B1909" s="30"/>
      <c r="C1909" s="30"/>
      <c r="D1909" s="30"/>
      <c r="E1909" s="30"/>
      <c r="F1909" s="48"/>
      <c r="G1909" s="49"/>
      <c r="H1909" s="49"/>
      <c r="I1909" s="49"/>
      <c r="J1909" s="71"/>
      <c r="K1909" s="71"/>
      <c r="L1909" s="50"/>
      <c r="M1909" s="30"/>
      <c r="N1909" s="30"/>
      <c r="O1909" s="30"/>
      <c r="P1909" s="30"/>
      <c r="Q1909" s="30"/>
      <c r="R1909" s="30"/>
      <c r="S1909" s="30"/>
      <c r="T1909" s="30"/>
      <c r="U1909" s="30"/>
      <c r="V1909" s="30"/>
      <c r="W1909" s="30"/>
      <c r="X1909" s="30"/>
      <c r="Y1909" s="30"/>
      <c r="Z1909" s="30"/>
      <c r="AA1909" s="30"/>
      <c r="AB1909" s="30"/>
      <c r="AC1909" s="30"/>
      <c r="AD1909" s="30"/>
      <c r="AE1909" s="30"/>
    </row>
    <row r="1910" spans="1:31" ht="13">
      <c r="A1910" s="30"/>
      <c r="B1910" s="30"/>
      <c r="C1910" s="30"/>
      <c r="D1910" s="30"/>
      <c r="E1910" s="30"/>
      <c r="F1910" s="48"/>
      <c r="G1910" s="49"/>
      <c r="H1910" s="49"/>
      <c r="I1910" s="49"/>
      <c r="J1910" s="71"/>
      <c r="K1910" s="71"/>
      <c r="L1910" s="50"/>
      <c r="M1910" s="30"/>
      <c r="N1910" s="30"/>
      <c r="O1910" s="30"/>
      <c r="P1910" s="30"/>
      <c r="Q1910" s="30"/>
      <c r="R1910" s="30"/>
      <c r="S1910" s="30"/>
      <c r="T1910" s="30"/>
      <c r="U1910" s="30"/>
      <c r="V1910" s="30"/>
      <c r="W1910" s="30"/>
      <c r="X1910" s="30"/>
      <c r="Y1910" s="30"/>
      <c r="Z1910" s="30"/>
      <c r="AA1910" s="30"/>
      <c r="AB1910" s="30"/>
      <c r="AC1910" s="30"/>
      <c r="AD1910" s="30"/>
      <c r="AE1910" s="30"/>
    </row>
    <row r="1911" spans="1:31" ht="13">
      <c r="A1911" s="30"/>
      <c r="B1911" s="30"/>
      <c r="C1911" s="30"/>
      <c r="D1911" s="30"/>
      <c r="E1911" s="30"/>
      <c r="F1911" s="48"/>
      <c r="G1911" s="49"/>
      <c r="H1911" s="49"/>
      <c r="I1911" s="49"/>
      <c r="J1911" s="71"/>
      <c r="K1911" s="71"/>
      <c r="L1911" s="50"/>
      <c r="M1911" s="30"/>
      <c r="N1911" s="30"/>
      <c r="O1911" s="30"/>
      <c r="P1911" s="30"/>
      <c r="Q1911" s="30"/>
      <c r="R1911" s="30"/>
      <c r="S1911" s="30"/>
      <c r="T1911" s="30"/>
      <c r="U1911" s="30"/>
      <c r="V1911" s="30"/>
      <c r="W1911" s="30"/>
      <c r="X1911" s="30"/>
      <c r="Y1911" s="30"/>
      <c r="Z1911" s="30"/>
      <c r="AA1911" s="30"/>
      <c r="AB1911" s="30"/>
      <c r="AC1911" s="30"/>
      <c r="AD1911" s="30"/>
      <c r="AE1911" s="30"/>
    </row>
    <row r="1912" spans="1:31" ht="13">
      <c r="A1912" s="30"/>
      <c r="B1912" s="30"/>
      <c r="C1912" s="30"/>
      <c r="D1912" s="30"/>
      <c r="E1912" s="30"/>
      <c r="F1912" s="48"/>
      <c r="G1912" s="49"/>
      <c r="H1912" s="49"/>
      <c r="I1912" s="49"/>
      <c r="J1912" s="71"/>
      <c r="K1912" s="71"/>
      <c r="L1912" s="50"/>
      <c r="M1912" s="30"/>
      <c r="N1912" s="30"/>
      <c r="O1912" s="30"/>
      <c r="P1912" s="30"/>
      <c r="Q1912" s="30"/>
      <c r="R1912" s="30"/>
      <c r="S1912" s="30"/>
      <c r="T1912" s="30"/>
      <c r="U1912" s="30"/>
      <c r="V1912" s="30"/>
      <c r="W1912" s="30"/>
      <c r="X1912" s="30"/>
      <c r="Y1912" s="30"/>
      <c r="Z1912" s="30"/>
      <c r="AA1912" s="30"/>
      <c r="AB1912" s="30"/>
      <c r="AC1912" s="30"/>
      <c r="AD1912" s="30"/>
      <c r="AE1912" s="30"/>
    </row>
    <row r="1913" spans="1:31" ht="13">
      <c r="A1913" s="30"/>
      <c r="B1913" s="30"/>
      <c r="C1913" s="30"/>
      <c r="D1913" s="30"/>
      <c r="E1913" s="30"/>
      <c r="F1913" s="48"/>
      <c r="G1913" s="49"/>
      <c r="H1913" s="49"/>
      <c r="I1913" s="49"/>
      <c r="J1913" s="71"/>
      <c r="K1913" s="71"/>
      <c r="L1913" s="50"/>
      <c r="M1913" s="30"/>
      <c r="N1913" s="30"/>
      <c r="O1913" s="30"/>
      <c r="P1913" s="30"/>
      <c r="Q1913" s="30"/>
      <c r="R1913" s="30"/>
      <c r="S1913" s="30"/>
      <c r="T1913" s="30"/>
      <c r="U1913" s="30"/>
      <c r="V1913" s="30"/>
      <c r="W1913" s="30"/>
      <c r="X1913" s="30"/>
      <c r="Y1913" s="30"/>
      <c r="Z1913" s="30"/>
      <c r="AA1913" s="30"/>
      <c r="AB1913" s="30"/>
      <c r="AC1913" s="30"/>
      <c r="AD1913" s="30"/>
      <c r="AE1913" s="30"/>
    </row>
    <row r="1914" spans="1:31" ht="13">
      <c r="A1914" s="30"/>
      <c r="B1914" s="30"/>
      <c r="C1914" s="30"/>
      <c r="D1914" s="30"/>
      <c r="E1914" s="30"/>
      <c r="F1914" s="48"/>
      <c r="G1914" s="49"/>
      <c r="H1914" s="49"/>
      <c r="I1914" s="49"/>
      <c r="J1914" s="71"/>
      <c r="K1914" s="71"/>
      <c r="L1914" s="50"/>
      <c r="M1914" s="30"/>
      <c r="N1914" s="30"/>
      <c r="O1914" s="30"/>
      <c r="P1914" s="30"/>
      <c r="Q1914" s="30"/>
      <c r="R1914" s="30"/>
      <c r="S1914" s="30"/>
      <c r="T1914" s="30"/>
      <c r="U1914" s="30"/>
      <c r="V1914" s="30"/>
      <c r="W1914" s="30"/>
      <c r="X1914" s="30"/>
      <c r="Y1914" s="30"/>
      <c r="Z1914" s="30"/>
      <c r="AA1914" s="30"/>
      <c r="AB1914" s="30"/>
      <c r="AC1914" s="30"/>
      <c r="AD1914" s="30"/>
      <c r="AE1914" s="30"/>
    </row>
    <row r="1915" spans="1:31" ht="13">
      <c r="A1915" s="30"/>
      <c r="B1915" s="30"/>
      <c r="C1915" s="30"/>
      <c r="D1915" s="30"/>
      <c r="E1915" s="30"/>
      <c r="F1915" s="48"/>
      <c r="G1915" s="49"/>
      <c r="H1915" s="49"/>
      <c r="I1915" s="49"/>
      <c r="J1915" s="71"/>
      <c r="K1915" s="71"/>
      <c r="L1915" s="50"/>
      <c r="M1915" s="30"/>
      <c r="N1915" s="30"/>
      <c r="O1915" s="30"/>
      <c r="P1915" s="30"/>
      <c r="Q1915" s="30"/>
      <c r="R1915" s="30"/>
      <c r="S1915" s="30"/>
      <c r="T1915" s="30"/>
      <c r="U1915" s="30"/>
      <c r="V1915" s="30"/>
      <c r="W1915" s="30"/>
      <c r="X1915" s="30"/>
      <c r="Y1915" s="30"/>
      <c r="Z1915" s="30"/>
      <c r="AA1915" s="30"/>
      <c r="AB1915" s="30"/>
      <c r="AC1915" s="30"/>
      <c r="AD1915" s="30"/>
      <c r="AE1915" s="30"/>
    </row>
    <row r="1916" spans="1:31" ht="13">
      <c r="A1916" s="30"/>
      <c r="B1916" s="30"/>
      <c r="C1916" s="30"/>
      <c r="D1916" s="30"/>
      <c r="E1916" s="30"/>
      <c r="F1916" s="48"/>
      <c r="G1916" s="49"/>
      <c r="H1916" s="49"/>
      <c r="I1916" s="49"/>
      <c r="J1916" s="71"/>
      <c r="K1916" s="71"/>
      <c r="L1916" s="50"/>
      <c r="M1916" s="30"/>
      <c r="N1916" s="30"/>
      <c r="O1916" s="30"/>
      <c r="P1916" s="30"/>
      <c r="Q1916" s="30"/>
      <c r="R1916" s="30"/>
      <c r="S1916" s="30"/>
      <c r="T1916" s="30"/>
      <c r="U1916" s="30"/>
      <c r="V1916" s="30"/>
      <c r="W1916" s="30"/>
      <c r="X1916" s="30"/>
      <c r="Y1916" s="30"/>
      <c r="Z1916" s="30"/>
      <c r="AA1916" s="30"/>
      <c r="AB1916" s="30"/>
      <c r="AC1916" s="30"/>
      <c r="AD1916" s="30"/>
      <c r="AE1916" s="30"/>
    </row>
    <row r="1917" spans="1:31" ht="13">
      <c r="A1917" s="30"/>
      <c r="B1917" s="30"/>
      <c r="C1917" s="30"/>
      <c r="D1917" s="30"/>
      <c r="E1917" s="30"/>
      <c r="F1917" s="48"/>
      <c r="G1917" s="49"/>
      <c r="H1917" s="49"/>
      <c r="I1917" s="49"/>
      <c r="J1917" s="71"/>
      <c r="K1917" s="71"/>
      <c r="L1917" s="50"/>
      <c r="M1917" s="30"/>
      <c r="N1917" s="30"/>
      <c r="O1917" s="30"/>
      <c r="P1917" s="30"/>
      <c r="Q1917" s="30"/>
      <c r="R1917" s="30"/>
      <c r="S1917" s="30"/>
      <c r="T1917" s="30"/>
      <c r="U1917" s="30"/>
      <c r="V1917" s="30"/>
      <c r="W1917" s="30"/>
      <c r="X1917" s="30"/>
      <c r="Y1917" s="30"/>
      <c r="Z1917" s="30"/>
      <c r="AA1917" s="30"/>
      <c r="AB1917" s="30"/>
      <c r="AC1917" s="30"/>
      <c r="AD1917" s="30"/>
      <c r="AE1917" s="30"/>
    </row>
    <row r="1918" spans="1:31" ht="13">
      <c r="A1918" s="30"/>
      <c r="B1918" s="30"/>
      <c r="C1918" s="30"/>
      <c r="D1918" s="30"/>
      <c r="E1918" s="30"/>
      <c r="F1918" s="48"/>
      <c r="G1918" s="49"/>
      <c r="H1918" s="49"/>
      <c r="I1918" s="49"/>
      <c r="J1918" s="71"/>
      <c r="K1918" s="71"/>
      <c r="L1918" s="50"/>
      <c r="M1918" s="30"/>
      <c r="N1918" s="30"/>
      <c r="O1918" s="30"/>
      <c r="P1918" s="30"/>
      <c r="Q1918" s="30"/>
      <c r="R1918" s="30"/>
      <c r="S1918" s="30"/>
      <c r="T1918" s="30"/>
      <c r="U1918" s="30"/>
      <c r="V1918" s="30"/>
      <c r="W1918" s="30"/>
      <c r="X1918" s="30"/>
      <c r="Y1918" s="30"/>
      <c r="Z1918" s="30"/>
      <c r="AA1918" s="30"/>
      <c r="AB1918" s="30"/>
      <c r="AC1918" s="30"/>
      <c r="AD1918" s="30"/>
      <c r="AE1918" s="30"/>
    </row>
    <row r="1919" spans="1:31" ht="13">
      <c r="A1919" s="30"/>
      <c r="B1919" s="30"/>
      <c r="C1919" s="30"/>
      <c r="D1919" s="30"/>
      <c r="E1919" s="30"/>
      <c r="F1919" s="48"/>
      <c r="G1919" s="49"/>
      <c r="H1919" s="49"/>
      <c r="I1919" s="49"/>
      <c r="J1919" s="71"/>
      <c r="K1919" s="71"/>
      <c r="L1919" s="50"/>
      <c r="M1919" s="30"/>
      <c r="N1919" s="30"/>
      <c r="O1919" s="30"/>
      <c r="P1919" s="30"/>
      <c r="Q1919" s="30"/>
      <c r="R1919" s="30"/>
      <c r="S1919" s="30"/>
      <c r="T1919" s="30"/>
      <c r="U1919" s="30"/>
      <c r="V1919" s="30"/>
      <c r="W1919" s="30"/>
      <c r="X1919" s="30"/>
      <c r="Y1919" s="30"/>
      <c r="Z1919" s="30"/>
      <c r="AA1919" s="30"/>
      <c r="AB1919" s="30"/>
      <c r="AC1919" s="30"/>
      <c r="AD1919" s="30"/>
      <c r="AE1919" s="30"/>
    </row>
    <row r="1920" spans="1:31" ht="13">
      <c r="A1920" s="30"/>
      <c r="B1920" s="30"/>
      <c r="C1920" s="30"/>
      <c r="D1920" s="30"/>
      <c r="E1920" s="30"/>
      <c r="F1920" s="48"/>
      <c r="G1920" s="49"/>
      <c r="H1920" s="49"/>
      <c r="I1920" s="49"/>
      <c r="J1920" s="71"/>
      <c r="K1920" s="71"/>
      <c r="L1920" s="50"/>
      <c r="M1920" s="30"/>
      <c r="N1920" s="30"/>
      <c r="O1920" s="30"/>
      <c r="P1920" s="30"/>
      <c r="Q1920" s="30"/>
      <c r="R1920" s="30"/>
      <c r="S1920" s="30"/>
      <c r="T1920" s="30"/>
      <c r="U1920" s="30"/>
      <c r="V1920" s="30"/>
      <c r="W1920" s="30"/>
      <c r="X1920" s="30"/>
      <c r="Y1920" s="30"/>
      <c r="Z1920" s="30"/>
      <c r="AA1920" s="30"/>
      <c r="AB1920" s="30"/>
      <c r="AC1920" s="30"/>
      <c r="AD1920" s="30"/>
      <c r="AE1920" s="30"/>
    </row>
    <row r="1921" spans="1:31" ht="13">
      <c r="A1921" s="30"/>
      <c r="B1921" s="30"/>
      <c r="C1921" s="30"/>
      <c r="D1921" s="30"/>
      <c r="E1921" s="30"/>
      <c r="F1921" s="48"/>
      <c r="G1921" s="49"/>
      <c r="H1921" s="49"/>
      <c r="I1921" s="49"/>
      <c r="J1921" s="71"/>
      <c r="K1921" s="71"/>
      <c r="L1921" s="50"/>
      <c r="M1921" s="30"/>
      <c r="N1921" s="30"/>
      <c r="O1921" s="30"/>
      <c r="P1921" s="30"/>
      <c r="Q1921" s="30"/>
      <c r="R1921" s="30"/>
      <c r="S1921" s="30"/>
      <c r="T1921" s="30"/>
      <c r="U1921" s="30"/>
      <c r="V1921" s="30"/>
      <c r="W1921" s="30"/>
      <c r="X1921" s="30"/>
      <c r="Y1921" s="30"/>
      <c r="Z1921" s="30"/>
      <c r="AA1921" s="30"/>
      <c r="AB1921" s="30"/>
      <c r="AC1921" s="30"/>
      <c r="AD1921" s="30"/>
      <c r="AE1921" s="30"/>
    </row>
    <row r="1922" spans="1:31" ht="13">
      <c r="A1922" s="30"/>
      <c r="B1922" s="30"/>
      <c r="C1922" s="30"/>
      <c r="D1922" s="30"/>
      <c r="E1922" s="30"/>
      <c r="F1922" s="48"/>
      <c r="G1922" s="49"/>
      <c r="H1922" s="49"/>
      <c r="I1922" s="49"/>
      <c r="J1922" s="71"/>
      <c r="K1922" s="71"/>
      <c r="L1922" s="50"/>
      <c r="M1922" s="30"/>
      <c r="N1922" s="30"/>
      <c r="O1922" s="30"/>
      <c r="P1922" s="30"/>
      <c r="Q1922" s="30"/>
      <c r="R1922" s="30"/>
      <c r="S1922" s="30"/>
      <c r="T1922" s="30"/>
      <c r="U1922" s="30"/>
      <c r="V1922" s="30"/>
      <c r="W1922" s="30"/>
      <c r="X1922" s="30"/>
      <c r="Y1922" s="30"/>
      <c r="Z1922" s="30"/>
      <c r="AA1922" s="30"/>
      <c r="AB1922" s="30"/>
      <c r="AC1922" s="30"/>
      <c r="AD1922" s="30"/>
      <c r="AE1922" s="30"/>
    </row>
    <row r="1923" spans="1:31" ht="13">
      <c r="A1923" s="30"/>
      <c r="B1923" s="30"/>
      <c r="C1923" s="30"/>
      <c r="D1923" s="30"/>
      <c r="E1923" s="30"/>
      <c r="F1923" s="48"/>
      <c r="G1923" s="49"/>
      <c r="H1923" s="49"/>
      <c r="I1923" s="49"/>
      <c r="J1923" s="71"/>
      <c r="K1923" s="71"/>
      <c r="L1923" s="50"/>
      <c r="M1923" s="30"/>
      <c r="N1923" s="30"/>
      <c r="O1923" s="30"/>
      <c r="P1923" s="30"/>
      <c r="Q1923" s="30"/>
      <c r="R1923" s="30"/>
      <c r="S1923" s="30"/>
      <c r="T1923" s="30"/>
      <c r="U1923" s="30"/>
      <c r="V1923" s="30"/>
      <c r="W1923" s="30"/>
      <c r="X1923" s="30"/>
      <c r="Y1923" s="30"/>
      <c r="Z1923" s="30"/>
      <c r="AA1923" s="30"/>
      <c r="AB1923" s="30"/>
      <c r="AC1923" s="30"/>
      <c r="AD1923" s="30"/>
      <c r="AE1923" s="30"/>
    </row>
    <row r="1924" spans="1:31" ht="13">
      <c r="A1924" s="30"/>
      <c r="B1924" s="30"/>
      <c r="C1924" s="30"/>
      <c r="D1924" s="30"/>
      <c r="E1924" s="30"/>
      <c r="F1924" s="48"/>
      <c r="G1924" s="49"/>
      <c r="H1924" s="49"/>
      <c r="I1924" s="49"/>
      <c r="J1924" s="71"/>
      <c r="K1924" s="71"/>
      <c r="L1924" s="50"/>
      <c r="M1924" s="30"/>
      <c r="N1924" s="30"/>
      <c r="O1924" s="30"/>
      <c r="P1924" s="30"/>
      <c r="Q1924" s="30"/>
      <c r="R1924" s="30"/>
      <c r="S1924" s="30"/>
      <c r="T1924" s="30"/>
      <c r="U1924" s="30"/>
      <c r="V1924" s="30"/>
      <c r="W1924" s="30"/>
      <c r="X1924" s="30"/>
      <c r="Y1924" s="30"/>
      <c r="Z1924" s="30"/>
      <c r="AA1924" s="30"/>
      <c r="AB1924" s="30"/>
      <c r="AC1924" s="30"/>
      <c r="AD1924" s="30"/>
      <c r="AE1924" s="30"/>
    </row>
    <row r="1925" spans="1:31" ht="13">
      <c r="A1925" s="30"/>
      <c r="B1925" s="30"/>
      <c r="C1925" s="30"/>
      <c r="D1925" s="30"/>
      <c r="E1925" s="30"/>
      <c r="F1925" s="48"/>
      <c r="G1925" s="49"/>
      <c r="H1925" s="49"/>
      <c r="I1925" s="49"/>
      <c r="J1925" s="71"/>
      <c r="K1925" s="71"/>
      <c r="L1925" s="50"/>
      <c r="M1925" s="30"/>
      <c r="N1925" s="30"/>
      <c r="O1925" s="30"/>
      <c r="P1925" s="30"/>
      <c r="Q1925" s="30"/>
      <c r="R1925" s="30"/>
      <c r="S1925" s="30"/>
      <c r="T1925" s="30"/>
      <c r="U1925" s="30"/>
      <c r="V1925" s="30"/>
      <c r="W1925" s="30"/>
      <c r="X1925" s="30"/>
      <c r="Y1925" s="30"/>
      <c r="Z1925" s="30"/>
      <c r="AA1925" s="30"/>
      <c r="AB1925" s="30"/>
      <c r="AC1925" s="30"/>
      <c r="AD1925" s="30"/>
      <c r="AE1925" s="30"/>
    </row>
    <row r="1926" spans="1:31" ht="13">
      <c r="A1926" s="30"/>
      <c r="B1926" s="30"/>
      <c r="C1926" s="30"/>
      <c r="D1926" s="30"/>
      <c r="E1926" s="30"/>
      <c r="F1926" s="48"/>
      <c r="G1926" s="49"/>
      <c r="H1926" s="49"/>
      <c r="I1926" s="49"/>
      <c r="J1926" s="71"/>
      <c r="K1926" s="71"/>
      <c r="L1926" s="50"/>
      <c r="M1926" s="30"/>
      <c r="N1926" s="30"/>
      <c r="O1926" s="30"/>
      <c r="P1926" s="30"/>
      <c r="Q1926" s="30"/>
      <c r="R1926" s="30"/>
      <c r="S1926" s="30"/>
      <c r="T1926" s="30"/>
      <c r="U1926" s="30"/>
      <c r="V1926" s="30"/>
      <c r="W1926" s="30"/>
      <c r="X1926" s="30"/>
      <c r="Y1926" s="30"/>
      <c r="Z1926" s="30"/>
      <c r="AA1926" s="30"/>
      <c r="AB1926" s="30"/>
      <c r="AC1926" s="30"/>
      <c r="AD1926" s="30"/>
      <c r="AE1926" s="30"/>
    </row>
    <row r="1927" spans="1:31" ht="13">
      <c r="A1927" s="30"/>
      <c r="B1927" s="30"/>
      <c r="C1927" s="30"/>
      <c r="D1927" s="30"/>
      <c r="E1927" s="30"/>
      <c r="F1927" s="48"/>
      <c r="G1927" s="49"/>
      <c r="H1927" s="49"/>
      <c r="I1927" s="49"/>
      <c r="J1927" s="71"/>
      <c r="K1927" s="71"/>
      <c r="L1927" s="50"/>
      <c r="M1927" s="30"/>
      <c r="N1927" s="30"/>
      <c r="O1927" s="30"/>
      <c r="P1927" s="30"/>
      <c r="Q1927" s="30"/>
      <c r="R1927" s="30"/>
      <c r="S1927" s="30"/>
      <c r="T1927" s="30"/>
      <c r="U1927" s="30"/>
      <c r="V1927" s="30"/>
      <c r="W1927" s="30"/>
      <c r="X1927" s="30"/>
      <c r="Y1927" s="30"/>
      <c r="Z1927" s="30"/>
      <c r="AA1927" s="30"/>
      <c r="AB1927" s="30"/>
      <c r="AC1927" s="30"/>
      <c r="AD1927" s="30"/>
      <c r="AE1927" s="30"/>
    </row>
    <row r="1928" spans="1:31" ht="13">
      <c r="A1928" s="30"/>
      <c r="B1928" s="30"/>
      <c r="C1928" s="30"/>
      <c r="D1928" s="30"/>
      <c r="E1928" s="30"/>
      <c r="F1928" s="48"/>
      <c r="G1928" s="49"/>
      <c r="H1928" s="49"/>
      <c r="I1928" s="49"/>
      <c r="J1928" s="71"/>
      <c r="K1928" s="71"/>
      <c r="L1928" s="50"/>
      <c r="M1928" s="30"/>
      <c r="N1928" s="30"/>
      <c r="O1928" s="30"/>
      <c r="P1928" s="30"/>
      <c r="Q1928" s="30"/>
      <c r="R1928" s="30"/>
      <c r="S1928" s="30"/>
      <c r="T1928" s="30"/>
      <c r="U1928" s="30"/>
      <c r="V1928" s="30"/>
      <c r="W1928" s="30"/>
      <c r="X1928" s="30"/>
      <c r="Y1928" s="30"/>
      <c r="Z1928" s="30"/>
      <c r="AA1928" s="30"/>
      <c r="AB1928" s="30"/>
      <c r="AC1928" s="30"/>
      <c r="AD1928" s="30"/>
      <c r="AE1928" s="30"/>
    </row>
    <row r="1929" spans="1:31" ht="13">
      <c r="A1929" s="30"/>
      <c r="B1929" s="30"/>
      <c r="C1929" s="30"/>
      <c r="D1929" s="30"/>
      <c r="E1929" s="30"/>
      <c r="F1929" s="48"/>
      <c r="G1929" s="49"/>
      <c r="H1929" s="49"/>
      <c r="I1929" s="49"/>
      <c r="J1929" s="71"/>
      <c r="K1929" s="71"/>
      <c r="L1929" s="50"/>
      <c r="M1929" s="30"/>
      <c r="N1929" s="30"/>
      <c r="O1929" s="30"/>
      <c r="P1929" s="30"/>
      <c r="Q1929" s="30"/>
      <c r="R1929" s="30"/>
      <c r="S1929" s="30"/>
      <c r="T1929" s="30"/>
      <c r="U1929" s="30"/>
      <c r="V1929" s="30"/>
      <c r="W1929" s="30"/>
      <c r="X1929" s="30"/>
      <c r="Y1929" s="30"/>
      <c r="Z1929" s="30"/>
      <c r="AA1929" s="30"/>
      <c r="AB1929" s="30"/>
      <c r="AC1929" s="30"/>
      <c r="AD1929" s="30"/>
      <c r="AE1929" s="30"/>
    </row>
    <row r="1930" spans="1:31" ht="13">
      <c r="A1930" s="30"/>
      <c r="B1930" s="30"/>
      <c r="C1930" s="30"/>
      <c r="D1930" s="30"/>
      <c r="E1930" s="30"/>
      <c r="F1930" s="48"/>
      <c r="G1930" s="49"/>
      <c r="H1930" s="49"/>
      <c r="I1930" s="49"/>
      <c r="J1930" s="71"/>
      <c r="K1930" s="71"/>
      <c r="L1930" s="50"/>
      <c r="M1930" s="30"/>
      <c r="N1930" s="30"/>
      <c r="O1930" s="30"/>
      <c r="P1930" s="30"/>
      <c r="Q1930" s="30"/>
      <c r="R1930" s="30"/>
      <c r="S1930" s="30"/>
      <c r="T1930" s="30"/>
      <c r="U1930" s="30"/>
      <c r="V1930" s="30"/>
      <c r="W1930" s="30"/>
      <c r="X1930" s="30"/>
      <c r="Y1930" s="30"/>
      <c r="Z1930" s="30"/>
      <c r="AA1930" s="30"/>
      <c r="AB1930" s="30"/>
      <c r="AC1930" s="30"/>
      <c r="AD1930" s="30"/>
      <c r="AE1930" s="30"/>
    </row>
    <row r="1931" spans="1:31" ht="13">
      <c r="A1931" s="30"/>
      <c r="B1931" s="30"/>
      <c r="C1931" s="30"/>
      <c r="D1931" s="30"/>
      <c r="E1931" s="30"/>
      <c r="F1931" s="48"/>
      <c r="G1931" s="49"/>
      <c r="H1931" s="49"/>
      <c r="I1931" s="49"/>
      <c r="J1931" s="71"/>
      <c r="K1931" s="71"/>
      <c r="L1931" s="50"/>
      <c r="M1931" s="30"/>
      <c r="N1931" s="30"/>
      <c r="O1931" s="30"/>
      <c r="P1931" s="30"/>
      <c r="Q1931" s="30"/>
      <c r="R1931" s="30"/>
      <c r="S1931" s="30"/>
      <c r="T1931" s="30"/>
      <c r="U1931" s="30"/>
      <c r="V1931" s="30"/>
      <c r="W1931" s="30"/>
      <c r="X1931" s="30"/>
      <c r="Y1931" s="30"/>
      <c r="Z1931" s="30"/>
      <c r="AA1931" s="30"/>
      <c r="AB1931" s="30"/>
      <c r="AC1931" s="30"/>
      <c r="AD1931" s="30"/>
      <c r="AE1931" s="30"/>
    </row>
    <row r="1932" spans="1:31" ht="13">
      <c r="A1932" s="30"/>
      <c r="B1932" s="30"/>
      <c r="C1932" s="30"/>
      <c r="D1932" s="30"/>
      <c r="E1932" s="30"/>
      <c r="F1932" s="48"/>
      <c r="G1932" s="49"/>
      <c r="H1932" s="49"/>
      <c r="I1932" s="49"/>
      <c r="J1932" s="71"/>
      <c r="K1932" s="71"/>
      <c r="L1932" s="50"/>
      <c r="M1932" s="30"/>
      <c r="N1932" s="30"/>
      <c r="O1932" s="30"/>
      <c r="P1932" s="30"/>
      <c r="Q1932" s="30"/>
      <c r="R1932" s="30"/>
      <c r="S1932" s="30"/>
      <c r="T1932" s="30"/>
      <c r="U1932" s="30"/>
      <c r="V1932" s="30"/>
      <c r="W1932" s="30"/>
      <c r="X1932" s="30"/>
      <c r="Y1932" s="30"/>
      <c r="Z1932" s="30"/>
      <c r="AA1932" s="30"/>
      <c r="AB1932" s="30"/>
      <c r="AC1932" s="30"/>
      <c r="AD1932" s="30"/>
      <c r="AE1932" s="30"/>
    </row>
    <row r="1933" spans="1:31" ht="13">
      <c r="A1933" s="30"/>
      <c r="B1933" s="30"/>
      <c r="C1933" s="30"/>
      <c r="D1933" s="30"/>
      <c r="E1933" s="30"/>
      <c r="F1933" s="48"/>
      <c r="G1933" s="49"/>
      <c r="H1933" s="49"/>
      <c r="I1933" s="49"/>
      <c r="J1933" s="71"/>
      <c r="K1933" s="71"/>
      <c r="L1933" s="50"/>
      <c r="M1933" s="30"/>
      <c r="N1933" s="30"/>
      <c r="O1933" s="30"/>
      <c r="P1933" s="30"/>
      <c r="Q1933" s="30"/>
      <c r="R1933" s="30"/>
      <c r="S1933" s="30"/>
      <c r="T1933" s="30"/>
      <c r="U1933" s="30"/>
      <c r="V1933" s="30"/>
      <c r="W1933" s="30"/>
      <c r="X1933" s="30"/>
      <c r="Y1933" s="30"/>
      <c r="Z1933" s="30"/>
      <c r="AA1933" s="30"/>
      <c r="AB1933" s="30"/>
      <c r="AC1933" s="30"/>
      <c r="AD1933" s="30"/>
      <c r="AE1933" s="30"/>
    </row>
    <row r="1934" spans="1:31" ht="13">
      <c r="A1934" s="30"/>
      <c r="B1934" s="30"/>
      <c r="C1934" s="30"/>
      <c r="D1934" s="30"/>
      <c r="E1934" s="30"/>
      <c r="F1934" s="48"/>
      <c r="G1934" s="49"/>
      <c r="H1934" s="49"/>
      <c r="I1934" s="49"/>
      <c r="J1934" s="71"/>
      <c r="K1934" s="71"/>
      <c r="L1934" s="50"/>
      <c r="M1934" s="30"/>
      <c r="N1934" s="30"/>
      <c r="O1934" s="30"/>
      <c r="P1934" s="30"/>
      <c r="Q1934" s="30"/>
      <c r="R1934" s="30"/>
      <c r="S1934" s="30"/>
      <c r="T1934" s="30"/>
      <c r="U1934" s="30"/>
      <c r="V1934" s="30"/>
      <c r="W1934" s="30"/>
      <c r="X1934" s="30"/>
      <c r="Y1934" s="30"/>
      <c r="Z1934" s="30"/>
      <c r="AA1934" s="30"/>
      <c r="AB1934" s="30"/>
      <c r="AC1934" s="30"/>
      <c r="AD1934" s="30"/>
      <c r="AE1934" s="30"/>
    </row>
    <row r="1935" spans="1:31" ht="13">
      <c r="A1935" s="30"/>
      <c r="B1935" s="30"/>
      <c r="C1935" s="30"/>
      <c r="D1935" s="30"/>
      <c r="E1935" s="30"/>
      <c r="F1935" s="48"/>
      <c r="G1935" s="49"/>
      <c r="H1935" s="49"/>
      <c r="I1935" s="49"/>
      <c r="J1935" s="71"/>
      <c r="K1935" s="71"/>
      <c r="L1935" s="50"/>
      <c r="M1935" s="30"/>
      <c r="N1935" s="30"/>
      <c r="O1935" s="30"/>
      <c r="P1935" s="30"/>
      <c r="Q1935" s="30"/>
      <c r="R1935" s="30"/>
      <c r="S1935" s="30"/>
      <c r="T1935" s="30"/>
      <c r="U1935" s="30"/>
      <c r="V1935" s="30"/>
      <c r="W1935" s="30"/>
      <c r="X1935" s="30"/>
      <c r="Y1935" s="30"/>
      <c r="Z1935" s="30"/>
      <c r="AA1935" s="30"/>
      <c r="AB1935" s="30"/>
      <c r="AC1935" s="30"/>
      <c r="AD1935" s="30"/>
      <c r="AE1935" s="30"/>
    </row>
    <row r="1936" spans="1:31" ht="13">
      <c r="A1936" s="30"/>
      <c r="B1936" s="30"/>
      <c r="C1936" s="30"/>
      <c r="D1936" s="30"/>
      <c r="E1936" s="30"/>
      <c r="F1936" s="48"/>
      <c r="G1936" s="49"/>
      <c r="H1936" s="49"/>
      <c r="I1936" s="49"/>
      <c r="J1936" s="71"/>
      <c r="K1936" s="71"/>
      <c r="L1936" s="50"/>
      <c r="M1936" s="30"/>
      <c r="N1936" s="30"/>
      <c r="O1936" s="30"/>
      <c r="P1936" s="30"/>
      <c r="Q1936" s="30"/>
      <c r="R1936" s="30"/>
      <c r="S1936" s="30"/>
      <c r="T1936" s="30"/>
      <c r="U1936" s="30"/>
      <c r="V1936" s="30"/>
      <c r="W1936" s="30"/>
      <c r="X1936" s="30"/>
      <c r="Y1936" s="30"/>
      <c r="Z1936" s="30"/>
      <c r="AA1936" s="30"/>
      <c r="AB1936" s="30"/>
      <c r="AC1936" s="30"/>
      <c r="AD1936" s="30"/>
      <c r="AE1936" s="30"/>
    </row>
    <row r="1937" spans="1:31" ht="13">
      <c r="A1937" s="30"/>
      <c r="B1937" s="30"/>
      <c r="C1937" s="30"/>
      <c r="D1937" s="30"/>
      <c r="E1937" s="30"/>
      <c r="F1937" s="48"/>
      <c r="G1937" s="49"/>
      <c r="H1937" s="49"/>
      <c r="I1937" s="49"/>
      <c r="J1937" s="71"/>
      <c r="K1937" s="71"/>
      <c r="L1937" s="50"/>
      <c r="M1937" s="30"/>
      <c r="N1937" s="30"/>
      <c r="O1937" s="30"/>
      <c r="P1937" s="30"/>
      <c r="Q1937" s="30"/>
      <c r="R1937" s="30"/>
      <c r="S1937" s="30"/>
      <c r="T1937" s="30"/>
      <c r="U1937" s="30"/>
      <c r="V1937" s="30"/>
      <c r="W1937" s="30"/>
      <c r="X1937" s="30"/>
      <c r="Y1937" s="30"/>
      <c r="Z1937" s="30"/>
      <c r="AA1937" s="30"/>
      <c r="AB1937" s="30"/>
      <c r="AC1937" s="30"/>
      <c r="AD1937" s="30"/>
      <c r="AE1937" s="30"/>
    </row>
    <row r="1938" spans="1:31" ht="13">
      <c r="A1938" s="30"/>
      <c r="B1938" s="30"/>
      <c r="C1938" s="30"/>
      <c r="D1938" s="30"/>
      <c r="E1938" s="30"/>
      <c r="F1938" s="48"/>
      <c r="G1938" s="49"/>
      <c r="H1938" s="49"/>
      <c r="I1938" s="49"/>
      <c r="J1938" s="71"/>
      <c r="K1938" s="71"/>
      <c r="L1938" s="50"/>
      <c r="M1938" s="30"/>
      <c r="N1938" s="30"/>
      <c r="O1938" s="30"/>
      <c r="P1938" s="30"/>
      <c r="Q1938" s="30"/>
      <c r="R1938" s="30"/>
      <c r="S1938" s="30"/>
      <c r="T1938" s="30"/>
      <c r="U1938" s="30"/>
      <c r="V1938" s="30"/>
      <c r="W1938" s="30"/>
      <c r="X1938" s="30"/>
      <c r="Y1938" s="30"/>
      <c r="Z1938" s="30"/>
      <c r="AA1938" s="30"/>
      <c r="AB1938" s="30"/>
      <c r="AC1938" s="30"/>
      <c r="AD1938" s="30"/>
      <c r="AE1938" s="30"/>
    </row>
    <row r="1939" spans="1:31" ht="13">
      <c r="A1939" s="30"/>
      <c r="B1939" s="30"/>
      <c r="C1939" s="30"/>
      <c r="D1939" s="30"/>
      <c r="E1939" s="30"/>
      <c r="F1939" s="48"/>
      <c r="G1939" s="49"/>
      <c r="H1939" s="49"/>
      <c r="I1939" s="49"/>
      <c r="J1939" s="71"/>
      <c r="K1939" s="71"/>
      <c r="L1939" s="50"/>
      <c r="M1939" s="30"/>
      <c r="N1939" s="30"/>
      <c r="O1939" s="30"/>
      <c r="P1939" s="30"/>
      <c r="Q1939" s="30"/>
      <c r="R1939" s="30"/>
      <c r="S1939" s="30"/>
      <c r="T1939" s="30"/>
      <c r="U1939" s="30"/>
      <c r="V1939" s="30"/>
      <c r="W1939" s="30"/>
      <c r="X1939" s="30"/>
      <c r="Y1939" s="30"/>
      <c r="Z1939" s="30"/>
      <c r="AA1939" s="30"/>
      <c r="AB1939" s="30"/>
      <c r="AC1939" s="30"/>
      <c r="AD1939" s="30"/>
      <c r="AE1939" s="30"/>
    </row>
    <row r="1940" spans="1:31" ht="13">
      <c r="A1940" s="30"/>
      <c r="B1940" s="30"/>
      <c r="C1940" s="30"/>
      <c r="D1940" s="30"/>
      <c r="E1940" s="30"/>
      <c r="F1940" s="48"/>
      <c r="G1940" s="49"/>
      <c r="H1940" s="49"/>
      <c r="I1940" s="49"/>
      <c r="J1940" s="71"/>
      <c r="K1940" s="71"/>
      <c r="L1940" s="50"/>
      <c r="M1940" s="30"/>
      <c r="N1940" s="30"/>
      <c r="O1940" s="30"/>
      <c r="P1940" s="30"/>
      <c r="Q1940" s="30"/>
      <c r="R1940" s="30"/>
      <c r="S1940" s="30"/>
      <c r="T1940" s="30"/>
      <c r="U1940" s="30"/>
      <c r="V1940" s="30"/>
      <c r="W1940" s="30"/>
      <c r="X1940" s="30"/>
      <c r="Y1940" s="30"/>
      <c r="Z1940" s="30"/>
      <c r="AA1940" s="30"/>
      <c r="AB1940" s="30"/>
      <c r="AC1940" s="30"/>
      <c r="AD1940" s="30"/>
      <c r="AE1940" s="30"/>
    </row>
    <row r="1941" spans="1:31" ht="13">
      <c r="A1941" s="30"/>
      <c r="B1941" s="30"/>
      <c r="C1941" s="30"/>
      <c r="D1941" s="30"/>
      <c r="E1941" s="30"/>
      <c r="F1941" s="48"/>
      <c r="G1941" s="49"/>
      <c r="H1941" s="49"/>
      <c r="I1941" s="49"/>
      <c r="J1941" s="71"/>
      <c r="K1941" s="71"/>
      <c r="L1941" s="50"/>
      <c r="M1941" s="30"/>
      <c r="N1941" s="30"/>
      <c r="O1941" s="30"/>
      <c r="P1941" s="30"/>
      <c r="Q1941" s="30"/>
      <c r="R1941" s="30"/>
      <c r="S1941" s="30"/>
      <c r="T1941" s="30"/>
      <c r="U1941" s="30"/>
      <c r="V1941" s="30"/>
      <c r="W1941" s="30"/>
      <c r="X1941" s="30"/>
      <c r="Y1941" s="30"/>
      <c r="Z1941" s="30"/>
      <c r="AA1941" s="30"/>
      <c r="AB1941" s="30"/>
      <c r="AC1941" s="30"/>
      <c r="AD1941" s="30"/>
      <c r="AE1941" s="30"/>
    </row>
    <row r="1942" spans="1:31" ht="13">
      <c r="A1942" s="30"/>
      <c r="B1942" s="30"/>
      <c r="C1942" s="30"/>
      <c r="D1942" s="30"/>
      <c r="E1942" s="30"/>
      <c r="F1942" s="48"/>
      <c r="G1942" s="49"/>
      <c r="H1942" s="49"/>
      <c r="I1942" s="49"/>
      <c r="J1942" s="71"/>
      <c r="K1942" s="71"/>
      <c r="L1942" s="50"/>
      <c r="M1942" s="30"/>
      <c r="N1942" s="30"/>
      <c r="O1942" s="30"/>
      <c r="P1942" s="30"/>
      <c r="Q1942" s="30"/>
      <c r="R1942" s="30"/>
      <c r="S1942" s="30"/>
      <c r="T1942" s="30"/>
      <c r="U1942" s="30"/>
      <c r="V1942" s="30"/>
      <c r="W1942" s="30"/>
      <c r="X1942" s="30"/>
      <c r="Y1942" s="30"/>
      <c r="Z1942" s="30"/>
      <c r="AA1942" s="30"/>
      <c r="AB1942" s="30"/>
      <c r="AC1942" s="30"/>
      <c r="AD1942" s="30"/>
      <c r="AE1942" s="30"/>
    </row>
    <row r="1943" spans="1:31" ht="13">
      <c r="A1943" s="30"/>
      <c r="B1943" s="30"/>
      <c r="C1943" s="30"/>
      <c r="D1943" s="30"/>
      <c r="E1943" s="30"/>
      <c r="F1943" s="48"/>
      <c r="G1943" s="49"/>
      <c r="H1943" s="49"/>
      <c r="I1943" s="49"/>
      <c r="J1943" s="71"/>
      <c r="K1943" s="71"/>
      <c r="L1943" s="50"/>
      <c r="M1943" s="30"/>
      <c r="N1943" s="30"/>
      <c r="O1943" s="30"/>
      <c r="P1943" s="30"/>
      <c r="Q1943" s="30"/>
      <c r="R1943" s="30"/>
      <c r="S1943" s="30"/>
      <c r="T1943" s="30"/>
      <c r="U1943" s="30"/>
      <c r="V1943" s="30"/>
      <c r="W1943" s="30"/>
      <c r="X1943" s="30"/>
      <c r="Y1943" s="30"/>
      <c r="Z1943" s="30"/>
      <c r="AA1943" s="30"/>
      <c r="AB1943" s="30"/>
      <c r="AC1943" s="30"/>
      <c r="AD1943" s="30"/>
      <c r="AE1943" s="30"/>
    </row>
    <row r="1944" spans="1:31" ht="13">
      <c r="A1944" s="30"/>
      <c r="B1944" s="30"/>
      <c r="C1944" s="30"/>
      <c r="D1944" s="30"/>
      <c r="E1944" s="30"/>
      <c r="F1944" s="48"/>
      <c r="G1944" s="49"/>
      <c r="H1944" s="49"/>
      <c r="I1944" s="49"/>
      <c r="J1944" s="71"/>
      <c r="K1944" s="71"/>
      <c r="L1944" s="50"/>
      <c r="M1944" s="30"/>
      <c r="N1944" s="30"/>
      <c r="O1944" s="30"/>
      <c r="P1944" s="30"/>
      <c r="Q1944" s="30"/>
      <c r="R1944" s="30"/>
      <c r="S1944" s="30"/>
      <c r="T1944" s="30"/>
      <c r="U1944" s="30"/>
      <c r="V1944" s="30"/>
      <c r="W1944" s="30"/>
      <c r="X1944" s="30"/>
      <c r="Y1944" s="30"/>
      <c r="Z1944" s="30"/>
      <c r="AA1944" s="30"/>
      <c r="AB1944" s="30"/>
      <c r="AC1944" s="30"/>
      <c r="AD1944" s="30"/>
      <c r="AE1944" s="30"/>
    </row>
    <row r="1945" spans="1:31" ht="13">
      <c r="A1945" s="30"/>
      <c r="B1945" s="30"/>
      <c r="C1945" s="30"/>
      <c r="D1945" s="30"/>
      <c r="E1945" s="30"/>
      <c r="F1945" s="48"/>
      <c r="G1945" s="49"/>
      <c r="H1945" s="49"/>
      <c r="I1945" s="49"/>
      <c r="J1945" s="71"/>
      <c r="K1945" s="71"/>
      <c r="L1945" s="50"/>
      <c r="M1945" s="30"/>
      <c r="N1945" s="30"/>
      <c r="O1945" s="30"/>
      <c r="P1945" s="30"/>
      <c r="Q1945" s="30"/>
      <c r="R1945" s="30"/>
      <c r="S1945" s="30"/>
      <c r="T1945" s="30"/>
      <c r="U1945" s="30"/>
      <c r="V1945" s="30"/>
      <c r="W1945" s="30"/>
      <c r="X1945" s="30"/>
      <c r="Y1945" s="30"/>
      <c r="Z1945" s="30"/>
      <c r="AA1945" s="30"/>
      <c r="AB1945" s="30"/>
      <c r="AC1945" s="30"/>
      <c r="AD1945" s="30"/>
      <c r="AE1945" s="30"/>
    </row>
    <row r="1946" spans="1:31" ht="13">
      <c r="A1946" s="30"/>
      <c r="B1946" s="30"/>
      <c r="C1946" s="30"/>
      <c r="D1946" s="30"/>
      <c r="E1946" s="30"/>
      <c r="F1946" s="48"/>
      <c r="G1946" s="49"/>
      <c r="H1946" s="49"/>
      <c r="I1946" s="49"/>
      <c r="J1946" s="71"/>
      <c r="K1946" s="71"/>
      <c r="L1946" s="50"/>
      <c r="M1946" s="30"/>
      <c r="N1946" s="30"/>
      <c r="O1946" s="30"/>
      <c r="P1946" s="30"/>
      <c r="Q1946" s="30"/>
      <c r="R1946" s="30"/>
      <c r="S1946" s="30"/>
      <c r="T1946" s="30"/>
      <c r="U1946" s="30"/>
      <c r="V1946" s="30"/>
      <c r="W1946" s="30"/>
      <c r="X1946" s="30"/>
      <c r="Y1946" s="30"/>
      <c r="Z1946" s="30"/>
      <c r="AA1946" s="30"/>
      <c r="AB1946" s="30"/>
      <c r="AC1946" s="30"/>
      <c r="AD1946" s="30"/>
      <c r="AE1946" s="30"/>
    </row>
    <row r="1947" spans="1:31" ht="13">
      <c r="A1947" s="30"/>
      <c r="B1947" s="30"/>
      <c r="C1947" s="30"/>
      <c r="D1947" s="30"/>
      <c r="E1947" s="30"/>
      <c r="F1947" s="48"/>
      <c r="G1947" s="49"/>
      <c r="H1947" s="49"/>
      <c r="I1947" s="49"/>
      <c r="J1947" s="71"/>
      <c r="K1947" s="71"/>
      <c r="L1947" s="50"/>
      <c r="M1947" s="30"/>
      <c r="N1947" s="30"/>
      <c r="O1947" s="30"/>
      <c r="P1947" s="30"/>
      <c r="Q1947" s="30"/>
      <c r="R1947" s="30"/>
      <c r="S1947" s="30"/>
      <c r="T1947" s="30"/>
      <c r="U1947" s="30"/>
      <c r="V1947" s="30"/>
      <c r="W1947" s="30"/>
      <c r="X1947" s="30"/>
      <c r="Y1947" s="30"/>
      <c r="Z1947" s="30"/>
      <c r="AA1947" s="30"/>
      <c r="AB1947" s="30"/>
      <c r="AC1947" s="30"/>
      <c r="AD1947" s="30"/>
      <c r="AE1947" s="30"/>
    </row>
    <row r="1948" spans="1:31" ht="13">
      <c r="A1948" s="30"/>
      <c r="B1948" s="30"/>
      <c r="C1948" s="30"/>
      <c r="D1948" s="30"/>
      <c r="E1948" s="30"/>
      <c r="F1948" s="48"/>
      <c r="G1948" s="49"/>
      <c r="H1948" s="49"/>
      <c r="I1948" s="49"/>
      <c r="J1948" s="71"/>
      <c r="K1948" s="71"/>
      <c r="L1948" s="50"/>
      <c r="M1948" s="30"/>
      <c r="N1948" s="30"/>
      <c r="O1948" s="30"/>
      <c r="P1948" s="30"/>
      <c r="Q1948" s="30"/>
      <c r="R1948" s="30"/>
      <c r="S1948" s="30"/>
      <c r="T1948" s="30"/>
      <c r="U1948" s="30"/>
      <c r="V1948" s="30"/>
      <c r="W1948" s="30"/>
      <c r="X1948" s="30"/>
      <c r="Y1948" s="30"/>
      <c r="Z1948" s="30"/>
      <c r="AA1948" s="30"/>
      <c r="AB1948" s="30"/>
      <c r="AC1948" s="30"/>
      <c r="AD1948" s="30"/>
      <c r="AE1948" s="30"/>
    </row>
    <row r="1949" spans="1:31" ht="13">
      <c r="A1949" s="30"/>
      <c r="B1949" s="30"/>
      <c r="C1949" s="30"/>
      <c r="D1949" s="30"/>
      <c r="E1949" s="30"/>
      <c r="F1949" s="48"/>
      <c r="G1949" s="49"/>
      <c r="H1949" s="49"/>
      <c r="I1949" s="49"/>
      <c r="J1949" s="71"/>
      <c r="K1949" s="71"/>
      <c r="L1949" s="50"/>
      <c r="M1949" s="30"/>
      <c r="N1949" s="30"/>
      <c r="O1949" s="30"/>
      <c r="P1949" s="30"/>
      <c r="Q1949" s="30"/>
      <c r="R1949" s="30"/>
      <c r="S1949" s="30"/>
      <c r="T1949" s="30"/>
      <c r="U1949" s="30"/>
      <c r="V1949" s="30"/>
      <c r="W1949" s="30"/>
      <c r="X1949" s="30"/>
      <c r="Y1949" s="30"/>
      <c r="Z1949" s="30"/>
      <c r="AA1949" s="30"/>
      <c r="AB1949" s="30"/>
      <c r="AC1949" s="30"/>
      <c r="AD1949" s="30"/>
      <c r="AE1949" s="30"/>
    </row>
    <row r="1950" spans="1:31" ht="13">
      <c r="A1950" s="30"/>
      <c r="B1950" s="30"/>
      <c r="C1950" s="30"/>
      <c r="D1950" s="30"/>
      <c r="E1950" s="30"/>
      <c r="F1950" s="48"/>
      <c r="G1950" s="49"/>
      <c r="H1950" s="49"/>
      <c r="I1950" s="49"/>
      <c r="J1950" s="71"/>
      <c r="K1950" s="71"/>
      <c r="L1950" s="50"/>
      <c r="M1950" s="30"/>
      <c r="N1950" s="30"/>
      <c r="O1950" s="30"/>
      <c r="P1950" s="30"/>
      <c r="Q1950" s="30"/>
      <c r="R1950" s="30"/>
      <c r="S1950" s="30"/>
      <c r="T1950" s="30"/>
      <c r="U1950" s="30"/>
      <c r="V1950" s="30"/>
      <c r="W1950" s="30"/>
      <c r="X1950" s="30"/>
      <c r="Y1950" s="30"/>
      <c r="Z1950" s="30"/>
      <c r="AA1950" s="30"/>
      <c r="AB1950" s="30"/>
      <c r="AC1950" s="30"/>
      <c r="AD1950" s="30"/>
      <c r="AE1950" s="30"/>
    </row>
    <row r="1951" spans="1:31" ht="13">
      <c r="A1951" s="30"/>
      <c r="B1951" s="30"/>
      <c r="C1951" s="30"/>
      <c r="D1951" s="30"/>
      <c r="E1951" s="30"/>
      <c r="F1951" s="48"/>
      <c r="G1951" s="49"/>
      <c r="H1951" s="49"/>
      <c r="I1951" s="49"/>
      <c r="J1951" s="71"/>
      <c r="K1951" s="71"/>
      <c r="L1951" s="50"/>
      <c r="M1951" s="30"/>
      <c r="N1951" s="30"/>
      <c r="O1951" s="30"/>
      <c r="P1951" s="30"/>
      <c r="Q1951" s="30"/>
      <c r="R1951" s="30"/>
      <c r="S1951" s="30"/>
      <c r="T1951" s="30"/>
      <c r="U1951" s="30"/>
      <c r="V1951" s="30"/>
      <c r="W1951" s="30"/>
      <c r="X1951" s="30"/>
      <c r="Y1951" s="30"/>
      <c r="Z1951" s="30"/>
      <c r="AA1951" s="30"/>
      <c r="AB1951" s="30"/>
      <c r="AC1951" s="30"/>
      <c r="AD1951" s="30"/>
      <c r="AE1951" s="30"/>
    </row>
    <row r="1952" spans="1:31" ht="13">
      <c r="A1952" s="30"/>
      <c r="B1952" s="30"/>
      <c r="C1952" s="30"/>
      <c r="D1952" s="30"/>
      <c r="E1952" s="30"/>
      <c r="F1952" s="48"/>
      <c r="G1952" s="49"/>
      <c r="H1952" s="49"/>
      <c r="I1952" s="49"/>
      <c r="J1952" s="71"/>
      <c r="K1952" s="71"/>
      <c r="L1952" s="50"/>
      <c r="M1952" s="30"/>
      <c r="N1952" s="30"/>
      <c r="O1952" s="30"/>
      <c r="P1952" s="30"/>
      <c r="Q1952" s="30"/>
      <c r="R1952" s="30"/>
      <c r="S1952" s="30"/>
      <c r="T1952" s="30"/>
      <c r="U1952" s="30"/>
      <c r="V1952" s="30"/>
      <c r="W1952" s="30"/>
      <c r="X1952" s="30"/>
      <c r="Y1952" s="30"/>
      <c r="Z1952" s="30"/>
      <c r="AA1952" s="30"/>
      <c r="AB1952" s="30"/>
      <c r="AC1952" s="30"/>
      <c r="AD1952" s="30"/>
      <c r="AE1952" s="30"/>
    </row>
    <row r="1953" spans="1:31" ht="13">
      <c r="A1953" s="30"/>
      <c r="B1953" s="30"/>
      <c r="C1953" s="30"/>
      <c r="D1953" s="30"/>
      <c r="E1953" s="30"/>
      <c r="F1953" s="48"/>
      <c r="G1953" s="49"/>
      <c r="H1953" s="49"/>
      <c r="I1953" s="49"/>
      <c r="J1953" s="71"/>
      <c r="K1953" s="71"/>
      <c r="L1953" s="50"/>
      <c r="M1953" s="30"/>
      <c r="N1953" s="30"/>
      <c r="O1953" s="30"/>
      <c r="P1953" s="30"/>
      <c r="Q1953" s="30"/>
      <c r="R1953" s="30"/>
      <c r="S1953" s="30"/>
      <c r="T1953" s="30"/>
      <c r="U1953" s="30"/>
      <c r="V1953" s="30"/>
      <c r="W1953" s="30"/>
      <c r="X1953" s="30"/>
      <c r="Y1953" s="30"/>
      <c r="Z1953" s="30"/>
      <c r="AA1953" s="30"/>
      <c r="AB1953" s="30"/>
      <c r="AC1953" s="30"/>
      <c r="AD1953" s="30"/>
      <c r="AE1953" s="30"/>
    </row>
    <row r="1954" spans="1:31" ht="13">
      <c r="A1954" s="30"/>
      <c r="B1954" s="30"/>
      <c r="C1954" s="30"/>
      <c r="D1954" s="30"/>
      <c r="E1954" s="30"/>
      <c r="F1954" s="48"/>
      <c r="G1954" s="49"/>
      <c r="H1954" s="49"/>
      <c r="I1954" s="49"/>
      <c r="J1954" s="71"/>
      <c r="K1954" s="71"/>
      <c r="L1954" s="50"/>
      <c r="M1954" s="30"/>
      <c r="N1954" s="30"/>
      <c r="O1954" s="30"/>
      <c r="P1954" s="30"/>
      <c r="Q1954" s="30"/>
      <c r="R1954" s="30"/>
      <c r="S1954" s="30"/>
      <c r="T1954" s="30"/>
      <c r="U1954" s="30"/>
      <c r="V1954" s="30"/>
      <c r="W1954" s="30"/>
      <c r="X1954" s="30"/>
      <c r="Y1954" s="30"/>
      <c r="Z1954" s="30"/>
      <c r="AA1954" s="30"/>
      <c r="AB1954" s="30"/>
      <c r="AC1954" s="30"/>
      <c r="AD1954" s="30"/>
      <c r="AE1954" s="30"/>
    </row>
    <row r="1955" spans="1:31" ht="13">
      <c r="A1955" s="30"/>
      <c r="B1955" s="30"/>
      <c r="C1955" s="30"/>
      <c r="D1955" s="30"/>
      <c r="E1955" s="30"/>
      <c r="F1955" s="48"/>
      <c r="G1955" s="49"/>
      <c r="H1955" s="49"/>
      <c r="I1955" s="49"/>
      <c r="J1955" s="71"/>
      <c r="K1955" s="71"/>
      <c r="L1955" s="50"/>
      <c r="M1955" s="30"/>
      <c r="N1955" s="30"/>
      <c r="O1955" s="30"/>
      <c r="P1955" s="30"/>
      <c r="Q1955" s="30"/>
      <c r="R1955" s="30"/>
      <c r="S1955" s="30"/>
      <c r="T1955" s="30"/>
      <c r="U1955" s="30"/>
      <c r="V1955" s="30"/>
      <c r="W1955" s="30"/>
      <c r="X1955" s="30"/>
      <c r="Y1955" s="30"/>
      <c r="Z1955" s="30"/>
      <c r="AA1955" s="30"/>
      <c r="AB1955" s="30"/>
      <c r="AC1955" s="30"/>
      <c r="AD1955" s="30"/>
      <c r="AE1955" s="30"/>
    </row>
    <row r="1956" spans="1:31" ht="13">
      <c r="A1956" s="30"/>
      <c r="B1956" s="30"/>
      <c r="C1956" s="30"/>
      <c r="D1956" s="30"/>
      <c r="E1956" s="30"/>
      <c r="F1956" s="48"/>
      <c r="G1956" s="49"/>
      <c r="H1956" s="49"/>
      <c r="I1956" s="49"/>
      <c r="J1956" s="71"/>
      <c r="K1956" s="71"/>
      <c r="L1956" s="50"/>
      <c r="M1956" s="30"/>
      <c r="N1956" s="30"/>
      <c r="O1956" s="30"/>
      <c r="P1956" s="30"/>
      <c r="Q1956" s="30"/>
      <c r="R1956" s="30"/>
      <c r="S1956" s="30"/>
      <c r="T1956" s="30"/>
      <c r="U1956" s="30"/>
      <c r="V1956" s="30"/>
      <c r="W1956" s="30"/>
      <c r="X1956" s="30"/>
      <c r="Y1956" s="30"/>
      <c r="Z1956" s="30"/>
      <c r="AA1956" s="30"/>
      <c r="AB1956" s="30"/>
      <c r="AC1956" s="30"/>
      <c r="AD1956" s="30"/>
      <c r="AE1956" s="30"/>
    </row>
    <row r="1957" spans="1:31" ht="13">
      <c r="A1957" s="30"/>
      <c r="B1957" s="30"/>
      <c r="C1957" s="30"/>
      <c r="D1957" s="30"/>
      <c r="E1957" s="30"/>
      <c r="F1957" s="48"/>
      <c r="G1957" s="49"/>
      <c r="H1957" s="49"/>
      <c r="I1957" s="49"/>
      <c r="J1957" s="71"/>
      <c r="K1957" s="71"/>
      <c r="L1957" s="50"/>
      <c r="M1957" s="30"/>
      <c r="N1957" s="30"/>
      <c r="O1957" s="30"/>
      <c r="P1957" s="30"/>
      <c r="Q1957" s="30"/>
      <c r="R1957" s="30"/>
      <c r="S1957" s="30"/>
      <c r="T1957" s="30"/>
      <c r="U1957" s="30"/>
      <c r="V1957" s="30"/>
      <c r="W1957" s="30"/>
      <c r="X1957" s="30"/>
      <c r="Y1957" s="30"/>
      <c r="Z1957" s="30"/>
      <c r="AA1957" s="30"/>
      <c r="AB1957" s="30"/>
      <c r="AC1957" s="30"/>
      <c r="AD1957" s="30"/>
      <c r="AE1957" s="30"/>
    </row>
    <row r="1958" spans="1:31" ht="13">
      <c r="A1958" s="30"/>
      <c r="B1958" s="30"/>
      <c r="C1958" s="30"/>
      <c r="D1958" s="30"/>
      <c r="E1958" s="30"/>
      <c r="F1958" s="48"/>
      <c r="G1958" s="49"/>
      <c r="H1958" s="49"/>
      <c r="I1958" s="49"/>
      <c r="J1958" s="71"/>
      <c r="K1958" s="71"/>
      <c r="L1958" s="50"/>
      <c r="M1958" s="30"/>
      <c r="N1958" s="30"/>
      <c r="O1958" s="30"/>
      <c r="P1958" s="30"/>
      <c r="Q1958" s="30"/>
      <c r="R1958" s="30"/>
      <c r="S1958" s="30"/>
      <c r="T1958" s="30"/>
      <c r="U1958" s="30"/>
      <c r="V1958" s="30"/>
      <c r="W1958" s="30"/>
      <c r="X1958" s="30"/>
      <c r="Y1958" s="30"/>
      <c r="Z1958" s="30"/>
      <c r="AA1958" s="30"/>
      <c r="AB1958" s="30"/>
      <c r="AC1958" s="30"/>
      <c r="AD1958" s="30"/>
      <c r="AE1958" s="30"/>
    </row>
    <row r="1959" spans="1:31" ht="13">
      <c r="A1959" s="30"/>
      <c r="B1959" s="30"/>
      <c r="C1959" s="30"/>
      <c r="D1959" s="30"/>
      <c r="E1959" s="30"/>
      <c r="F1959" s="48"/>
      <c r="G1959" s="49"/>
      <c r="H1959" s="49"/>
      <c r="I1959" s="49"/>
      <c r="J1959" s="71"/>
      <c r="K1959" s="71"/>
      <c r="L1959" s="50"/>
      <c r="M1959" s="30"/>
      <c r="N1959" s="30"/>
      <c r="O1959" s="30"/>
      <c r="P1959" s="30"/>
      <c r="Q1959" s="30"/>
      <c r="R1959" s="30"/>
      <c r="S1959" s="30"/>
      <c r="T1959" s="30"/>
      <c r="U1959" s="30"/>
      <c r="V1959" s="30"/>
      <c r="W1959" s="30"/>
      <c r="X1959" s="30"/>
      <c r="Y1959" s="30"/>
      <c r="Z1959" s="30"/>
      <c r="AA1959" s="30"/>
      <c r="AB1959" s="30"/>
      <c r="AC1959" s="30"/>
      <c r="AD1959" s="30"/>
      <c r="AE1959" s="30"/>
    </row>
    <row r="1960" spans="1:31" ht="13">
      <c r="A1960" s="30"/>
      <c r="B1960" s="30"/>
      <c r="C1960" s="30"/>
      <c r="D1960" s="30"/>
      <c r="E1960" s="30"/>
      <c r="F1960" s="48"/>
      <c r="G1960" s="49"/>
      <c r="H1960" s="49"/>
      <c r="I1960" s="49"/>
      <c r="J1960" s="71"/>
      <c r="K1960" s="71"/>
      <c r="L1960" s="50"/>
      <c r="M1960" s="30"/>
      <c r="N1960" s="30"/>
      <c r="O1960" s="30"/>
      <c r="P1960" s="30"/>
      <c r="Q1960" s="30"/>
      <c r="R1960" s="30"/>
      <c r="S1960" s="30"/>
      <c r="T1960" s="30"/>
      <c r="U1960" s="30"/>
      <c r="V1960" s="30"/>
      <c r="W1960" s="30"/>
      <c r="X1960" s="30"/>
      <c r="Y1960" s="30"/>
      <c r="Z1960" s="30"/>
      <c r="AA1960" s="30"/>
      <c r="AB1960" s="30"/>
      <c r="AC1960" s="30"/>
      <c r="AD1960" s="30"/>
      <c r="AE1960" s="30"/>
    </row>
    <row r="1961" spans="1:31" ht="13">
      <c r="A1961" s="30"/>
      <c r="B1961" s="30"/>
      <c r="C1961" s="30"/>
      <c r="D1961" s="30"/>
      <c r="E1961" s="30"/>
      <c r="F1961" s="48"/>
      <c r="G1961" s="49"/>
      <c r="H1961" s="49"/>
      <c r="I1961" s="49"/>
      <c r="J1961" s="71"/>
      <c r="K1961" s="71"/>
      <c r="L1961" s="50"/>
      <c r="M1961" s="30"/>
      <c r="N1961" s="30"/>
      <c r="O1961" s="30"/>
      <c r="P1961" s="30"/>
      <c r="Q1961" s="30"/>
      <c r="R1961" s="30"/>
      <c r="S1961" s="30"/>
      <c r="T1961" s="30"/>
      <c r="U1961" s="30"/>
      <c r="V1961" s="30"/>
      <c r="W1961" s="30"/>
      <c r="X1961" s="30"/>
      <c r="Y1961" s="30"/>
      <c r="Z1961" s="30"/>
      <c r="AA1961" s="30"/>
      <c r="AB1961" s="30"/>
      <c r="AC1961" s="30"/>
      <c r="AD1961" s="30"/>
      <c r="AE1961" s="30"/>
    </row>
    <row r="1962" spans="1:31" ht="13">
      <c r="A1962" s="30"/>
      <c r="B1962" s="30"/>
      <c r="C1962" s="30"/>
      <c r="D1962" s="30"/>
      <c r="E1962" s="30"/>
      <c r="F1962" s="48"/>
      <c r="G1962" s="49"/>
      <c r="H1962" s="49"/>
      <c r="I1962" s="49"/>
      <c r="J1962" s="71"/>
      <c r="K1962" s="71"/>
      <c r="L1962" s="50"/>
      <c r="M1962" s="30"/>
      <c r="N1962" s="30"/>
      <c r="O1962" s="30"/>
      <c r="P1962" s="30"/>
      <c r="Q1962" s="30"/>
      <c r="R1962" s="30"/>
      <c r="S1962" s="30"/>
      <c r="T1962" s="30"/>
      <c r="U1962" s="30"/>
      <c r="V1962" s="30"/>
      <c r="W1962" s="30"/>
      <c r="X1962" s="30"/>
      <c r="Y1962" s="30"/>
      <c r="Z1962" s="30"/>
      <c r="AA1962" s="30"/>
      <c r="AB1962" s="30"/>
      <c r="AC1962" s="30"/>
      <c r="AD1962" s="30"/>
      <c r="AE1962" s="30"/>
    </row>
    <row r="1963" spans="1:31" ht="13">
      <c r="A1963" s="30"/>
      <c r="B1963" s="30"/>
      <c r="C1963" s="30"/>
      <c r="D1963" s="30"/>
      <c r="E1963" s="30"/>
      <c r="F1963" s="48"/>
      <c r="G1963" s="49"/>
      <c r="H1963" s="49"/>
      <c r="I1963" s="49"/>
      <c r="J1963" s="71"/>
      <c r="K1963" s="71"/>
      <c r="L1963" s="50"/>
      <c r="M1963" s="30"/>
      <c r="N1963" s="30"/>
      <c r="O1963" s="30"/>
      <c r="P1963" s="30"/>
      <c r="Q1963" s="30"/>
      <c r="R1963" s="30"/>
      <c r="S1963" s="30"/>
      <c r="T1963" s="30"/>
      <c r="U1963" s="30"/>
      <c r="V1963" s="30"/>
      <c r="W1963" s="30"/>
      <c r="X1963" s="30"/>
      <c r="Y1963" s="30"/>
      <c r="Z1963" s="30"/>
      <c r="AA1963" s="30"/>
      <c r="AB1963" s="30"/>
      <c r="AC1963" s="30"/>
      <c r="AD1963" s="30"/>
      <c r="AE1963" s="30"/>
    </row>
    <row r="1964" spans="1:31" ht="13">
      <c r="A1964" s="30"/>
      <c r="B1964" s="30"/>
      <c r="C1964" s="30"/>
      <c r="D1964" s="30"/>
      <c r="E1964" s="30"/>
      <c r="F1964" s="48"/>
      <c r="G1964" s="49"/>
      <c r="H1964" s="49"/>
      <c r="I1964" s="49"/>
      <c r="J1964" s="71"/>
      <c r="K1964" s="71"/>
      <c r="L1964" s="50"/>
      <c r="M1964" s="30"/>
      <c r="N1964" s="30"/>
      <c r="O1964" s="30"/>
      <c r="P1964" s="30"/>
      <c r="Q1964" s="30"/>
      <c r="R1964" s="30"/>
      <c r="S1964" s="30"/>
      <c r="T1964" s="30"/>
      <c r="U1964" s="30"/>
      <c r="V1964" s="30"/>
      <c r="W1964" s="30"/>
      <c r="X1964" s="30"/>
      <c r="Y1964" s="30"/>
      <c r="Z1964" s="30"/>
      <c r="AA1964" s="30"/>
      <c r="AB1964" s="30"/>
      <c r="AC1964" s="30"/>
      <c r="AD1964" s="30"/>
      <c r="AE1964" s="30"/>
    </row>
    <row r="1965" spans="1:31" ht="13">
      <c r="A1965" s="30"/>
      <c r="B1965" s="30"/>
      <c r="C1965" s="30"/>
      <c r="D1965" s="30"/>
      <c r="E1965" s="30"/>
      <c r="F1965" s="48"/>
      <c r="G1965" s="49"/>
      <c r="H1965" s="49"/>
      <c r="I1965" s="49"/>
      <c r="J1965" s="71"/>
      <c r="K1965" s="71"/>
      <c r="L1965" s="50"/>
      <c r="M1965" s="30"/>
      <c r="N1965" s="30"/>
      <c r="O1965" s="30"/>
      <c r="P1965" s="30"/>
      <c r="Q1965" s="30"/>
      <c r="R1965" s="30"/>
      <c r="S1965" s="30"/>
      <c r="T1965" s="30"/>
      <c r="U1965" s="30"/>
      <c r="V1965" s="30"/>
      <c r="W1965" s="30"/>
      <c r="X1965" s="30"/>
      <c r="Y1965" s="30"/>
      <c r="Z1965" s="30"/>
      <c r="AA1965" s="30"/>
      <c r="AB1965" s="30"/>
      <c r="AC1965" s="30"/>
      <c r="AD1965" s="30"/>
      <c r="AE1965" s="30"/>
    </row>
    <row r="1966" spans="1:31" ht="13">
      <c r="A1966" s="30"/>
      <c r="B1966" s="30"/>
      <c r="C1966" s="30"/>
      <c r="D1966" s="30"/>
      <c r="E1966" s="30"/>
      <c r="F1966" s="48"/>
      <c r="G1966" s="49"/>
      <c r="H1966" s="49"/>
      <c r="I1966" s="49"/>
      <c r="J1966" s="71"/>
      <c r="K1966" s="71"/>
      <c r="L1966" s="50"/>
      <c r="M1966" s="30"/>
      <c r="N1966" s="30"/>
      <c r="O1966" s="30"/>
      <c r="P1966" s="30"/>
      <c r="Q1966" s="30"/>
      <c r="R1966" s="30"/>
      <c r="S1966" s="30"/>
      <c r="T1966" s="30"/>
      <c r="U1966" s="30"/>
      <c r="V1966" s="30"/>
      <c r="W1966" s="30"/>
      <c r="X1966" s="30"/>
      <c r="Y1966" s="30"/>
      <c r="Z1966" s="30"/>
      <c r="AA1966" s="30"/>
      <c r="AB1966" s="30"/>
      <c r="AC1966" s="30"/>
      <c r="AD1966" s="30"/>
      <c r="AE1966" s="30"/>
    </row>
    <row r="1967" spans="1:31" ht="13">
      <c r="A1967" s="30"/>
      <c r="B1967" s="30"/>
      <c r="C1967" s="30"/>
      <c r="D1967" s="30"/>
      <c r="E1967" s="30"/>
      <c r="F1967" s="48"/>
      <c r="G1967" s="49"/>
      <c r="H1967" s="49"/>
      <c r="I1967" s="49"/>
      <c r="J1967" s="71"/>
      <c r="K1967" s="71"/>
      <c r="L1967" s="50"/>
      <c r="M1967" s="30"/>
      <c r="N1967" s="30"/>
      <c r="O1967" s="30"/>
      <c r="P1967" s="30"/>
      <c r="Q1967" s="30"/>
      <c r="R1967" s="30"/>
      <c r="S1967" s="30"/>
      <c r="T1967" s="30"/>
      <c r="U1967" s="30"/>
      <c r="V1967" s="30"/>
      <c r="W1967" s="30"/>
      <c r="X1967" s="30"/>
      <c r="Y1967" s="30"/>
      <c r="Z1967" s="30"/>
      <c r="AA1967" s="30"/>
      <c r="AB1967" s="30"/>
      <c r="AC1967" s="30"/>
      <c r="AD1967" s="30"/>
      <c r="AE1967" s="30"/>
    </row>
    <row r="1968" spans="1:31" ht="13">
      <c r="A1968" s="30"/>
      <c r="B1968" s="30"/>
      <c r="C1968" s="30"/>
      <c r="D1968" s="30"/>
      <c r="E1968" s="30"/>
      <c r="F1968" s="48"/>
      <c r="G1968" s="49"/>
      <c r="H1968" s="49"/>
      <c r="I1968" s="49"/>
      <c r="J1968" s="71"/>
      <c r="K1968" s="71"/>
      <c r="L1968" s="50"/>
      <c r="M1968" s="30"/>
      <c r="N1968" s="30"/>
      <c r="O1968" s="30"/>
      <c r="P1968" s="30"/>
      <c r="Q1968" s="30"/>
      <c r="R1968" s="30"/>
      <c r="S1968" s="30"/>
      <c r="T1968" s="30"/>
      <c r="U1968" s="30"/>
      <c r="V1968" s="30"/>
      <c r="W1968" s="30"/>
      <c r="X1968" s="30"/>
      <c r="Y1968" s="30"/>
      <c r="Z1968" s="30"/>
      <c r="AA1968" s="30"/>
      <c r="AB1968" s="30"/>
      <c r="AC1968" s="30"/>
      <c r="AD1968" s="30"/>
      <c r="AE1968" s="30"/>
    </row>
    <row r="1969" spans="1:31" ht="13">
      <c r="A1969" s="30"/>
      <c r="B1969" s="30"/>
      <c r="C1969" s="30"/>
      <c r="D1969" s="30"/>
      <c r="E1969" s="30"/>
      <c r="F1969" s="48"/>
      <c r="G1969" s="49"/>
      <c r="H1969" s="49"/>
      <c r="I1969" s="49"/>
      <c r="J1969" s="71"/>
      <c r="K1969" s="71"/>
      <c r="L1969" s="50"/>
      <c r="M1969" s="30"/>
      <c r="N1969" s="30"/>
      <c r="O1969" s="30"/>
      <c r="P1969" s="30"/>
      <c r="Q1969" s="30"/>
      <c r="R1969" s="30"/>
      <c r="S1969" s="30"/>
      <c r="T1969" s="30"/>
      <c r="U1969" s="30"/>
      <c r="V1969" s="30"/>
      <c r="W1969" s="30"/>
      <c r="X1969" s="30"/>
      <c r="Y1969" s="30"/>
      <c r="Z1969" s="30"/>
      <c r="AA1969" s="30"/>
      <c r="AB1969" s="30"/>
      <c r="AC1969" s="30"/>
      <c r="AD1969" s="30"/>
      <c r="AE1969" s="30"/>
    </row>
    <row r="1970" spans="1:31" ht="13">
      <c r="A1970" s="30"/>
      <c r="B1970" s="30"/>
      <c r="C1970" s="30"/>
      <c r="D1970" s="30"/>
      <c r="E1970" s="30"/>
      <c r="F1970" s="48"/>
      <c r="G1970" s="49"/>
      <c r="H1970" s="49"/>
      <c r="I1970" s="49"/>
      <c r="J1970" s="71"/>
      <c r="K1970" s="71"/>
      <c r="L1970" s="50"/>
      <c r="M1970" s="30"/>
      <c r="N1970" s="30"/>
      <c r="O1970" s="30"/>
      <c r="P1970" s="30"/>
      <c r="Q1970" s="30"/>
      <c r="R1970" s="30"/>
      <c r="S1970" s="30"/>
      <c r="T1970" s="30"/>
      <c r="U1970" s="30"/>
      <c r="V1970" s="30"/>
      <c r="W1970" s="30"/>
      <c r="X1970" s="30"/>
      <c r="Y1970" s="30"/>
      <c r="Z1970" s="30"/>
      <c r="AA1970" s="30"/>
      <c r="AB1970" s="30"/>
      <c r="AC1970" s="30"/>
      <c r="AD1970" s="30"/>
      <c r="AE1970" s="30"/>
    </row>
    <row r="1971" spans="1:31" ht="13">
      <c r="A1971" s="30"/>
      <c r="B1971" s="30"/>
      <c r="C1971" s="30"/>
      <c r="D1971" s="30"/>
      <c r="E1971" s="30"/>
      <c r="F1971" s="48"/>
      <c r="G1971" s="49"/>
      <c r="H1971" s="49"/>
      <c r="I1971" s="49"/>
      <c r="J1971" s="71"/>
      <c r="K1971" s="71"/>
      <c r="L1971" s="50"/>
      <c r="M1971" s="30"/>
      <c r="N1971" s="30"/>
      <c r="O1971" s="30"/>
      <c r="P1971" s="30"/>
      <c r="Q1971" s="30"/>
      <c r="R1971" s="30"/>
      <c r="S1971" s="30"/>
      <c r="T1971" s="30"/>
      <c r="U1971" s="30"/>
      <c r="V1971" s="30"/>
      <c r="W1971" s="30"/>
      <c r="X1971" s="30"/>
      <c r="Y1971" s="30"/>
      <c r="Z1971" s="30"/>
      <c r="AA1971" s="30"/>
      <c r="AB1971" s="30"/>
      <c r="AC1971" s="30"/>
      <c r="AD1971" s="30"/>
      <c r="AE1971" s="30"/>
    </row>
    <row r="1972" spans="1:31" ht="13">
      <c r="A1972" s="30"/>
      <c r="B1972" s="30"/>
      <c r="C1972" s="30"/>
      <c r="D1972" s="30"/>
      <c r="E1972" s="30"/>
      <c r="F1972" s="48"/>
      <c r="G1972" s="49"/>
      <c r="H1972" s="49"/>
      <c r="I1972" s="49"/>
      <c r="J1972" s="71"/>
      <c r="K1972" s="71"/>
      <c r="L1972" s="50"/>
      <c r="M1972" s="30"/>
      <c r="N1972" s="30"/>
      <c r="O1972" s="30"/>
      <c r="P1972" s="30"/>
      <c r="Q1972" s="30"/>
      <c r="R1972" s="30"/>
      <c r="S1972" s="30"/>
      <c r="T1972" s="30"/>
      <c r="U1972" s="30"/>
      <c r="V1972" s="30"/>
      <c r="W1972" s="30"/>
      <c r="X1972" s="30"/>
      <c r="Y1972" s="30"/>
      <c r="Z1972" s="30"/>
      <c r="AA1972" s="30"/>
      <c r="AB1972" s="30"/>
      <c r="AC1972" s="30"/>
      <c r="AD1972" s="30"/>
      <c r="AE1972" s="30"/>
    </row>
    <row r="1973" spans="1:31" ht="13">
      <c r="A1973" s="30"/>
      <c r="B1973" s="30"/>
      <c r="C1973" s="30"/>
      <c r="D1973" s="30"/>
      <c r="E1973" s="30"/>
      <c r="F1973" s="48"/>
      <c r="G1973" s="49"/>
      <c r="H1973" s="49"/>
      <c r="I1973" s="49"/>
      <c r="J1973" s="71"/>
      <c r="K1973" s="71"/>
      <c r="L1973" s="50"/>
      <c r="M1973" s="30"/>
      <c r="N1973" s="30"/>
      <c r="O1973" s="30"/>
      <c r="P1973" s="30"/>
      <c r="Q1973" s="30"/>
      <c r="R1973" s="30"/>
      <c r="S1973" s="30"/>
      <c r="T1973" s="30"/>
      <c r="U1973" s="30"/>
      <c r="V1973" s="30"/>
      <c r="W1973" s="30"/>
      <c r="X1973" s="30"/>
      <c r="Y1973" s="30"/>
      <c r="Z1973" s="30"/>
      <c r="AA1973" s="30"/>
      <c r="AB1973" s="30"/>
      <c r="AC1973" s="30"/>
      <c r="AD1973" s="30"/>
      <c r="AE1973" s="30"/>
    </row>
    <row r="1974" spans="1:31" ht="13">
      <c r="A1974" s="30"/>
      <c r="B1974" s="30"/>
      <c r="C1974" s="30"/>
      <c r="D1974" s="30"/>
      <c r="E1974" s="30"/>
      <c r="F1974" s="48"/>
      <c r="G1974" s="49"/>
      <c r="H1974" s="49"/>
      <c r="I1974" s="49"/>
      <c r="J1974" s="71"/>
      <c r="K1974" s="71"/>
      <c r="L1974" s="50"/>
      <c r="M1974" s="30"/>
      <c r="N1974" s="30"/>
      <c r="O1974" s="30"/>
      <c r="P1974" s="30"/>
      <c r="Q1974" s="30"/>
      <c r="R1974" s="30"/>
      <c r="S1974" s="30"/>
      <c r="T1974" s="30"/>
      <c r="U1974" s="30"/>
      <c r="V1974" s="30"/>
      <c r="W1974" s="30"/>
      <c r="X1974" s="30"/>
      <c r="Y1974" s="30"/>
      <c r="Z1974" s="30"/>
      <c r="AA1974" s="30"/>
      <c r="AB1974" s="30"/>
      <c r="AC1974" s="30"/>
      <c r="AD1974" s="30"/>
      <c r="AE1974" s="30"/>
    </row>
    <row r="1975" spans="1:31" ht="13">
      <c r="A1975" s="30"/>
      <c r="B1975" s="30"/>
      <c r="C1975" s="30"/>
      <c r="D1975" s="30"/>
      <c r="E1975" s="30"/>
      <c r="F1975" s="48"/>
      <c r="G1975" s="49"/>
      <c r="H1975" s="49"/>
      <c r="I1975" s="49"/>
      <c r="J1975" s="71"/>
      <c r="K1975" s="71"/>
      <c r="L1975" s="50"/>
      <c r="M1975" s="30"/>
      <c r="N1975" s="30"/>
      <c r="O1975" s="30"/>
      <c r="P1975" s="30"/>
      <c r="Q1975" s="30"/>
      <c r="R1975" s="30"/>
      <c r="S1975" s="30"/>
      <c r="T1975" s="30"/>
      <c r="U1975" s="30"/>
      <c r="V1975" s="30"/>
      <c r="W1975" s="30"/>
      <c r="X1975" s="30"/>
      <c r="Y1975" s="30"/>
      <c r="Z1975" s="30"/>
      <c r="AA1975" s="30"/>
      <c r="AB1975" s="30"/>
      <c r="AC1975" s="30"/>
      <c r="AD1975" s="30"/>
      <c r="AE1975" s="30"/>
    </row>
    <row r="1976" spans="1:31" ht="13">
      <c r="A1976" s="30"/>
      <c r="B1976" s="30"/>
      <c r="C1976" s="30"/>
      <c r="D1976" s="30"/>
      <c r="E1976" s="30"/>
      <c r="F1976" s="48"/>
      <c r="G1976" s="49"/>
      <c r="H1976" s="49"/>
      <c r="I1976" s="49"/>
      <c r="J1976" s="71"/>
      <c r="K1976" s="71"/>
      <c r="L1976" s="50"/>
      <c r="M1976" s="30"/>
      <c r="N1976" s="30"/>
      <c r="O1976" s="30"/>
      <c r="P1976" s="30"/>
      <c r="Q1976" s="30"/>
      <c r="R1976" s="30"/>
      <c r="S1976" s="30"/>
      <c r="T1976" s="30"/>
      <c r="U1976" s="30"/>
      <c r="V1976" s="30"/>
      <c r="W1976" s="30"/>
      <c r="X1976" s="30"/>
      <c r="Y1976" s="30"/>
      <c r="Z1976" s="30"/>
      <c r="AA1976" s="30"/>
      <c r="AB1976" s="30"/>
      <c r="AC1976" s="30"/>
      <c r="AD1976" s="30"/>
      <c r="AE1976" s="30"/>
    </row>
    <row r="1977" spans="1:31" ht="13">
      <c r="A1977" s="30"/>
      <c r="B1977" s="30"/>
      <c r="C1977" s="30"/>
      <c r="D1977" s="30"/>
      <c r="E1977" s="30"/>
      <c r="F1977" s="48"/>
      <c r="G1977" s="49"/>
      <c r="H1977" s="49"/>
      <c r="I1977" s="49"/>
      <c r="J1977" s="71"/>
      <c r="K1977" s="71"/>
      <c r="L1977" s="50"/>
      <c r="M1977" s="30"/>
      <c r="N1977" s="30"/>
      <c r="O1977" s="30"/>
      <c r="P1977" s="30"/>
      <c r="Q1977" s="30"/>
      <c r="R1977" s="30"/>
      <c r="S1977" s="30"/>
      <c r="T1977" s="30"/>
      <c r="U1977" s="30"/>
      <c r="V1977" s="30"/>
      <c r="W1977" s="30"/>
      <c r="X1977" s="30"/>
      <c r="Y1977" s="30"/>
      <c r="Z1977" s="30"/>
      <c r="AA1977" s="30"/>
      <c r="AB1977" s="30"/>
      <c r="AC1977" s="30"/>
      <c r="AD1977" s="30"/>
      <c r="AE1977" s="30"/>
    </row>
    <row r="1978" spans="1:31" ht="13">
      <c r="A1978" s="30"/>
      <c r="B1978" s="30"/>
      <c r="C1978" s="30"/>
      <c r="D1978" s="30"/>
      <c r="E1978" s="30"/>
      <c r="F1978" s="48"/>
      <c r="G1978" s="49"/>
      <c r="H1978" s="49"/>
      <c r="I1978" s="49"/>
      <c r="J1978" s="71"/>
      <c r="K1978" s="71"/>
      <c r="L1978" s="50"/>
      <c r="M1978" s="30"/>
      <c r="N1978" s="30"/>
      <c r="O1978" s="30"/>
      <c r="P1978" s="30"/>
      <c r="Q1978" s="30"/>
      <c r="R1978" s="30"/>
      <c r="S1978" s="30"/>
      <c r="T1978" s="30"/>
      <c r="U1978" s="30"/>
      <c r="V1978" s="30"/>
      <c r="W1978" s="30"/>
      <c r="X1978" s="30"/>
      <c r="Y1978" s="30"/>
      <c r="Z1978" s="30"/>
      <c r="AA1978" s="30"/>
      <c r="AB1978" s="30"/>
      <c r="AC1978" s="30"/>
      <c r="AD1978" s="30"/>
      <c r="AE1978" s="30"/>
    </row>
    <row r="1979" spans="1:31" ht="13">
      <c r="A1979" s="30"/>
      <c r="B1979" s="30"/>
      <c r="C1979" s="30"/>
      <c r="D1979" s="30"/>
      <c r="E1979" s="30"/>
      <c r="F1979" s="48"/>
      <c r="G1979" s="49"/>
      <c r="H1979" s="49"/>
      <c r="I1979" s="49"/>
      <c r="J1979" s="71"/>
      <c r="K1979" s="71"/>
      <c r="L1979" s="50"/>
      <c r="M1979" s="30"/>
      <c r="N1979" s="30"/>
      <c r="O1979" s="30"/>
      <c r="P1979" s="30"/>
      <c r="Q1979" s="30"/>
      <c r="R1979" s="30"/>
      <c r="S1979" s="30"/>
      <c r="T1979" s="30"/>
      <c r="U1979" s="30"/>
      <c r="V1979" s="30"/>
      <c r="W1979" s="30"/>
      <c r="X1979" s="30"/>
      <c r="Y1979" s="30"/>
      <c r="Z1979" s="30"/>
      <c r="AA1979" s="30"/>
      <c r="AB1979" s="30"/>
      <c r="AC1979" s="30"/>
      <c r="AD1979" s="30"/>
      <c r="AE1979" s="30"/>
    </row>
    <row r="1980" spans="1:31" ht="13">
      <c r="A1980" s="30"/>
      <c r="B1980" s="30"/>
      <c r="C1980" s="30"/>
      <c r="D1980" s="30"/>
      <c r="E1980" s="30"/>
      <c r="F1980" s="48"/>
      <c r="G1980" s="49"/>
      <c r="H1980" s="49"/>
      <c r="I1980" s="49"/>
      <c r="J1980" s="71"/>
      <c r="K1980" s="71"/>
      <c r="L1980" s="50"/>
      <c r="M1980" s="30"/>
      <c r="N1980" s="30"/>
      <c r="O1980" s="30"/>
      <c r="P1980" s="30"/>
      <c r="Q1980" s="30"/>
      <c r="R1980" s="30"/>
      <c r="S1980" s="30"/>
      <c r="T1980" s="30"/>
      <c r="U1980" s="30"/>
      <c r="V1980" s="30"/>
      <c r="W1980" s="30"/>
      <c r="X1980" s="30"/>
      <c r="Y1980" s="30"/>
      <c r="Z1980" s="30"/>
      <c r="AA1980" s="30"/>
      <c r="AB1980" s="30"/>
      <c r="AC1980" s="30"/>
      <c r="AD1980" s="30"/>
      <c r="AE1980" s="30"/>
    </row>
    <row r="1981" spans="1:31" ht="13">
      <c r="A1981" s="30"/>
      <c r="B1981" s="30"/>
      <c r="C1981" s="30"/>
      <c r="D1981" s="30"/>
      <c r="E1981" s="30"/>
      <c r="F1981" s="48"/>
      <c r="G1981" s="49"/>
      <c r="H1981" s="49"/>
      <c r="I1981" s="49"/>
      <c r="J1981" s="71"/>
      <c r="K1981" s="71"/>
      <c r="L1981" s="50"/>
      <c r="M1981" s="30"/>
      <c r="N1981" s="30"/>
      <c r="O1981" s="30"/>
      <c r="P1981" s="30"/>
      <c r="Q1981" s="30"/>
      <c r="R1981" s="30"/>
      <c r="S1981" s="30"/>
      <c r="T1981" s="30"/>
      <c r="U1981" s="30"/>
      <c r="V1981" s="30"/>
      <c r="W1981" s="30"/>
      <c r="X1981" s="30"/>
      <c r="Y1981" s="30"/>
      <c r="Z1981" s="30"/>
      <c r="AA1981" s="30"/>
      <c r="AB1981" s="30"/>
      <c r="AC1981" s="30"/>
      <c r="AD1981" s="30"/>
      <c r="AE1981" s="30"/>
    </row>
    <row r="1982" spans="1:31" ht="13">
      <c r="A1982" s="30"/>
      <c r="B1982" s="30"/>
      <c r="C1982" s="30"/>
      <c r="D1982" s="30"/>
      <c r="E1982" s="30"/>
      <c r="F1982" s="48"/>
      <c r="G1982" s="49"/>
      <c r="H1982" s="49"/>
      <c r="I1982" s="49"/>
      <c r="J1982" s="71"/>
      <c r="K1982" s="71"/>
      <c r="L1982" s="50"/>
      <c r="M1982" s="30"/>
      <c r="N1982" s="30"/>
      <c r="O1982" s="30"/>
      <c r="P1982" s="30"/>
      <c r="Q1982" s="30"/>
      <c r="R1982" s="30"/>
      <c r="S1982" s="30"/>
      <c r="T1982" s="30"/>
      <c r="U1982" s="30"/>
      <c r="V1982" s="30"/>
      <c r="W1982" s="30"/>
      <c r="X1982" s="30"/>
      <c r="Y1982" s="30"/>
      <c r="Z1982" s="30"/>
      <c r="AA1982" s="30"/>
      <c r="AB1982" s="30"/>
      <c r="AC1982" s="30"/>
      <c r="AD1982" s="30"/>
      <c r="AE1982" s="30"/>
    </row>
    <row r="1983" spans="1:31" ht="13">
      <c r="A1983" s="30"/>
      <c r="B1983" s="30"/>
      <c r="C1983" s="30"/>
      <c r="D1983" s="30"/>
      <c r="E1983" s="30"/>
      <c r="F1983" s="48"/>
      <c r="G1983" s="49"/>
      <c r="H1983" s="49"/>
      <c r="I1983" s="49"/>
      <c r="J1983" s="71"/>
      <c r="K1983" s="71"/>
      <c r="L1983" s="50"/>
      <c r="M1983" s="30"/>
      <c r="N1983" s="30"/>
      <c r="O1983" s="30"/>
      <c r="P1983" s="30"/>
      <c r="Q1983" s="30"/>
      <c r="R1983" s="30"/>
      <c r="S1983" s="30"/>
      <c r="T1983" s="30"/>
      <c r="U1983" s="30"/>
      <c r="V1983" s="30"/>
      <c r="W1983" s="30"/>
      <c r="X1983" s="30"/>
      <c r="Y1983" s="30"/>
      <c r="Z1983" s="30"/>
      <c r="AA1983" s="30"/>
      <c r="AB1983" s="30"/>
      <c r="AC1983" s="30"/>
      <c r="AD1983" s="30"/>
      <c r="AE1983" s="30"/>
    </row>
    <row r="1984" spans="1:31" ht="13">
      <c r="A1984" s="30"/>
      <c r="B1984" s="30"/>
      <c r="C1984" s="30"/>
      <c r="D1984" s="30"/>
      <c r="E1984" s="30"/>
      <c r="F1984" s="48"/>
      <c r="G1984" s="49"/>
      <c r="H1984" s="49"/>
      <c r="I1984" s="49"/>
      <c r="J1984" s="71"/>
      <c r="K1984" s="71"/>
      <c r="L1984" s="50"/>
      <c r="M1984" s="30"/>
      <c r="N1984" s="30"/>
      <c r="O1984" s="30"/>
      <c r="P1984" s="30"/>
      <c r="Q1984" s="30"/>
      <c r="R1984" s="30"/>
      <c r="S1984" s="30"/>
      <c r="T1984" s="30"/>
      <c r="U1984" s="30"/>
      <c r="V1984" s="30"/>
      <c r="W1984" s="30"/>
      <c r="X1984" s="30"/>
      <c r="Y1984" s="30"/>
      <c r="Z1984" s="30"/>
      <c r="AA1984" s="30"/>
      <c r="AB1984" s="30"/>
      <c r="AC1984" s="30"/>
      <c r="AD1984" s="30"/>
      <c r="AE1984" s="30"/>
    </row>
    <row r="1985" spans="1:31" ht="13">
      <c r="A1985" s="30"/>
      <c r="B1985" s="30"/>
      <c r="C1985" s="30"/>
      <c r="D1985" s="30"/>
      <c r="E1985" s="30"/>
      <c r="F1985" s="48"/>
      <c r="G1985" s="49"/>
      <c r="H1985" s="49"/>
      <c r="I1985" s="49"/>
      <c r="J1985" s="71"/>
      <c r="K1985" s="71"/>
      <c r="L1985" s="50"/>
      <c r="M1985" s="30"/>
      <c r="N1985" s="30"/>
      <c r="O1985" s="30"/>
      <c r="P1985" s="30"/>
      <c r="Q1985" s="30"/>
      <c r="R1985" s="30"/>
      <c r="S1985" s="30"/>
      <c r="T1985" s="30"/>
      <c r="U1985" s="30"/>
      <c r="V1985" s="30"/>
      <c r="W1985" s="30"/>
      <c r="X1985" s="30"/>
      <c r="Y1985" s="30"/>
      <c r="Z1985" s="30"/>
      <c r="AA1985" s="30"/>
      <c r="AB1985" s="30"/>
      <c r="AC1985" s="30"/>
      <c r="AD1985" s="30"/>
      <c r="AE1985" s="30"/>
    </row>
    <row r="1986" spans="1:31" ht="13">
      <c r="A1986" s="30"/>
      <c r="B1986" s="30"/>
      <c r="C1986" s="30"/>
      <c r="D1986" s="30"/>
      <c r="E1986" s="30"/>
      <c r="F1986" s="48"/>
      <c r="G1986" s="49"/>
      <c r="H1986" s="49"/>
      <c r="I1986" s="49"/>
      <c r="J1986" s="71"/>
      <c r="K1986" s="71"/>
      <c r="L1986" s="50"/>
      <c r="M1986" s="30"/>
      <c r="N1986" s="30"/>
      <c r="O1986" s="30"/>
      <c r="P1986" s="30"/>
      <c r="Q1986" s="30"/>
      <c r="R1986" s="30"/>
      <c r="S1986" s="30"/>
      <c r="T1986" s="30"/>
      <c r="U1986" s="30"/>
      <c r="V1986" s="30"/>
      <c r="W1986" s="30"/>
      <c r="X1986" s="30"/>
      <c r="Y1986" s="30"/>
      <c r="Z1986" s="30"/>
      <c r="AA1986" s="30"/>
      <c r="AB1986" s="30"/>
      <c r="AC1986" s="30"/>
      <c r="AD1986" s="30"/>
      <c r="AE1986" s="30"/>
    </row>
    <row r="1987" spans="1:31" ht="13">
      <c r="A1987" s="30"/>
      <c r="B1987" s="30"/>
      <c r="C1987" s="30"/>
      <c r="D1987" s="30"/>
      <c r="E1987" s="30"/>
      <c r="F1987" s="48"/>
      <c r="G1987" s="49"/>
      <c r="H1987" s="49"/>
      <c r="I1987" s="49"/>
      <c r="J1987" s="71"/>
      <c r="K1987" s="71"/>
      <c r="L1987" s="50"/>
      <c r="M1987" s="30"/>
      <c r="N1987" s="30"/>
      <c r="O1987" s="30"/>
      <c r="P1987" s="30"/>
      <c r="Q1987" s="30"/>
      <c r="R1987" s="30"/>
      <c r="S1987" s="30"/>
      <c r="T1987" s="30"/>
      <c r="U1987" s="30"/>
      <c r="V1987" s="30"/>
      <c r="W1987" s="30"/>
      <c r="X1987" s="30"/>
      <c r="Y1987" s="30"/>
      <c r="Z1987" s="30"/>
      <c r="AA1987" s="30"/>
      <c r="AB1987" s="30"/>
      <c r="AC1987" s="30"/>
      <c r="AD1987" s="30"/>
      <c r="AE1987" s="30"/>
    </row>
    <row r="1988" spans="1:31" ht="13">
      <c r="A1988" s="30"/>
      <c r="B1988" s="30"/>
      <c r="C1988" s="30"/>
      <c r="D1988" s="30"/>
      <c r="E1988" s="30"/>
      <c r="F1988" s="48"/>
      <c r="G1988" s="49"/>
      <c r="H1988" s="49"/>
      <c r="I1988" s="49"/>
      <c r="J1988" s="71"/>
      <c r="K1988" s="71"/>
      <c r="L1988" s="50"/>
      <c r="M1988" s="30"/>
      <c r="N1988" s="30"/>
      <c r="O1988" s="30"/>
      <c r="P1988" s="30"/>
      <c r="Q1988" s="30"/>
      <c r="R1988" s="30"/>
      <c r="S1988" s="30"/>
      <c r="T1988" s="30"/>
      <c r="U1988" s="30"/>
      <c r="V1988" s="30"/>
      <c r="W1988" s="30"/>
      <c r="X1988" s="30"/>
      <c r="Y1988" s="30"/>
      <c r="Z1988" s="30"/>
      <c r="AA1988" s="30"/>
      <c r="AB1988" s="30"/>
      <c r="AC1988" s="30"/>
      <c r="AD1988" s="30"/>
      <c r="AE1988" s="30"/>
    </row>
    <row r="1989" spans="1:31" ht="13">
      <c r="A1989" s="30"/>
      <c r="B1989" s="30"/>
      <c r="C1989" s="30"/>
      <c r="D1989" s="30"/>
      <c r="E1989" s="30"/>
      <c r="F1989" s="48"/>
      <c r="G1989" s="49"/>
      <c r="H1989" s="49"/>
      <c r="I1989" s="49"/>
      <c r="J1989" s="71"/>
      <c r="K1989" s="71"/>
      <c r="L1989" s="50"/>
      <c r="M1989" s="30"/>
      <c r="N1989" s="30"/>
      <c r="O1989" s="30"/>
      <c r="P1989" s="30"/>
      <c r="Q1989" s="30"/>
      <c r="R1989" s="30"/>
      <c r="S1989" s="30"/>
      <c r="T1989" s="30"/>
      <c r="U1989" s="30"/>
      <c r="V1989" s="30"/>
      <c r="W1989" s="30"/>
      <c r="X1989" s="30"/>
      <c r="Y1989" s="30"/>
      <c r="Z1989" s="30"/>
      <c r="AA1989" s="30"/>
      <c r="AB1989" s="30"/>
      <c r="AC1989" s="30"/>
      <c r="AD1989" s="30"/>
      <c r="AE1989" s="30"/>
    </row>
    <row r="1990" spans="1:31" ht="13">
      <c r="A1990" s="30"/>
      <c r="B1990" s="30"/>
      <c r="C1990" s="30"/>
      <c r="D1990" s="30"/>
      <c r="E1990" s="30"/>
      <c r="F1990" s="48"/>
      <c r="G1990" s="49"/>
      <c r="H1990" s="49"/>
      <c r="I1990" s="49"/>
      <c r="J1990" s="71"/>
      <c r="K1990" s="71"/>
      <c r="L1990" s="50"/>
      <c r="M1990" s="30"/>
      <c r="N1990" s="30"/>
      <c r="O1990" s="30"/>
      <c r="P1990" s="30"/>
      <c r="Q1990" s="30"/>
      <c r="R1990" s="30"/>
      <c r="S1990" s="30"/>
      <c r="T1990" s="30"/>
      <c r="U1990" s="30"/>
      <c r="V1990" s="30"/>
      <c r="W1990" s="30"/>
      <c r="X1990" s="30"/>
      <c r="Y1990" s="30"/>
      <c r="Z1990" s="30"/>
      <c r="AA1990" s="30"/>
      <c r="AB1990" s="30"/>
      <c r="AC1990" s="30"/>
      <c r="AD1990" s="30"/>
      <c r="AE1990" s="30"/>
    </row>
    <row r="1991" spans="1:31" ht="13">
      <c r="A1991" s="30"/>
      <c r="B1991" s="30"/>
      <c r="C1991" s="30"/>
      <c r="D1991" s="30"/>
      <c r="E1991" s="30"/>
      <c r="F1991" s="48"/>
      <c r="G1991" s="49"/>
      <c r="H1991" s="49"/>
      <c r="I1991" s="49"/>
      <c r="J1991" s="71"/>
      <c r="K1991" s="71"/>
      <c r="L1991" s="50"/>
      <c r="M1991" s="30"/>
      <c r="N1991" s="30"/>
      <c r="O1991" s="30"/>
      <c r="P1991" s="30"/>
      <c r="Q1991" s="30"/>
      <c r="R1991" s="30"/>
      <c r="S1991" s="30"/>
      <c r="T1991" s="30"/>
      <c r="U1991" s="30"/>
      <c r="V1991" s="30"/>
      <c r="W1991" s="30"/>
      <c r="X1991" s="30"/>
      <c r="Y1991" s="30"/>
      <c r="Z1991" s="30"/>
      <c r="AA1991" s="30"/>
      <c r="AB1991" s="30"/>
      <c r="AC1991" s="30"/>
      <c r="AD1991" s="30"/>
      <c r="AE1991" s="30"/>
    </row>
    <row r="1992" spans="1:31" ht="13">
      <c r="A1992" s="30"/>
      <c r="B1992" s="30"/>
      <c r="C1992" s="30"/>
      <c r="D1992" s="30"/>
      <c r="E1992" s="30"/>
      <c r="F1992" s="48"/>
      <c r="G1992" s="49"/>
      <c r="H1992" s="49"/>
      <c r="I1992" s="49"/>
      <c r="J1992" s="71"/>
      <c r="K1992" s="71"/>
      <c r="L1992" s="50"/>
      <c r="M1992" s="30"/>
      <c r="N1992" s="30"/>
      <c r="O1992" s="30"/>
      <c r="P1992" s="30"/>
      <c r="Q1992" s="30"/>
      <c r="R1992" s="30"/>
      <c r="S1992" s="30"/>
      <c r="T1992" s="30"/>
      <c r="U1992" s="30"/>
      <c r="V1992" s="30"/>
      <c r="W1992" s="30"/>
      <c r="X1992" s="30"/>
      <c r="Y1992" s="30"/>
      <c r="Z1992" s="30"/>
      <c r="AA1992" s="30"/>
      <c r="AB1992" s="30"/>
      <c r="AC1992" s="30"/>
      <c r="AD1992" s="30"/>
      <c r="AE1992" s="30"/>
    </row>
    <row r="1993" spans="1:31" ht="13">
      <c r="A1993" s="30"/>
      <c r="B1993" s="30"/>
      <c r="C1993" s="30"/>
      <c r="D1993" s="30"/>
      <c r="E1993" s="30"/>
      <c r="F1993" s="48"/>
      <c r="G1993" s="49"/>
      <c r="H1993" s="49"/>
      <c r="I1993" s="49"/>
      <c r="J1993" s="71"/>
      <c r="K1993" s="71"/>
      <c r="L1993" s="50"/>
      <c r="M1993" s="30"/>
      <c r="N1993" s="30"/>
      <c r="O1993" s="30"/>
      <c r="P1993" s="30"/>
      <c r="Q1993" s="30"/>
      <c r="R1993" s="30"/>
      <c r="S1993" s="30"/>
      <c r="T1993" s="30"/>
      <c r="U1993" s="30"/>
      <c r="V1993" s="30"/>
      <c r="W1993" s="30"/>
      <c r="X1993" s="30"/>
      <c r="Y1993" s="30"/>
      <c r="Z1993" s="30"/>
      <c r="AA1993" s="30"/>
      <c r="AB1993" s="30"/>
      <c r="AC1993" s="30"/>
      <c r="AD1993" s="30"/>
      <c r="AE1993" s="30"/>
    </row>
    <row r="1994" spans="1:31" ht="13">
      <c r="A1994" s="30"/>
      <c r="B1994" s="30"/>
      <c r="C1994" s="30"/>
      <c r="D1994" s="30"/>
      <c r="E1994" s="30"/>
      <c r="F1994" s="48"/>
      <c r="G1994" s="49"/>
      <c r="H1994" s="49"/>
      <c r="I1994" s="49"/>
      <c r="J1994" s="71"/>
      <c r="K1994" s="71"/>
      <c r="L1994" s="50"/>
      <c r="M1994" s="30"/>
      <c r="N1994" s="30"/>
      <c r="O1994" s="30"/>
      <c r="P1994" s="30"/>
      <c r="Q1994" s="30"/>
      <c r="R1994" s="30"/>
      <c r="S1994" s="30"/>
      <c r="T1994" s="30"/>
      <c r="U1994" s="30"/>
      <c r="V1994" s="30"/>
      <c r="W1994" s="30"/>
      <c r="X1994" s="30"/>
      <c r="Y1994" s="30"/>
      <c r="Z1994" s="30"/>
      <c r="AA1994" s="30"/>
      <c r="AB1994" s="30"/>
      <c r="AC1994" s="30"/>
      <c r="AD1994" s="30"/>
      <c r="AE1994" s="30"/>
    </row>
    <row r="1995" spans="1:31" ht="13">
      <c r="A1995" s="30"/>
      <c r="B1995" s="30"/>
      <c r="C1995" s="30"/>
      <c r="D1995" s="30"/>
      <c r="E1995" s="30"/>
      <c r="F1995" s="48"/>
      <c r="G1995" s="49"/>
      <c r="H1995" s="49"/>
      <c r="I1995" s="49"/>
      <c r="J1995" s="71"/>
      <c r="K1995" s="71"/>
      <c r="L1995" s="50"/>
      <c r="M1995" s="30"/>
      <c r="N1995" s="30"/>
      <c r="O1995" s="30"/>
      <c r="P1995" s="30"/>
      <c r="Q1995" s="30"/>
      <c r="R1995" s="30"/>
      <c r="S1995" s="30"/>
      <c r="T1995" s="30"/>
      <c r="U1995" s="30"/>
      <c r="V1995" s="30"/>
      <c r="W1995" s="30"/>
      <c r="X1995" s="30"/>
      <c r="Y1995" s="30"/>
      <c r="Z1995" s="30"/>
      <c r="AA1995" s="30"/>
      <c r="AB1995" s="30"/>
      <c r="AC1995" s="30"/>
      <c r="AD1995" s="30"/>
      <c r="AE1995" s="30"/>
    </row>
    <row r="1996" spans="1:31" ht="13">
      <c r="A1996" s="30"/>
      <c r="B1996" s="30"/>
      <c r="C1996" s="30"/>
      <c r="D1996" s="30"/>
      <c r="E1996" s="30"/>
      <c r="F1996" s="48"/>
      <c r="G1996" s="49"/>
      <c r="H1996" s="49"/>
      <c r="I1996" s="49"/>
      <c r="J1996" s="71"/>
      <c r="K1996" s="71"/>
      <c r="L1996" s="50"/>
      <c r="M1996" s="30"/>
      <c r="N1996" s="30"/>
      <c r="O1996" s="30"/>
      <c r="P1996" s="30"/>
      <c r="Q1996" s="30"/>
      <c r="R1996" s="30"/>
      <c r="S1996" s="30"/>
      <c r="T1996" s="30"/>
      <c r="U1996" s="30"/>
      <c r="V1996" s="30"/>
      <c r="W1996" s="30"/>
      <c r="X1996" s="30"/>
      <c r="Y1996" s="30"/>
      <c r="Z1996" s="30"/>
      <c r="AA1996" s="30"/>
      <c r="AB1996" s="30"/>
      <c r="AC1996" s="30"/>
      <c r="AD1996" s="30"/>
      <c r="AE1996" s="30"/>
    </row>
    <row r="1997" spans="1:31" ht="13">
      <c r="A1997" s="30"/>
      <c r="B1997" s="30"/>
      <c r="C1997" s="30"/>
      <c r="D1997" s="30"/>
      <c r="E1997" s="30"/>
      <c r="F1997" s="48"/>
      <c r="G1997" s="49"/>
      <c r="H1997" s="49"/>
      <c r="I1997" s="49"/>
      <c r="J1997" s="71"/>
      <c r="K1997" s="71"/>
      <c r="L1997" s="50"/>
      <c r="M1997" s="30"/>
      <c r="N1997" s="30"/>
      <c r="O1997" s="30"/>
      <c r="P1997" s="30"/>
      <c r="Q1997" s="30"/>
      <c r="R1997" s="30"/>
      <c r="S1997" s="30"/>
      <c r="T1997" s="30"/>
      <c r="U1997" s="30"/>
      <c r="V1997" s="30"/>
      <c r="W1997" s="30"/>
      <c r="X1997" s="30"/>
      <c r="Y1997" s="30"/>
      <c r="Z1997" s="30"/>
      <c r="AA1997" s="30"/>
      <c r="AB1997" s="30"/>
      <c r="AC1997" s="30"/>
      <c r="AD1997" s="30"/>
      <c r="AE1997" s="30"/>
    </row>
    <row r="1998" spans="1:31" ht="13">
      <c r="A1998" s="30"/>
      <c r="B1998" s="30"/>
      <c r="C1998" s="30"/>
      <c r="D1998" s="30"/>
      <c r="E1998" s="30"/>
      <c r="F1998" s="48"/>
      <c r="G1998" s="49"/>
      <c r="H1998" s="49"/>
      <c r="I1998" s="49"/>
      <c r="J1998" s="71"/>
      <c r="K1998" s="71"/>
      <c r="L1998" s="50"/>
      <c r="M1998" s="30"/>
      <c r="N1998" s="30"/>
      <c r="O1998" s="30"/>
      <c r="P1998" s="30"/>
      <c r="Q1998" s="30"/>
      <c r="R1998" s="30"/>
      <c r="S1998" s="30"/>
      <c r="T1998" s="30"/>
      <c r="U1998" s="30"/>
      <c r="V1998" s="30"/>
      <c r="W1998" s="30"/>
      <c r="X1998" s="30"/>
      <c r="Y1998" s="30"/>
      <c r="Z1998" s="30"/>
      <c r="AA1998" s="30"/>
      <c r="AB1998" s="30"/>
      <c r="AC1998" s="30"/>
      <c r="AD1998" s="30"/>
      <c r="AE1998" s="30"/>
    </row>
    <row r="1999" spans="1:31" ht="13">
      <c r="A1999" s="30"/>
      <c r="B1999" s="30"/>
      <c r="C1999" s="30"/>
      <c r="D1999" s="30"/>
      <c r="E1999" s="30"/>
      <c r="F1999" s="48"/>
      <c r="G1999" s="49"/>
      <c r="H1999" s="49"/>
      <c r="I1999" s="49"/>
      <c r="J1999" s="71"/>
      <c r="K1999" s="71"/>
      <c r="L1999" s="50"/>
      <c r="M1999" s="30"/>
      <c r="N1999" s="30"/>
      <c r="O1999" s="30"/>
      <c r="P1999" s="30"/>
      <c r="Q1999" s="30"/>
      <c r="R1999" s="30"/>
      <c r="S1999" s="30"/>
      <c r="T1999" s="30"/>
      <c r="U1999" s="30"/>
      <c r="V1999" s="30"/>
      <c r="W1999" s="30"/>
      <c r="X1999" s="30"/>
      <c r="Y1999" s="30"/>
      <c r="Z1999" s="30"/>
      <c r="AA1999" s="30"/>
      <c r="AB1999" s="30"/>
      <c r="AC1999" s="30"/>
      <c r="AD1999" s="30"/>
      <c r="AE1999" s="30"/>
    </row>
    <row r="2000" spans="1:31" ht="13">
      <c r="A2000" s="30"/>
      <c r="B2000" s="30"/>
      <c r="C2000" s="30"/>
      <c r="D2000" s="30"/>
      <c r="E2000" s="30"/>
      <c r="F2000" s="48"/>
      <c r="G2000" s="49"/>
      <c r="H2000" s="49"/>
      <c r="I2000" s="49"/>
      <c r="J2000" s="71"/>
      <c r="K2000" s="71"/>
      <c r="L2000" s="50"/>
      <c r="M2000" s="30"/>
      <c r="N2000" s="30"/>
      <c r="O2000" s="30"/>
      <c r="P2000" s="30"/>
      <c r="Q2000" s="30"/>
      <c r="R2000" s="30"/>
      <c r="S2000" s="30"/>
      <c r="T2000" s="30"/>
      <c r="U2000" s="30"/>
      <c r="V2000" s="30"/>
      <c r="W2000" s="30"/>
      <c r="X2000" s="30"/>
      <c r="Y2000" s="30"/>
      <c r="Z2000" s="30"/>
      <c r="AA2000" s="30"/>
      <c r="AB2000" s="30"/>
      <c r="AC2000" s="30"/>
      <c r="AD2000" s="30"/>
      <c r="AE2000" s="30"/>
    </row>
    <row r="2001" spans="1:31" ht="13">
      <c r="A2001" s="30"/>
      <c r="B2001" s="30"/>
      <c r="C2001" s="30"/>
      <c r="D2001" s="30"/>
      <c r="E2001" s="30"/>
      <c r="F2001" s="48"/>
      <c r="G2001" s="49"/>
      <c r="H2001" s="49"/>
      <c r="I2001" s="49"/>
      <c r="J2001" s="71"/>
      <c r="K2001" s="71"/>
      <c r="L2001" s="50"/>
      <c r="M2001" s="30"/>
      <c r="N2001" s="30"/>
      <c r="O2001" s="30"/>
      <c r="P2001" s="30"/>
      <c r="Q2001" s="30"/>
      <c r="R2001" s="30"/>
      <c r="S2001" s="30"/>
      <c r="T2001" s="30"/>
      <c r="U2001" s="30"/>
      <c r="V2001" s="30"/>
      <c r="W2001" s="30"/>
      <c r="X2001" s="30"/>
      <c r="Y2001" s="30"/>
      <c r="Z2001" s="30"/>
      <c r="AA2001" s="30"/>
      <c r="AB2001" s="30"/>
      <c r="AC2001" s="30"/>
      <c r="AD2001" s="30"/>
      <c r="AE2001" s="30"/>
    </row>
    <row r="2002" spans="1:31" ht="13">
      <c r="A2002" s="30"/>
      <c r="B2002" s="30"/>
      <c r="C2002" s="30"/>
      <c r="D2002" s="30"/>
      <c r="E2002" s="30"/>
      <c r="F2002" s="48"/>
      <c r="G2002" s="49"/>
      <c r="H2002" s="49"/>
      <c r="I2002" s="49"/>
      <c r="J2002" s="71"/>
      <c r="K2002" s="71"/>
      <c r="L2002" s="50"/>
      <c r="M2002" s="30"/>
      <c r="N2002" s="30"/>
      <c r="O2002" s="30"/>
      <c r="P2002" s="30"/>
      <c r="Q2002" s="30"/>
      <c r="R2002" s="30"/>
      <c r="S2002" s="30"/>
      <c r="T2002" s="30"/>
      <c r="U2002" s="30"/>
      <c r="V2002" s="30"/>
      <c r="W2002" s="30"/>
      <c r="X2002" s="30"/>
      <c r="Y2002" s="30"/>
      <c r="Z2002" s="30"/>
      <c r="AA2002" s="30"/>
      <c r="AB2002" s="30"/>
      <c r="AC2002" s="30"/>
      <c r="AD2002" s="30"/>
      <c r="AE2002" s="30"/>
    </row>
    <row r="2003" spans="1:31" ht="13">
      <c r="A2003" s="30"/>
      <c r="B2003" s="30"/>
      <c r="C2003" s="30"/>
      <c r="D2003" s="30"/>
      <c r="E2003" s="30"/>
      <c r="F2003" s="48"/>
      <c r="G2003" s="49"/>
      <c r="H2003" s="49"/>
      <c r="I2003" s="49"/>
      <c r="J2003" s="71"/>
      <c r="K2003" s="71"/>
      <c r="L2003" s="50"/>
      <c r="M2003" s="30"/>
      <c r="N2003" s="30"/>
      <c r="O2003" s="30"/>
      <c r="P2003" s="30"/>
      <c r="Q2003" s="30"/>
      <c r="R2003" s="30"/>
      <c r="S2003" s="30"/>
      <c r="T2003" s="30"/>
      <c r="U2003" s="30"/>
      <c r="V2003" s="30"/>
      <c r="W2003" s="30"/>
      <c r="X2003" s="30"/>
      <c r="Y2003" s="30"/>
      <c r="Z2003" s="30"/>
      <c r="AA2003" s="30"/>
      <c r="AB2003" s="30"/>
      <c r="AC2003" s="30"/>
      <c r="AD2003" s="30"/>
      <c r="AE2003" s="30"/>
    </row>
    <row r="2004" spans="1:31" ht="13">
      <c r="A2004" s="30"/>
      <c r="B2004" s="30"/>
      <c r="C2004" s="30"/>
      <c r="D2004" s="30"/>
      <c r="E2004" s="30"/>
      <c r="F2004" s="48"/>
      <c r="G2004" s="49"/>
      <c r="H2004" s="49"/>
      <c r="I2004" s="49"/>
      <c r="J2004" s="71"/>
      <c r="K2004" s="71"/>
      <c r="L2004" s="50"/>
      <c r="M2004" s="30"/>
      <c r="N2004" s="30"/>
      <c r="O2004" s="30"/>
      <c r="P2004" s="30"/>
      <c r="Q2004" s="30"/>
      <c r="R2004" s="30"/>
      <c r="S2004" s="30"/>
      <c r="T2004" s="30"/>
      <c r="U2004" s="30"/>
      <c r="V2004" s="30"/>
      <c r="W2004" s="30"/>
      <c r="X2004" s="30"/>
      <c r="Y2004" s="30"/>
      <c r="Z2004" s="30"/>
      <c r="AA2004" s="30"/>
      <c r="AB2004" s="30"/>
      <c r="AC2004" s="30"/>
      <c r="AD2004" s="30"/>
      <c r="AE2004" s="30"/>
    </row>
    <row r="2005" spans="1:31" ht="13">
      <c r="A2005" s="30"/>
      <c r="B2005" s="30"/>
      <c r="C2005" s="30"/>
      <c r="D2005" s="30"/>
      <c r="E2005" s="30"/>
      <c r="F2005" s="48"/>
      <c r="G2005" s="49"/>
      <c r="H2005" s="49"/>
      <c r="I2005" s="49"/>
      <c r="J2005" s="71"/>
      <c r="K2005" s="71"/>
      <c r="L2005" s="50"/>
      <c r="M2005" s="30"/>
      <c r="N2005" s="30"/>
      <c r="O2005" s="30"/>
      <c r="P2005" s="30"/>
      <c r="Q2005" s="30"/>
      <c r="R2005" s="30"/>
      <c r="S2005" s="30"/>
      <c r="T2005" s="30"/>
      <c r="U2005" s="30"/>
      <c r="V2005" s="30"/>
      <c r="W2005" s="30"/>
      <c r="X2005" s="30"/>
      <c r="Y2005" s="30"/>
      <c r="Z2005" s="30"/>
      <c r="AA2005" s="30"/>
      <c r="AB2005" s="30"/>
      <c r="AC2005" s="30"/>
      <c r="AD2005" s="30"/>
      <c r="AE2005" s="30"/>
    </row>
    <row r="2006" spans="1:31" ht="13">
      <c r="A2006" s="30"/>
      <c r="B2006" s="30"/>
      <c r="C2006" s="30"/>
      <c r="D2006" s="30"/>
      <c r="E2006" s="30"/>
      <c r="F2006" s="48"/>
      <c r="G2006" s="49"/>
      <c r="H2006" s="49"/>
      <c r="I2006" s="49"/>
      <c r="J2006" s="71"/>
      <c r="K2006" s="71"/>
      <c r="L2006" s="50"/>
      <c r="M2006" s="30"/>
      <c r="N2006" s="30"/>
      <c r="O2006" s="30"/>
      <c r="P2006" s="30"/>
      <c r="Q2006" s="30"/>
      <c r="R2006" s="30"/>
      <c r="S2006" s="30"/>
      <c r="T2006" s="30"/>
      <c r="U2006" s="30"/>
      <c r="V2006" s="30"/>
      <c r="W2006" s="30"/>
      <c r="X2006" s="30"/>
      <c r="Y2006" s="30"/>
      <c r="Z2006" s="30"/>
      <c r="AA2006" s="30"/>
      <c r="AB2006" s="30"/>
      <c r="AC2006" s="30"/>
      <c r="AD2006" s="30"/>
      <c r="AE2006" s="30"/>
    </row>
    <row r="2007" spans="1:31" ht="13">
      <c r="A2007" s="30"/>
      <c r="B2007" s="30"/>
      <c r="C2007" s="30"/>
      <c r="D2007" s="30"/>
      <c r="E2007" s="30"/>
      <c r="F2007" s="48"/>
      <c r="G2007" s="49"/>
      <c r="H2007" s="49"/>
      <c r="I2007" s="49"/>
      <c r="J2007" s="71"/>
      <c r="K2007" s="71"/>
      <c r="L2007" s="50"/>
      <c r="M2007" s="30"/>
      <c r="N2007" s="30"/>
      <c r="O2007" s="30"/>
      <c r="P2007" s="30"/>
      <c r="Q2007" s="30"/>
      <c r="R2007" s="30"/>
      <c r="S2007" s="30"/>
      <c r="T2007" s="30"/>
      <c r="U2007" s="30"/>
      <c r="V2007" s="30"/>
      <c r="W2007" s="30"/>
      <c r="X2007" s="30"/>
      <c r="Y2007" s="30"/>
      <c r="Z2007" s="30"/>
      <c r="AA2007" s="30"/>
      <c r="AB2007" s="30"/>
      <c r="AC2007" s="30"/>
      <c r="AD2007" s="30"/>
      <c r="AE2007" s="30"/>
    </row>
    <row r="2008" spans="1:31" ht="13">
      <c r="A2008" s="30"/>
      <c r="B2008" s="30"/>
      <c r="C2008" s="30"/>
      <c r="D2008" s="30"/>
      <c r="E2008" s="30"/>
      <c r="F2008" s="48"/>
      <c r="G2008" s="49"/>
      <c r="H2008" s="49"/>
      <c r="I2008" s="49"/>
      <c r="J2008" s="71"/>
      <c r="K2008" s="71"/>
      <c r="L2008" s="50"/>
      <c r="M2008" s="30"/>
      <c r="N2008" s="30"/>
      <c r="O2008" s="30"/>
      <c r="P2008" s="30"/>
      <c r="Q2008" s="30"/>
      <c r="R2008" s="30"/>
      <c r="S2008" s="30"/>
      <c r="T2008" s="30"/>
      <c r="U2008" s="30"/>
      <c r="V2008" s="30"/>
      <c r="W2008" s="30"/>
      <c r="X2008" s="30"/>
      <c r="Y2008" s="30"/>
      <c r="Z2008" s="30"/>
      <c r="AA2008" s="30"/>
      <c r="AB2008" s="30"/>
      <c r="AC2008" s="30"/>
      <c r="AD2008" s="30"/>
      <c r="AE2008" s="30"/>
    </row>
    <row r="2009" spans="1:31" ht="13">
      <c r="A2009" s="30"/>
      <c r="B2009" s="30"/>
      <c r="C2009" s="30"/>
      <c r="D2009" s="30"/>
      <c r="E2009" s="30"/>
      <c r="F2009" s="48"/>
      <c r="G2009" s="49"/>
      <c r="H2009" s="49"/>
      <c r="I2009" s="49"/>
      <c r="J2009" s="71"/>
      <c r="K2009" s="71"/>
      <c r="L2009" s="50"/>
      <c r="M2009" s="30"/>
      <c r="N2009" s="30"/>
      <c r="O2009" s="30"/>
      <c r="P2009" s="30"/>
      <c r="Q2009" s="30"/>
      <c r="R2009" s="30"/>
      <c r="S2009" s="30"/>
      <c r="T2009" s="30"/>
      <c r="U2009" s="30"/>
      <c r="V2009" s="30"/>
      <c r="W2009" s="30"/>
      <c r="X2009" s="30"/>
      <c r="Y2009" s="30"/>
      <c r="Z2009" s="30"/>
      <c r="AA2009" s="30"/>
      <c r="AB2009" s="30"/>
      <c r="AC2009" s="30"/>
      <c r="AD2009" s="30"/>
      <c r="AE2009" s="30"/>
    </row>
    <row r="2010" spans="1:31" ht="13">
      <c r="A2010" s="30"/>
      <c r="B2010" s="30"/>
      <c r="C2010" s="30"/>
      <c r="D2010" s="30"/>
      <c r="E2010" s="30"/>
      <c r="F2010" s="48"/>
      <c r="G2010" s="49"/>
      <c r="H2010" s="49"/>
      <c r="I2010" s="49"/>
      <c r="J2010" s="71"/>
      <c r="K2010" s="71"/>
      <c r="L2010" s="50"/>
      <c r="M2010" s="30"/>
      <c r="N2010" s="30"/>
      <c r="O2010" s="30"/>
      <c r="P2010" s="30"/>
      <c r="Q2010" s="30"/>
      <c r="R2010" s="30"/>
      <c r="S2010" s="30"/>
      <c r="T2010" s="30"/>
      <c r="U2010" s="30"/>
      <c r="V2010" s="30"/>
      <c r="W2010" s="30"/>
      <c r="X2010" s="30"/>
      <c r="Y2010" s="30"/>
      <c r="Z2010" s="30"/>
      <c r="AA2010" s="30"/>
      <c r="AB2010" s="30"/>
      <c r="AC2010" s="30"/>
      <c r="AD2010" s="30"/>
      <c r="AE2010" s="30"/>
    </row>
    <row r="2011" spans="1:31" ht="13">
      <c r="A2011" s="30"/>
      <c r="B2011" s="30"/>
      <c r="C2011" s="30"/>
      <c r="D2011" s="30"/>
      <c r="E2011" s="30"/>
      <c r="F2011" s="48"/>
      <c r="G2011" s="49"/>
      <c r="H2011" s="49"/>
      <c r="I2011" s="49"/>
      <c r="J2011" s="71"/>
      <c r="K2011" s="71"/>
      <c r="L2011" s="50"/>
      <c r="M2011" s="30"/>
      <c r="N2011" s="30"/>
      <c r="O2011" s="30"/>
      <c r="P2011" s="30"/>
      <c r="Q2011" s="30"/>
      <c r="R2011" s="30"/>
      <c r="S2011" s="30"/>
      <c r="T2011" s="30"/>
      <c r="U2011" s="30"/>
      <c r="V2011" s="30"/>
      <c r="W2011" s="30"/>
      <c r="X2011" s="30"/>
      <c r="Y2011" s="30"/>
      <c r="Z2011" s="30"/>
      <c r="AA2011" s="30"/>
      <c r="AB2011" s="30"/>
      <c r="AC2011" s="30"/>
      <c r="AD2011" s="30"/>
      <c r="AE2011" s="30"/>
    </row>
    <row r="2012" spans="1:31" ht="13">
      <c r="A2012" s="30"/>
      <c r="B2012" s="30"/>
      <c r="C2012" s="30"/>
      <c r="D2012" s="30"/>
      <c r="E2012" s="30"/>
      <c r="F2012" s="48"/>
      <c r="G2012" s="49"/>
      <c r="H2012" s="49"/>
      <c r="I2012" s="49"/>
      <c r="J2012" s="71"/>
      <c r="K2012" s="71"/>
      <c r="L2012" s="50"/>
      <c r="M2012" s="30"/>
      <c r="N2012" s="30"/>
      <c r="O2012" s="30"/>
      <c r="P2012" s="30"/>
      <c r="Q2012" s="30"/>
      <c r="R2012" s="30"/>
      <c r="S2012" s="30"/>
      <c r="T2012" s="30"/>
      <c r="U2012" s="30"/>
      <c r="V2012" s="30"/>
      <c r="W2012" s="30"/>
      <c r="X2012" s="30"/>
      <c r="Y2012" s="30"/>
      <c r="Z2012" s="30"/>
      <c r="AA2012" s="30"/>
      <c r="AB2012" s="30"/>
      <c r="AC2012" s="30"/>
      <c r="AD2012" s="30"/>
      <c r="AE2012" s="30"/>
    </row>
    <row r="2013" spans="1:31" ht="13">
      <c r="A2013" s="30"/>
      <c r="B2013" s="30"/>
      <c r="C2013" s="30"/>
      <c r="D2013" s="30"/>
      <c r="E2013" s="30"/>
      <c r="F2013" s="48"/>
      <c r="G2013" s="49"/>
      <c r="H2013" s="49"/>
      <c r="I2013" s="49"/>
      <c r="J2013" s="71"/>
      <c r="K2013" s="71"/>
      <c r="L2013" s="50"/>
      <c r="M2013" s="30"/>
      <c r="N2013" s="30"/>
      <c r="O2013" s="30"/>
      <c r="P2013" s="30"/>
      <c r="Q2013" s="30"/>
      <c r="R2013" s="30"/>
      <c r="S2013" s="30"/>
      <c r="T2013" s="30"/>
      <c r="U2013" s="30"/>
      <c r="V2013" s="30"/>
      <c r="W2013" s="30"/>
      <c r="X2013" s="30"/>
      <c r="Y2013" s="30"/>
      <c r="Z2013" s="30"/>
      <c r="AA2013" s="30"/>
      <c r="AB2013" s="30"/>
      <c r="AC2013" s="30"/>
      <c r="AD2013" s="30"/>
      <c r="AE2013" s="30"/>
    </row>
    <row r="2014" spans="1:31" ht="13">
      <c r="A2014" s="30"/>
      <c r="B2014" s="30"/>
      <c r="C2014" s="30"/>
      <c r="D2014" s="30"/>
      <c r="E2014" s="30"/>
      <c r="F2014" s="48"/>
      <c r="G2014" s="49"/>
      <c r="H2014" s="49"/>
      <c r="I2014" s="49"/>
      <c r="J2014" s="71"/>
      <c r="K2014" s="71"/>
      <c r="L2014" s="50"/>
      <c r="M2014" s="30"/>
      <c r="N2014" s="30"/>
      <c r="O2014" s="30"/>
      <c r="P2014" s="30"/>
      <c r="Q2014" s="30"/>
      <c r="R2014" s="30"/>
      <c r="S2014" s="30"/>
      <c r="T2014" s="30"/>
      <c r="U2014" s="30"/>
      <c r="V2014" s="30"/>
      <c r="W2014" s="30"/>
      <c r="X2014" s="30"/>
      <c r="Y2014" s="30"/>
      <c r="Z2014" s="30"/>
      <c r="AA2014" s="30"/>
      <c r="AB2014" s="30"/>
      <c r="AC2014" s="30"/>
      <c r="AD2014" s="30"/>
      <c r="AE2014" s="30"/>
    </row>
    <row r="2015" spans="1:31" ht="13">
      <c r="A2015" s="30"/>
      <c r="B2015" s="30"/>
      <c r="C2015" s="30"/>
      <c r="D2015" s="30"/>
      <c r="E2015" s="30"/>
      <c r="F2015" s="48"/>
      <c r="G2015" s="49"/>
      <c r="H2015" s="49"/>
      <c r="I2015" s="49"/>
      <c r="J2015" s="71"/>
      <c r="K2015" s="71"/>
      <c r="L2015" s="50"/>
      <c r="M2015" s="30"/>
      <c r="N2015" s="30"/>
      <c r="O2015" s="30"/>
      <c r="P2015" s="30"/>
      <c r="Q2015" s="30"/>
      <c r="R2015" s="30"/>
      <c r="S2015" s="30"/>
      <c r="T2015" s="30"/>
      <c r="U2015" s="30"/>
      <c r="V2015" s="30"/>
      <c r="W2015" s="30"/>
      <c r="X2015" s="30"/>
      <c r="Y2015" s="30"/>
      <c r="Z2015" s="30"/>
      <c r="AA2015" s="30"/>
      <c r="AB2015" s="30"/>
      <c r="AC2015" s="30"/>
      <c r="AD2015" s="30"/>
      <c r="AE2015" s="30"/>
    </row>
    <row r="2016" spans="1:31" ht="13">
      <c r="A2016" s="30"/>
      <c r="B2016" s="30"/>
      <c r="C2016" s="30"/>
      <c r="D2016" s="30"/>
      <c r="E2016" s="30"/>
      <c r="F2016" s="48"/>
      <c r="G2016" s="49"/>
      <c r="H2016" s="49"/>
      <c r="I2016" s="49"/>
      <c r="J2016" s="71"/>
      <c r="K2016" s="71"/>
      <c r="L2016" s="50"/>
      <c r="M2016" s="30"/>
      <c r="N2016" s="30"/>
      <c r="O2016" s="30"/>
      <c r="P2016" s="30"/>
      <c r="Q2016" s="30"/>
      <c r="R2016" s="30"/>
      <c r="S2016" s="30"/>
      <c r="T2016" s="30"/>
      <c r="U2016" s="30"/>
      <c r="V2016" s="30"/>
      <c r="W2016" s="30"/>
      <c r="X2016" s="30"/>
      <c r="Y2016" s="30"/>
      <c r="Z2016" s="30"/>
      <c r="AA2016" s="30"/>
      <c r="AB2016" s="30"/>
      <c r="AC2016" s="30"/>
      <c r="AD2016" s="30"/>
      <c r="AE2016" s="30"/>
    </row>
    <row r="2017" spans="1:31" ht="13">
      <c r="A2017" s="30"/>
      <c r="B2017" s="30"/>
      <c r="C2017" s="30"/>
      <c r="D2017" s="30"/>
      <c r="E2017" s="30"/>
      <c r="F2017" s="48"/>
      <c r="G2017" s="49"/>
      <c r="H2017" s="49"/>
      <c r="I2017" s="49"/>
      <c r="J2017" s="71"/>
      <c r="K2017" s="71"/>
      <c r="L2017" s="50"/>
      <c r="M2017" s="30"/>
      <c r="N2017" s="30"/>
      <c r="O2017" s="30"/>
      <c r="P2017" s="30"/>
      <c r="Q2017" s="30"/>
      <c r="R2017" s="30"/>
      <c r="S2017" s="30"/>
      <c r="T2017" s="30"/>
      <c r="U2017" s="30"/>
      <c r="V2017" s="30"/>
      <c r="W2017" s="30"/>
      <c r="X2017" s="30"/>
      <c r="Y2017" s="30"/>
      <c r="Z2017" s="30"/>
      <c r="AA2017" s="30"/>
      <c r="AB2017" s="30"/>
      <c r="AC2017" s="30"/>
      <c r="AD2017" s="30"/>
      <c r="AE2017" s="30"/>
    </row>
    <row r="2018" spans="1:31" ht="13">
      <c r="A2018" s="30"/>
      <c r="B2018" s="30"/>
      <c r="C2018" s="30"/>
      <c r="D2018" s="30"/>
      <c r="E2018" s="30"/>
      <c r="F2018" s="48"/>
      <c r="G2018" s="49"/>
      <c r="H2018" s="49"/>
      <c r="I2018" s="49"/>
      <c r="J2018" s="71"/>
      <c r="K2018" s="71"/>
      <c r="L2018" s="50"/>
      <c r="M2018" s="30"/>
      <c r="N2018" s="30"/>
      <c r="O2018" s="30"/>
      <c r="P2018" s="30"/>
      <c r="Q2018" s="30"/>
      <c r="R2018" s="30"/>
      <c r="S2018" s="30"/>
      <c r="T2018" s="30"/>
      <c r="U2018" s="30"/>
      <c r="V2018" s="30"/>
      <c r="W2018" s="30"/>
      <c r="X2018" s="30"/>
      <c r="Y2018" s="30"/>
      <c r="Z2018" s="30"/>
      <c r="AA2018" s="30"/>
      <c r="AB2018" s="30"/>
      <c r="AC2018" s="30"/>
      <c r="AD2018" s="30"/>
      <c r="AE2018" s="30"/>
    </row>
    <row r="2019" spans="1:31" ht="13">
      <c r="A2019" s="30"/>
      <c r="B2019" s="30"/>
      <c r="C2019" s="30"/>
      <c r="D2019" s="30"/>
      <c r="E2019" s="30"/>
      <c r="F2019" s="48"/>
      <c r="G2019" s="49"/>
      <c r="H2019" s="49"/>
      <c r="I2019" s="49"/>
      <c r="J2019" s="71"/>
      <c r="K2019" s="71"/>
      <c r="L2019" s="50"/>
      <c r="M2019" s="30"/>
      <c r="N2019" s="30"/>
      <c r="O2019" s="30"/>
      <c r="P2019" s="30"/>
      <c r="Q2019" s="30"/>
      <c r="R2019" s="30"/>
      <c r="S2019" s="30"/>
      <c r="T2019" s="30"/>
      <c r="U2019" s="30"/>
      <c r="V2019" s="30"/>
      <c r="W2019" s="30"/>
      <c r="X2019" s="30"/>
      <c r="Y2019" s="30"/>
      <c r="Z2019" s="30"/>
      <c r="AA2019" s="30"/>
      <c r="AB2019" s="30"/>
      <c r="AC2019" s="30"/>
      <c r="AD2019" s="30"/>
      <c r="AE2019" s="30"/>
    </row>
    <row r="2020" spans="1:31" ht="13">
      <c r="A2020" s="30"/>
      <c r="B2020" s="30"/>
      <c r="C2020" s="30"/>
      <c r="D2020" s="30"/>
      <c r="E2020" s="30"/>
      <c r="F2020" s="48"/>
      <c r="G2020" s="49"/>
      <c r="H2020" s="49"/>
      <c r="I2020" s="49"/>
      <c r="J2020" s="71"/>
      <c r="K2020" s="71"/>
      <c r="L2020" s="50"/>
      <c r="M2020" s="30"/>
      <c r="N2020" s="30"/>
      <c r="O2020" s="30"/>
      <c r="P2020" s="30"/>
      <c r="Q2020" s="30"/>
      <c r="R2020" s="30"/>
      <c r="S2020" s="30"/>
      <c r="T2020" s="30"/>
      <c r="U2020" s="30"/>
      <c r="V2020" s="30"/>
      <c r="W2020" s="30"/>
      <c r="X2020" s="30"/>
      <c r="Y2020" s="30"/>
      <c r="Z2020" s="30"/>
      <c r="AA2020" s="30"/>
      <c r="AB2020" s="30"/>
      <c r="AC2020" s="30"/>
      <c r="AD2020" s="30"/>
      <c r="AE2020" s="30"/>
    </row>
    <row r="2021" spans="1:31" ht="13">
      <c r="A2021" s="30"/>
      <c r="B2021" s="30"/>
      <c r="C2021" s="30"/>
      <c r="D2021" s="30"/>
      <c r="E2021" s="30"/>
      <c r="F2021" s="48"/>
      <c r="G2021" s="49"/>
      <c r="H2021" s="49"/>
      <c r="I2021" s="49"/>
      <c r="J2021" s="71"/>
      <c r="K2021" s="71"/>
      <c r="L2021" s="50"/>
      <c r="M2021" s="30"/>
      <c r="N2021" s="30"/>
      <c r="O2021" s="30"/>
      <c r="P2021" s="30"/>
      <c r="Q2021" s="30"/>
      <c r="R2021" s="30"/>
      <c r="S2021" s="30"/>
      <c r="T2021" s="30"/>
      <c r="U2021" s="30"/>
      <c r="V2021" s="30"/>
      <c r="W2021" s="30"/>
      <c r="X2021" s="30"/>
      <c r="Y2021" s="30"/>
      <c r="Z2021" s="30"/>
      <c r="AA2021" s="30"/>
      <c r="AB2021" s="30"/>
      <c r="AC2021" s="30"/>
      <c r="AD2021" s="30"/>
      <c r="AE2021" s="30"/>
    </row>
    <row r="2022" spans="1:31" ht="13">
      <c r="A2022" s="30"/>
      <c r="B2022" s="30"/>
      <c r="C2022" s="30"/>
      <c r="D2022" s="30"/>
      <c r="E2022" s="30"/>
      <c r="F2022" s="48"/>
      <c r="G2022" s="49"/>
      <c r="H2022" s="49"/>
      <c r="I2022" s="49"/>
      <c r="J2022" s="71"/>
      <c r="K2022" s="71"/>
      <c r="L2022" s="50"/>
      <c r="M2022" s="30"/>
      <c r="N2022" s="30"/>
      <c r="O2022" s="30"/>
      <c r="P2022" s="30"/>
      <c r="Q2022" s="30"/>
      <c r="R2022" s="30"/>
      <c r="S2022" s="30"/>
      <c r="T2022" s="30"/>
      <c r="U2022" s="30"/>
      <c r="V2022" s="30"/>
      <c r="W2022" s="30"/>
      <c r="X2022" s="30"/>
      <c r="Y2022" s="30"/>
      <c r="Z2022" s="30"/>
      <c r="AA2022" s="30"/>
      <c r="AB2022" s="30"/>
      <c r="AC2022" s="30"/>
      <c r="AD2022" s="30"/>
      <c r="AE2022" s="30"/>
    </row>
    <row r="2023" spans="1:31" ht="13">
      <c r="A2023" s="30"/>
      <c r="B2023" s="30"/>
      <c r="C2023" s="30"/>
      <c r="D2023" s="30"/>
      <c r="E2023" s="30"/>
      <c r="F2023" s="48"/>
      <c r="G2023" s="49"/>
      <c r="H2023" s="49"/>
      <c r="I2023" s="49"/>
      <c r="J2023" s="71"/>
      <c r="K2023" s="71"/>
      <c r="L2023" s="50"/>
      <c r="M2023" s="30"/>
      <c r="N2023" s="30"/>
      <c r="O2023" s="30"/>
      <c r="P2023" s="30"/>
      <c r="Q2023" s="30"/>
      <c r="R2023" s="30"/>
      <c r="S2023" s="30"/>
      <c r="T2023" s="30"/>
      <c r="U2023" s="30"/>
      <c r="V2023" s="30"/>
      <c r="W2023" s="30"/>
      <c r="X2023" s="30"/>
      <c r="Y2023" s="30"/>
      <c r="Z2023" s="30"/>
      <c r="AA2023" s="30"/>
      <c r="AB2023" s="30"/>
      <c r="AC2023" s="30"/>
      <c r="AD2023" s="30"/>
      <c r="AE2023" s="30"/>
    </row>
    <row r="2024" spans="1:31" ht="13">
      <c r="A2024" s="30"/>
      <c r="B2024" s="30"/>
      <c r="C2024" s="30"/>
      <c r="D2024" s="30"/>
      <c r="E2024" s="30"/>
      <c r="F2024" s="48"/>
      <c r="G2024" s="49"/>
      <c r="H2024" s="49"/>
      <c r="I2024" s="49"/>
      <c r="J2024" s="71"/>
      <c r="K2024" s="71"/>
      <c r="L2024" s="50"/>
      <c r="M2024" s="30"/>
      <c r="N2024" s="30"/>
      <c r="O2024" s="30"/>
      <c r="P2024" s="30"/>
      <c r="Q2024" s="30"/>
      <c r="R2024" s="30"/>
      <c r="S2024" s="30"/>
      <c r="T2024" s="30"/>
      <c r="U2024" s="30"/>
      <c r="V2024" s="30"/>
      <c r="W2024" s="30"/>
      <c r="X2024" s="30"/>
      <c r="Y2024" s="30"/>
      <c r="Z2024" s="30"/>
      <c r="AA2024" s="30"/>
      <c r="AB2024" s="30"/>
      <c r="AC2024" s="30"/>
      <c r="AD2024" s="30"/>
      <c r="AE2024" s="30"/>
    </row>
    <row r="2025" spans="1:31" ht="13">
      <c r="A2025" s="30"/>
      <c r="B2025" s="30"/>
      <c r="C2025" s="30"/>
      <c r="D2025" s="30"/>
      <c r="E2025" s="30"/>
      <c r="F2025" s="48"/>
      <c r="G2025" s="49"/>
      <c r="H2025" s="49"/>
      <c r="I2025" s="49"/>
      <c r="J2025" s="71"/>
      <c r="K2025" s="71"/>
      <c r="L2025" s="50"/>
      <c r="M2025" s="30"/>
      <c r="N2025" s="30"/>
      <c r="O2025" s="30"/>
      <c r="P2025" s="30"/>
      <c r="Q2025" s="30"/>
      <c r="R2025" s="30"/>
      <c r="S2025" s="30"/>
      <c r="T2025" s="30"/>
      <c r="U2025" s="30"/>
      <c r="V2025" s="30"/>
      <c r="W2025" s="30"/>
      <c r="X2025" s="30"/>
      <c r="Y2025" s="30"/>
      <c r="Z2025" s="30"/>
      <c r="AA2025" s="30"/>
      <c r="AB2025" s="30"/>
      <c r="AC2025" s="30"/>
      <c r="AD2025" s="30"/>
      <c r="AE2025" s="30"/>
    </row>
    <row r="2026" spans="1:31" ht="13">
      <c r="A2026" s="30"/>
      <c r="B2026" s="30"/>
      <c r="C2026" s="30"/>
      <c r="D2026" s="30"/>
      <c r="E2026" s="30"/>
      <c r="F2026" s="48"/>
      <c r="G2026" s="49"/>
      <c r="H2026" s="49"/>
      <c r="I2026" s="49"/>
      <c r="J2026" s="71"/>
      <c r="K2026" s="71"/>
      <c r="L2026" s="50"/>
      <c r="M2026" s="30"/>
      <c r="N2026" s="30"/>
      <c r="O2026" s="30"/>
      <c r="P2026" s="30"/>
      <c r="Q2026" s="30"/>
      <c r="R2026" s="30"/>
      <c r="S2026" s="30"/>
      <c r="T2026" s="30"/>
      <c r="U2026" s="30"/>
      <c r="V2026" s="30"/>
      <c r="W2026" s="30"/>
      <c r="X2026" s="30"/>
      <c r="Y2026" s="30"/>
      <c r="Z2026" s="30"/>
      <c r="AA2026" s="30"/>
      <c r="AB2026" s="30"/>
      <c r="AC2026" s="30"/>
      <c r="AD2026" s="30"/>
      <c r="AE2026" s="30"/>
    </row>
    <row r="2027" spans="1:31" ht="13">
      <c r="A2027" s="30"/>
      <c r="B2027" s="30"/>
      <c r="C2027" s="30"/>
      <c r="D2027" s="30"/>
      <c r="E2027" s="30"/>
      <c r="F2027" s="48"/>
      <c r="G2027" s="49"/>
      <c r="H2027" s="49"/>
      <c r="I2027" s="49"/>
      <c r="J2027" s="71"/>
      <c r="K2027" s="71"/>
      <c r="L2027" s="50"/>
      <c r="M2027" s="30"/>
      <c r="N2027" s="30"/>
      <c r="O2027" s="30"/>
      <c r="P2027" s="30"/>
      <c r="Q2027" s="30"/>
      <c r="R2027" s="30"/>
      <c r="S2027" s="30"/>
      <c r="T2027" s="30"/>
      <c r="U2027" s="30"/>
      <c r="V2027" s="30"/>
      <c r="W2027" s="30"/>
      <c r="X2027" s="30"/>
      <c r="Y2027" s="30"/>
      <c r="Z2027" s="30"/>
      <c r="AA2027" s="30"/>
      <c r="AB2027" s="30"/>
      <c r="AC2027" s="30"/>
      <c r="AD2027" s="30"/>
      <c r="AE2027" s="30"/>
    </row>
    <row r="2028" spans="1:31" ht="13">
      <c r="A2028" s="30"/>
      <c r="B2028" s="30"/>
      <c r="C2028" s="30"/>
      <c r="D2028" s="30"/>
      <c r="E2028" s="30"/>
      <c r="F2028" s="48"/>
      <c r="G2028" s="49"/>
      <c r="H2028" s="49"/>
      <c r="I2028" s="49"/>
      <c r="J2028" s="71"/>
      <c r="K2028" s="71"/>
      <c r="L2028" s="50"/>
      <c r="M2028" s="30"/>
      <c r="N2028" s="30"/>
      <c r="O2028" s="30"/>
      <c r="P2028" s="30"/>
      <c r="Q2028" s="30"/>
      <c r="R2028" s="30"/>
      <c r="S2028" s="30"/>
      <c r="T2028" s="30"/>
      <c r="U2028" s="30"/>
      <c r="V2028" s="30"/>
      <c r="W2028" s="30"/>
      <c r="X2028" s="30"/>
      <c r="Y2028" s="30"/>
      <c r="Z2028" s="30"/>
      <c r="AA2028" s="30"/>
      <c r="AB2028" s="30"/>
      <c r="AC2028" s="30"/>
      <c r="AD2028" s="30"/>
      <c r="AE2028" s="30"/>
    </row>
    <row r="2029" spans="1:31" ht="13">
      <c r="A2029" s="30"/>
      <c r="B2029" s="30"/>
      <c r="C2029" s="30"/>
      <c r="D2029" s="30"/>
      <c r="E2029" s="30"/>
      <c r="F2029" s="48"/>
      <c r="G2029" s="49"/>
      <c r="H2029" s="49"/>
      <c r="I2029" s="49"/>
      <c r="J2029" s="71"/>
      <c r="K2029" s="71"/>
      <c r="L2029" s="50"/>
      <c r="M2029" s="30"/>
      <c r="N2029" s="30"/>
      <c r="O2029" s="30"/>
      <c r="P2029" s="30"/>
      <c r="Q2029" s="30"/>
      <c r="R2029" s="30"/>
      <c r="S2029" s="30"/>
      <c r="T2029" s="30"/>
      <c r="U2029" s="30"/>
      <c r="V2029" s="30"/>
      <c r="W2029" s="30"/>
      <c r="X2029" s="30"/>
      <c r="Y2029" s="30"/>
      <c r="Z2029" s="30"/>
      <c r="AA2029" s="30"/>
      <c r="AB2029" s="30"/>
      <c r="AC2029" s="30"/>
      <c r="AD2029" s="30"/>
      <c r="AE2029" s="30"/>
    </row>
    <row r="2030" spans="1:31" ht="13">
      <c r="A2030" s="30"/>
      <c r="B2030" s="30"/>
      <c r="C2030" s="30"/>
      <c r="D2030" s="30"/>
      <c r="E2030" s="30"/>
      <c r="F2030" s="48"/>
      <c r="G2030" s="49"/>
      <c r="H2030" s="49"/>
      <c r="I2030" s="49"/>
      <c r="J2030" s="71"/>
      <c r="K2030" s="71"/>
      <c r="L2030" s="50"/>
      <c r="M2030" s="30"/>
      <c r="N2030" s="30"/>
      <c r="O2030" s="30"/>
      <c r="P2030" s="30"/>
      <c r="Q2030" s="30"/>
      <c r="R2030" s="30"/>
      <c r="S2030" s="30"/>
      <c r="T2030" s="30"/>
      <c r="U2030" s="30"/>
      <c r="V2030" s="30"/>
      <c r="W2030" s="30"/>
      <c r="X2030" s="30"/>
      <c r="Y2030" s="30"/>
      <c r="Z2030" s="30"/>
      <c r="AA2030" s="30"/>
      <c r="AB2030" s="30"/>
      <c r="AC2030" s="30"/>
      <c r="AD2030" s="30"/>
      <c r="AE2030" s="30"/>
    </row>
    <row r="2031" spans="1:31" ht="13">
      <c r="A2031" s="30"/>
      <c r="B2031" s="30"/>
      <c r="C2031" s="30"/>
      <c r="D2031" s="30"/>
      <c r="E2031" s="30"/>
      <c r="F2031" s="48"/>
      <c r="G2031" s="49"/>
      <c r="H2031" s="49"/>
      <c r="I2031" s="49"/>
      <c r="J2031" s="71"/>
      <c r="K2031" s="71"/>
      <c r="L2031" s="50"/>
      <c r="M2031" s="30"/>
      <c r="N2031" s="30"/>
      <c r="O2031" s="30"/>
      <c r="P2031" s="30"/>
      <c r="Q2031" s="30"/>
      <c r="R2031" s="30"/>
      <c r="S2031" s="30"/>
      <c r="T2031" s="30"/>
      <c r="U2031" s="30"/>
      <c r="V2031" s="30"/>
      <c r="W2031" s="30"/>
      <c r="X2031" s="30"/>
      <c r="Y2031" s="30"/>
      <c r="Z2031" s="30"/>
      <c r="AA2031" s="30"/>
      <c r="AB2031" s="30"/>
      <c r="AC2031" s="30"/>
      <c r="AD2031" s="30"/>
      <c r="AE2031" s="30"/>
    </row>
    <row r="2032" spans="1:31" ht="13">
      <c r="A2032" s="30"/>
      <c r="B2032" s="30"/>
      <c r="C2032" s="30"/>
      <c r="D2032" s="30"/>
      <c r="E2032" s="30"/>
      <c r="F2032" s="48"/>
      <c r="G2032" s="49"/>
      <c r="H2032" s="49"/>
      <c r="I2032" s="49"/>
      <c r="J2032" s="71"/>
      <c r="K2032" s="71"/>
      <c r="L2032" s="50"/>
      <c r="M2032" s="30"/>
      <c r="N2032" s="30"/>
      <c r="O2032" s="30"/>
      <c r="P2032" s="30"/>
      <c r="Q2032" s="30"/>
      <c r="R2032" s="30"/>
      <c r="S2032" s="30"/>
      <c r="T2032" s="30"/>
      <c r="U2032" s="30"/>
      <c r="V2032" s="30"/>
      <c r="W2032" s="30"/>
      <c r="X2032" s="30"/>
      <c r="Y2032" s="30"/>
      <c r="Z2032" s="30"/>
      <c r="AA2032" s="30"/>
      <c r="AB2032" s="30"/>
      <c r="AC2032" s="30"/>
      <c r="AD2032" s="30"/>
      <c r="AE2032" s="30"/>
    </row>
    <row r="2033" spans="1:31" ht="13">
      <c r="A2033" s="30"/>
      <c r="B2033" s="30"/>
      <c r="C2033" s="30"/>
      <c r="D2033" s="30"/>
      <c r="E2033" s="30"/>
      <c r="F2033" s="48"/>
      <c r="G2033" s="49"/>
      <c r="H2033" s="49"/>
      <c r="I2033" s="49"/>
      <c r="J2033" s="71"/>
      <c r="K2033" s="71"/>
      <c r="L2033" s="50"/>
      <c r="M2033" s="30"/>
      <c r="N2033" s="30"/>
      <c r="O2033" s="30"/>
      <c r="P2033" s="30"/>
      <c r="Q2033" s="30"/>
      <c r="R2033" s="30"/>
      <c r="S2033" s="30"/>
      <c r="T2033" s="30"/>
      <c r="U2033" s="30"/>
      <c r="V2033" s="30"/>
      <c r="W2033" s="30"/>
      <c r="X2033" s="30"/>
      <c r="Y2033" s="30"/>
      <c r="Z2033" s="30"/>
      <c r="AA2033" s="30"/>
      <c r="AB2033" s="30"/>
      <c r="AC2033" s="30"/>
      <c r="AD2033" s="30"/>
      <c r="AE2033" s="30"/>
    </row>
    <row r="2034" spans="1:31" ht="13">
      <c r="A2034" s="30"/>
      <c r="B2034" s="30"/>
      <c r="C2034" s="30"/>
      <c r="D2034" s="30"/>
      <c r="E2034" s="30"/>
      <c r="F2034" s="48"/>
      <c r="G2034" s="49"/>
      <c r="H2034" s="49"/>
      <c r="I2034" s="49"/>
      <c r="J2034" s="71"/>
      <c r="K2034" s="71"/>
      <c r="L2034" s="50"/>
      <c r="M2034" s="30"/>
      <c r="N2034" s="30"/>
      <c r="O2034" s="30"/>
      <c r="P2034" s="30"/>
      <c r="Q2034" s="30"/>
      <c r="R2034" s="30"/>
      <c r="S2034" s="30"/>
      <c r="T2034" s="30"/>
      <c r="U2034" s="30"/>
      <c r="V2034" s="30"/>
      <c r="W2034" s="30"/>
      <c r="X2034" s="30"/>
      <c r="Y2034" s="30"/>
      <c r="Z2034" s="30"/>
      <c r="AA2034" s="30"/>
      <c r="AB2034" s="30"/>
      <c r="AC2034" s="30"/>
      <c r="AD2034" s="30"/>
      <c r="AE2034" s="30"/>
    </row>
    <row r="2035" spans="1:31" ht="13">
      <c r="A2035" s="30"/>
      <c r="B2035" s="30"/>
      <c r="C2035" s="30"/>
      <c r="D2035" s="30"/>
      <c r="E2035" s="30"/>
      <c r="F2035" s="48"/>
      <c r="G2035" s="49"/>
      <c r="H2035" s="49"/>
      <c r="I2035" s="49"/>
      <c r="J2035" s="71"/>
      <c r="K2035" s="71"/>
      <c r="L2035" s="50"/>
      <c r="M2035" s="30"/>
      <c r="N2035" s="30"/>
      <c r="O2035" s="30"/>
      <c r="P2035" s="30"/>
      <c r="Q2035" s="30"/>
      <c r="R2035" s="30"/>
      <c r="S2035" s="30"/>
      <c r="T2035" s="30"/>
      <c r="U2035" s="30"/>
      <c r="V2035" s="30"/>
      <c r="W2035" s="30"/>
      <c r="X2035" s="30"/>
      <c r="Y2035" s="30"/>
      <c r="Z2035" s="30"/>
      <c r="AA2035" s="30"/>
      <c r="AB2035" s="30"/>
      <c r="AC2035" s="30"/>
      <c r="AD2035" s="30"/>
      <c r="AE2035" s="30"/>
    </row>
    <row r="2036" spans="1:31" ht="13">
      <c r="A2036" s="30"/>
      <c r="B2036" s="30"/>
      <c r="C2036" s="30"/>
      <c r="D2036" s="30"/>
      <c r="E2036" s="30"/>
      <c r="F2036" s="48"/>
      <c r="G2036" s="49"/>
      <c r="H2036" s="49"/>
      <c r="I2036" s="49"/>
      <c r="J2036" s="71"/>
      <c r="K2036" s="71"/>
      <c r="L2036" s="50"/>
      <c r="M2036" s="30"/>
      <c r="N2036" s="30"/>
      <c r="O2036" s="30"/>
      <c r="P2036" s="30"/>
      <c r="Q2036" s="30"/>
      <c r="R2036" s="30"/>
      <c r="S2036" s="30"/>
      <c r="T2036" s="30"/>
      <c r="U2036" s="30"/>
      <c r="V2036" s="30"/>
      <c r="W2036" s="30"/>
      <c r="X2036" s="30"/>
      <c r="Y2036" s="30"/>
      <c r="Z2036" s="30"/>
      <c r="AA2036" s="30"/>
      <c r="AB2036" s="30"/>
      <c r="AC2036" s="30"/>
      <c r="AD2036" s="30"/>
      <c r="AE2036" s="30"/>
    </row>
    <row r="2037" spans="1:31" ht="13">
      <c r="A2037" s="30"/>
      <c r="B2037" s="30"/>
      <c r="C2037" s="30"/>
      <c r="D2037" s="30"/>
      <c r="E2037" s="30"/>
      <c r="F2037" s="48"/>
      <c r="G2037" s="49"/>
      <c r="H2037" s="49"/>
      <c r="I2037" s="49"/>
      <c r="J2037" s="71"/>
      <c r="K2037" s="71"/>
      <c r="L2037" s="50"/>
      <c r="M2037" s="30"/>
      <c r="N2037" s="30"/>
      <c r="O2037" s="30"/>
      <c r="P2037" s="30"/>
      <c r="Q2037" s="30"/>
      <c r="R2037" s="30"/>
      <c r="S2037" s="30"/>
      <c r="T2037" s="30"/>
      <c r="U2037" s="30"/>
      <c r="V2037" s="30"/>
      <c r="W2037" s="30"/>
      <c r="X2037" s="30"/>
      <c r="Y2037" s="30"/>
      <c r="Z2037" s="30"/>
      <c r="AA2037" s="30"/>
      <c r="AB2037" s="30"/>
      <c r="AC2037" s="30"/>
      <c r="AD2037" s="30"/>
      <c r="AE2037" s="30"/>
    </row>
    <row r="2038" spans="1:31" ht="13">
      <c r="A2038" s="30"/>
      <c r="B2038" s="30"/>
      <c r="C2038" s="30"/>
      <c r="D2038" s="30"/>
      <c r="E2038" s="30"/>
      <c r="F2038" s="48"/>
      <c r="G2038" s="49"/>
      <c r="H2038" s="49"/>
      <c r="I2038" s="49"/>
      <c r="J2038" s="71"/>
      <c r="K2038" s="71"/>
      <c r="L2038" s="50"/>
      <c r="M2038" s="30"/>
      <c r="N2038" s="30"/>
      <c r="O2038" s="30"/>
      <c r="P2038" s="30"/>
      <c r="Q2038" s="30"/>
      <c r="R2038" s="30"/>
      <c r="S2038" s="30"/>
      <c r="T2038" s="30"/>
      <c r="U2038" s="30"/>
      <c r="V2038" s="30"/>
      <c r="W2038" s="30"/>
      <c r="X2038" s="30"/>
      <c r="Y2038" s="30"/>
      <c r="Z2038" s="30"/>
      <c r="AA2038" s="30"/>
      <c r="AB2038" s="30"/>
      <c r="AC2038" s="30"/>
      <c r="AD2038" s="30"/>
      <c r="AE2038" s="30"/>
    </row>
    <row r="2039" spans="1:31" ht="13">
      <c r="A2039" s="30"/>
      <c r="B2039" s="30"/>
      <c r="C2039" s="30"/>
      <c r="D2039" s="30"/>
      <c r="E2039" s="30"/>
      <c r="F2039" s="48"/>
      <c r="G2039" s="49"/>
      <c r="H2039" s="49"/>
      <c r="I2039" s="49"/>
      <c r="J2039" s="71"/>
      <c r="K2039" s="71"/>
      <c r="L2039" s="50"/>
      <c r="M2039" s="30"/>
      <c r="N2039" s="30"/>
      <c r="O2039" s="30"/>
      <c r="P2039" s="30"/>
      <c r="Q2039" s="30"/>
      <c r="R2039" s="30"/>
      <c r="S2039" s="30"/>
      <c r="T2039" s="30"/>
      <c r="U2039" s="30"/>
      <c r="V2039" s="30"/>
      <c r="W2039" s="30"/>
      <c r="X2039" s="30"/>
      <c r="Y2039" s="30"/>
      <c r="Z2039" s="30"/>
      <c r="AA2039" s="30"/>
      <c r="AB2039" s="30"/>
      <c r="AC2039" s="30"/>
      <c r="AD2039" s="30"/>
      <c r="AE2039" s="30"/>
    </row>
    <row r="2040" spans="1:31" ht="13">
      <c r="A2040" s="30"/>
      <c r="B2040" s="30"/>
      <c r="C2040" s="30"/>
      <c r="D2040" s="30"/>
      <c r="E2040" s="30"/>
      <c r="F2040" s="48"/>
      <c r="G2040" s="49"/>
      <c r="H2040" s="49"/>
      <c r="I2040" s="49"/>
      <c r="J2040" s="71"/>
      <c r="K2040" s="71"/>
      <c r="L2040" s="50"/>
      <c r="M2040" s="30"/>
      <c r="N2040" s="30"/>
      <c r="O2040" s="30"/>
      <c r="P2040" s="30"/>
      <c r="Q2040" s="30"/>
      <c r="R2040" s="30"/>
      <c r="S2040" s="30"/>
      <c r="T2040" s="30"/>
      <c r="U2040" s="30"/>
      <c r="V2040" s="30"/>
      <c r="W2040" s="30"/>
      <c r="X2040" s="30"/>
      <c r="Y2040" s="30"/>
      <c r="Z2040" s="30"/>
      <c r="AA2040" s="30"/>
      <c r="AB2040" s="30"/>
      <c r="AC2040" s="30"/>
      <c r="AD2040" s="30"/>
      <c r="AE2040" s="30"/>
    </row>
    <row r="2041" spans="1:31" ht="13">
      <c r="A2041" s="30"/>
      <c r="B2041" s="30"/>
      <c r="C2041" s="30"/>
      <c r="D2041" s="30"/>
      <c r="E2041" s="30"/>
      <c r="F2041" s="48"/>
      <c r="G2041" s="49"/>
      <c r="H2041" s="49"/>
      <c r="I2041" s="49"/>
      <c r="J2041" s="71"/>
      <c r="K2041" s="71"/>
      <c r="L2041" s="50"/>
      <c r="M2041" s="30"/>
      <c r="N2041" s="30"/>
      <c r="O2041" s="30"/>
      <c r="P2041" s="30"/>
      <c r="Q2041" s="30"/>
      <c r="R2041" s="30"/>
      <c r="S2041" s="30"/>
      <c r="T2041" s="30"/>
      <c r="U2041" s="30"/>
      <c r="V2041" s="30"/>
      <c r="W2041" s="30"/>
      <c r="X2041" s="30"/>
      <c r="Y2041" s="30"/>
      <c r="Z2041" s="30"/>
      <c r="AA2041" s="30"/>
      <c r="AB2041" s="30"/>
      <c r="AC2041" s="30"/>
      <c r="AD2041" s="30"/>
      <c r="AE2041" s="30"/>
    </row>
    <row r="2042" spans="1:31" ht="13">
      <c r="A2042" s="30"/>
      <c r="B2042" s="30"/>
      <c r="C2042" s="30"/>
      <c r="D2042" s="30"/>
      <c r="E2042" s="30"/>
      <c r="F2042" s="48"/>
      <c r="G2042" s="49"/>
      <c r="H2042" s="49"/>
      <c r="I2042" s="49"/>
      <c r="J2042" s="71"/>
      <c r="K2042" s="71"/>
      <c r="L2042" s="50"/>
      <c r="M2042" s="30"/>
      <c r="N2042" s="30"/>
      <c r="O2042" s="30"/>
      <c r="P2042" s="30"/>
      <c r="Q2042" s="30"/>
      <c r="R2042" s="30"/>
      <c r="S2042" s="30"/>
      <c r="T2042" s="30"/>
      <c r="U2042" s="30"/>
      <c r="V2042" s="30"/>
      <c r="W2042" s="30"/>
      <c r="X2042" s="30"/>
      <c r="Y2042" s="30"/>
      <c r="Z2042" s="30"/>
      <c r="AA2042" s="30"/>
      <c r="AB2042" s="30"/>
      <c r="AC2042" s="30"/>
      <c r="AD2042" s="30"/>
      <c r="AE2042" s="30"/>
    </row>
    <row r="2043" spans="1:31" ht="13">
      <c r="A2043" s="30"/>
      <c r="B2043" s="30"/>
      <c r="C2043" s="30"/>
      <c r="D2043" s="30"/>
      <c r="E2043" s="30"/>
      <c r="F2043" s="48"/>
      <c r="G2043" s="49"/>
      <c r="H2043" s="49"/>
      <c r="I2043" s="49"/>
      <c r="J2043" s="71"/>
      <c r="K2043" s="71"/>
      <c r="L2043" s="50"/>
      <c r="M2043" s="30"/>
      <c r="N2043" s="30"/>
      <c r="O2043" s="30"/>
      <c r="P2043" s="30"/>
      <c r="Q2043" s="30"/>
      <c r="R2043" s="30"/>
      <c r="S2043" s="30"/>
      <c r="T2043" s="30"/>
      <c r="U2043" s="30"/>
      <c r="V2043" s="30"/>
      <c r="W2043" s="30"/>
      <c r="X2043" s="30"/>
      <c r="Y2043" s="30"/>
      <c r="Z2043" s="30"/>
      <c r="AA2043" s="30"/>
      <c r="AB2043" s="30"/>
      <c r="AC2043" s="30"/>
      <c r="AD2043" s="30"/>
      <c r="AE2043" s="30"/>
    </row>
    <row r="2044" spans="1:31" ht="13">
      <c r="A2044" s="30"/>
      <c r="B2044" s="30"/>
      <c r="C2044" s="30"/>
      <c r="D2044" s="30"/>
      <c r="E2044" s="30"/>
      <c r="F2044" s="48"/>
      <c r="G2044" s="49"/>
      <c r="H2044" s="49"/>
      <c r="I2044" s="49"/>
      <c r="J2044" s="71"/>
      <c r="K2044" s="71"/>
      <c r="L2044" s="50"/>
      <c r="M2044" s="30"/>
      <c r="N2044" s="30"/>
      <c r="O2044" s="30"/>
      <c r="P2044" s="30"/>
      <c r="Q2044" s="30"/>
      <c r="R2044" s="30"/>
      <c r="S2044" s="30"/>
      <c r="T2044" s="30"/>
      <c r="U2044" s="30"/>
      <c r="V2044" s="30"/>
      <c r="W2044" s="30"/>
      <c r="X2044" s="30"/>
      <c r="Y2044" s="30"/>
      <c r="Z2044" s="30"/>
      <c r="AA2044" s="30"/>
      <c r="AB2044" s="30"/>
      <c r="AC2044" s="30"/>
      <c r="AD2044" s="30"/>
      <c r="AE2044" s="30"/>
    </row>
    <row r="2045" spans="1:31" ht="13">
      <c r="A2045" s="30"/>
      <c r="B2045" s="30"/>
      <c r="C2045" s="30"/>
      <c r="D2045" s="30"/>
      <c r="E2045" s="30"/>
      <c r="F2045" s="48"/>
      <c r="G2045" s="49"/>
      <c r="H2045" s="49"/>
      <c r="I2045" s="49"/>
      <c r="J2045" s="71"/>
      <c r="K2045" s="71"/>
      <c r="L2045" s="50"/>
      <c r="M2045" s="30"/>
      <c r="N2045" s="30"/>
      <c r="O2045" s="30"/>
      <c r="P2045" s="30"/>
      <c r="Q2045" s="30"/>
      <c r="R2045" s="30"/>
      <c r="S2045" s="30"/>
      <c r="T2045" s="30"/>
      <c r="U2045" s="30"/>
      <c r="V2045" s="30"/>
      <c r="W2045" s="30"/>
      <c r="X2045" s="30"/>
      <c r="Y2045" s="30"/>
      <c r="Z2045" s="30"/>
      <c r="AA2045" s="30"/>
      <c r="AB2045" s="30"/>
      <c r="AC2045" s="30"/>
      <c r="AD2045" s="30"/>
      <c r="AE2045" s="30"/>
    </row>
    <row r="2046" spans="1:31" ht="13">
      <c r="A2046" s="30"/>
      <c r="B2046" s="30"/>
      <c r="C2046" s="30"/>
      <c r="D2046" s="30"/>
      <c r="E2046" s="30"/>
      <c r="F2046" s="48"/>
      <c r="G2046" s="49"/>
      <c r="H2046" s="49"/>
      <c r="I2046" s="49"/>
      <c r="J2046" s="71"/>
      <c r="K2046" s="71"/>
      <c r="L2046" s="50"/>
      <c r="M2046" s="30"/>
      <c r="N2046" s="30"/>
      <c r="O2046" s="30"/>
      <c r="P2046" s="30"/>
      <c r="Q2046" s="30"/>
      <c r="R2046" s="30"/>
      <c r="S2046" s="30"/>
      <c r="T2046" s="30"/>
      <c r="U2046" s="30"/>
      <c r="V2046" s="30"/>
      <c r="W2046" s="30"/>
      <c r="X2046" s="30"/>
      <c r="Y2046" s="30"/>
      <c r="Z2046" s="30"/>
      <c r="AA2046" s="30"/>
      <c r="AB2046" s="30"/>
      <c r="AC2046" s="30"/>
      <c r="AD2046" s="30"/>
      <c r="AE2046" s="30"/>
    </row>
    <row r="2047" spans="1:31" ht="13">
      <c r="A2047" s="30"/>
      <c r="B2047" s="30"/>
      <c r="C2047" s="30"/>
      <c r="D2047" s="30"/>
      <c r="E2047" s="30"/>
      <c r="F2047" s="48"/>
      <c r="G2047" s="49"/>
      <c r="H2047" s="49"/>
      <c r="I2047" s="49"/>
      <c r="J2047" s="71"/>
      <c r="K2047" s="71"/>
      <c r="L2047" s="50"/>
      <c r="M2047" s="30"/>
      <c r="N2047" s="30"/>
      <c r="O2047" s="30"/>
      <c r="P2047" s="30"/>
      <c r="Q2047" s="30"/>
      <c r="R2047" s="30"/>
      <c r="S2047" s="30"/>
      <c r="T2047" s="30"/>
      <c r="U2047" s="30"/>
      <c r="V2047" s="30"/>
      <c r="W2047" s="30"/>
      <c r="X2047" s="30"/>
      <c r="Y2047" s="30"/>
      <c r="Z2047" s="30"/>
      <c r="AA2047" s="30"/>
      <c r="AB2047" s="30"/>
      <c r="AC2047" s="30"/>
      <c r="AD2047" s="30"/>
      <c r="AE2047" s="30"/>
    </row>
    <row r="2048" spans="1:31" ht="13">
      <c r="A2048" s="30"/>
      <c r="B2048" s="30"/>
      <c r="C2048" s="30"/>
      <c r="D2048" s="30"/>
      <c r="E2048" s="30"/>
      <c r="F2048" s="48"/>
      <c r="G2048" s="49"/>
      <c r="H2048" s="49"/>
      <c r="I2048" s="49"/>
      <c r="J2048" s="71"/>
      <c r="K2048" s="71"/>
      <c r="L2048" s="50"/>
      <c r="M2048" s="30"/>
      <c r="N2048" s="30"/>
      <c r="O2048" s="30"/>
      <c r="P2048" s="30"/>
      <c r="Q2048" s="30"/>
      <c r="R2048" s="30"/>
      <c r="S2048" s="30"/>
      <c r="T2048" s="30"/>
      <c r="U2048" s="30"/>
      <c r="V2048" s="30"/>
      <c r="W2048" s="30"/>
      <c r="X2048" s="30"/>
      <c r="Y2048" s="30"/>
      <c r="Z2048" s="30"/>
      <c r="AA2048" s="30"/>
      <c r="AB2048" s="30"/>
      <c r="AC2048" s="30"/>
      <c r="AD2048" s="30"/>
      <c r="AE2048" s="30"/>
    </row>
    <row r="2049" spans="1:31" ht="13">
      <c r="A2049" s="30"/>
      <c r="B2049" s="30"/>
      <c r="C2049" s="30"/>
      <c r="D2049" s="30"/>
      <c r="E2049" s="30"/>
      <c r="F2049" s="48"/>
      <c r="G2049" s="49"/>
      <c r="H2049" s="49"/>
      <c r="I2049" s="49"/>
      <c r="J2049" s="71"/>
      <c r="K2049" s="71"/>
      <c r="L2049" s="50"/>
      <c r="M2049" s="30"/>
      <c r="N2049" s="30"/>
      <c r="O2049" s="30"/>
      <c r="P2049" s="30"/>
      <c r="Q2049" s="30"/>
      <c r="R2049" s="30"/>
      <c r="S2049" s="30"/>
      <c r="T2049" s="30"/>
      <c r="U2049" s="30"/>
      <c r="V2049" s="30"/>
      <c r="W2049" s="30"/>
      <c r="X2049" s="30"/>
      <c r="Y2049" s="30"/>
      <c r="Z2049" s="30"/>
      <c r="AA2049" s="30"/>
      <c r="AB2049" s="30"/>
      <c r="AC2049" s="30"/>
      <c r="AD2049" s="30"/>
      <c r="AE2049" s="30"/>
    </row>
    <row r="2050" spans="1:31" ht="13">
      <c r="A2050" s="30"/>
      <c r="B2050" s="30"/>
      <c r="C2050" s="30"/>
      <c r="D2050" s="30"/>
      <c r="E2050" s="30"/>
      <c r="F2050" s="48"/>
      <c r="G2050" s="49"/>
      <c r="H2050" s="49"/>
      <c r="I2050" s="49"/>
      <c r="J2050" s="71"/>
      <c r="K2050" s="71"/>
      <c r="L2050" s="50"/>
      <c r="M2050" s="30"/>
      <c r="N2050" s="30"/>
      <c r="O2050" s="30"/>
      <c r="P2050" s="30"/>
      <c r="Q2050" s="30"/>
      <c r="R2050" s="30"/>
      <c r="S2050" s="30"/>
      <c r="T2050" s="30"/>
      <c r="U2050" s="30"/>
      <c r="V2050" s="30"/>
      <c r="W2050" s="30"/>
      <c r="X2050" s="30"/>
      <c r="Y2050" s="30"/>
      <c r="Z2050" s="30"/>
      <c r="AA2050" s="30"/>
      <c r="AB2050" s="30"/>
      <c r="AC2050" s="30"/>
      <c r="AD2050" s="30"/>
      <c r="AE2050" s="30"/>
    </row>
    <row r="2051" spans="1:31" ht="13">
      <c r="A2051" s="30"/>
      <c r="B2051" s="30"/>
      <c r="C2051" s="30"/>
      <c r="D2051" s="30"/>
      <c r="E2051" s="30"/>
      <c r="F2051" s="48"/>
      <c r="G2051" s="49"/>
      <c r="H2051" s="49"/>
      <c r="I2051" s="49"/>
      <c r="J2051" s="71"/>
      <c r="K2051" s="71"/>
      <c r="L2051" s="50"/>
      <c r="M2051" s="30"/>
      <c r="N2051" s="30"/>
      <c r="O2051" s="30"/>
      <c r="P2051" s="30"/>
      <c r="Q2051" s="30"/>
      <c r="R2051" s="30"/>
      <c r="S2051" s="30"/>
      <c r="T2051" s="30"/>
      <c r="U2051" s="30"/>
      <c r="V2051" s="30"/>
      <c r="W2051" s="30"/>
      <c r="X2051" s="30"/>
      <c r="Y2051" s="30"/>
      <c r="Z2051" s="30"/>
      <c r="AA2051" s="30"/>
      <c r="AB2051" s="30"/>
      <c r="AC2051" s="30"/>
      <c r="AD2051" s="30"/>
      <c r="AE2051" s="30"/>
    </row>
    <row r="2052" spans="1:31" ht="13">
      <c r="A2052" s="30"/>
      <c r="B2052" s="30"/>
      <c r="C2052" s="30"/>
      <c r="D2052" s="30"/>
      <c r="E2052" s="30"/>
      <c r="F2052" s="48"/>
      <c r="G2052" s="49"/>
      <c r="H2052" s="49"/>
      <c r="I2052" s="49"/>
      <c r="J2052" s="71"/>
      <c r="K2052" s="71"/>
      <c r="L2052" s="50"/>
      <c r="M2052" s="30"/>
      <c r="N2052" s="30"/>
      <c r="O2052" s="30"/>
      <c r="P2052" s="30"/>
      <c r="Q2052" s="30"/>
      <c r="R2052" s="30"/>
      <c r="S2052" s="30"/>
      <c r="T2052" s="30"/>
      <c r="U2052" s="30"/>
      <c r="V2052" s="30"/>
      <c r="W2052" s="30"/>
      <c r="X2052" s="30"/>
      <c r="Y2052" s="30"/>
      <c r="Z2052" s="30"/>
      <c r="AA2052" s="30"/>
      <c r="AB2052" s="30"/>
      <c r="AC2052" s="30"/>
      <c r="AD2052" s="30"/>
      <c r="AE2052" s="30"/>
    </row>
    <row r="2053" spans="1:31" ht="13">
      <c r="A2053" s="30"/>
      <c r="B2053" s="30"/>
      <c r="C2053" s="30"/>
      <c r="D2053" s="30"/>
      <c r="E2053" s="30"/>
      <c r="F2053" s="48"/>
      <c r="G2053" s="49"/>
      <c r="H2053" s="49"/>
      <c r="I2053" s="49"/>
      <c r="J2053" s="71"/>
      <c r="K2053" s="71"/>
      <c r="L2053" s="50"/>
      <c r="M2053" s="30"/>
      <c r="N2053" s="30"/>
      <c r="O2053" s="30"/>
      <c r="P2053" s="30"/>
      <c r="Q2053" s="30"/>
      <c r="R2053" s="30"/>
      <c r="S2053" s="30"/>
      <c r="T2053" s="30"/>
      <c r="U2053" s="30"/>
      <c r="V2053" s="30"/>
      <c r="W2053" s="30"/>
      <c r="X2053" s="30"/>
      <c r="Y2053" s="30"/>
      <c r="Z2053" s="30"/>
      <c r="AA2053" s="30"/>
      <c r="AB2053" s="30"/>
      <c r="AC2053" s="30"/>
      <c r="AD2053" s="30"/>
      <c r="AE2053" s="30"/>
    </row>
    <row r="2054" spans="1:31" ht="13">
      <c r="A2054" s="30"/>
      <c r="B2054" s="30"/>
      <c r="C2054" s="30"/>
      <c r="D2054" s="30"/>
      <c r="E2054" s="30"/>
      <c r="F2054" s="48"/>
      <c r="G2054" s="49"/>
      <c r="H2054" s="49"/>
      <c r="I2054" s="49"/>
      <c r="J2054" s="71"/>
      <c r="K2054" s="71"/>
      <c r="L2054" s="50"/>
      <c r="M2054" s="30"/>
      <c r="N2054" s="30"/>
      <c r="O2054" s="30"/>
      <c r="P2054" s="30"/>
      <c r="Q2054" s="30"/>
      <c r="R2054" s="30"/>
      <c r="S2054" s="30"/>
      <c r="T2054" s="30"/>
      <c r="U2054" s="30"/>
      <c r="V2054" s="30"/>
      <c r="W2054" s="30"/>
      <c r="X2054" s="30"/>
      <c r="Y2054" s="30"/>
      <c r="Z2054" s="30"/>
      <c r="AA2054" s="30"/>
      <c r="AB2054" s="30"/>
      <c r="AC2054" s="30"/>
      <c r="AD2054" s="30"/>
      <c r="AE2054" s="30"/>
    </row>
    <row r="2055" spans="1:31" ht="13">
      <c r="A2055" s="30"/>
      <c r="B2055" s="30"/>
      <c r="C2055" s="30"/>
      <c r="D2055" s="30"/>
      <c r="E2055" s="30"/>
      <c r="F2055" s="48"/>
      <c r="G2055" s="49"/>
      <c r="H2055" s="49"/>
      <c r="I2055" s="49"/>
      <c r="J2055" s="71"/>
      <c r="K2055" s="71"/>
      <c r="L2055" s="50"/>
      <c r="M2055" s="30"/>
      <c r="N2055" s="30"/>
      <c r="O2055" s="30"/>
      <c r="P2055" s="30"/>
      <c r="Q2055" s="30"/>
      <c r="R2055" s="30"/>
      <c r="S2055" s="30"/>
      <c r="T2055" s="30"/>
      <c r="U2055" s="30"/>
      <c r="V2055" s="30"/>
      <c r="W2055" s="30"/>
      <c r="X2055" s="30"/>
      <c r="Y2055" s="30"/>
      <c r="Z2055" s="30"/>
      <c r="AA2055" s="30"/>
      <c r="AB2055" s="30"/>
      <c r="AC2055" s="30"/>
      <c r="AD2055" s="30"/>
      <c r="AE2055" s="30"/>
    </row>
    <row r="2056" spans="1:31" ht="13">
      <c r="A2056" s="30"/>
      <c r="B2056" s="30"/>
      <c r="C2056" s="30"/>
      <c r="D2056" s="30"/>
      <c r="E2056" s="30"/>
      <c r="F2056" s="48"/>
      <c r="G2056" s="49"/>
      <c r="H2056" s="49"/>
      <c r="I2056" s="49"/>
      <c r="J2056" s="71"/>
      <c r="K2056" s="71"/>
      <c r="L2056" s="50"/>
      <c r="M2056" s="30"/>
      <c r="N2056" s="30"/>
      <c r="O2056" s="30"/>
      <c r="P2056" s="30"/>
      <c r="Q2056" s="30"/>
      <c r="R2056" s="30"/>
      <c r="S2056" s="30"/>
      <c r="T2056" s="30"/>
      <c r="U2056" s="30"/>
      <c r="V2056" s="30"/>
      <c r="W2056" s="30"/>
      <c r="X2056" s="30"/>
      <c r="Y2056" s="30"/>
      <c r="Z2056" s="30"/>
      <c r="AA2056" s="30"/>
      <c r="AB2056" s="30"/>
      <c r="AC2056" s="30"/>
      <c r="AD2056" s="30"/>
      <c r="AE2056" s="30"/>
    </row>
    <row r="2057" spans="1:31" ht="13">
      <c r="A2057" s="30"/>
      <c r="B2057" s="30"/>
      <c r="C2057" s="30"/>
      <c r="D2057" s="30"/>
      <c r="E2057" s="30"/>
      <c r="F2057" s="48"/>
      <c r="G2057" s="49"/>
      <c r="H2057" s="49"/>
      <c r="I2057" s="49"/>
      <c r="J2057" s="71"/>
      <c r="K2057" s="71"/>
      <c r="L2057" s="50"/>
      <c r="M2057" s="30"/>
      <c r="N2057" s="30"/>
      <c r="O2057" s="30"/>
      <c r="P2057" s="30"/>
      <c r="Q2057" s="30"/>
      <c r="R2057" s="30"/>
      <c r="S2057" s="30"/>
      <c r="T2057" s="30"/>
      <c r="U2057" s="30"/>
      <c r="V2057" s="30"/>
      <c r="W2057" s="30"/>
      <c r="X2057" s="30"/>
      <c r="Y2057" s="30"/>
      <c r="Z2057" s="30"/>
      <c r="AA2057" s="30"/>
      <c r="AB2057" s="30"/>
      <c r="AC2057" s="30"/>
      <c r="AD2057" s="30"/>
      <c r="AE2057" s="30"/>
    </row>
    <row r="2058" spans="1:31" ht="13">
      <c r="A2058" s="30"/>
      <c r="B2058" s="30"/>
      <c r="C2058" s="30"/>
      <c r="D2058" s="30"/>
      <c r="E2058" s="30"/>
      <c r="F2058" s="48"/>
      <c r="G2058" s="49"/>
      <c r="H2058" s="49"/>
      <c r="I2058" s="49"/>
      <c r="J2058" s="71"/>
      <c r="K2058" s="71"/>
      <c r="L2058" s="50"/>
      <c r="M2058" s="30"/>
      <c r="N2058" s="30"/>
      <c r="O2058" s="30"/>
      <c r="P2058" s="30"/>
      <c r="Q2058" s="30"/>
      <c r="R2058" s="30"/>
      <c r="S2058" s="30"/>
      <c r="T2058" s="30"/>
      <c r="U2058" s="30"/>
      <c r="V2058" s="30"/>
      <c r="W2058" s="30"/>
      <c r="X2058" s="30"/>
      <c r="Y2058" s="30"/>
      <c r="Z2058" s="30"/>
      <c r="AA2058" s="30"/>
      <c r="AB2058" s="30"/>
      <c r="AC2058" s="30"/>
      <c r="AD2058" s="30"/>
      <c r="AE2058" s="30"/>
    </row>
    <row r="2059" spans="1:31" ht="13">
      <c r="A2059" s="30"/>
      <c r="B2059" s="30"/>
      <c r="C2059" s="30"/>
      <c r="D2059" s="30"/>
      <c r="E2059" s="30"/>
      <c r="F2059" s="48"/>
      <c r="G2059" s="49"/>
      <c r="H2059" s="49"/>
      <c r="I2059" s="49"/>
      <c r="J2059" s="71"/>
      <c r="K2059" s="71"/>
      <c r="L2059" s="50"/>
      <c r="M2059" s="30"/>
      <c r="N2059" s="30"/>
      <c r="O2059" s="30"/>
      <c r="P2059" s="30"/>
      <c r="Q2059" s="30"/>
      <c r="R2059" s="30"/>
      <c r="S2059" s="30"/>
      <c r="T2059" s="30"/>
      <c r="U2059" s="30"/>
      <c r="V2059" s="30"/>
      <c r="W2059" s="30"/>
      <c r="X2059" s="30"/>
      <c r="Y2059" s="30"/>
      <c r="Z2059" s="30"/>
      <c r="AA2059" s="30"/>
      <c r="AB2059" s="30"/>
      <c r="AC2059" s="30"/>
      <c r="AD2059" s="30"/>
      <c r="AE2059" s="30"/>
    </row>
    <row r="2060" spans="1:31" ht="13">
      <c r="A2060" s="30"/>
      <c r="B2060" s="30"/>
      <c r="C2060" s="30"/>
      <c r="D2060" s="30"/>
      <c r="E2060" s="30"/>
      <c r="F2060" s="48"/>
      <c r="G2060" s="49"/>
      <c r="H2060" s="49"/>
      <c r="I2060" s="49"/>
      <c r="J2060" s="71"/>
      <c r="K2060" s="71"/>
      <c r="L2060" s="50"/>
      <c r="M2060" s="30"/>
      <c r="N2060" s="30"/>
      <c r="O2060" s="30"/>
      <c r="P2060" s="30"/>
      <c r="Q2060" s="30"/>
      <c r="R2060" s="30"/>
      <c r="S2060" s="30"/>
      <c r="T2060" s="30"/>
      <c r="U2060" s="30"/>
      <c r="V2060" s="30"/>
      <c r="W2060" s="30"/>
      <c r="X2060" s="30"/>
      <c r="Y2060" s="30"/>
      <c r="Z2060" s="30"/>
      <c r="AA2060" s="30"/>
      <c r="AB2060" s="30"/>
      <c r="AC2060" s="30"/>
      <c r="AD2060" s="30"/>
      <c r="AE2060" s="30"/>
    </row>
    <row r="2061" spans="1:31" ht="13">
      <c r="A2061" s="30"/>
      <c r="B2061" s="30"/>
      <c r="C2061" s="30"/>
      <c r="D2061" s="30"/>
      <c r="E2061" s="30"/>
      <c r="F2061" s="48"/>
      <c r="G2061" s="49"/>
      <c r="H2061" s="49"/>
      <c r="I2061" s="49"/>
      <c r="J2061" s="71"/>
      <c r="K2061" s="71"/>
      <c r="L2061" s="50"/>
      <c r="M2061" s="30"/>
      <c r="N2061" s="30"/>
      <c r="O2061" s="30"/>
      <c r="P2061" s="30"/>
      <c r="Q2061" s="30"/>
      <c r="R2061" s="30"/>
      <c r="S2061" s="30"/>
      <c r="T2061" s="30"/>
      <c r="U2061" s="30"/>
      <c r="V2061" s="30"/>
      <c r="W2061" s="30"/>
      <c r="X2061" s="30"/>
      <c r="Y2061" s="30"/>
      <c r="Z2061" s="30"/>
      <c r="AA2061" s="30"/>
      <c r="AB2061" s="30"/>
      <c r="AC2061" s="30"/>
      <c r="AD2061" s="30"/>
      <c r="AE2061" s="30"/>
    </row>
    <row r="2062" spans="1:31" ht="13">
      <c r="A2062" s="30"/>
      <c r="B2062" s="30"/>
      <c r="C2062" s="30"/>
      <c r="D2062" s="30"/>
      <c r="E2062" s="30"/>
      <c r="F2062" s="48"/>
      <c r="G2062" s="49"/>
      <c r="H2062" s="49"/>
      <c r="I2062" s="49"/>
      <c r="J2062" s="71"/>
      <c r="K2062" s="71"/>
      <c r="L2062" s="50"/>
      <c r="M2062" s="30"/>
      <c r="N2062" s="30"/>
      <c r="O2062" s="30"/>
      <c r="P2062" s="30"/>
      <c r="Q2062" s="30"/>
      <c r="R2062" s="30"/>
      <c r="S2062" s="30"/>
      <c r="T2062" s="30"/>
      <c r="U2062" s="30"/>
      <c r="V2062" s="30"/>
      <c r="W2062" s="30"/>
      <c r="X2062" s="30"/>
      <c r="Y2062" s="30"/>
      <c r="Z2062" s="30"/>
      <c r="AA2062" s="30"/>
      <c r="AB2062" s="30"/>
      <c r="AC2062" s="30"/>
      <c r="AD2062" s="30"/>
      <c r="AE2062" s="30"/>
    </row>
    <row r="2063" spans="1:31" ht="13">
      <c r="A2063" s="30"/>
      <c r="B2063" s="30"/>
      <c r="C2063" s="30"/>
      <c r="D2063" s="30"/>
      <c r="E2063" s="30"/>
      <c r="F2063" s="48"/>
      <c r="G2063" s="49"/>
      <c r="H2063" s="49"/>
      <c r="I2063" s="49"/>
      <c r="J2063" s="71"/>
      <c r="K2063" s="71"/>
      <c r="L2063" s="50"/>
      <c r="M2063" s="30"/>
      <c r="N2063" s="30"/>
      <c r="O2063" s="30"/>
      <c r="P2063" s="30"/>
      <c r="Q2063" s="30"/>
      <c r="R2063" s="30"/>
      <c r="S2063" s="30"/>
      <c r="T2063" s="30"/>
      <c r="U2063" s="30"/>
      <c r="V2063" s="30"/>
      <c r="W2063" s="30"/>
      <c r="X2063" s="30"/>
      <c r="Y2063" s="30"/>
      <c r="Z2063" s="30"/>
      <c r="AA2063" s="30"/>
      <c r="AB2063" s="30"/>
      <c r="AC2063" s="30"/>
      <c r="AD2063" s="30"/>
      <c r="AE2063" s="30"/>
    </row>
    <row r="2064" spans="1:31" ht="13">
      <c r="A2064" s="30"/>
      <c r="B2064" s="30"/>
      <c r="C2064" s="30"/>
      <c r="D2064" s="30"/>
      <c r="E2064" s="30"/>
      <c r="F2064" s="48"/>
      <c r="G2064" s="49"/>
      <c r="H2064" s="49"/>
      <c r="I2064" s="49"/>
      <c r="J2064" s="71"/>
      <c r="K2064" s="71"/>
      <c r="L2064" s="50"/>
      <c r="M2064" s="30"/>
      <c r="N2064" s="30"/>
      <c r="O2064" s="30"/>
      <c r="P2064" s="30"/>
      <c r="Q2064" s="30"/>
      <c r="R2064" s="30"/>
      <c r="S2064" s="30"/>
      <c r="T2064" s="30"/>
      <c r="U2064" s="30"/>
      <c r="V2064" s="30"/>
      <c r="W2064" s="30"/>
      <c r="X2064" s="30"/>
      <c r="Y2064" s="30"/>
      <c r="Z2064" s="30"/>
      <c r="AA2064" s="30"/>
      <c r="AB2064" s="30"/>
      <c r="AC2064" s="30"/>
      <c r="AD2064" s="30"/>
      <c r="AE2064" s="30"/>
    </row>
    <row r="2065" spans="1:31" ht="13">
      <c r="A2065" s="30"/>
      <c r="B2065" s="30"/>
      <c r="C2065" s="30"/>
      <c r="D2065" s="30"/>
      <c r="E2065" s="30"/>
      <c r="F2065" s="48"/>
      <c r="G2065" s="49"/>
      <c r="H2065" s="49"/>
      <c r="I2065" s="49"/>
      <c r="J2065" s="71"/>
      <c r="K2065" s="71"/>
      <c r="L2065" s="50"/>
      <c r="M2065" s="30"/>
      <c r="N2065" s="30"/>
      <c r="O2065" s="30"/>
      <c r="P2065" s="30"/>
      <c r="Q2065" s="30"/>
      <c r="R2065" s="30"/>
      <c r="S2065" s="30"/>
      <c r="T2065" s="30"/>
      <c r="U2065" s="30"/>
      <c r="V2065" s="30"/>
      <c r="W2065" s="30"/>
      <c r="X2065" s="30"/>
      <c r="Y2065" s="30"/>
      <c r="Z2065" s="30"/>
      <c r="AA2065" s="30"/>
      <c r="AB2065" s="30"/>
      <c r="AC2065" s="30"/>
      <c r="AD2065" s="30"/>
      <c r="AE2065" s="30"/>
    </row>
    <row r="2066" spans="1:31" ht="13">
      <c r="A2066" s="30"/>
      <c r="B2066" s="30"/>
      <c r="C2066" s="30"/>
      <c r="D2066" s="30"/>
      <c r="E2066" s="30"/>
      <c r="F2066" s="48"/>
      <c r="G2066" s="49"/>
      <c r="H2066" s="49"/>
      <c r="I2066" s="49"/>
      <c r="J2066" s="71"/>
      <c r="K2066" s="71"/>
      <c r="L2066" s="50"/>
      <c r="M2066" s="30"/>
      <c r="N2066" s="30"/>
      <c r="O2066" s="30"/>
      <c r="P2066" s="30"/>
      <c r="Q2066" s="30"/>
      <c r="R2066" s="30"/>
      <c r="S2066" s="30"/>
      <c r="T2066" s="30"/>
      <c r="U2066" s="30"/>
      <c r="V2066" s="30"/>
      <c r="W2066" s="30"/>
      <c r="X2066" s="30"/>
      <c r="Y2066" s="30"/>
      <c r="Z2066" s="30"/>
      <c r="AA2066" s="30"/>
      <c r="AB2066" s="30"/>
      <c r="AC2066" s="30"/>
      <c r="AD2066" s="30"/>
      <c r="AE2066" s="30"/>
    </row>
    <row r="2067" spans="1:31" ht="13">
      <c r="A2067" s="30"/>
      <c r="B2067" s="30"/>
      <c r="C2067" s="30"/>
      <c r="D2067" s="30"/>
      <c r="E2067" s="30"/>
      <c r="F2067" s="48"/>
      <c r="G2067" s="49"/>
      <c r="H2067" s="49"/>
      <c r="I2067" s="49"/>
      <c r="J2067" s="71"/>
      <c r="K2067" s="71"/>
      <c r="L2067" s="50"/>
      <c r="M2067" s="30"/>
      <c r="N2067" s="30"/>
      <c r="O2067" s="30"/>
      <c r="P2067" s="30"/>
      <c r="Q2067" s="30"/>
      <c r="R2067" s="30"/>
      <c r="S2067" s="30"/>
      <c r="T2067" s="30"/>
      <c r="U2067" s="30"/>
      <c r="V2067" s="30"/>
      <c r="W2067" s="30"/>
      <c r="X2067" s="30"/>
      <c r="Y2067" s="30"/>
      <c r="Z2067" s="30"/>
      <c r="AA2067" s="30"/>
      <c r="AB2067" s="30"/>
      <c r="AC2067" s="30"/>
      <c r="AD2067" s="30"/>
      <c r="AE2067" s="30"/>
    </row>
    <row r="2068" spans="1:31" ht="13">
      <c r="A2068" s="30"/>
      <c r="B2068" s="30"/>
      <c r="C2068" s="30"/>
      <c r="D2068" s="30"/>
      <c r="E2068" s="30"/>
      <c r="F2068" s="48"/>
      <c r="G2068" s="49"/>
      <c r="H2068" s="49"/>
      <c r="I2068" s="49"/>
      <c r="J2068" s="71"/>
      <c r="K2068" s="71"/>
      <c r="L2068" s="50"/>
      <c r="M2068" s="30"/>
      <c r="N2068" s="30"/>
      <c r="O2068" s="30"/>
      <c r="P2068" s="30"/>
      <c r="Q2068" s="30"/>
      <c r="R2068" s="30"/>
      <c r="S2068" s="30"/>
      <c r="T2068" s="30"/>
      <c r="U2068" s="30"/>
      <c r="V2068" s="30"/>
      <c r="W2068" s="30"/>
      <c r="X2068" s="30"/>
      <c r="Y2068" s="30"/>
      <c r="Z2068" s="30"/>
      <c r="AA2068" s="30"/>
      <c r="AB2068" s="30"/>
      <c r="AC2068" s="30"/>
      <c r="AD2068" s="30"/>
      <c r="AE2068" s="30"/>
    </row>
    <row r="2069" spans="1:31" ht="13">
      <c r="A2069" s="30"/>
      <c r="B2069" s="30"/>
      <c r="C2069" s="30"/>
      <c r="D2069" s="30"/>
      <c r="E2069" s="30"/>
      <c r="F2069" s="48"/>
      <c r="G2069" s="49"/>
      <c r="H2069" s="49"/>
      <c r="I2069" s="49"/>
      <c r="J2069" s="71"/>
      <c r="K2069" s="71"/>
      <c r="L2069" s="50"/>
      <c r="M2069" s="30"/>
      <c r="N2069" s="30"/>
      <c r="O2069" s="30"/>
      <c r="P2069" s="30"/>
      <c r="Q2069" s="30"/>
      <c r="R2069" s="30"/>
      <c r="S2069" s="30"/>
      <c r="T2069" s="30"/>
      <c r="U2069" s="30"/>
      <c r="V2069" s="30"/>
      <c r="W2069" s="30"/>
      <c r="X2069" s="30"/>
      <c r="Y2069" s="30"/>
      <c r="Z2069" s="30"/>
      <c r="AA2069" s="30"/>
      <c r="AB2069" s="30"/>
      <c r="AC2069" s="30"/>
      <c r="AD2069" s="30"/>
      <c r="AE2069" s="30"/>
    </row>
    <row r="2070" spans="1:31" ht="13">
      <c r="A2070" s="30"/>
      <c r="B2070" s="30"/>
      <c r="C2070" s="30"/>
      <c r="D2070" s="30"/>
      <c r="E2070" s="30"/>
      <c r="F2070" s="48"/>
      <c r="G2070" s="49"/>
      <c r="H2070" s="49"/>
      <c r="I2070" s="49"/>
      <c r="J2070" s="71"/>
      <c r="K2070" s="71"/>
      <c r="L2070" s="50"/>
      <c r="M2070" s="30"/>
      <c r="N2070" s="30"/>
      <c r="O2070" s="30"/>
      <c r="P2070" s="30"/>
      <c r="Q2070" s="30"/>
      <c r="R2070" s="30"/>
      <c r="S2070" s="30"/>
      <c r="T2070" s="30"/>
      <c r="U2070" s="30"/>
      <c r="V2070" s="30"/>
      <c r="W2070" s="30"/>
      <c r="X2070" s="30"/>
      <c r="Y2070" s="30"/>
      <c r="Z2070" s="30"/>
      <c r="AA2070" s="30"/>
      <c r="AB2070" s="30"/>
      <c r="AC2070" s="30"/>
      <c r="AD2070" s="30"/>
      <c r="AE2070" s="30"/>
    </row>
    <row r="2071" spans="1:31" ht="13">
      <c r="A2071" s="30"/>
      <c r="B2071" s="30"/>
      <c r="C2071" s="30"/>
      <c r="D2071" s="30"/>
      <c r="E2071" s="30"/>
      <c r="F2071" s="48"/>
      <c r="G2071" s="49"/>
      <c r="H2071" s="49"/>
      <c r="I2071" s="49"/>
      <c r="J2071" s="71"/>
      <c r="K2071" s="71"/>
      <c r="L2071" s="50"/>
      <c r="M2071" s="30"/>
      <c r="N2071" s="30"/>
      <c r="O2071" s="30"/>
      <c r="P2071" s="30"/>
      <c r="Q2071" s="30"/>
      <c r="R2071" s="30"/>
      <c r="S2071" s="30"/>
      <c r="T2071" s="30"/>
      <c r="U2071" s="30"/>
      <c r="V2071" s="30"/>
      <c r="W2071" s="30"/>
      <c r="X2071" s="30"/>
      <c r="Y2071" s="30"/>
      <c r="Z2071" s="30"/>
      <c r="AA2071" s="30"/>
      <c r="AB2071" s="30"/>
      <c r="AC2071" s="30"/>
      <c r="AD2071" s="30"/>
      <c r="AE2071" s="30"/>
    </row>
    <row r="2072" spans="1:31" ht="13">
      <c r="A2072" s="30"/>
      <c r="B2072" s="30"/>
      <c r="C2072" s="30"/>
      <c r="D2072" s="30"/>
      <c r="E2072" s="30"/>
      <c r="F2072" s="48"/>
      <c r="G2072" s="49"/>
      <c r="H2072" s="49"/>
      <c r="I2072" s="49"/>
      <c r="J2072" s="71"/>
      <c r="K2072" s="71"/>
      <c r="L2072" s="50"/>
      <c r="M2072" s="30"/>
      <c r="N2072" s="30"/>
      <c r="O2072" s="30"/>
      <c r="P2072" s="30"/>
      <c r="Q2072" s="30"/>
      <c r="R2072" s="30"/>
      <c r="S2072" s="30"/>
      <c r="T2072" s="30"/>
      <c r="U2072" s="30"/>
      <c r="V2072" s="30"/>
      <c r="W2072" s="30"/>
      <c r="X2072" s="30"/>
      <c r="Y2072" s="30"/>
      <c r="Z2072" s="30"/>
      <c r="AA2072" s="30"/>
      <c r="AB2072" s="30"/>
      <c r="AC2072" s="30"/>
      <c r="AD2072" s="30"/>
      <c r="AE2072" s="30"/>
    </row>
    <row r="2073" spans="1:31" ht="13">
      <c r="A2073" s="30"/>
      <c r="B2073" s="30"/>
      <c r="C2073" s="30"/>
      <c r="D2073" s="30"/>
      <c r="E2073" s="30"/>
      <c r="F2073" s="48"/>
      <c r="G2073" s="49"/>
      <c r="H2073" s="49"/>
      <c r="I2073" s="49"/>
      <c r="J2073" s="71"/>
      <c r="K2073" s="71"/>
      <c r="L2073" s="50"/>
      <c r="M2073" s="30"/>
      <c r="N2073" s="30"/>
      <c r="O2073" s="30"/>
      <c r="P2073" s="30"/>
      <c r="Q2073" s="30"/>
      <c r="R2073" s="30"/>
      <c r="S2073" s="30"/>
      <c r="T2073" s="30"/>
      <c r="U2073" s="30"/>
      <c r="V2073" s="30"/>
      <c r="W2073" s="30"/>
      <c r="X2073" s="30"/>
      <c r="Y2073" s="30"/>
      <c r="Z2073" s="30"/>
      <c r="AA2073" s="30"/>
      <c r="AB2073" s="30"/>
      <c r="AC2073" s="30"/>
      <c r="AD2073" s="30"/>
      <c r="AE2073" s="30"/>
    </row>
    <row r="2074" spans="1:31" ht="13">
      <c r="A2074" s="30"/>
      <c r="B2074" s="30"/>
      <c r="C2074" s="30"/>
      <c r="D2074" s="30"/>
      <c r="E2074" s="30"/>
      <c r="F2074" s="48"/>
      <c r="G2074" s="49"/>
      <c r="H2074" s="49"/>
      <c r="I2074" s="49"/>
      <c r="J2074" s="71"/>
      <c r="K2074" s="71"/>
      <c r="L2074" s="50"/>
      <c r="M2074" s="30"/>
      <c r="N2074" s="30"/>
      <c r="O2074" s="30"/>
      <c r="P2074" s="30"/>
      <c r="Q2074" s="30"/>
      <c r="R2074" s="30"/>
      <c r="S2074" s="30"/>
      <c r="T2074" s="30"/>
      <c r="U2074" s="30"/>
      <c r="V2074" s="30"/>
      <c r="W2074" s="30"/>
      <c r="X2074" s="30"/>
      <c r="Y2074" s="30"/>
      <c r="Z2074" s="30"/>
      <c r="AA2074" s="30"/>
      <c r="AB2074" s="30"/>
      <c r="AC2074" s="30"/>
      <c r="AD2074" s="30"/>
      <c r="AE2074" s="30"/>
    </row>
    <row r="2075" spans="1:31" ht="13">
      <c r="A2075" s="30"/>
      <c r="B2075" s="30"/>
      <c r="C2075" s="30"/>
      <c r="D2075" s="30"/>
      <c r="E2075" s="30"/>
      <c r="F2075" s="48"/>
      <c r="G2075" s="49"/>
      <c r="H2075" s="49"/>
      <c r="I2075" s="49"/>
      <c r="J2075" s="71"/>
      <c r="K2075" s="71"/>
      <c r="L2075" s="50"/>
      <c r="M2075" s="30"/>
      <c r="N2075" s="30"/>
      <c r="O2075" s="30"/>
      <c r="P2075" s="30"/>
      <c r="Q2075" s="30"/>
      <c r="R2075" s="30"/>
      <c r="S2075" s="30"/>
      <c r="T2075" s="30"/>
      <c r="U2075" s="30"/>
      <c r="V2075" s="30"/>
      <c r="W2075" s="30"/>
      <c r="X2075" s="30"/>
      <c r="Y2075" s="30"/>
      <c r="Z2075" s="30"/>
      <c r="AA2075" s="30"/>
      <c r="AB2075" s="30"/>
      <c r="AC2075" s="30"/>
      <c r="AD2075" s="30"/>
      <c r="AE2075" s="30"/>
    </row>
    <row r="2076" spans="1:31" ht="13">
      <c r="A2076" s="30"/>
      <c r="B2076" s="30"/>
      <c r="C2076" s="30"/>
      <c r="D2076" s="30"/>
      <c r="E2076" s="30"/>
      <c r="F2076" s="48"/>
      <c r="G2076" s="49"/>
      <c r="H2076" s="49"/>
      <c r="I2076" s="49"/>
      <c r="J2076" s="71"/>
      <c r="K2076" s="71"/>
      <c r="L2076" s="50"/>
      <c r="M2076" s="30"/>
      <c r="N2076" s="30"/>
      <c r="O2076" s="30"/>
      <c r="P2076" s="30"/>
      <c r="Q2076" s="30"/>
      <c r="R2076" s="30"/>
      <c r="S2076" s="30"/>
      <c r="T2076" s="30"/>
      <c r="U2076" s="30"/>
      <c r="V2076" s="30"/>
      <c r="W2076" s="30"/>
      <c r="X2076" s="30"/>
      <c r="Y2076" s="30"/>
      <c r="Z2076" s="30"/>
      <c r="AA2076" s="30"/>
      <c r="AB2076" s="30"/>
      <c r="AC2076" s="30"/>
      <c r="AD2076" s="30"/>
      <c r="AE2076" s="30"/>
    </row>
    <row r="2077" spans="1:31" ht="13">
      <c r="A2077" s="30"/>
      <c r="B2077" s="30"/>
      <c r="C2077" s="30"/>
      <c r="D2077" s="30"/>
      <c r="E2077" s="30"/>
      <c r="F2077" s="48"/>
      <c r="G2077" s="49"/>
      <c r="H2077" s="49"/>
      <c r="I2077" s="49"/>
      <c r="J2077" s="71"/>
      <c r="K2077" s="71"/>
      <c r="L2077" s="50"/>
      <c r="M2077" s="30"/>
      <c r="N2077" s="30"/>
      <c r="O2077" s="30"/>
      <c r="P2077" s="30"/>
      <c r="Q2077" s="30"/>
      <c r="R2077" s="30"/>
      <c r="S2077" s="30"/>
      <c r="T2077" s="30"/>
      <c r="U2077" s="30"/>
      <c r="V2077" s="30"/>
      <c r="W2077" s="30"/>
      <c r="X2077" s="30"/>
      <c r="Y2077" s="30"/>
      <c r="Z2077" s="30"/>
      <c r="AA2077" s="30"/>
      <c r="AB2077" s="30"/>
      <c r="AC2077" s="30"/>
      <c r="AD2077" s="30"/>
      <c r="AE2077" s="30"/>
    </row>
    <row r="2078" spans="1:31" ht="13">
      <c r="A2078" s="30"/>
      <c r="B2078" s="30"/>
      <c r="C2078" s="30"/>
      <c r="D2078" s="30"/>
      <c r="E2078" s="30"/>
      <c r="F2078" s="48"/>
      <c r="G2078" s="49"/>
      <c r="H2078" s="49"/>
      <c r="I2078" s="49"/>
      <c r="J2078" s="71"/>
      <c r="K2078" s="71"/>
      <c r="L2078" s="50"/>
      <c r="M2078" s="30"/>
      <c r="N2078" s="30"/>
      <c r="O2078" s="30"/>
      <c r="P2078" s="30"/>
      <c r="Q2078" s="30"/>
      <c r="R2078" s="30"/>
      <c r="S2078" s="30"/>
      <c r="T2078" s="30"/>
      <c r="U2078" s="30"/>
      <c r="V2078" s="30"/>
      <c r="W2078" s="30"/>
      <c r="X2078" s="30"/>
      <c r="Y2078" s="30"/>
      <c r="Z2078" s="30"/>
      <c r="AA2078" s="30"/>
      <c r="AB2078" s="30"/>
      <c r="AC2078" s="30"/>
      <c r="AD2078" s="30"/>
      <c r="AE2078" s="30"/>
    </row>
    <row r="2079" spans="1:31" ht="13">
      <c r="A2079" s="30"/>
      <c r="B2079" s="30"/>
      <c r="C2079" s="30"/>
      <c r="D2079" s="30"/>
      <c r="E2079" s="30"/>
      <c r="F2079" s="48"/>
      <c r="G2079" s="49"/>
      <c r="H2079" s="49"/>
      <c r="I2079" s="49"/>
      <c r="J2079" s="71"/>
      <c r="K2079" s="71"/>
      <c r="L2079" s="50"/>
      <c r="M2079" s="30"/>
      <c r="N2079" s="30"/>
      <c r="O2079" s="30"/>
      <c r="P2079" s="30"/>
      <c r="Q2079" s="30"/>
      <c r="R2079" s="30"/>
      <c r="S2079" s="30"/>
      <c r="T2079" s="30"/>
      <c r="U2079" s="30"/>
      <c r="V2079" s="30"/>
      <c r="W2079" s="30"/>
      <c r="X2079" s="30"/>
      <c r="Y2079" s="30"/>
      <c r="Z2079" s="30"/>
      <c r="AA2079" s="30"/>
      <c r="AB2079" s="30"/>
      <c r="AC2079" s="30"/>
      <c r="AD2079" s="30"/>
      <c r="AE2079" s="30"/>
    </row>
    <row r="2080" spans="1:31" ht="13">
      <c r="A2080" s="30"/>
      <c r="B2080" s="30"/>
      <c r="C2080" s="30"/>
      <c r="D2080" s="30"/>
      <c r="E2080" s="30"/>
      <c r="F2080" s="48"/>
      <c r="G2080" s="49"/>
      <c r="H2080" s="49"/>
      <c r="I2080" s="49"/>
      <c r="J2080" s="71"/>
      <c r="K2080" s="71"/>
      <c r="L2080" s="50"/>
      <c r="M2080" s="30"/>
      <c r="N2080" s="30"/>
      <c r="O2080" s="30"/>
      <c r="P2080" s="30"/>
      <c r="Q2080" s="30"/>
      <c r="R2080" s="30"/>
      <c r="S2080" s="30"/>
      <c r="T2080" s="30"/>
      <c r="U2080" s="30"/>
      <c r="V2080" s="30"/>
      <c r="W2080" s="30"/>
      <c r="X2080" s="30"/>
      <c r="Y2080" s="30"/>
      <c r="Z2080" s="30"/>
      <c r="AA2080" s="30"/>
      <c r="AB2080" s="30"/>
      <c r="AC2080" s="30"/>
      <c r="AD2080" s="30"/>
      <c r="AE2080" s="30"/>
    </row>
    <row r="2081" spans="1:31" ht="13">
      <c r="A2081" s="30"/>
      <c r="B2081" s="30"/>
      <c r="C2081" s="30"/>
      <c r="D2081" s="30"/>
      <c r="E2081" s="30"/>
      <c r="F2081" s="48"/>
      <c r="G2081" s="49"/>
      <c r="H2081" s="49"/>
      <c r="I2081" s="49"/>
      <c r="J2081" s="71"/>
      <c r="K2081" s="71"/>
      <c r="L2081" s="50"/>
      <c r="M2081" s="30"/>
      <c r="N2081" s="30"/>
      <c r="O2081" s="30"/>
      <c r="P2081" s="30"/>
      <c r="Q2081" s="30"/>
      <c r="R2081" s="30"/>
      <c r="S2081" s="30"/>
      <c r="T2081" s="30"/>
      <c r="U2081" s="30"/>
      <c r="V2081" s="30"/>
      <c r="W2081" s="30"/>
      <c r="X2081" s="30"/>
      <c r="Y2081" s="30"/>
      <c r="Z2081" s="30"/>
      <c r="AA2081" s="30"/>
      <c r="AB2081" s="30"/>
      <c r="AC2081" s="30"/>
      <c r="AD2081" s="30"/>
      <c r="AE2081" s="30"/>
    </row>
    <row r="2082" spans="1:31" ht="13">
      <c r="A2082" s="30"/>
      <c r="B2082" s="30"/>
      <c r="C2082" s="30"/>
      <c r="D2082" s="30"/>
      <c r="E2082" s="30"/>
      <c r="F2082" s="48"/>
      <c r="G2082" s="49"/>
      <c r="H2082" s="49"/>
      <c r="I2082" s="49"/>
      <c r="J2082" s="71"/>
      <c r="K2082" s="71"/>
      <c r="L2082" s="50"/>
      <c r="M2082" s="30"/>
      <c r="N2082" s="30"/>
      <c r="O2082" s="30"/>
      <c r="P2082" s="30"/>
      <c r="Q2082" s="30"/>
      <c r="R2082" s="30"/>
      <c r="S2082" s="30"/>
      <c r="T2082" s="30"/>
      <c r="U2082" s="30"/>
      <c r="V2082" s="30"/>
      <c r="W2082" s="30"/>
      <c r="X2082" s="30"/>
      <c r="Y2082" s="30"/>
      <c r="Z2082" s="30"/>
      <c r="AA2082" s="30"/>
      <c r="AB2082" s="30"/>
      <c r="AC2082" s="30"/>
      <c r="AD2082" s="30"/>
      <c r="AE2082" s="30"/>
    </row>
    <row r="2083" spans="1:31" ht="13">
      <c r="A2083" s="30"/>
      <c r="B2083" s="30"/>
      <c r="C2083" s="30"/>
      <c r="D2083" s="30"/>
      <c r="E2083" s="30"/>
      <c r="F2083" s="48"/>
      <c r="G2083" s="49"/>
      <c r="H2083" s="49"/>
      <c r="I2083" s="49"/>
      <c r="J2083" s="71"/>
      <c r="K2083" s="71"/>
      <c r="L2083" s="50"/>
      <c r="M2083" s="30"/>
      <c r="N2083" s="30"/>
      <c r="O2083" s="30"/>
      <c r="P2083" s="30"/>
      <c r="Q2083" s="30"/>
      <c r="R2083" s="30"/>
      <c r="S2083" s="30"/>
      <c r="T2083" s="30"/>
      <c r="U2083" s="30"/>
      <c r="V2083" s="30"/>
      <c r="W2083" s="30"/>
      <c r="X2083" s="30"/>
      <c r="Y2083" s="30"/>
      <c r="Z2083" s="30"/>
      <c r="AA2083" s="30"/>
      <c r="AB2083" s="30"/>
      <c r="AC2083" s="30"/>
      <c r="AD2083" s="30"/>
      <c r="AE2083" s="30"/>
    </row>
    <row r="2084" spans="1:31" ht="13">
      <c r="A2084" s="30"/>
      <c r="B2084" s="30"/>
      <c r="C2084" s="30"/>
      <c r="D2084" s="30"/>
      <c r="E2084" s="30"/>
      <c r="F2084" s="48"/>
      <c r="G2084" s="49"/>
      <c r="H2084" s="49"/>
      <c r="I2084" s="49"/>
      <c r="J2084" s="71"/>
      <c r="K2084" s="71"/>
      <c r="L2084" s="50"/>
      <c r="M2084" s="30"/>
      <c r="N2084" s="30"/>
      <c r="O2084" s="30"/>
      <c r="P2084" s="30"/>
      <c r="Q2084" s="30"/>
      <c r="R2084" s="30"/>
      <c r="S2084" s="30"/>
      <c r="T2084" s="30"/>
      <c r="U2084" s="30"/>
      <c r="V2084" s="30"/>
      <c r="W2084" s="30"/>
      <c r="X2084" s="30"/>
      <c r="Y2084" s="30"/>
      <c r="Z2084" s="30"/>
      <c r="AA2084" s="30"/>
      <c r="AB2084" s="30"/>
      <c r="AC2084" s="30"/>
      <c r="AD2084" s="30"/>
      <c r="AE2084" s="30"/>
    </row>
    <row r="2085" spans="1:31" ht="13">
      <c r="A2085" s="30"/>
      <c r="B2085" s="30"/>
      <c r="C2085" s="30"/>
      <c r="D2085" s="30"/>
      <c r="E2085" s="30"/>
      <c r="F2085" s="48"/>
      <c r="G2085" s="49"/>
      <c r="H2085" s="49"/>
      <c r="I2085" s="49"/>
      <c r="J2085" s="71"/>
      <c r="K2085" s="71"/>
      <c r="L2085" s="50"/>
      <c r="M2085" s="30"/>
      <c r="N2085" s="30"/>
      <c r="O2085" s="30"/>
      <c r="P2085" s="30"/>
      <c r="Q2085" s="30"/>
      <c r="R2085" s="30"/>
      <c r="S2085" s="30"/>
      <c r="T2085" s="30"/>
      <c r="U2085" s="30"/>
      <c r="V2085" s="30"/>
      <c r="W2085" s="30"/>
      <c r="X2085" s="30"/>
      <c r="Y2085" s="30"/>
      <c r="Z2085" s="30"/>
      <c r="AA2085" s="30"/>
      <c r="AB2085" s="30"/>
      <c r="AC2085" s="30"/>
      <c r="AD2085" s="30"/>
      <c r="AE2085" s="30"/>
    </row>
    <row r="2086" spans="1:31" ht="13">
      <c r="A2086" s="30"/>
      <c r="B2086" s="30"/>
      <c r="C2086" s="30"/>
      <c r="D2086" s="30"/>
      <c r="E2086" s="30"/>
      <c r="F2086" s="48"/>
      <c r="G2086" s="49"/>
      <c r="H2086" s="49"/>
      <c r="I2086" s="49"/>
      <c r="J2086" s="71"/>
      <c r="K2086" s="71"/>
      <c r="L2086" s="50"/>
      <c r="M2086" s="30"/>
      <c r="N2086" s="30"/>
      <c r="O2086" s="30"/>
      <c r="P2086" s="30"/>
      <c r="Q2086" s="30"/>
      <c r="R2086" s="30"/>
      <c r="S2086" s="30"/>
      <c r="T2086" s="30"/>
      <c r="U2086" s="30"/>
      <c r="V2086" s="30"/>
      <c r="W2086" s="30"/>
      <c r="X2086" s="30"/>
      <c r="Y2086" s="30"/>
      <c r="Z2086" s="30"/>
      <c r="AA2086" s="30"/>
      <c r="AB2086" s="30"/>
      <c r="AC2086" s="30"/>
      <c r="AD2086" s="30"/>
      <c r="AE2086" s="30"/>
    </row>
    <row r="2087" spans="1:31" ht="13">
      <c r="A2087" s="30"/>
      <c r="B2087" s="30"/>
      <c r="C2087" s="30"/>
      <c r="D2087" s="30"/>
      <c r="E2087" s="30"/>
      <c r="F2087" s="48"/>
      <c r="G2087" s="49"/>
      <c r="H2087" s="49"/>
      <c r="I2087" s="49"/>
      <c r="J2087" s="71"/>
      <c r="K2087" s="71"/>
      <c r="L2087" s="50"/>
      <c r="M2087" s="30"/>
      <c r="N2087" s="30"/>
      <c r="O2087" s="30"/>
      <c r="P2087" s="30"/>
      <c r="Q2087" s="30"/>
      <c r="R2087" s="30"/>
      <c r="S2087" s="30"/>
      <c r="T2087" s="30"/>
      <c r="U2087" s="30"/>
      <c r="V2087" s="30"/>
      <c r="W2087" s="30"/>
      <c r="X2087" s="30"/>
      <c r="Y2087" s="30"/>
      <c r="Z2087" s="30"/>
      <c r="AA2087" s="30"/>
      <c r="AB2087" s="30"/>
      <c r="AC2087" s="30"/>
      <c r="AD2087" s="30"/>
      <c r="AE2087" s="30"/>
    </row>
    <row r="2088" spans="1:31" ht="13">
      <c r="A2088" s="30"/>
      <c r="B2088" s="30"/>
      <c r="C2088" s="30"/>
      <c r="D2088" s="30"/>
      <c r="E2088" s="30"/>
      <c r="F2088" s="48"/>
      <c r="G2088" s="49"/>
      <c r="H2088" s="49"/>
      <c r="I2088" s="49"/>
      <c r="J2088" s="71"/>
      <c r="K2088" s="71"/>
      <c r="L2088" s="50"/>
      <c r="M2088" s="30"/>
      <c r="N2088" s="30"/>
      <c r="O2088" s="30"/>
      <c r="P2088" s="30"/>
      <c r="Q2088" s="30"/>
      <c r="R2088" s="30"/>
      <c r="S2088" s="30"/>
      <c r="T2088" s="30"/>
      <c r="U2088" s="30"/>
      <c r="V2088" s="30"/>
      <c r="W2088" s="30"/>
      <c r="X2088" s="30"/>
      <c r="Y2088" s="30"/>
      <c r="Z2088" s="30"/>
      <c r="AA2088" s="30"/>
      <c r="AB2088" s="30"/>
      <c r="AC2088" s="30"/>
      <c r="AD2088" s="30"/>
      <c r="AE2088" s="30"/>
    </row>
    <row r="2089" spans="1:31" ht="13">
      <c r="A2089" s="30"/>
      <c r="B2089" s="30"/>
      <c r="C2089" s="30"/>
      <c r="D2089" s="30"/>
      <c r="E2089" s="30"/>
      <c r="F2089" s="48"/>
      <c r="G2089" s="49"/>
      <c r="H2089" s="49"/>
      <c r="I2089" s="49"/>
      <c r="J2089" s="71"/>
      <c r="K2089" s="71"/>
      <c r="L2089" s="50"/>
      <c r="M2089" s="30"/>
      <c r="N2089" s="30"/>
      <c r="O2089" s="30"/>
      <c r="P2089" s="30"/>
      <c r="Q2089" s="30"/>
      <c r="R2089" s="30"/>
      <c r="S2089" s="30"/>
      <c r="T2089" s="30"/>
      <c r="U2089" s="30"/>
      <c r="V2089" s="30"/>
      <c r="W2089" s="30"/>
      <c r="X2089" s="30"/>
      <c r="Y2089" s="30"/>
      <c r="Z2089" s="30"/>
      <c r="AA2089" s="30"/>
      <c r="AB2089" s="30"/>
      <c r="AC2089" s="30"/>
      <c r="AD2089" s="30"/>
      <c r="AE2089" s="30"/>
    </row>
    <row r="2090" spans="1:31" ht="13">
      <c r="A2090" s="30"/>
      <c r="B2090" s="30"/>
      <c r="C2090" s="30"/>
      <c r="D2090" s="30"/>
      <c r="E2090" s="30"/>
      <c r="F2090" s="48"/>
      <c r="G2090" s="49"/>
      <c r="H2090" s="49"/>
      <c r="I2090" s="49"/>
      <c r="J2090" s="71"/>
      <c r="K2090" s="71"/>
      <c r="L2090" s="50"/>
      <c r="M2090" s="30"/>
      <c r="N2090" s="30"/>
      <c r="O2090" s="30"/>
      <c r="P2090" s="30"/>
      <c r="Q2090" s="30"/>
      <c r="R2090" s="30"/>
      <c r="S2090" s="30"/>
      <c r="T2090" s="30"/>
      <c r="U2090" s="30"/>
      <c r="V2090" s="30"/>
      <c r="W2090" s="30"/>
      <c r="X2090" s="30"/>
      <c r="Y2090" s="30"/>
      <c r="Z2090" s="30"/>
      <c r="AA2090" s="30"/>
      <c r="AB2090" s="30"/>
      <c r="AC2090" s="30"/>
      <c r="AD2090" s="30"/>
      <c r="AE2090" s="30"/>
    </row>
    <row r="2091" spans="1:31" ht="13">
      <c r="A2091" s="30"/>
      <c r="B2091" s="30"/>
      <c r="C2091" s="30"/>
      <c r="D2091" s="30"/>
      <c r="E2091" s="30"/>
      <c r="F2091" s="48"/>
      <c r="G2091" s="49"/>
      <c r="H2091" s="49"/>
      <c r="I2091" s="49"/>
      <c r="J2091" s="71"/>
      <c r="K2091" s="71"/>
      <c r="L2091" s="50"/>
      <c r="M2091" s="30"/>
      <c r="N2091" s="30"/>
      <c r="O2091" s="30"/>
      <c r="P2091" s="30"/>
      <c r="Q2091" s="30"/>
      <c r="R2091" s="30"/>
      <c r="S2091" s="30"/>
      <c r="T2091" s="30"/>
      <c r="U2091" s="30"/>
      <c r="V2091" s="30"/>
      <c r="W2091" s="30"/>
      <c r="X2091" s="30"/>
      <c r="Y2091" s="30"/>
      <c r="Z2091" s="30"/>
      <c r="AA2091" s="30"/>
      <c r="AB2091" s="30"/>
      <c r="AC2091" s="30"/>
      <c r="AD2091" s="30"/>
      <c r="AE2091" s="30"/>
    </row>
    <row r="2092" spans="1:31" ht="13">
      <c r="A2092" s="30"/>
      <c r="B2092" s="30"/>
      <c r="C2092" s="30"/>
      <c r="D2092" s="30"/>
      <c r="E2092" s="30"/>
      <c r="F2092" s="48"/>
      <c r="G2092" s="49"/>
      <c r="H2092" s="49"/>
      <c r="I2092" s="49"/>
      <c r="J2092" s="71"/>
      <c r="K2092" s="71"/>
      <c r="L2092" s="50"/>
      <c r="M2092" s="30"/>
      <c r="N2092" s="30"/>
      <c r="O2092" s="30"/>
      <c r="P2092" s="30"/>
      <c r="Q2092" s="30"/>
      <c r="R2092" s="30"/>
      <c r="S2092" s="30"/>
      <c r="T2092" s="30"/>
      <c r="U2092" s="30"/>
      <c r="V2092" s="30"/>
      <c r="W2092" s="30"/>
      <c r="X2092" s="30"/>
      <c r="Y2092" s="30"/>
      <c r="Z2092" s="30"/>
      <c r="AA2092" s="30"/>
      <c r="AB2092" s="30"/>
      <c r="AC2092" s="30"/>
      <c r="AD2092" s="30"/>
      <c r="AE2092" s="30"/>
    </row>
    <row r="2093" spans="1:31" ht="13">
      <c r="A2093" s="30"/>
      <c r="B2093" s="30"/>
      <c r="C2093" s="30"/>
      <c r="D2093" s="30"/>
      <c r="E2093" s="30"/>
      <c r="F2093" s="48"/>
      <c r="G2093" s="49"/>
      <c r="H2093" s="49"/>
      <c r="I2093" s="49"/>
      <c r="J2093" s="71"/>
      <c r="K2093" s="71"/>
      <c r="L2093" s="50"/>
      <c r="M2093" s="30"/>
      <c r="N2093" s="30"/>
      <c r="O2093" s="30"/>
      <c r="P2093" s="30"/>
      <c r="Q2093" s="30"/>
      <c r="R2093" s="30"/>
      <c r="S2093" s="30"/>
      <c r="T2093" s="30"/>
      <c r="U2093" s="30"/>
      <c r="V2093" s="30"/>
      <c r="W2093" s="30"/>
      <c r="X2093" s="30"/>
      <c r="Y2093" s="30"/>
      <c r="Z2093" s="30"/>
      <c r="AA2093" s="30"/>
      <c r="AB2093" s="30"/>
      <c r="AC2093" s="30"/>
      <c r="AD2093" s="30"/>
      <c r="AE2093" s="30"/>
    </row>
    <row r="2094" spans="1:31" ht="13">
      <c r="A2094" s="30"/>
      <c r="B2094" s="30"/>
      <c r="C2094" s="30"/>
      <c r="D2094" s="30"/>
      <c r="E2094" s="30"/>
      <c r="F2094" s="48"/>
      <c r="G2094" s="49"/>
      <c r="H2094" s="49"/>
      <c r="I2094" s="49"/>
      <c r="J2094" s="71"/>
      <c r="K2094" s="71"/>
      <c r="L2094" s="50"/>
      <c r="M2094" s="30"/>
      <c r="N2094" s="30"/>
      <c r="O2094" s="30"/>
      <c r="P2094" s="30"/>
      <c r="Q2094" s="30"/>
      <c r="R2094" s="30"/>
      <c r="S2094" s="30"/>
      <c r="T2094" s="30"/>
      <c r="U2094" s="30"/>
      <c r="V2094" s="30"/>
      <c r="W2094" s="30"/>
      <c r="X2094" s="30"/>
      <c r="Y2094" s="30"/>
      <c r="Z2094" s="30"/>
      <c r="AA2094" s="30"/>
      <c r="AB2094" s="30"/>
      <c r="AC2094" s="30"/>
      <c r="AD2094" s="30"/>
      <c r="AE2094" s="30"/>
    </row>
    <row r="2095" spans="1:31" ht="13">
      <c r="A2095" s="30"/>
      <c r="B2095" s="30"/>
      <c r="C2095" s="30"/>
      <c r="D2095" s="30"/>
      <c r="E2095" s="30"/>
      <c r="F2095" s="48"/>
      <c r="G2095" s="49"/>
      <c r="H2095" s="49"/>
      <c r="I2095" s="49"/>
      <c r="J2095" s="71"/>
      <c r="K2095" s="71"/>
      <c r="L2095" s="50"/>
      <c r="M2095" s="30"/>
      <c r="N2095" s="30"/>
      <c r="O2095" s="30"/>
      <c r="P2095" s="30"/>
      <c r="Q2095" s="30"/>
      <c r="R2095" s="30"/>
      <c r="S2095" s="30"/>
      <c r="T2095" s="30"/>
      <c r="U2095" s="30"/>
      <c r="V2095" s="30"/>
      <c r="W2095" s="30"/>
      <c r="X2095" s="30"/>
      <c r="Y2095" s="30"/>
      <c r="Z2095" s="30"/>
      <c r="AA2095" s="30"/>
      <c r="AB2095" s="30"/>
      <c r="AC2095" s="30"/>
      <c r="AD2095" s="30"/>
      <c r="AE2095" s="30"/>
    </row>
    <row r="2096" spans="1:31" ht="13">
      <c r="A2096" s="30"/>
      <c r="B2096" s="30"/>
      <c r="C2096" s="30"/>
      <c r="D2096" s="30"/>
      <c r="E2096" s="30"/>
      <c r="F2096" s="48"/>
      <c r="G2096" s="49"/>
      <c r="H2096" s="49"/>
      <c r="I2096" s="49"/>
      <c r="J2096" s="71"/>
      <c r="K2096" s="71"/>
      <c r="L2096" s="50"/>
      <c r="M2096" s="30"/>
      <c r="N2096" s="30"/>
      <c r="O2096" s="30"/>
      <c r="P2096" s="30"/>
      <c r="Q2096" s="30"/>
      <c r="R2096" s="30"/>
      <c r="S2096" s="30"/>
      <c r="T2096" s="30"/>
      <c r="U2096" s="30"/>
      <c r="V2096" s="30"/>
      <c r="W2096" s="30"/>
      <c r="X2096" s="30"/>
      <c r="Y2096" s="30"/>
      <c r="Z2096" s="30"/>
      <c r="AA2096" s="30"/>
      <c r="AB2096" s="30"/>
      <c r="AC2096" s="30"/>
      <c r="AD2096" s="30"/>
      <c r="AE2096" s="30"/>
    </row>
    <row r="2097" spans="1:31" ht="13">
      <c r="A2097" s="30"/>
      <c r="B2097" s="30"/>
      <c r="C2097" s="30"/>
      <c r="D2097" s="30"/>
      <c r="E2097" s="30"/>
      <c r="F2097" s="48"/>
      <c r="G2097" s="49"/>
      <c r="H2097" s="49"/>
      <c r="I2097" s="49"/>
      <c r="J2097" s="71"/>
      <c r="K2097" s="71"/>
      <c r="L2097" s="50"/>
      <c r="M2097" s="30"/>
      <c r="N2097" s="30"/>
      <c r="O2097" s="30"/>
      <c r="P2097" s="30"/>
      <c r="Q2097" s="30"/>
      <c r="R2097" s="30"/>
      <c r="S2097" s="30"/>
      <c r="T2097" s="30"/>
      <c r="U2097" s="30"/>
      <c r="V2097" s="30"/>
      <c r="W2097" s="30"/>
      <c r="X2097" s="30"/>
      <c r="Y2097" s="30"/>
      <c r="Z2097" s="30"/>
      <c r="AA2097" s="30"/>
      <c r="AB2097" s="30"/>
      <c r="AC2097" s="30"/>
      <c r="AD2097" s="30"/>
      <c r="AE2097" s="30"/>
    </row>
    <row r="2098" spans="1:31" ht="13">
      <c r="A2098" s="30"/>
      <c r="B2098" s="30"/>
      <c r="C2098" s="30"/>
      <c r="D2098" s="30"/>
      <c r="E2098" s="30"/>
      <c r="F2098" s="48"/>
      <c r="G2098" s="49"/>
      <c r="H2098" s="49"/>
      <c r="I2098" s="49"/>
      <c r="J2098" s="71"/>
      <c r="K2098" s="71"/>
      <c r="L2098" s="50"/>
      <c r="M2098" s="30"/>
      <c r="N2098" s="30"/>
      <c r="O2098" s="30"/>
      <c r="P2098" s="30"/>
      <c r="Q2098" s="30"/>
      <c r="R2098" s="30"/>
      <c r="S2098" s="30"/>
      <c r="T2098" s="30"/>
      <c r="U2098" s="30"/>
      <c r="V2098" s="30"/>
      <c r="W2098" s="30"/>
      <c r="X2098" s="30"/>
      <c r="Y2098" s="30"/>
      <c r="Z2098" s="30"/>
      <c r="AA2098" s="30"/>
      <c r="AB2098" s="30"/>
      <c r="AC2098" s="30"/>
      <c r="AD2098" s="30"/>
      <c r="AE2098" s="30"/>
    </row>
    <row r="2099" spans="1:31" ht="13">
      <c r="A2099" s="30"/>
      <c r="B2099" s="30"/>
      <c r="C2099" s="30"/>
      <c r="D2099" s="30"/>
      <c r="E2099" s="30"/>
      <c r="F2099" s="48"/>
      <c r="G2099" s="49"/>
      <c r="H2099" s="49"/>
      <c r="I2099" s="49"/>
      <c r="J2099" s="71"/>
      <c r="K2099" s="71"/>
      <c r="L2099" s="50"/>
      <c r="M2099" s="30"/>
      <c r="N2099" s="30"/>
      <c r="O2099" s="30"/>
      <c r="P2099" s="30"/>
      <c r="Q2099" s="30"/>
      <c r="R2099" s="30"/>
      <c r="S2099" s="30"/>
      <c r="T2099" s="30"/>
      <c r="U2099" s="30"/>
      <c r="V2099" s="30"/>
      <c r="W2099" s="30"/>
      <c r="X2099" s="30"/>
      <c r="Y2099" s="30"/>
      <c r="Z2099" s="30"/>
      <c r="AA2099" s="30"/>
      <c r="AB2099" s="30"/>
      <c r="AC2099" s="30"/>
      <c r="AD2099" s="30"/>
      <c r="AE2099" s="30"/>
    </row>
    <row r="2100" spans="1:31" ht="13">
      <c r="A2100" s="30"/>
      <c r="B2100" s="30"/>
      <c r="C2100" s="30"/>
      <c r="D2100" s="30"/>
      <c r="E2100" s="30"/>
      <c r="F2100" s="48"/>
      <c r="G2100" s="49"/>
      <c r="H2100" s="49"/>
      <c r="I2100" s="49"/>
      <c r="J2100" s="71"/>
      <c r="K2100" s="71"/>
      <c r="L2100" s="50"/>
      <c r="M2100" s="30"/>
      <c r="N2100" s="30"/>
      <c r="O2100" s="30"/>
      <c r="P2100" s="30"/>
      <c r="Q2100" s="30"/>
      <c r="R2100" s="30"/>
      <c r="S2100" s="30"/>
      <c r="T2100" s="30"/>
      <c r="U2100" s="30"/>
      <c r="V2100" s="30"/>
      <c r="W2100" s="30"/>
      <c r="X2100" s="30"/>
      <c r="Y2100" s="30"/>
      <c r="Z2100" s="30"/>
      <c r="AA2100" s="30"/>
      <c r="AB2100" s="30"/>
      <c r="AC2100" s="30"/>
      <c r="AD2100" s="30"/>
      <c r="AE2100" s="30"/>
    </row>
    <row r="2101" spans="1:31" ht="13">
      <c r="A2101" s="30"/>
      <c r="B2101" s="30"/>
      <c r="C2101" s="30"/>
      <c r="D2101" s="30"/>
      <c r="E2101" s="30"/>
      <c r="F2101" s="48"/>
      <c r="G2101" s="49"/>
      <c r="H2101" s="49"/>
      <c r="I2101" s="49"/>
      <c r="J2101" s="71"/>
      <c r="K2101" s="71"/>
      <c r="L2101" s="50"/>
      <c r="M2101" s="30"/>
      <c r="N2101" s="30"/>
      <c r="O2101" s="30"/>
      <c r="P2101" s="30"/>
      <c r="Q2101" s="30"/>
      <c r="R2101" s="30"/>
      <c r="S2101" s="30"/>
      <c r="T2101" s="30"/>
      <c r="U2101" s="30"/>
      <c r="V2101" s="30"/>
      <c r="W2101" s="30"/>
      <c r="X2101" s="30"/>
      <c r="Y2101" s="30"/>
      <c r="Z2101" s="30"/>
      <c r="AA2101" s="30"/>
      <c r="AB2101" s="30"/>
      <c r="AC2101" s="30"/>
      <c r="AD2101" s="30"/>
      <c r="AE2101" s="30"/>
    </row>
    <row r="2102" spans="1:31" ht="13">
      <c r="A2102" s="30"/>
      <c r="B2102" s="30"/>
      <c r="C2102" s="30"/>
      <c r="D2102" s="30"/>
      <c r="E2102" s="30"/>
      <c r="F2102" s="48"/>
      <c r="G2102" s="49"/>
      <c r="H2102" s="49"/>
      <c r="I2102" s="49"/>
      <c r="J2102" s="71"/>
      <c r="K2102" s="71"/>
      <c r="L2102" s="50"/>
      <c r="M2102" s="30"/>
      <c r="N2102" s="30"/>
      <c r="O2102" s="30"/>
      <c r="P2102" s="30"/>
      <c r="Q2102" s="30"/>
      <c r="R2102" s="30"/>
      <c r="S2102" s="30"/>
      <c r="T2102" s="30"/>
      <c r="U2102" s="30"/>
      <c r="V2102" s="30"/>
      <c r="W2102" s="30"/>
      <c r="X2102" s="30"/>
      <c r="Y2102" s="30"/>
      <c r="Z2102" s="30"/>
      <c r="AA2102" s="30"/>
      <c r="AB2102" s="30"/>
      <c r="AC2102" s="30"/>
      <c r="AD2102" s="30"/>
      <c r="AE2102" s="30"/>
    </row>
    <row r="2103" spans="1:31" ht="13">
      <c r="A2103" s="30"/>
      <c r="B2103" s="30"/>
      <c r="C2103" s="30"/>
      <c r="D2103" s="30"/>
      <c r="E2103" s="30"/>
      <c r="F2103" s="48"/>
      <c r="G2103" s="49"/>
      <c r="H2103" s="49"/>
      <c r="I2103" s="49"/>
      <c r="J2103" s="71"/>
      <c r="K2103" s="71"/>
      <c r="L2103" s="50"/>
      <c r="M2103" s="30"/>
      <c r="N2103" s="30"/>
      <c r="O2103" s="30"/>
      <c r="P2103" s="30"/>
      <c r="Q2103" s="30"/>
      <c r="R2103" s="30"/>
      <c r="S2103" s="30"/>
      <c r="T2103" s="30"/>
      <c r="U2103" s="30"/>
      <c r="V2103" s="30"/>
      <c r="W2103" s="30"/>
      <c r="X2103" s="30"/>
      <c r="Y2103" s="30"/>
      <c r="Z2103" s="30"/>
      <c r="AA2103" s="30"/>
      <c r="AB2103" s="30"/>
      <c r="AC2103" s="30"/>
      <c r="AD2103" s="30"/>
      <c r="AE2103" s="30"/>
    </row>
    <row r="2104" spans="1:31" ht="13">
      <c r="A2104" s="30"/>
      <c r="B2104" s="30"/>
      <c r="C2104" s="30"/>
      <c r="D2104" s="30"/>
      <c r="E2104" s="30"/>
      <c r="F2104" s="48"/>
      <c r="G2104" s="49"/>
      <c r="H2104" s="49"/>
      <c r="I2104" s="49"/>
      <c r="J2104" s="71"/>
      <c r="K2104" s="71"/>
      <c r="L2104" s="50"/>
      <c r="M2104" s="30"/>
      <c r="N2104" s="30"/>
      <c r="O2104" s="30"/>
      <c r="P2104" s="30"/>
      <c r="Q2104" s="30"/>
      <c r="R2104" s="30"/>
      <c r="S2104" s="30"/>
      <c r="T2104" s="30"/>
      <c r="U2104" s="30"/>
      <c r="V2104" s="30"/>
      <c r="W2104" s="30"/>
      <c r="X2104" s="30"/>
      <c r="Y2104" s="30"/>
      <c r="Z2104" s="30"/>
      <c r="AA2104" s="30"/>
      <c r="AB2104" s="30"/>
      <c r="AC2104" s="30"/>
      <c r="AD2104" s="30"/>
      <c r="AE2104" s="30"/>
    </row>
    <row r="2105" spans="1:31" ht="13">
      <c r="A2105" s="30"/>
      <c r="B2105" s="30"/>
      <c r="C2105" s="30"/>
      <c r="D2105" s="30"/>
      <c r="E2105" s="30"/>
      <c r="F2105" s="48"/>
      <c r="G2105" s="49"/>
      <c r="H2105" s="49"/>
      <c r="I2105" s="49"/>
      <c r="J2105" s="71"/>
      <c r="K2105" s="71"/>
      <c r="L2105" s="50"/>
      <c r="M2105" s="30"/>
      <c r="N2105" s="30"/>
      <c r="O2105" s="30"/>
      <c r="P2105" s="30"/>
      <c r="Q2105" s="30"/>
      <c r="R2105" s="30"/>
      <c r="S2105" s="30"/>
      <c r="T2105" s="30"/>
      <c r="U2105" s="30"/>
      <c r="V2105" s="30"/>
      <c r="W2105" s="30"/>
      <c r="X2105" s="30"/>
      <c r="Y2105" s="30"/>
      <c r="Z2105" s="30"/>
      <c r="AA2105" s="30"/>
      <c r="AB2105" s="30"/>
      <c r="AC2105" s="30"/>
      <c r="AD2105" s="30"/>
      <c r="AE2105" s="30"/>
    </row>
    <row r="2106" spans="1:31" ht="13">
      <c r="A2106" s="30"/>
      <c r="B2106" s="30"/>
      <c r="C2106" s="30"/>
      <c r="D2106" s="30"/>
      <c r="E2106" s="30"/>
      <c r="F2106" s="48"/>
      <c r="G2106" s="49"/>
      <c r="H2106" s="49"/>
      <c r="I2106" s="49"/>
      <c r="J2106" s="71"/>
      <c r="K2106" s="71"/>
      <c r="L2106" s="50"/>
      <c r="M2106" s="30"/>
      <c r="N2106" s="30"/>
      <c r="O2106" s="30"/>
      <c r="P2106" s="30"/>
      <c r="Q2106" s="30"/>
      <c r="R2106" s="30"/>
      <c r="S2106" s="30"/>
      <c r="T2106" s="30"/>
      <c r="U2106" s="30"/>
      <c r="V2106" s="30"/>
      <c r="W2106" s="30"/>
      <c r="X2106" s="30"/>
      <c r="Y2106" s="30"/>
      <c r="Z2106" s="30"/>
      <c r="AA2106" s="30"/>
      <c r="AB2106" s="30"/>
      <c r="AC2106" s="30"/>
      <c r="AD2106" s="30"/>
      <c r="AE2106" s="30"/>
    </row>
    <row r="2107" spans="1:31" ht="13">
      <c r="A2107" s="30"/>
      <c r="B2107" s="30"/>
      <c r="C2107" s="30"/>
      <c r="D2107" s="30"/>
      <c r="E2107" s="30"/>
      <c r="F2107" s="48"/>
      <c r="G2107" s="49"/>
      <c r="H2107" s="49"/>
      <c r="I2107" s="49"/>
      <c r="J2107" s="71"/>
      <c r="K2107" s="71"/>
      <c r="L2107" s="50"/>
      <c r="M2107" s="30"/>
      <c r="N2107" s="30"/>
      <c r="O2107" s="30"/>
      <c r="P2107" s="30"/>
      <c r="Q2107" s="30"/>
      <c r="R2107" s="30"/>
      <c r="S2107" s="30"/>
      <c r="T2107" s="30"/>
      <c r="U2107" s="30"/>
      <c r="V2107" s="30"/>
      <c r="W2107" s="30"/>
      <c r="X2107" s="30"/>
      <c r="Y2107" s="30"/>
      <c r="Z2107" s="30"/>
      <c r="AA2107" s="30"/>
      <c r="AB2107" s="30"/>
      <c r="AC2107" s="30"/>
      <c r="AD2107" s="30"/>
      <c r="AE2107" s="30"/>
    </row>
    <row r="2108" spans="1:31" ht="13">
      <c r="A2108" s="30"/>
      <c r="B2108" s="30"/>
      <c r="C2108" s="30"/>
      <c r="D2108" s="30"/>
      <c r="E2108" s="30"/>
      <c r="F2108" s="48"/>
      <c r="G2108" s="49"/>
      <c r="H2108" s="49"/>
      <c r="I2108" s="49"/>
      <c r="J2108" s="71"/>
      <c r="K2108" s="71"/>
      <c r="L2108" s="50"/>
      <c r="M2108" s="30"/>
      <c r="N2108" s="30"/>
      <c r="O2108" s="30"/>
      <c r="P2108" s="30"/>
      <c r="Q2108" s="30"/>
      <c r="R2108" s="30"/>
      <c r="S2108" s="30"/>
      <c r="T2108" s="30"/>
      <c r="U2108" s="30"/>
      <c r="V2108" s="30"/>
      <c r="W2108" s="30"/>
      <c r="X2108" s="30"/>
      <c r="Y2108" s="30"/>
      <c r="Z2108" s="30"/>
      <c r="AA2108" s="30"/>
      <c r="AB2108" s="30"/>
      <c r="AC2108" s="30"/>
      <c r="AD2108" s="30"/>
      <c r="AE2108" s="30"/>
    </row>
    <row r="2109" spans="1:31" ht="13">
      <c r="A2109" s="30"/>
      <c r="B2109" s="30"/>
      <c r="C2109" s="30"/>
      <c r="D2109" s="30"/>
      <c r="E2109" s="30"/>
      <c r="F2109" s="48"/>
      <c r="G2109" s="49"/>
      <c r="H2109" s="49"/>
      <c r="I2109" s="49"/>
      <c r="J2109" s="71"/>
      <c r="K2109" s="71"/>
      <c r="L2109" s="50"/>
      <c r="M2109" s="30"/>
      <c r="N2109" s="30"/>
      <c r="O2109" s="30"/>
      <c r="P2109" s="30"/>
      <c r="Q2109" s="30"/>
      <c r="R2109" s="30"/>
      <c r="S2109" s="30"/>
      <c r="T2109" s="30"/>
      <c r="U2109" s="30"/>
      <c r="V2109" s="30"/>
      <c r="W2109" s="30"/>
      <c r="X2109" s="30"/>
      <c r="Y2109" s="30"/>
      <c r="Z2109" s="30"/>
      <c r="AA2109" s="30"/>
      <c r="AB2109" s="30"/>
      <c r="AC2109" s="30"/>
      <c r="AD2109" s="30"/>
      <c r="AE2109" s="30"/>
    </row>
    <row r="2110" spans="1:31" ht="13">
      <c r="A2110" s="30"/>
      <c r="B2110" s="30"/>
      <c r="C2110" s="30"/>
      <c r="D2110" s="30"/>
      <c r="E2110" s="30"/>
      <c r="F2110" s="48"/>
      <c r="G2110" s="49"/>
      <c r="H2110" s="49"/>
      <c r="I2110" s="49"/>
      <c r="J2110" s="71"/>
      <c r="K2110" s="71"/>
      <c r="L2110" s="50"/>
      <c r="M2110" s="30"/>
      <c r="N2110" s="30"/>
      <c r="O2110" s="30"/>
      <c r="P2110" s="30"/>
      <c r="Q2110" s="30"/>
      <c r="R2110" s="30"/>
      <c r="S2110" s="30"/>
      <c r="T2110" s="30"/>
      <c r="U2110" s="30"/>
      <c r="V2110" s="30"/>
      <c r="W2110" s="30"/>
      <c r="X2110" s="30"/>
      <c r="Y2110" s="30"/>
      <c r="Z2110" s="30"/>
      <c r="AA2110" s="30"/>
      <c r="AB2110" s="30"/>
      <c r="AC2110" s="30"/>
      <c r="AD2110" s="30"/>
      <c r="AE2110" s="30"/>
    </row>
    <row r="2111" spans="1:31" ht="13">
      <c r="A2111" s="30"/>
      <c r="B2111" s="30"/>
      <c r="C2111" s="30"/>
      <c r="D2111" s="30"/>
      <c r="E2111" s="30"/>
      <c r="F2111" s="48"/>
      <c r="G2111" s="49"/>
      <c r="H2111" s="49"/>
      <c r="I2111" s="49"/>
      <c r="J2111" s="71"/>
      <c r="K2111" s="71"/>
      <c r="L2111" s="50"/>
      <c r="M2111" s="30"/>
      <c r="N2111" s="30"/>
      <c r="O2111" s="30"/>
      <c r="P2111" s="30"/>
      <c r="Q2111" s="30"/>
      <c r="R2111" s="30"/>
      <c r="S2111" s="30"/>
      <c r="T2111" s="30"/>
      <c r="U2111" s="30"/>
      <c r="V2111" s="30"/>
      <c r="W2111" s="30"/>
      <c r="X2111" s="30"/>
      <c r="Y2111" s="30"/>
      <c r="Z2111" s="30"/>
      <c r="AA2111" s="30"/>
      <c r="AB2111" s="30"/>
      <c r="AC2111" s="30"/>
      <c r="AD2111" s="30"/>
      <c r="AE2111" s="30"/>
    </row>
    <row r="2112" spans="1:31" ht="13">
      <c r="A2112" s="30"/>
      <c r="B2112" s="30"/>
      <c r="C2112" s="30"/>
      <c r="D2112" s="30"/>
      <c r="E2112" s="30"/>
      <c r="F2112" s="48"/>
      <c r="G2112" s="49"/>
      <c r="H2112" s="49"/>
      <c r="I2112" s="49"/>
      <c r="J2112" s="71"/>
      <c r="K2112" s="71"/>
      <c r="L2112" s="50"/>
      <c r="M2112" s="30"/>
      <c r="N2112" s="30"/>
      <c r="O2112" s="30"/>
      <c r="P2112" s="30"/>
      <c r="Q2112" s="30"/>
      <c r="R2112" s="30"/>
      <c r="S2112" s="30"/>
      <c r="T2112" s="30"/>
      <c r="U2112" s="30"/>
      <c r="V2112" s="30"/>
      <c r="W2112" s="30"/>
      <c r="X2112" s="30"/>
      <c r="Y2112" s="30"/>
      <c r="Z2112" s="30"/>
      <c r="AA2112" s="30"/>
      <c r="AB2112" s="30"/>
      <c r="AC2112" s="30"/>
      <c r="AD2112" s="30"/>
      <c r="AE2112" s="30"/>
    </row>
    <row r="2113" spans="1:31" ht="13">
      <c r="A2113" s="30"/>
      <c r="B2113" s="30"/>
      <c r="C2113" s="30"/>
      <c r="D2113" s="30"/>
      <c r="E2113" s="30"/>
      <c r="F2113" s="48"/>
      <c r="G2113" s="49"/>
      <c r="H2113" s="49"/>
      <c r="I2113" s="49"/>
      <c r="J2113" s="71"/>
      <c r="K2113" s="71"/>
      <c r="L2113" s="50"/>
      <c r="M2113" s="30"/>
      <c r="N2113" s="30"/>
      <c r="O2113" s="30"/>
      <c r="P2113" s="30"/>
      <c r="Q2113" s="30"/>
      <c r="R2113" s="30"/>
      <c r="S2113" s="30"/>
      <c r="T2113" s="30"/>
      <c r="U2113" s="30"/>
      <c r="V2113" s="30"/>
      <c r="W2113" s="30"/>
      <c r="X2113" s="30"/>
      <c r="Y2113" s="30"/>
      <c r="Z2113" s="30"/>
      <c r="AA2113" s="30"/>
      <c r="AB2113" s="30"/>
      <c r="AC2113" s="30"/>
      <c r="AD2113" s="30"/>
      <c r="AE2113" s="30"/>
    </row>
    <row r="2114" spans="1:31" ht="13">
      <c r="A2114" s="30"/>
      <c r="B2114" s="30"/>
      <c r="C2114" s="30"/>
      <c r="D2114" s="30"/>
      <c r="E2114" s="30"/>
      <c r="F2114" s="48"/>
      <c r="G2114" s="49"/>
      <c r="H2114" s="49"/>
      <c r="I2114" s="49"/>
      <c r="J2114" s="71"/>
      <c r="K2114" s="71"/>
      <c r="L2114" s="50"/>
      <c r="M2114" s="30"/>
      <c r="N2114" s="30"/>
      <c r="O2114" s="30"/>
      <c r="P2114" s="30"/>
      <c r="Q2114" s="30"/>
      <c r="R2114" s="30"/>
      <c r="S2114" s="30"/>
      <c r="T2114" s="30"/>
      <c r="U2114" s="30"/>
      <c r="V2114" s="30"/>
      <c r="W2114" s="30"/>
      <c r="X2114" s="30"/>
      <c r="Y2114" s="30"/>
      <c r="Z2114" s="30"/>
      <c r="AA2114" s="30"/>
      <c r="AB2114" s="30"/>
      <c r="AC2114" s="30"/>
      <c r="AD2114" s="30"/>
      <c r="AE2114" s="30"/>
    </row>
    <row r="2115" spans="1:31" ht="13">
      <c r="A2115" s="30"/>
      <c r="B2115" s="30"/>
      <c r="C2115" s="30"/>
      <c r="D2115" s="30"/>
      <c r="E2115" s="30"/>
      <c r="F2115" s="48"/>
      <c r="G2115" s="49"/>
      <c r="H2115" s="49"/>
      <c r="I2115" s="49"/>
      <c r="J2115" s="71"/>
      <c r="K2115" s="71"/>
      <c r="L2115" s="50"/>
      <c r="M2115" s="30"/>
      <c r="N2115" s="30"/>
      <c r="O2115" s="30"/>
      <c r="P2115" s="30"/>
      <c r="Q2115" s="30"/>
      <c r="R2115" s="30"/>
      <c r="S2115" s="30"/>
      <c r="T2115" s="30"/>
      <c r="U2115" s="30"/>
      <c r="V2115" s="30"/>
      <c r="W2115" s="30"/>
      <c r="X2115" s="30"/>
      <c r="Y2115" s="30"/>
      <c r="Z2115" s="30"/>
      <c r="AA2115" s="30"/>
      <c r="AB2115" s="30"/>
      <c r="AC2115" s="30"/>
      <c r="AD2115" s="30"/>
      <c r="AE2115" s="30"/>
    </row>
    <row r="2116" spans="1:31" ht="13">
      <c r="A2116" s="30"/>
      <c r="B2116" s="30"/>
      <c r="C2116" s="30"/>
      <c r="D2116" s="30"/>
      <c r="E2116" s="30"/>
      <c r="F2116" s="48"/>
      <c r="G2116" s="49"/>
      <c r="H2116" s="49"/>
      <c r="I2116" s="49"/>
      <c r="J2116" s="71"/>
      <c r="K2116" s="71"/>
      <c r="L2116" s="50"/>
      <c r="M2116" s="30"/>
      <c r="N2116" s="30"/>
      <c r="O2116" s="30"/>
      <c r="P2116" s="30"/>
      <c r="Q2116" s="30"/>
      <c r="R2116" s="30"/>
      <c r="S2116" s="30"/>
      <c r="T2116" s="30"/>
      <c r="U2116" s="30"/>
      <c r="V2116" s="30"/>
      <c r="W2116" s="30"/>
      <c r="X2116" s="30"/>
      <c r="Y2116" s="30"/>
      <c r="Z2116" s="30"/>
      <c r="AA2116" s="30"/>
      <c r="AB2116" s="30"/>
      <c r="AC2116" s="30"/>
      <c r="AD2116" s="30"/>
      <c r="AE2116" s="30"/>
    </row>
    <row r="2117" spans="1:31" ht="13">
      <c r="A2117" s="30"/>
      <c r="B2117" s="30"/>
      <c r="C2117" s="30"/>
      <c r="D2117" s="30"/>
      <c r="E2117" s="30"/>
      <c r="F2117" s="48"/>
      <c r="G2117" s="49"/>
      <c r="H2117" s="49"/>
      <c r="I2117" s="49"/>
      <c r="J2117" s="71"/>
      <c r="K2117" s="71"/>
      <c r="L2117" s="50"/>
      <c r="M2117" s="30"/>
      <c r="N2117" s="30"/>
      <c r="O2117" s="30"/>
      <c r="P2117" s="30"/>
      <c r="Q2117" s="30"/>
      <c r="R2117" s="30"/>
      <c r="S2117" s="30"/>
      <c r="T2117" s="30"/>
      <c r="U2117" s="30"/>
      <c r="V2117" s="30"/>
      <c r="W2117" s="30"/>
      <c r="X2117" s="30"/>
      <c r="Y2117" s="30"/>
      <c r="Z2117" s="30"/>
      <c r="AA2117" s="30"/>
      <c r="AB2117" s="30"/>
      <c r="AC2117" s="30"/>
      <c r="AD2117" s="30"/>
      <c r="AE2117" s="30"/>
    </row>
    <row r="2118" spans="1:31" ht="13">
      <c r="A2118" s="30"/>
      <c r="B2118" s="30"/>
      <c r="C2118" s="30"/>
      <c r="D2118" s="30"/>
      <c r="E2118" s="30"/>
      <c r="F2118" s="48"/>
      <c r="G2118" s="49"/>
      <c r="H2118" s="49"/>
      <c r="I2118" s="49"/>
      <c r="J2118" s="71"/>
      <c r="K2118" s="71"/>
      <c r="L2118" s="50"/>
      <c r="M2118" s="30"/>
      <c r="N2118" s="30"/>
      <c r="O2118" s="30"/>
      <c r="P2118" s="30"/>
      <c r="Q2118" s="30"/>
      <c r="R2118" s="30"/>
      <c r="S2118" s="30"/>
      <c r="T2118" s="30"/>
      <c r="U2118" s="30"/>
      <c r="V2118" s="30"/>
      <c r="W2118" s="30"/>
      <c r="X2118" s="30"/>
      <c r="Y2118" s="30"/>
      <c r="Z2118" s="30"/>
      <c r="AA2118" s="30"/>
      <c r="AB2118" s="30"/>
      <c r="AC2118" s="30"/>
      <c r="AD2118" s="30"/>
      <c r="AE2118" s="30"/>
    </row>
    <row r="2119" spans="1:31" ht="13">
      <c r="A2119" s="30"/>
      <c r="B2119" s="30"/>
      <c r="C2119" s="30"/>
      <c r="D2119" s="30"/>
      <c r="E2119" s="30"/>
      <c r="F2119" s="48"/>
      <c r="G2119" s="49"/>
      <c r="H2119" s="49"/>
      <c r="I2119" s="49"/>
      <c r="J2119" s="71"/>
      <c r="K2119" s="71"/>
      <c r="L2119" s="50"/>
      <c r="M2119" s="30"/>
      <c r="N2119" s="30"/>
      <c r="O2119" s="30"/>
      <c r="P2119" s="30"/>
      <c r="Q2119" s="30"/>
      <c r="R2119" s="30"/>
      <c r="S2119" s="30"/>
      <c r="T2119" s="30"/>
      <c r="U2119" s="30"/>
      <c r="V2119" s="30"/>
      <c r="W2119" s="30"/>
      <c r="X2119" s="30"/>
      <c r="Y2119" s="30"/>
      <c r="Z2119" s="30"/>
      <c r="AA2119" s="30"/>
      <c r="AB2119" s="30"/>
      <c r="AC2119" s="30"/>
      <c r="AD2119" s="30"/>
      <c r="AE2119" s="30"/>
    </row>
    <row r="2120" spans="1:31" ht="13">
      <c r="A2120" s="30"/>
      <c r="B2120" s="30"/>
      <c r="C2120" s="30"/>
      <c r="D2120" s="30"/>
      <c r="E2120" s="30"/>
      <c r="F2120" s="48"/>
      <c r="G2120" s="49"/>
      <c r="H2120" s="49"/>
      <c r="I2120" s="49"/>
      <c r="J2120" s="71"/>
      <c r="K2120" s="71"/>
      <c r="L2120" s="50"/>
      <c r="M2120" s="30"/>
      <c r="N2120" s="30"/>
      <c r="O2120" s="30"/>
      <c r="P2120" s="30"/>
      <c r="Q2120" s="30"/>
      <c r="R2120" s="30"/>
      <c r="S2120" s="30"/>
      <c r="T2120" s="30"/>
      <c r="U2120" s="30"/>
      <c r="V2120" s="30"/>
      <c r="W2120" s="30"/>
      <c r="X2120" s="30"/>
      <c r="Y2120" s="30"/>
      <c r="Z2120" s="30"/>
      <c r="AA2120" s="30"/>
      <c r="AB2120" s="30"/>
      <c r="AC2120" s="30"/>
      <c r="AD2120" s="30"/>
      <c r="AE2120" s="30"/>
    </row>
    <row r="2121" spans="1:31" ht="13">
      <c r="A2121" s="30"/>
      <c r="B2121" s="30"/>
      <c r="C2121" s="30"/>
      <c r="D2121" s="30"/>
      <c r="E2121" s="30"/>
      <c r="F2121" s="48"/>
      <c r="G2121" s="49"/>
      <c r="H2121" s="49"/>
      <c r="I2121" s="49"/>
      <c r="J2121" s="71"/>
      <c r="K2121" s="71"/>
      <c r="L2121" s="50"/>
      <c r="M2121" s="30"/>
      <c r="N2121" s="30"/>
      <c r="O2121" s="30"/>
      <c r="P2121" s="30"/>
      <c r="Q2121" s="30"/>
      <c r="R2121" s="30"/>
      <c r="S2121" s="30"/>
      <c r="T2121" s="30"/>
      <c r="U2121" s="30"/>
      <c r="V2121" s="30"/>
      <c r="W2121" s="30"/>
      <c r="X2121" s="30"/>
      <c r="Y2121" s="30"/>
      <c r="Z2121" s="30"/>
      <c r="AA2121" s="30"/>
      <c r="AB2121" s="30"/>
      <c r="AC2121" s="30"/>
      <c r="AD2121" s="30"/>
      <c r="AE2121" s="30"/>
    </row>
    <row r="2122" spans="1:31" ht="13">
      <c r="A2122" s="30"/>
      <c r="B2122" s="30"/>
      <c r="C2122" s="30"/>
      <c r="D2122" s="30"/>
      <c r="E2122" s="30"/>
      <c r="F2122" s="48"/>
      <c r="G2122" s="49"/>
      <c r="H2122" s="49"/>
      <c r="I2122" s="49"/>
      <c r="J2122" s="71"/>
      <c r="K2122" s="71"/>
      <c r="L2122" s="50"/>
      <c r="M2122" s="30"/>
      <c r="N2122" s="30"/>
      <c r="O2122" s="30"/>
      <c r="P2122" s="30"/>
      <c r="Q2122" s="30"/>
      <c r="R2122" s="30"/>
      <c r="S2122" s="30"/>
      <c r="T2122" s="30"/>
      <c r="U2122" s="30"/>
      <c r="V2122" s="30"/>
      <c r="W2122" s="30"/>
      <c r="X2122" s="30"/>
      <c r="Y2122" s="30"/>
      <c r="Z2122" s="30"/>
      <c r="AA2122" s="30"/>
      <c r="AB2122" s="30"/>
      <c r="AC2122" s="30"/>
      <c r="AD2122" s="30"/>
      <c r="AE2122" s="30"/>
    </row>
    <row r="2123" spans="1:31" ht="13">
      <c r="A2123" s="30"/>
      <c r="B2123" s="30"/>
      <c r="C2123" s="30"/>
      <c r="D2123" s="30"/>
      <c r="E2123" s="30"/>
      <c r="F2123" s="48"/>
      <c r="G2123" s="49"/>
      <c r="H2123" s="49"/>
      <c r="I2123" s="49"/>
      <c r="J2123" s="71"/>
      <c r="K2123" s="71"/>
      <c r="L2123" s="50"/>
      <c r="M2123" s="30"/>
      <c r="N2123" s="30"/>
      <c r="O2123" s="30"/>
      <c r="P2123" s="30"/>
      <c r="Q2123" s="30"/>
      <c r="R2123" s="30"/>
      <c r="S2123" s="30"/>
      <c r="T2123" s="30"/>
      <c r="U2123" s="30"/>
      <c r="V2123" s="30"/>
      <c r="W2123" s="30"/>
      <c r="X2123" s="30"/>
      <c r="Y2123" s="30"/>
      <c r="Z2123" s="30"/>
      <c r="AA2123" s="30"/>
      <c r="AB2123" s="30"/>
      <c r="AC2123" s="30"/>
      <c r="AD2123" s="30"/>
      <c r="AE2123" s="30"/>
    </row>
    <row r="2124" spans="1:31" ht="13">
      <c r="A2124" s="30"/>
      <c r="B2124" s="30"/>
      <c r="C2124" s="30"/>
      <c r="D2124" s="30"/>
      <c r="E2124" s="30"/>
      <c r="F2124" s="48"/>
      <c r="G2124" s="49"/>
      <c r="H2124" s="49"/>
      <c r="I2124" s="49"/>
      <c r="J2124" s="71"/>
      <c r="K2124" s="71"/>
      <c r="L2124" s="50"/>
      <c r="M2124" s="30"/>
      <c r="N2124" s="30"/>
      <c r="O2124" s="30"/>
      <c r="P2124" s="30"/>
      <c r="Q2124" s="30"/>
      <c r="R2124" s="30"/>
      <c r="S2124" s="30"/>
      <c r="T2124" s="30"/>
      <c r="U2124" s="30"/>
      <c r="V2124" s="30"/>
      <c r="W2124" s="30"/>
      <c r="X2124" s="30"/>
      <c r="Y2124" s="30"/>
      <c r="Z2124" s="30"/>
      <c r="AA2124" s="30"/>
      <c r="AB2124" s="30"/>
      <c r="AC2124" s="30"/>
      <c r="AD2124" s="30"/>
      <c r="AE2124" s="30"/>
    </row>
    <row r="2125" spans="1:31" ht="13">
      <c r="A2125" s="30"/>
      <c r="B2125" s="30"/>
      <c r="C2125" s="30"/>
      <c r="D2125" s="30"/>
      <c r="E2125" s="30"/>
      <c r="F2125" s="48"/>
      <c r="G2125" s="49"/>
      <c r="H2125" s="49"/>
      <c r="I2125" s="49"/>
      <c r="J2125" s="71"/>
      <c r="K2125" s="71"/>
      <c r="L2125" s="50"/>
      <c r="M2125" s="30"/>
      <c r="N2125" s="30"/>
      <c r="O2125" s="30"/>
      <c r="P2125" s="30"/>
      <c r="Q2125" s="30"/>
      <c r="R2125" s="30"/>
      <c r="S2125" s="30"/>
      <c r="T2125" s="30"/>
      <c r="U2125" s="30"/>
      <c r="V2125" s="30"/>
      <c r="W2125" s="30"/>
      <c r="X2125" s="30"/>
      <c r="Y2125" s="30"/>
      <c r="Z2125" s="30"/>
      <c r="AA2125" s="30"/>
      <c r="AB2125" s="30"/>
      <c r="AC2125" s="30"/>
      <c r="AD2125" s="30"/>
      <c r="AE2125" s="30"/>
    </row>
    <row r="2126" spans="1:31" ht="13">
      <c r="A2126" s="30"/>
      <c r="B2126" s="30"/>
      <c r="C2126" s="30"/>
      <c r="D2126" s="30"/>
      <c r="E2126" s="30"/>
      <c r="F2126" s="48"/>
      <c r="G2126" s="49"/>
      <c r="H2126" s="49"/>
      <c r="I2126" s="49"/>
      <c r="J2126" s="71"/>
      <c r="K2126" s="71"/>
      <c r="L2126" s="50"/>
      <c r="M2126" s="30"/>
      <c r="N2126" s="30"/>
      <c r="O2126" s="30"/>
      <c r="P2126" s="30"/>
      <c r="Q2126" s="30"/>
      <c r="R2126" s="30"/>
      <c r="S2126" s="30"/>
      <c r="T2126" s="30"/>
      <c r="U2126" s="30"/>
      <c r="V2126" s="30"/>
      <c r="W2126" s="30"/>
      <c r="X2126" s="30"/>
      <c r="Y2126" s="30"/>
      <c r="Z2126" s="30"/>
      <c r="AA2126" s="30"/>
      <c r="AB2126" s="30"/>
      <c r="AC2126" s="30"/>
      <c r="AD2126" s="30"/>
      <c r="AE2126" s="30"/>
    </row>
    <row r="2127" spans="1:31" ht="13">
      <c r="A2127" s="30"/>
      <c r="B2127" s="30"/>
      <c r="C2127" s="30"/>
      <c r="D2127" s="30"/>
      <c r="E2127" s="30"/>
      <c r="F2127" s="48"/>
      <c r="G2127" s="49"/>
      <c r="H2127" s="49"/>
      <c r="I2127" s="49"/>
      <c r="J2127" s="71"/>
      <c r="K2127" s="71"/>
      <c r="L2127" s="50"/>
      <c r="M2127" s="30"/>
      <c r="N2127" s="30"/>
      <c r="O2127" s="30"/>
      <c r="P2127" s="30"/>
      <c r="Q2127" s="30"/>
      <c r="R2127" s="30"/>
      <c r="S2127" s="30"/>
      <c r="T2127" s="30"/>
      <c r="U2127" s="30"/>
      <c r="V2127" s="30"/>
      <c r="W2127" s="30"/>
      <c r="X2127" s="30"/>
      <c r="Y2127" s="30"/>
      <c r="Z2127" s="30"/>
      <c r="AA2127" s="30"/>
      <c r="AB2127" s="30"/>
      <c r="AC2127" s="30"/>
      <c r="AD2127" s="30"/>
      <c r="AE2127" s="30"/>
    </row>
    <row r="2128" spans="1:31" ht="13">
      <c r="A2128" s="30"/>
      <c r="B2128" s="30"/>
      <c r="C2128" s="30"/>
      <c r="D2128" s="30"/>
      <c r="E2128" s="30"/>
      <c r="F2128" s="48"/>
      <c r="G2128" s="49"/>
      <c r="H2128" s="49"/>
      <c r="I2128" s="49"/>
      <c r="J2128" s="71"/>
      <c r="K2128" s="71"/>
      <c r="L2128" s="50"/>
      <c r="M2128" s="30"/>
      <c r="N2128" s="30"/>
      <c r="O2128" s="30"/>
      <c r="P2128" s="30"/>
      <c r="Q2128" s="30"/>
      <c r="R2128" s="30"/>
      <c r="S2128" s="30"/>
      <c r="T2128" s="30"/>
      <c r="U2128" s="30"/>
      <c r="V2128" s="30"/>
      <c r="W2128" s="30"/>
      <c r="X2128" s="30"/>
      <c r="Y2128" s="30"/>
      <c r="Z2128" s="30"/>
      <c r="AA2128" s="30"/>
      <c r="AB2128" s="30"/>
      <c r="AC2128" s="30"/>
      <c r="AD2128" s="30"/>
      <c r="AE2128" s="30"/>
    </row>
    <row r="2129" spans="1:31" ht="13">
      <c r="A2129" s="30"/>
      <c r="B2129" s="30"/>
      <c r="C2129" s="30"/>
      <c r="D2129" s="30"/>
      <c r="E2129" s="30"/>
      <c r="F2129" s="48"/>
      <c r="G2129" s="49"/>
      <c r="H2129" s="49"/>
      <c r="I2129" s="49"/>
      <c r="J2129" s="71"/>
      <c r="K2129" s="71"/>
      <c r="L2129" s="50"/>
      <c r="M2129" s="30"/>
      <c r="N2129" s="30"/>
      <c r="O2129" s="30"/>
      <c r="P2129" s="30"/>
      <c r="Q2129" s="30"/>
      <c r="R2129" s="30"/>
      <c r="S2129" s="30"/>
      <c r="T2129" s="30"/>
      <c r="U2129" s="30"/>
      <c r="V2129" s="30"/>
      <c r="W2129" s="30"/>
      <c r="X2129" s="30"/>
      <c r="Y2129" s="30"/>
      <c r="Z2129" s="30"/>
      <c r="AA2129" s="30"/>
      <c r="AB2129" s="30"/>
      <c r="AC2129" s="30"/>
      <c r="AD2129" s="30"/>
      <c r="AE2129" s="30"/>
    </row>
    <row r="2130" spans="1:31" ht="13">
      <c r="A2130" s="30"/>
      <c r="B2130" s="30"/>
      <c r="C2130" s="30"/>
      <c r="D2130" s="30"/>
      <c r="E2130" s="30"/>
      <c r="F2130" s="48"/>
      <c r="G2130" s="49"/>
      <c r="H2130" s="49"/>
      <c r="I2130" s="49"/>
      <c r="J2130" s="71"/>
      <c r="K2130" s="71"/>
      <c r="L2130" s="50"/>
      <c r="M2130" s="30"/>
      <c r="N2130" s="30"/>
      <c r="O2130" s="30"/>
      <c r="P2130" s="30"/>
      <c r="Q2130" s="30"/>
      <c r="R2130" s="30"/>
      <c r="S2130" s="30"/>
      <c r="T2130" s="30"/>
      <c r="U2130" s="30"/>
      <c r="V2130" s="30"/>
      <c r="W2130" s="30"/>
      <c r="X2130" s="30"/>
      <c r="Y2130" s="30"/>
      <c r="Z2130" s="30"/>
      <c r="AA2130" s="30"/>
      <c r="AB2130" s="30"/>
      <c r="AC2130" s="30"/>
      <c r="AD2130" s="30"/>
      <c r="AE2130" s="30"/>
    </row>
    <row r="2131" spans="1:31" ht="13">
      <c r="A2131" s="30"/>
      <c r="B2131" s="30"/>
      <c r="C2131" s="30"/>
      <c r="D2131" s="30"/>
      <c r="E2131" s="30"/>
      <c r="F2131" s="48"/>
      <c r="G2131" s="49"/>
      <c r="H2131" s="49"/>
      <c r="I2131" s="49"/>
      <c r="J2131" s="71"/>
      <c r="K2131" s="71"/>
      <c r="L2131" s="50"/>
      <c r="M2131" s="30"/>
      <c r="N2131" s="30"/>
      <c r="O2131" s="30"/>
      <c r="P2131" s="30"/>
      <c r="Q2131" s="30"/>
      <c r="R2131" s="30"/>
      <c r="S2131" s="30"/>
      <c r="T2131" s="30"/>
      <c r="U2131" s="30"/>
      <c r="V2131" s="30"/>
      <c r="W2131" s="30"/>
      <c r="X2131" s="30"/>
      <c r="Y2131" s="30"/>
      <c r="Z2131" s="30"/>
      <c r="AA2131" s="30"/>
      <c r="AB2131" s="30"/>
      <c r="AC2131" s="30"/>
      <c r="AD2131" s="30"/>
      <c r="AE2131" s="30"/>
    </row>
    <row r="2132" spans="1:31" ht="13">
      <c r="A2132" s="30"/>
      <c r="B2132" s="30"/>
      <c r="C2132" s="30"/>
      <c r="D2132" s="30"/>
      <c r="E2132" s="30"/>
      <c r="F2132" s="48"/>
      <c r="G2132" s="49"/>
      <c r="H2132" s="49"/>
      <c r="I2132" s="49"/>
      <c r="J2132" s="71"/>
      <c r="K2132" s="71"/>
      <c r="L2132" s="50"/>
      <c r="M2132" s="30"/>
      <c r="N2132" s="30"/>
      <c r="O2132" s="30"/>
      <c r="P2132" s="30"/>
      <c r="Q2132" s="30"/>
      <c r="R2132" s="30"/>
      <c r="S2132" s="30"/>
      <c r="T2132" s="30"/>
      <c r="U2132" s="30"/>
      <c r="V2132" s="30"/>
      <c r="W2132" s="30"/>
      <c r="X2132" s="30"/>
      <c r="Y2132" s="30"/>
      <c r="Z2132" s="30"/>
      <c r="AA2132" s="30"/>
      <c r="AB2132" s="30"/>
      <c r="AC2132" s="30"/>
      <c r="AD2132" s="30"/>
      <c r="AE2132" s="30"/>
    </row>
    <row r="2133" spans="1:31" ht="13">
      <c r="A2133" s="30"/>
      <c r="B2133" s="30"/>
      <c r="C2133" s="30"/>
      <c r="D2133" s="30"/>
      <c r="E2133" s="30"/>
      <c r="F2133" s="48"/>
      <c r="G2133" s="49"/>
      <c r="H2133" s="49"/>
      <c r="I2133" s="49"/>
      <c r="J2133" s="71"/>
      <c r="K2133" s="71"/>
      <c r="L2133" s="50"/>
      <c r="M2133" s="30"/>
      <c r="N2133" s="30"/>
      <c r="O2133" s="30"/>
      <c r="P2133" s="30"/>
      <c r="Q2133" s="30"/>
      <c r="R2133" s="30"/>
      <c r="S2133" s="30"/>
      <c r="T2133" s="30"/>
      <c r="U2133" s="30"/>
      <c r="V2133" s="30"/>
      <c r="W2133" s="30"/>
      <c r="X2133" s="30"/>
      <c r="Y2133" s="30"/>
      <c r="Z2133" s="30"/>
      <c r="AA2133" s="30"/>
      <c r="AB2133" s="30"/>
      <c r="AC2133" s="30"/>
      <c r="AD2133" s="30"/>
      <c r="AE2133" s="30"/>
    </row>
    <row r="2134" spans="1:31" ht="13">
      <c r="A2134" s="30"/>
      <c r="B2134" s="30"/>
      <c r="C2134" s="30"/>
      <c r="D2134" s="30"/>
      <c r="E2134" s="30"/>
      <c r="F2134" s="48"/>
      <c r="G2134" s="49"/>
      <c r="H2134" s="49"/>
      <c r="I2134" s="49"/>
      <c r="J2134" s="71"/>
      <c r="K2134" s="71"/>
      <c r="L2134" s="50"/>
      <c r="M2134" s="30"/>
      <c r="N2134" s="30"/>
      <c r="O2134" s="30"/>
      <c r="P2134" s="30"/>
      <c r="Q2134" s="30"/>
      <c r="R2134" s="30"/>
      <c r="S2134" s="30"/>
      <c r="T2134" s="30"/>
      <c r="U2134" s="30"/>
      <c r="V2134" s="30"/>
      <c r="W2134" s="30"/>
      <c r="X2134" s="30"/>
      <c r="Y2134" s="30"/>
      <c r="Z2134" s="30"/>
      <c r="AA2134" s="30"/>
      <c r="AB2134" s="30"/>
      <c r="AC2134" s="30"/>
      <c r="AD2134" s="30"/>
      <c r="AE2134" s="30"/>
    </row>
    <row r="2135" spans="1:31" ht="13">
      <c r="A2135" s="30"/>
      <c r="B2135" s="30"/>
      <c r="C2135" s="30"/>
      <c r="D2135" s="30"/>
      <c r="E2135" s="30"/>
      <c r="F2135" s="48"/>
      <c r="G2135" s="49"/>
      <c r="H2135" s="49"/>
      <c r="I2135" s="49"/>
      <c r="J2135" s="71"/>
      <c r="K2135" s="71"/>
      <c r="L2135" s="50"/>
      <c r="M2135" s="30"/>
      <c r="N2135" s="30"/>
      <c r="O2135" s="30"/>
      <c r="P2135" s="30"/>
      <c r="Q2135" s="30"/>
      <c r="R2135" s="30"/>
      <c r="S2135" s="30"/>
      <c r="T2135" s="30"/>
      <c r="U2135" s="30"/>
      <c r="V2135" s="30"/>
      <c r="W2135" s="30"/>
      <c r="X2135" s="30"/>
      <c r="Y2135" s="30"/>
      <c r="Z2135" s="30"/>
      <c r="AA2135" s="30"/>
      <c r="AB2135" s="30"/>
      <c r="AC2135" s="30"/>
      <c r="AD2135" s="30"/>
      <c r="AE2135" s="30"/>
    </row>
    <row r="2136" spans="1:31" ht="13">
      <c r="A2136" s="30"/>
      <c r="B2136" s="30"/>
      <c r="C2136" s="30"/>
      <c r="D2136" s="30"/>
      <c r="E2136" s="30"/>
      <c r="F2136" s="48"/>
      <c r="G2136" s="49"/>
      <c r="H2136" s="49"/>
      <c r="I2136" s="49"/>
      <c r="J2136" s="71"/>
      <c r="K2136" s="71"/>
      <c r="L2136" s="50"/>
      <c r="M2136" s="30"/>
      <c r="N2136" s="30"/>
      <c r="O2136" s="30"/>
      <c r="P2136" s="30"/>
      <c r="Q2136" s="30"/>
      <c r="R2136" s="30"/>
      <c r="S2136" s="30"/>
      <c r="T2136" s="30"/>
      <c r="U2136" s="30"/>
      <c r="V2136" s="30"/>
      <c r="W2136" s="30"/>
      <c r="X2136" s="30"/>
      <c r="Y2136" s="30"/>
      <c r="Z2136" s="30"/>
      <c r="AA2136" s="30"/>
      <c r="AB2136" s="30"/>
      <c r="AC2136" s="30"/>
      <c r="AD2136" s="30"/>
      <c r="AE2136" s="30"/>
    </row>
    <row r="2137" spans="1:31" ht="13">
      <c r="A2137" s="30"/>
      <c r="B2137" s="30"/>
      <c r="C2137" s="30"/>
      <c r="D2137" s="30"/>
      <c r="E2137" s="30"/>
      <c r="F2137" s="48"/>
      <c r="G2137" s="49"/>
      <c r="H2137" s="49"/>
      <c r="I2137" s="49"/>
      <c r="J2137" s="71"/>
      <c r="K2137" s="71"/>
      <c r="L2137" s="50"/>
      <c r="M2137" s="30"/>
      <c r="N2137" s="30"/>
      <c r="O2137" s="30"/>
      <c r="P2137" s="30"/>
      <c r="Q2137" s="30"/>
      <c r="R2137" s="30"/>
      <c r="S2137" s="30"/>
      <c r="T2137" s="30"/>
      <c r="U2137" s="30"/>
      <c r="V2137" s="30"/>
      <c r="W2137" s="30"/>
      <c r="X2137" s="30"/>
      <c r="Y2137" s="30"/>
      <c r="Z2137" s="30"/>
      <c r="AA2137" s="30"/>
      <c r="AB2137" s="30"/>
      <c r="AC2137" s="30"/>
      <c r="AD2137" s="30"/>
      <c r="AE2137" s="30"/>
    </row>
    <row r="2138" spans="1:31" ht="13">
      <c r="A2138" s="30"/>
      <c r="B2138" s="30"/>
      <c r="C2138" s="30"/>
      <c r="D2138" s="30"/>
      <c r="E2138" s="30"/>
      <c r="F2138" s="48"/>
      <c r="G2138" s="49"/>
      <c r="H2138" s="49"/>
      <c r="I2138" s="49"/>
      <c r="J2138" s="71"/>
      <c r="K2138" s="71"/>
      <c r="L2138" s="50"/>
      <c r="M2138" s="30"/>
      <c r="N2138" s="30"/>
      <c r="O2138" s="30"/>
      <c r="P2138" s="30"/>
      <c r="Q2138" s="30"/>
      <c r="R2138" s="30"/>
      <c r="S2138" s="30"/>
      <c r="T2138" s="30"/>
      <c r="U2138" s="30"/>
      <c r="V2138" s="30"/>
      <c r="W2138" s="30"/>
      <c r="X2138" s="30"/>
      <c r="Y2138" s="30"/>
      <c r="Z2138" s="30"/>
      <c r="AA2138" s="30"/>
      <c r="AB2138" s="30"/>
      <c r="AC2138" s="30"/>
      <c r="AD2138" s="30"/>
      <c r="AE2138" s="30"/>
    </row>
    <row r="2139" spans="1:31" ht="13">
      <c r="A2139" s="30"/>
      <c r="B2139" s="30"/>
      <c r="C2139" s="30"/>
      <c r="D2139" s="30"/>
      <c r="E2139" s="30"/>
      <c r="F2139" s="48"/>
      <c r="G2139" s="49"/>
      <c r="H2139" s="49"/>
      <c r="I2139" s="49"/>
      <c r="J2139" s="71"/>
      <c r="K2139" s="71"/>
      <c r="L2139" s="50"/>
      <c r="M2139" s="30"/>
      <c r="N2139" s="30"/>
      <c r="O2139" s="30"/>
      <c r="P2139" s="30"/>
      <c r="Q2139" s="30"/>
      <c r="R2139" s="30"/>
      <c r="S2139" s="30"/>
      <c r="T2139" s="30"/>
      <c r="U2139" s="30"/>
      <c r="V2139" s="30"/>
      <c r="W2139" s="30"/>
      <c r="X2139" s="30"/>
      <c r="Y2139" s="30"/>
      <c r="Z2139" s="30"/>
      <c r="AA2139" s="30"/>
      <c r="AB2139" s="30"/>
      <c r="AC2139" s="30"/>
      <c r="AD2139" s="30"/>
      <c r="AE2139" s="30"/>
    </row>
    <row r="2140" spans="1:31" ht="13">
      <c r="A2140" s="30"/>
      <c r="B2140" s="30"/>
      <c r="C2140" s="30"/>
      <c r="D2140" s="30"/>
      <c r="E2140" s="30"/>
      <c r="F2140" s="48"/>
      <c r="G2140" s="49"/>
      <c r="H2140" s="49"/>
      <c r="I2140" s="49"/>
      <c r="J2140" s="71"/>
      <c r="K2140" s="71"/>
      <c r="L2140" s="50"/>
      <c r="M2140" s="30"/>
      <c r="N2140" s="30"/>
      <c r="O2140" s="30"/>
      <c r="P2140" s="30"/>
      <c r="Q2140" s="30"/>
      <c r="R2140" s="30"/>
      <c r="S2140" s="30"/>
      <c r="T2140" s="30"/>
      <c r="U2140" s="30"/>
      <c r="V2140" s="30"/>
      <c r="W2140" s="30"/>
      <c r="X2140" s="30"/>
      <c r="Y2140" s="30"/>
      <c r="Z2140" s="30"/>
      <c r="AA2140" s="30"/>
      <c r="AB2140" s="30"/>
      <c r="AC2140" s="30"/>
      <c r="AD2140" s="30"/>
      <c r="AE2140" s="30"/>
    </row>
    <row r="2141" spans="1:31" ht="13">
      <c r="A2141" s="30"/>
      <c r="B2141" s="30"/>
      <c r="C2141" s="30"/>
      <c r="D2141" s="30"/>
      <c r="E2141" s="30"/>
      <c r="F2141" s="48"/>
      <c r="G2141" s="49"/>
      <c r="H2141" s="49"/>
      <c r="I2141" s="49"/>
      <c r="J2141" s="71"/>
      <c r="K2141" s="71"/>
      <c r="L2141" s="50"/>
      <c r="M2141" s="30"/>
      <c r="N2141" s="30"/>
      <c r="O2141" s="30"/>
      <c r="P2141" s="30"/>
      <c r="Q2141" s="30"/>
      <c r="R2141" s="30"/>
      <c r="S2141" s="30"/>
      <c r="T2141" s="30"/>
      <c r="U2141" s="30"/>
      <c r="V2141" s="30"/>
      <c r="W2141" s="30"/>
      <c r="X2141" s="30"/>
      <c r="Y2141" s="30"/>
      <c r="Z2141" s="30"/>
      <c r="AA2141" s="30"/>
      <c r="AB2141" s="30"/>
      <c r="AC2141" s="30"/>
      <c r="AD2141" s="30"/>
      <c r="AE2141" s="30"/>
    </row>
    <row r="2142" spans="1:31" ht="13">
      <c r="A2142" s="30"/>
      <c r="B2142" s="30"/>
      <c r="C2142" s="30"/>
      <c r="D2142" s="30"/>
      <c r="E2142" s="30"/>
      <c r="F2142" s="48"/>
      <c r="G2142" s="49"/>
      <c r="H2142" s="49"/>
      <c r="I2142" s="49"/>
      <c r="J2142" s="71"/>
      <c r="K2142" s="71"/>
      <c r="L2142" s="50"/>
      <c r="M2142" s="30"/>
      <c r="N2142" s="30"/>
      <c r="O2142" s="30"/>
      <c r="P2142" s="30"/>
      <c r="Q2142" s="30"/>
      <c r="R2142" s="30"/>
      <c r="S2142" s="30"/>
      <c r="T2142" s="30"/>
      <c r="U2142" s="30"/>
      <c r="V2142" s="30"/>
      <c r="W2142" s="30"/>
      <c r="X2142" s="30"/>
      <c r="Y2142" s="30"/>
      <c r="Z2142" s="30"/>
      <c r="AA2142" s="30"/>
      <c r="AB2142" s="30"/>
      <c r="AC2142" s="30"/>
      <c r="AD2142" s="30"/>
      <c r="AE2142" s="30"/>
    </row>
    <row r="2143" spans="1:31" ht="13">
      <c r="A2143" s="30"/>
      <c r="B2143" s="30"/>
      <c r="C2143" s="30"/>
      <c r="D2143" s="30"/>
      <c r="E2143" s="30"/>
      <c r="F2143" s="48"/>
      <c r="G2143" s="49"/>
      <c r="H2143" s="49"/>
      <c r="I2143" s="49"/>
      <c r="J2143" s="71"/>
      <c r="K2143" s="71"/>
      <c r="L2143" s="50"/>
      <c r="M2143" s="30"/>
      <c r="N2143" s="30"/>
      <c r="O2143" s="30"/>
      <c r="P2143" s="30"/>
      <c r="Q2143" s="30"/>
      <c r="R2143" s="30"/>
      <c r="S2143" s="30"/>
      <c r="T2143" s="30"/>
      <c r="U2143" s="30"/>
      <c r="V2143" s="30"/>
      <c r="W2143" s="30"/>
      <c r="X2143" s="30"/>
      <c r="Y2143" s="30"/>
      <c r="Z2143" s="30"/>
      <c r="AA2143" s="30"/>
      <c r="AB2143" s="30"/>
      <c r="AC2143" s="30"/>
      <c r="AD2143" s="30"/>
      <c r="AE2143" s="30"/>
    </row>
    <row r="2144" spans="1:31" ht="13">
      <c r="A2144" s="30"/>
      <c r="B2144" s="30"/>
      <c r="C2144" s="30"/>
      <c r="D2144" s="30"/>
      <c r="E2144" s="30"/>
      <c r="F2144" s="48"/>
      <c r="G2144" s="49"/>
      <c r="H2144" s="49"/>
      <c r="I2144" s="49"/>
      <c r="J2144" s="71"/>
      <c r="K2144" s="71"/>
      <c r="L2144" s="50"/>
      <c r="M2144" s="30"/>
      <c r="N2144" s="30"/>
      <c r="O2144" s="30"/>
      <c r="P2144" s="30"/>
      <c r="Q2144" s="30"/>
      <c r="R2144" s="30"/>
      <c r="S2144" s="30"/>
      <c r="T2144" s="30"/>
      <c r="U2144" s="30"/>
      <c r="V2144" s="30"/>
      <c r="W2144" s="30"/>
      <c r="X2144" s="30"/>
      <c r="Y2144" s="30"/>
      <c r="Z2144" s="30"/>
      <c r="AA2144" s="30"/>
      <c r="AB2144" s="30"/>
      <c r="AC2144" s="30"/>
      <c r="AD2144" s="30"/>
      <c r="AE2144" s="30"/>
    </row>
    <row r="2145" spans="1:31" ht="13">
      <c r="A2145" s="30"/>
      <c r="B2145" s="30"/>
      <c r="C2145" s="30"/>
      <c r="D2145" s="30"/>
      <c r="E2145" s="30"/>
      <c r="F2145" s="48"/>
      <c r="G2145" s="49"/>
      <c r="H2145" s="49"/>
      <c r="I2145" s="49"/>
      <c r="J2145" s="71"/>
      <c r="K2145" s="71"/>
      <c r="L2145" s="50"/>
      <c r="M2145" s="30"/>
      <c r="N2145" s="30"/>
      <c r="O2145" s="30"/>
      <c r="P2145" s="30"/>
      <c r="Q2145" s="30"/>
      <c r="R2145" s="30"/>
      <c r="S2145" s="30"/>
      <c r="T2145" s="30"/>
      <c r="U2145" s="30"/>
      <c r="V2145" s="30"/>
      <c r="W2145" s="30"/>
      <c r="X2145" s="30"/>
      <c r="Y2145" s="30"/>
      <c r="Z2145" s="30"/>
      <c r="AA2145" s="30"/>
      <c r="AB2145" s="30"/>
      <c r="AC2145" s="30"/>
      <c r="AD2145" s="30"/>
      <c r="AE2145" s="30"/>
    </row>
    <row r="2146" spans="1:31" ht="13">
      <c r="A2146" s="30"/>
      <c r="B2146" s="30"/>
      <c r="C2146" s="30"/>
      <c r="D2146" s="30"/>
      <c r="E2146" s="30"/>
      <c r="F2146" s="48"/>
      <c r="G2146" s="49"/>
      <c r="H2146" s="49"/>
      <c r="I2146" s="49"/>
      <c r="J2146" s="71"/>
      <c r="K2146" s="71"/>
      <c r="L2146" s="50"/>
      <c r="M2146" s="30"/>
      <c r="N2146" s="30"/>
      <c r="O2146" s="30"/>
      <c r="P2146" s="30"/>
      <c r="Q2146" s="30"/>
      <c r="R2146" s="30"/>
      <c r="S2146" s="30"/>
      <c r="T2146" s="30"/>
      <c r="U2146" s="30"/>
      <c r="V2146" s="30"/>
      <c r="W2146" s="30"/>
      <c r="X2146" s="30"/>
      <c r="Y2146" s="30"/>
      <c r="Z2146" s="30"/>
      <c r="AA2146" s="30"/>
      <c r="AB2146" s="30"/>
      <c r="AC2146" s="30"/>
      <c r="AD2146" s="30"/>
      <c r="AE2146" s="30"/>
    </row>
    <row r="2147" spans="1:31" ht="13">
      <c r="A2147" s="30"/>
      <c r="B2147" s="30"/>
      <c r="C2147" s="30"/>
      <c r="D2147" s="30"/>
      <c r="E2147" s="30"/>
      <c r="F2147" s="48"/>
      <c r="G2147" s="49"/>
      <c r="H2147" s="49"/>
      <c r="I2147" s="49"/>
      <c r="J2147" s="71"/>
      <c r="K2147" s="71"/>
      <c r="L2147" s="50"/>
      <c r="M2147" s="30"/>
      <c r="N2147" s="30"/>
      <c r="O2147" s="30"/>
      <c r="P2147" s="30"/>
      <c r="Q2147" s="30"/>
      <c r="R2147" s="30"/>
      <c r="S2147" s="30"/>
      <c r="T2147" s="30"/>
      <c r="U2147" s="30"/>
      <c r="V2147" s="30"/>
      <c r="W2147" s="30"/>
      <c r="X2147" s="30"/>
      <c r="Y2147" s="30"/>
      <c r="Z2147" s="30"/>
      <c r="AA2147" s="30"/>
      <c r="AB2147" s="30"/>
      <c r="AC2147" s="30"/>
      <c r="AD2147" s="30"/>
      <c r="AE2147" s="30"/>
    </row>
    <row r="2148" spans="1:31" ht="13">
      <c r="A2148" s="30"/>
      <c r="B2148" s="30"/>
      <c r="C2148" s="30"/>
      <c r="D2148" s="30"/>
      <c r="E2148" s="30"/>
      <c r="F2148" s="48"/>
      <c r="G2148" s="49"/>
      <c r="H2148" s="49"/>
      <c r="I2148" s="49"/>
      <c r="J2148" s="71"/>
      <c r="K2148" s="71"/>
      <c r="L2148" s="50"/>
      <c r="M2148" s="30"/>
      <c r="N2148" s="30"/>
      <c r="O2148" s="30"/>
      <c r="P2148" s="30"/>
      <c r="Q2148" s="30"/>
      <c r="R2148" s="30"/>
      <c r="S2148" s="30"/>
      <c r="T2148" s="30"/>
      <c r="U2148" s="30"/>
      <c r="V2148" s="30"/>
      <c r="W2148" s="30"/>
      <c r="X2148" s="30"/>
      <c r="Y2148" s="30"/>
      <c r="Z2148" s="30"/>
      <c r="AA2148" s="30"/>
      <c r="AB2148" s="30"/>
      <c r="AC2148" s="30"/>
      <c r="AD2148" s="30"/>
      <c r="AE2148" s="30"/>
    </row>
    <row r="2149" spans="1:31" ht="13">
      <c r="A2149" s="30"/>
      <c r="B2149" s="30"/>
      <c r="C2149" s="30"/>
      <c r="D2149" s="30"/>
      <c r="E2149" s="30"/>
      <c r="F2149" s="48"/>
      <c r="G2149" s="49"/>
      <c r="H2149" s="49"/>
      <c r="I2149" s="49"/>
      <c r="J2149" s="71"/>
      <c r="K2149" s="71"/>
      <c r="L2149" s="50"/>
      <c r="M2149" s="30"/>
      <c r="N2149" s="30"/>
      <c r="O2149" s="30"/>
      <c r="P2149" s="30"/>
      <c r="Q2149" s="30"/>
      <c r="R2149" s="30"/>
      <c r="S2149" s="30"/>
      <c r="T2149" s="30"/>
      <c r="U2149" s="30"/>
      <c r="V2149" s="30"/>
      <c r="W2149" s="30"/>
      <c r="X2149" s="30"/>
      <c r="Y2149" s="30"/>
      <c r="Z2149" s="30"/>
      <c r="AA2149" s="30"/>
      <c r="AB2149" s="30"/>
      <c r="AC2149" s="30"/>
      <c r="AD2149" s="30"/>
      <c r="AE2149" s="30"/>
    </row>
    <row r="2150" spans="1:31" ht="13">
      <c r="A2150" s="30"/>
      <c r="B2150" s="30"/>
      <c r="C2150" s="30"/>
      <c r="D2150" s="30"/>
      <c r="E2150" s="30"/>
      <c r="F2150" s="48"/>
      <c r="G2150" s="49"/>
      <c r="H2150" s="49"/>
      <c r="I2150" s="49"/>
      <c r="J2150" s="71"/>
      <c r="K2150" s="71"/>
      <c r="L2150" s="50"/>
      <c r="M2150" s="30"/>
      <c r="N2150" s="30"/>
      <c r="O2150" s="30"/>
      <c r="P2150" s="30"/>
      <c r="Q2150" s="30"/>
      <c r="R2150" s="30"/>
      <c r="S2150" s="30"/>
      <c r="T2150" s="30"/>
      <c r="U2150" s="30"/>
      <c r="V2150" s="30"/>
      <c r="W2150" s="30"/>
      <c r="X2150" s="30"/>
      <c r="Y2150" s="30"/>
      <c r="Z2150" s="30"/>
      <c r="AA2150" s="30"/>
      <c r="AB2150" s="30"/>
      <c r="AC2150" s="30"/>
      <c r="AD2150" s="30"/>
      <c r="AE2150" s="30"/>
    </row>
    <row r="2151" spans="1:31" ht="13">
      <c r="A2151" s="30"/>
      <c r="B2151" s="30"/>
      <c r="C2151" s="30"/>
      <c r="D2151" s="30"/>
      <c r="E2151" s="30"/>
      <c r="F2151" s="48"/>
      <c r="G2151" s="49"/>
      <c r="H2151" s="49"/>
      <c r="I2151" s="49"/>
      <c r="J2151" s="71"/>
      <c r="K2151" s="71"/>
      <c r="L2151" s="50"/>
      <c r="M2151" s="30"/>
      <c r="N2151" s="30"/>
      <c r="O2151" s="30"/>
      <c r="P2151" s="30"/>
      <c r="Q2151" s="30"/>
      <c r="R2151" s="30"/>
      <c r="S2151" s="30"/>
      <c r="T2151" s="30"/>
      <c r="U2151" s="30"/>
      <c r="V2151" s="30"/>
      <c r="W2151" s="30"/>
      <c r="X2151" s="30"/>
      <c r="Y2151" s="30"/>
      <c r="Z2151" s="30"/>
      <c r="AA2151" s="30"/>
      <c r="AB2151" s="30"/>
      <c r="AC2151" s="30"/>
      <c r="AD2151" s="30"/>
      <c r="AE2151" s="30"/>
    </row>
    <row r="2152" spans="1:31" ht="13">
      <c r="A2152" s="30"/>
      <c r="B2152" s="30"/>
      <c r="C2152" s="30"/>
      <c r="D2152" s="30"/>
      <c r="E2152" s="30"/>
      <c r="F2152" s="48"/>
      <c r="G2152" s="49"/>
      <c r="H2152" s="49"/>
      <c r="I2152" s="49"/>
      <c r="J2152" s="71"/>
      <c r="K2152" s="71"/>
      <c r="L2152" s="50"/>
      <c r="M2152" s="30"/>
      <c r="N2152" s="30"/>
      <c r="O2152" s="30"/>
      <c r="P2152" s="30"/>
      <c r="Q2152" s="30"/>
      <c r="R2152" s="30"/>
      <c r="S2152" s="30"/>
      <c r="T2152" s="30"/>
      <c r="U2152" s="30"/>
      <c r="V2152" s="30"/>
      <c r="W2152" s="30"/>
      <c r="X2152" s="30"/>
      <c r="Y2152" s="30"/>
      <c r="Z2152" s="30"/>
      <c r="AA2152" s="30"/>
      <c r="AB2152" s="30"/>
      <c r="AC2152" s="30"/>
      <c r="AD2152" s="30"/>
      <c r="AE2152" s="30"/>
    </row>
    <row r="2153" spans="1:31" ht="13">
      <c r="A2153" s="30"/>
      <c r="B2153" s="30"/>
      <c r="C2153" s="30"/>
      <c r="D2153" s="30"/>
      <c r="E2153" s="30"/>
      <c r="F2153" s="48"/>
      <c r="G2153" s="49"/>
      <c r="H2153" s="49"/>
      <c r="I2153" s="49"/>
      <c r="J2153" s="71"/>
      <c r="K2153" s="71"/>
      <c r="L2153" s="50"/>
      <c r="M2153" s="30"/>
      <c r="N2153" s="30"/>
      <c r="O2153" s="30"/>
      <c r="P2153" s="30"/>
      <c r="Q2153" s="30"/>
      <c r="R2153" s="30"/>
      <c r="S2153" s="30"/>
      <c r="T2153" s="30"/>
      <c r="U2153" s="30"/>
      <c r="V2153" s="30"/>
      <c r="W2153" s="30"/>
      <c r="X2153" s="30"/>
      <c r="Y2153" s="30"/>
      <c r="Z2153" s="30"/>
      <c r="AA2153" s="30"/>
      <c r="AB2153" s="30"/>
      <c r="AC2153" s="30"/>
      <c r="AD2153" s="30"/>
      <c r="AE2153" s="30"/>
    </row>
    <row r="2154" spans="1:31" ht="13">
      <c r="A2154" s="30"/>
      <c r="B2154" s="30"/>
      <c r="C2154" s="30"/>
      <c r="D2154" s="30"/>
      <c r="E2154" s="30"/>
      <c r="F2154" s="48"/>
      <c r="G2154" s="49"/>
      <c r="H2154" s="49"/>
      <c r="I2154" s="49"/>
      <c r="J2154" s="71"/>
      <c r="K2154" s="71"/>
      <c r="L2154" s="50"/>
      <c r="M2154" s="30"/>
      <c r="N2154" s="30"/>
      <c r="O2154" s="30"/>
      <c r="P2154" s="30"/>
      <c r="Q2154" s="30"/>
      <c r="R2154" s="30"/>
      <c r="S2154" s="30"/>
      <c r="T2154" s="30"/>
      <c r="U2154" s="30"/>
      <c r="V2154" s="30"/>
      <c r="W2154" s="30"/>
      <c r="X2154" s="30"/>
      <c r="Y2154" s="30"/>
      <c r="Z2154" s="30"/>
      <c r="AA2154" s="30"/>
      <c r="AB2154" s="30"/>
      <c r="AC2154" s="30"/>
      <c r="AD2154" s="30"/>
      <c r="AE2154" s="30"/>
    </row>
    <row r="2155" spans="1:31" ht="13">
      <c r="A2155" s="30"/>
      <c r="B2155" s="30"/>
      <c r="C2155" s="30"/>
      <c r="D2155" s="30"/>
      <c r="E2155" s="30"/>
      <c r="F2155" s="48"/>
      <c r="G2155" s="49"/>
      <c r="H2155" s="49"/>
      <c r="I2155" s="49"/>
      <c r="J2155" s="71"/>
      <c r="K2155" s="71"/>
      <c r="L2155" s="50"/>
      <c r="M2155" s="30"/>
      <c r="N2155" s="30"/>
      <c r="O2155" s="30"/>
      <c r="P2155" s="30"/>
      <c r="Q2155" s="30"/>
      <c r="R2155" s="30"/>
      <c r="S2155" s="30"/>
      <c r="T2155" s="30"/>
      <c r="U2155" s="30"/>
      <c r="V2155" s="30"/>
      <c r="W2155" s="30"/>
      <c r="X2155" s="30"/>
      <c r="Y2155" s="30"/>
      <c r="Z2155" s="30"/>
      <c r="AA2155" s="30"/>
      <c r="AB2155" s="30"/>
      <c r="AC2155" s="30"/>
      <c r="AD2155" s="30"/>
      <c r="AE2155" s="30"/>
    </row>
    <row r="2156" spans="1:31" ht="13">
      <c r="A2156" s="30"/>
      <c r="B2156" s="30"/>
      <c r="C2156" s="30"/>
      <c r="D2156" s="30"/>
      <c r="E2156" s="30"/>
      <c r="F2156" s="48"/>
      <c r="G2156" s="49"/>
      <c r="H2156" s="49"/>
      <c r="I2156" s="49"/>
      <c r="J2156" s="71"/>
      <c r="K2156" s="71"/>
      <c r="L2156" s="50"/>
      <c r="M2156" s="30"/>
      <c r="N2156" s="30"/>
      <c r="O2156" s="30"/>
      <c r="P2156" s="30"/>
      <c r="Q2156" s="30"/>
      <c r="R2156" s="30"/>
      <c r="S2156" s="30"/>
      <c r="T2156" s="30"/>
      <c r="U2156" s="30"/>
      <c r="V2156" s="30"/>
      <c r="W2156" s="30"/>
      <c r="X2156" s="30"/>
      <c r="Y2156" s="30"/>
      <c r="Z2156" s="30"/>
      <c r="AA2156" s="30"/>
      <c r="AB2156" s="30"/>
      <c r="AC2156" s="30"/>
      <c r="AD2156" s="30"/>
      <c r="AE2156" s="30"/>
    </row>
    <row r="2157" spans="1:31" ht="13">
      <c r="A2157" s="30"/>
      <c r="B2157" s="30"/>
      <c r="C2157" s="30"/>
      <c r="D2157" s="30"/>
      <c r="E2157" s="30"/>
      <c r="F2157" s="48"/>
      <c r="G2157" s="49"/>
      <c r="H2157" s="49"/>
      <c r="I2157" s="49"/>
      <c r="J2157" s="71"/>
      <c r="K2157" s="71"/>
      <c r="L2157" s="50"/>
      <c r="M2157" s="30"/>
      <c r="N2157" s="30"/>
      <c r="O2157" s="30"/>
      <c r="P2157" s="30"/>
      <c r="Q2157" s="30"/>
      <c r="R2157" s="30"/>
      <c r="S2157" s="30"/>
      <c r="T2157" s="30"/>
      <c r="U2157" s="30"/>
      <c r="V2157" s="30"/>
      <c r="W2157" s="30"/>
      <c r="X2157" s="30"/>
      <c r="Y2157" s="30"/>
      <c r="Z2157" s="30"/>
      <c r="AA2157" s="30"/>
      <c r="AB2157" s="30"/>
      <c r="AC2157" s="30"/>
      <c r="AD2157" s="30"/>
      <c r="AE2157" s="30"/>
    </row>
    <row r="2158" spans="1:31" ht="13">
      <c r="A2158" s="30"/>
      <c r="B2158" s="30"/>
      <c r="C2158" s="30"/>
      <c r="D2158" s="30"/>
      <c r="E2158" s="30"/>
      <c r="F2158" s="48"/>
      <c r="G2158" s="49"/>
      <c r="H2158" s="49"/>
      <c r="I2158" s="49"/>
      <c r="J2158" s="71"/>
      <c r="K2158" s="71"/>
      <c r="L2158" s="50"/>
      <c r="M2158" s="30"/>
      <c r="N2158" s="30"/>
      <c r="O2158" s="30"/>
      <c r="P2158" s="30"/>
      <c r="Q2158" s="30"/>
      <c r="R2158" s="30"/>
      <c r="S2158" s="30"/>
      <c r="T2158" s="30"/>
      <c r="U2158" s="30"/>
      <c r="V2158" s="30"/>
      <c r="W2158" s="30"/>
      <c r="X2158" s="30"/>
      <c r="Y2158" s="30"/>
      <c r="Z2158" s="30"/>
      <c r="AA2158" s="30"/>
      <c r="AB2158" s="30"/>
      <c r="AC2158" s="30"/>
      <c r="AD2158" s="30"/>
      <c r="AE2158" s="30"/>
    </row>
    <row r="2159" spans="1:31" ht="13">
      <c r="A2159" s="30"/>
      <c r="B2159" s="30"/>
      <c r="C2159" s="30"/>
      <c r="D2159" s="30"/>
      <c r="E2159" s="30"/>
      <c r="F2159" s="48"/>
      <c r="G2159" s="49"/>
      <c r="H2159" s="49"/>
      <c r="I2159" s="49"/>
      <c r="J2159" s="71"/>
      <c r="K2159" s="71"/>
      <c r="L2159" s="50"/>
      <c r="M2159" s="30"/>
      <c r="N2159" s="30"/>
      <c r="O2159" s="30"/>
      <c r="P2159" s="30"/>
      <c r="Q2159" s="30"/>
      <c r="R2159" s="30"/>
      <c r="S2159" s="30"/>
      <c r="T2159" s="30"/>
      <c r="U2159" s="30"/>
      <c r="V2159" s="30"/>
      <c r="W2159" s="30"/>
      <c r="X2159" s="30"/>
      <c r="Y2159" s="30"/>
      <c r="Z2159" s="30"/>
      <c r="AA2159" s="30"/>
      <c r="AB2159" s="30"/>
      <c r="AC2159" s="30"/>
      <c r="AD2159" s="30"/>
      <c r="AE2159" s="30"/>
    </row>
    <row r="2160" spans="1:31" ht="13">
      <c r="A2160" s="30"/>
      <c r="B2160" s="30"/>
      <c r="C2160" s="30"/>
      <c r="D2160" s="30"/>
      <c r="E2160" s="30"/>
      <c r="F2160" s="48"/>
      <c r="G2160" s="49"/>
      <c r="H2160" s="49"/>
      <c r="I2160" s="49"/>
      <c r="J2160" s="71"/>
      <c r="K2160" s="71"/>
      <c r="L2160" s="50"/>
      <c r="M2160" s="30"/>
      <c r="N2160" s="30"/>
      <c r="O2160" s="30"/>
      <c r="P2160" s="30"/>
      <c r="Q2160" s="30"/>
      <c r="R2160" s="30"/>
      <c r="S2160" s="30"/>
      <c r="T2160" s="30"/>
      <c r="U2160" s="30"/>
      <c r="V2160" s="30"/>
      <c r="W2160" s="30"/>
      <c r="X2160" s="30"/>
      <c r="Y2160" s="30"/>
      <c r="Z2160" s="30"/>
      <c r="AA2160" s="30"/>
      <c r="AB2160" s="30"/>
      <c r="AC2160" s="30"/>
      <c r="AD2160" s="30"/>
      <c r="AE2160" s="30"/>
    </row>
    <row r="2161" spans="1:31" ht="13">
      <c r="A2161" s="30"/>
      <c r="B2161" s="30"/>
      <c r="C2161" s="30"/>
      <c r="D2161" s="30"/>
      <c r="E2161" s="30"/>
      <c r="F2161" s="48"/>
      <c r="G2161" s="49"/>
      <c r="H2161" s="49"/>
      <c r="I2161" s="49"/>
      <c r="J2161" s="71"/>
      <c r="K2161" s="71"/>
      <c r="L2161" s="50"/>
      <c r="M2161" s="30"/>
      <c r="N2161" s="30"/>
      <c r="O2161" s="30"/>
      <c r="P2161" s="30"/>
      <c r="Q2161" s="30"/>
      <c r="R2161" s="30"/>
      <c r="S2161" s="30"/>
      <c r="T2161" s="30"/>
      <c r="U2161" s="30"/>
      <c r="V2161" s="30"/>
      <c r="W2161" s="30"/>
      <c r="X2161" s="30"/>
      <c r="Y2161" s="30"/>
      <c r="Z2161" s="30"/>
      <c r="AA2161" s="30"/>
      <c r="AB2161" s="30"/>
      <c r="AC2161" s="30"/>
      <c r="AD2161" s="30"/>
      <c r="AE2161" s="30"/>
    </row>
    <row r="2162" spans="1:31" ht="13">
      <c r="A2162" s="30"/>
      <c r="B2162" s="30"/>
      <c r="C2162" s="30"/>
      <c r="D2162" s="30"/>
      <c r="E2162" s="30"/>
      <c r="F2162" s="48"/>
      <c r="G2162" s="49"/>
      <c r="H2162" s="49"/>
      <c r="I2162" s="49"/>
      <c r="J2162" s="71"/>
      <c r="K2162" s="71"/>
      <c r="L2162" s="50"/>
      <c r="M2162" s="30"/>
      <c r="N2162" s="30"/>
      <c r="O2162" s="30"/>
      <c r="P2162" s="30"/>
      <c r="Q2162" s="30"/>
      <c r="R2162" s="30"/>
      <c r="S2162" s="30"/>
      <c r="T2162" s="30"/>
      <c r="U2162" s="30"/>
      <c r="V2162" s="30"/>
      <c r="W2162" s="30"/>
      <c r="X2162" s="30"/>
      <c r="Y2162" s="30"/>
      <c r="Z2162" s="30"/>
      <c r="AA2162" s="30"/>
      <c r="AB2162" s="30"/>
      <c r="AC2162" s="30"/>
      <c r="AD2162" s="30"/>
      <c r="AE2162" s="30"/>
    </row>
    <row r="2163" spans="1:31" ht="13">
      <c r="A2163" s="30"/>
      <c r="B2163" s="30"/>
      <c r="C2163" s="30"/>
      <c r="D2163" s="30"/>
      <c r="E2163" s="30"/>
      <c r="F2163" s="48"/>
      <c r="G2163" s="49"/>
      <c r="H2163" s="49"/>
      <c r="I2163" s="49"/>
      <c r="J2163" s="71"/>
      <c r="K2163" s="71"/>
      <c r="L2163" s="50"/>
      <c r="M2163" s="30"/>
      <c r="N2163" s="30"/>
      <c r="O2163" s="30"/>
      <c r="P2163" s="30"/>
      <c r="Q2163" s="30"/>
      <c r="R2163" s="30"/>
      <c r="S2163" s="30"/>
      <c r="T2163" s="30"/>
      <c r="U2163" s="30"/>
      <c r="V2163" s="30"/>
      <c r="W2163" s="30"/>
      <c r="X2163" s="30"/>
      <c r="Y2163" s="30"/>
      <c r="Z2163" s="30"/>
      <c r="AA2163" s="30"/>
      <c r="AB2163" s="30"/>
      <c r="AC2163" s="30"/>
      <c r="AD2163" s="30"/>
      <c r="AE2163" s="30"/>
    </row>
    <row r="2164" spans="1:31" ht="13">
      <c r="A2164" s="30"/>
      <c r="B2164" s="30"/>
      <c r="C2164" s="30"/>
      <c r="D2164" s="30"/>
      <c r="E2164" s="30"/>
      <c r="F2164" s="48"/>
      <c r="G2164" s="49"/>
      <c r="H2164" s="49"/>
      <c r="I2164" s="49"/>
      <c r="J2164" s="71"/>
      <c r="K2164" s="71"/>
      <c r="L2164" s="50"/>
      <c r="M2164" s="30"/>
      <c r="N2164" s="30"/>
      <c r="O2164" s="30"/>
      <c r="P2164" s="30"/>
      <c r="Q2164" s="30"/>
      <c r="R2164" s="30"/>
      <c r="S2164" s="30"/>
      <c r="T2164" s="30"/>
      <c r="U2164" s="30"/>
      <c r="V2164" s="30"/>
      <c r="W2164" s="30"/>
      <c r="X2164" s="30"/>
      <c r="Y2164" s="30"/>
      <c r="Z2164" s="30"/>
      <c r="AA2164" s="30"/>
      <c r="AB2164" s="30"/>
      <c r="AC2164" s="30"/>
      <c r="AD2164" s="30"/>
      <c r="AE2164" s="30"/>
    </row>
    <row r="2165" spans="1:31" ht="13">
      <c r="A2165" s="30"/>
      <c r="B2165" s="30"/>
      <c r="C2165" s="30"/>
      <c r="D2165" s="30"/>
      <c r="E2165" s="30"/>
      <c r="F2165" s="48"/>
      <c r="G2165" s="49"/>
      <c r="H2165" s="49"/>
      <c r="I2165" s="49"/>
      <c r="J2165" s="71"/>
      <c r="K2165" s="71"/>
      <c r="L2165" s="50"/>
      <c r="M2165" s="30"/>
      <c r="N2165" s="30"/>
      <c r="O2165" s="30"/>
      <c r="P2165" s="30"/>
      <c r="Q2165" s="30"/>
      <c r="R2165" s="30"/>
      <c r="S2165" s="30"/>
      <c r="T2165" s="30"/>
      <c r="U2165" s="30"/>
      <c r="V2165" s="30"/>
      <c r="W2165" s="30"/>
      <c r="X2165" s="30"/>
      <c r="Y2165" s="30"/>
      <c r="Z2165" s="30"/>
      <c r="AA2165" s="30"/>
      <c r="AB2165" s="30"/>
      <c r="AC2165" s="30"/>
      <c r="AD2165" s="30"/>
      <c r="AE2165" s="30"/>
    </row>
    <row r="2166" spans="1:31" ht="13">
      <c r="A2166" s="30"/>
      <c r="B2166" s="30"/>
      <c r="C2166" s="30"/>
      <c r="D2166" s="30"/>
      <c r="E2166" s="30"/>
      <c r="F2166" s="48"/>
      <c r="G2166" s="49"/>
      <c r="H2166" s="49"/>
      <c r="I2166" s="49"/>
      <c r="J2166" s="71"/>
      <c r="K2166" s="71"/>
      <c r="L2166" s="50"/>
      <c r="M2166" s="30"/>
      <c r="N2166" s="30"/>
      <c r="O2166" s="30"/>
      <c r="P2166" s="30"/>
      <c r="Q2166" s="30"/>
      <c r="R2166" s="30"/>
      <c r="S2166" s="30"/>
      <c r="T2166" s="30"/>
      <c r="U2166" s="30"/>
      <c r="V2166" s="30"/>
      <c r="W2166" s="30"/>
      <c r="X2166" s="30"/>
      <c r="Y2166" s="30"/>
      <c r="Z2166" s="30"/>
      <c r="AA2166" s="30"/>
      <c r="AB2166" s="30"/>
      <c r="AC2166" s="30"/>
      <c r="AD2166" s="30"/>
      <c r="AE2166" s="30"/>
    </row>
    <row r="2167" spans="1:31" ht="13">
      <c r="A2167" s="30"/>
      <c r="B2167" s="30"/>
      <c r="C2167" s="30"/>
      <c r="D2167" s="30"/>
      <c r="E2167" s="30"/>
      <c r="F2167" s="48"/>
      <c r="G2167" s="49"/>
      <c r="H2167" s="49"/>
      <c r="I2167" s="49"/>
      <c r="J2167" s="71"/>
      <c r="K2167" s="71"/>
      <c r="L2167" s="50"/>
      <c r="M2167" s="30"/>
      <c r="N2167" s="30"/>
      <c r="O2167" s="30"/>
      <c r="P2167" s="30"/>
      <c r="Q2167" s="30"/>
      <c r="R2167" s="30"/>
      <c r="S2167" s="30"/>
      <c r="T2167" s="30"/>
      <c r="U2167" s="30"/>
      <c r="V2167" s="30"/>
      <c r="W2167" s="30"/>
      <c r="X2167" s="30"/>
      <c r="Y2167" s="30"/>
      <c r="Z2167" s="30"/>
      <c r="AA2167" s="30"/>
      <c r="AB2167" s="30"/>
      <c r="AC2167" s="30"/>
      <c r="AD2167" s="30"/>
      <c r="AE2167" s="30"/>
    </row>
    <row r="2168" spans="1:31" ht="13">
      <c r="A2168" s="30"/>
      <c r="B2168" s="30"/>
      <c r="C2168" s="30"/>
      <c r="D2168" s="30"/>
      <c r="E2168" s="30"/>
      <c r="F2168" s="48"/>
      <c r="G2168" s="49"/>
      <c r="H2168" s="49"/>
      <c r="I2168" s="49"/>
      <c r="J2168" s="71"/>
      <c r="K2168" s="71"/>
      <c r="L2168" s="50"/>
      <c r="M2168" s="30"/>
      <c r="N2168" s="30"/>
      <c r="O2168" s="30"/>
      <c r="P2168" s="30"/>
      <c r="Q2168" s="30"/>
      <c r="R2168" s="30"/>
      <c r="S2168" s="30"/>
      <c r="T2168" s="30"/>
      <c r="U2168" s="30"/>
      <c r="V2168" s="30"/>
      <c r="W2168" s="30"/>
      <c r="X2168" s="30"/>
      <c r="Y2168" s="30"/>
      <c r="Z2168" s="30"/>
      <c r="AA2168" s="30"/>
      <c r="AB2168" s="30"/>
      <c r="AC2168" s="30"/>
      <c r="AD2168" s="30"/>
      <c r="AE2168" s="30"/>
    </row>
    <row r="2169" spans="1:31" ht="13">
      <c r="A2169" s="30"/>
      <c r="B2169" s="30"/>
      <c r="C2169" s="30"/>
      <c r="D2169" s="30"/>
      <c r="E2169" s="30"/>
      <c r="F2169" s="48"/>
      <c r="G2169" s="49"/>
      <c r="H2169" s="49"/>
      <c r="I2169" s="49"/>
      <c r="J2169" s="71"/>
      <c r="K2169" s="71"/>
      <c r="L2169" s="50"/>
      <c r="M2169" s="30"/>
      <c r="N2169" s="30"/>
      <c r="O2169" s="30"/>
      <c r="P2169" s="30"/>
      <c r="Q2169" s="30"/>
      <c r="R2169" s="30"/>
      <c r="S2169" s="30"/>
      <c r="T2169" s="30"/>
      <c r="U2169" s="30"/>
      <c r="V2169" s="30"/>
      <c r="W2169" s="30"/>
      <c r="X2169" s="30"/>
      <c r="Y2169" s="30"/>
      <c r="Z2169" s="30"/>
      <c r="AA2169" s="30"/>
      <c r="AB2169" s="30"/>
      <c r="AC2169" s="30"/>
      <c r="AD2169" s="30"/>
      <c r="AE2169" s="30"/>
    </row>
    <row r="2170" spans="1:31" ht="13">
      <c r="A2170" s="30"/>
      <c r="B2170" s="30"/>
      <c r="C2170" s="30"/>
      <c r="D2170" s="30"/>
      <c r="E2170" s="30"/>
      <c r="F2170" s="48"/>
      <c r="G2170" s="49"/>
      <c r="H2170" s="49"/>
      <c r="I2170" s="49"/>
      <c r="J2170" s="71"/>
      <c r="K2170" s="71"/>
      <c r="L2170" s="50"/>
      <c r="M2170" s="30"/>
      <c r="N2170" s="30"/>
      <c r="O2170" s="30"/>
      <c r="P2170" s="30"/>
      <c r="Q2170" s="30"/>
      <c r="R2170" s="30"/>
      <c r="S2170" s="30"/>
      <c r="T2170" s="30"/>
      <c r="U2170" s="30"/>
      <c r="V2170" s="30"/>
      <c r="W2170" s="30"/>
      <c r="X2170" s="30"/>
      <c r="Y2170" s="30"/>
      <c r="Z2170" s="30"/>
      <c r="AA2170" s="30"/>
      <c r="AB2170" s="30"/>
      <c r="AC2170" s="30"/>
      <c r="AD2170" s="30"/>
      <c r="AE2170" s="30"/>
    </row>
    <row r="2171" spans="1:31" ht="13">
      <c r="A2171" s="30"/>
      <c r="B2171" s="30"/>
      <c r="C2171" s="30"/>
      <c r="D2171" s="30"/>
      <c r="E2171" s="30"/>
      <c r="F2171" s="48"/>
      <c r="G2171" s="49"/>
      <c r="H2171" s="49"/>
      <c r="I2171" s="49"/>
      <c r="J2171" s="71"/>
      <c r="K2171" s="71"/>
      <c r="L2171" s="50"/>
      <c r="M2171" s="30"/>
      <c r="N2171" s="30"/>
      <c r="O2171" s="30"/>
      <c r="P2171" s="30"/>
      <c r="Q2171" s="30"/>
      <c r="R2171" s="30"/>
      <c r="S2171" s="30"/>
      <c r="T2171" s="30"/>
      <c r="U2171" s="30"/>
      <c r="V2171" s="30"/>
      <c r="W2171" s="30"/>
      <c r="X2171" s="30"/>
      <c r="Y2171" s="30"/>
      <c r="Z2171" s="30"/>
      <c r="AA2171" s="30"/>
      <c r="AB2171" s="30"/>
      <c r="AC2171" s="30"/>
      <c r="AD2171" s="30"/>
      <c r="AE2171" s="30"/>
    </row>
    <row r="2172" spans="1:31" ht="13">
      <c r="A2172" s="30"/>
      <c r="B2172" s="30"/>
      <c r="C2172" s="30"/>
      <c r="D2172" s="30"/>
      <c r="E2172" s="30"/>
      <c r="F2172" s="48"/>
      <c r="G2172" s="49"/>
      <c r="H2172" s="49"/>
      <c r="I2172" s="49"/>
      <c r="J2172" s="71"/>
      <c r="K2172" s="71"/>
      <c r="L2172" s="50"/>
      <c r="M2172" s="30"/>
      <c r="N2172" s="30"/>
      <c r="O2172" s="30"/>
      <c r="P2172" s="30"/>
      <c r="Q2172" s="30"/>
      <c r="R2172" s="30"/>
      <c r="S2172" s="30"/>
      <c r="T2172" s="30"/>
      <c r="U2172" s="30"/>
      <c r="V2172" s="30"/>
      <c r="W2172" s="30"/>
      <c r="X2172" s="30"/>
      <c r="Y2172" s="30"/>
      <c r="Z2172" s="30"/>
      <c r="AA2172" s="30"/>
      <c r="AB2172" s="30"/>
      <c r="AC2172" s="30"/>
      <c r="AD2172" s="30"/>
      <c r="AE2172" s="30"/>
    </row>
    <row r="2173" spans="1:31" ht="13">
      <c r="A2173" s="30"/>
      <c r="B2173" s="30"/>
      <c r="C2173" s="30"/>
      <c r="D2173" s="30"/>
      <c r="E2173" s="30"/>
      <c r="F2173" s="48"/>
      <c r="G2173" s="49"/>
      <c r="H2173" s="49"/>
      <c r="I2173" s="49"/>
      <c r="J2173" s="71"/>
      <c r="K2173" s="71"/>
      <c r="L2173" s="50"/>
      <c r="M2173" s="30"/>
      <c r="N2173" s="30"/>
      <c r="O2173" s="30"/>
      <c r="P2173" s="30"/>
      <c r="Q2173" s="30"/>
      <c r="R2173" s="30"/>
      <c r="S2173" s="30"/>
      <c r="T2173" s="30"/>
      <c r="U2173" s="30"/>
      <c r="V2173" s="30"/>
      <c r="W2173" s="30"/>
      <c r="X2173" s="30"/>
      <c r="Y2173" s="30"/>
      <c r="Z2173" s="30"/>
      <c r="AA2173" s="30"/>
      <c r="AB2173" s="30"/>
      <c r="AC2173" s="30"/>
      <c r="AD2173" s="30"/>
      <c r="AE2173" s="30"/>
    </row>
    <row r="2174" spans="1:31" ht="13">
      <c r="A2174" s="30"/>
      <c r="B2174" s="30"/>
      <c r="C2174" s="30"/>
      <c r="D2174" s="30"/>
      <c r="E2174" s="30"/>
      <c r="F2174" s="48"/>
      <c r="G2174" s="49"/>
      <c r="H2174" s="49"/>
      <c r="I2174" s="49"/>
      <c r="J2174" s="71"/>
      <c r="K2174" s="71"/>
      <c r="L2174" s="50"/>
      <c r="M2174" s="30"/>
      <c r="N2174" s="30"/>
      <c r="O2174" s="30"/>
      <c r="P2174" s="30"/>
      <c r="Q2174" s="30"/>
      <c r="R2174" s="30"/>
      <c r="S2174" s="30"/>
      <c r="T2174" s="30"/>
      <c r="U2174" s="30"/>
      <c r="V2174" s="30"/>
      <c r="W2174" s="30"/>
      <c r="X2174" s="30"/>
      <c r="Y2174" s="30"/>
      <c r="Z2174" s="30"/>
      <c r="AA2174" s="30"/>
      <c r="AB2174" s="30"/>
      <c r="AC2174" s="30"/>
      <c r="AD2174" s="30"/>
      <c r="AE2174" s="30"/>
    </row>
    <row r="2175" spans="1:31" ht="13">
      <c r="A2175" s="30"/>
      <c r="B2175" s="30"/>
      <c r="C2175" s="30"/>
      <c r="D2175" s="30"/>
      <c r="E2175" s="30"/>
      <c r="F2175" s="48"/>
      <c r="G2175" s="49"/>
      <c r="H2175" s="49"/>
      <c r="I2175" s="49"/>
      <c r="J2175" s="71"/>
      <c r="K2175" s="71"/>
      <c r="L2175" s="50"/>
      <c r="M2175" s="30"/>
      <c r="N2175" s="30"/>
      <c r="O2175" s="30"/>
      <c r="P2175" s="30"/>
      <c r="Q2175" s="30"/>
      <c r="R2175" s="30"/>
      <c r="S2175" s="30"/>
      <c r="T2175" s="30"/>
      <c r="U2175" s="30"/>
      <c r="V2175" s="30"/>
      <c r="W2175" s="30"/>
      <c r="X2175" s="30"/>
      <c r="Y2175" s="30"/>
      <c r="Z2175" s="30"/>
      <c r="AA2175" s="30"/>
      <c r="AB2175" s="30"/>
      <c r="AC2175" s="30"/>
      <c r="AD2175" s="30"/>
      <c r="AE2175" s="30"/>
    </row>
    <row r="2176" spans="1:31" ht="13">
      <c r="A2176" s="30"/>
      <c r="B2176" s="30"/>
      <c r="C2176" s="30"/>
      <c r="D2176" s="30"/>
      <c r="E2176" s="30"/>
      <c r="F2176" s="48"/>
      <c r="G2176" s="49"/>
      <c r="H2176" s="49"/>
      <c r="I2176" s="49"/>
      <c r="J2176" s="71"/>
      <c r="K2176" s="71"/>
      <c r="L2176" s="50"/>
      <c r="M2176" s="30"/>
      <c r="N2176" s="30"/>
      <c r="O2176" s="30"/>
      <c r="P2176" s="30"/>
      <c r="Q2176" s="30"/>
      <c r="R2176" s="30"/>
      <c r="S2176" s="30"/>
      <c r="T2176" s="30"/>
      <c r="U2176" s="30"/>
      <c r="V2176" s="30"/>
      <c r="W2176" s="30"/>
      <c r="X2176" s="30"/>
      <c r="Y2176" s="30"/>
      <c r="Z2176" s="30"/>
      <c r="AA2176" s="30"/>
      <c r="AB2176" s="30"/>
      <c r="AC2176" s="30"/>
      <c r="AD2176" s="30"/>
      <c r="AE2176" s="30"/>
    </row>
    <row r="2177" spans="1:31" ht="13">
      <c r="A2177" s="30"/>
      <c r="B2177" s="30"/>
      <c r="C2177" s="30"/>
      <c r="D2177" s="30"/>
      <c r="E2177" s="30"/>
      <c r="F2177" s="48"/>
      <c r="G2177" s="49"/>
      <c r="H2177" s="49"/>
      <c r="I2177" s="49"/>
      <c r="J2177" s="71"/>
      <c r="K2177" s="71"/>
      <c r="L2177" s="50"/>
      <c r="M2177" s="30"/>
      <c r="N2177" s="30"/>
      <c r="O2177" s="30"/>
      <c r="P2177" s="30"/>
      <c r="Q2177" s="30"/>
      <c r="R2177" s="30"/>
      <c r="S2177" s="30"/>
      <c r="T2177" s="30"/>
      <c r="U2177" s="30"/>
      <c r="V2177" s="30"/>
      <c r="W2177" s="30"/>
      <c r="X2177" s="30"/>
      <c r="Y2177" s="30"/>
      <c r="Z2177" s="30"/>
      <c r="AA2177" s="30"/>
      <c r="AB2177" s="30"/>
      <c r="AC2177" s="30"/>
      <c r="AD2177" s="30"/>
      <c r="AE2177" s="30"/>
    </row>
    <row r="2178" spans="1:31" ht="13">
      <c r="A2178" s="30"/>
      <c r="B2178" s="30"/>
      <c r="C2178" s="30"/>
      <c r="D2178" s="30"/>
      <c r="E2178" s="30"/>
      <c r="F2178" s="48"/>
      <c r="G2178" s="49"/>
      <c r="H2178" s="49"/>
      <c r="I2178" s="49"/>
      <c r="J2178" s="71"/>
      <c r="K2178" s="71"/>
      <c r="L2178" s="50"/>
      <c r="M2178" s="30"/>
      <c r="N2178" s="30"/>
      <c r="O2178" s="30"/>
      <c r="P2178" s="30"/>
      <c r="Q2178" s="30"/>
      <c r="R2178" s="30"/>
      <c r="S2178" s="30"/>
      <c r="T2178" s="30"/>
      <c r="U2178" s="30"/>
      <c r="V2178" s="30"/>
      <c r="W2178" s="30"/>
      <c r="X2178" s="30"/>
      <c r="Y2178" s="30"/>
      <c r="Z2178" s="30"/>
      <c r="AA2178" s="30"/>
      <c r="AB2178" s="30"/>
      <c r="AC2178" s="30"/>
      <c r="AD2178" s="30"/>
      <c r="AE2178" s="30"/>
    </row>
    <row r="2179" spans="1:31" ht="13">
      <c r="A2179" s="30"/>
      <c r="B2179" s="30"/>
      <c r="C2179" s="30"/>
      <c r="D2179" s="30"/>
      <c r="E2179" s="30"/>
      <c r="F2179" s="48"/>
      <c r="G2179" s="49"/>
      <c r="H2179" s="49"/>
      <c r="I2179" s="49"/>
      <c r="J2179" s="71"/>
      <c r="K2179" s="71"/>
      <c r="L2179" s="50"/>
      <c r="M2179" s="30"/>
      <c r="N2179" s="30"/>
      <c r="O2179" s="30"/>
      <c r="P2179" s="30"/>
      <c r="Q2179" s="30"/>
      <c r="R2179" s="30"/>
      <c r="S2179" s="30"/>
      <c r="T2179" s="30"/>
      <c r="U2179" s="30"/>
      <c r="V2179" s="30"/>
      <c r="W2179" s="30"/>
      <c r="X2179" s="30"/>
      <c r="Y2179" s="30"/>
      <c r="Z2179" s="30"/>
      <c r="AA2179" s="30"/>
      <c r="AB2179" s="30"/>
      <c r="AC2179" s="30"/>
      <c r="AD2179" s="30"/>
      <c r="AE2179" s="30"/>
    </row>
    <row r="2180" spans="1:31" ht="13">
      <c r="A2180" s="30"/>
      <c r="B2180" s="30"/>
      <c r="C2180" s="30"/>
      <c r="D2180" s="30"/>
      <c r="E2180" s="30"/>
      <c r="F2180" s="48"/>
      <c r="G2180" s="49"/>
      <c r="H2180" s="49"/>
      <c r="I2180" s="49"/>
      <c r="J2180" s="71"/>
      <c r="K2180" s="71"/>
      <c r="L2180" s="50"/>
      <c r="M2180" s="30"/>
      <c r="N2180" s="30"/>
      <c r="O2180" s="30"/>
      <c r="P2180" s="30"/>
      <c r="Q2180" s="30"/>
      <c r="R2180" s="30"/>
      <c r="S2180" s="30"/>
      <c r="T2180" s="30"/>
      <c r="U2180" s="30"/>
      <c r="V2180" s="30"/>
      <c r="W2180" s="30"/>
      <c r="X2180" s="30"/>
      <c r="Y2180" s="30"/>
      <c r="Z2180" s="30"/>
      <c r="AA2180" s="30"/>
      <c r="AB2180" s="30"/>
      <c r="AC2180" s="30"/>
      <c r="AD2180" s="30"/>
      <c r="AE2180" s="30"/>
    </row>
    <row r="2181" spans="1:31" ht="13">
      <c r="A2181" s="30"/>
      <c r="B2181" s="30"/>
      <c r="C2181" s="30"/>
      <c r="D2181" s="30"/>
      <c r="E2181" s="30"/>
      <c r="F2181" s="48"/>
      <c r="G2181" s="49"/>
      <c r="H2181" s="49"/>
      <c r="I2181" s="49"/>
      <c r="J2181" s="71"/>
      <c r="K2181" s="71"/>
      <c r="L2181" s="50"/>
      <c r="M2181" s="30"/>
      <c r="N2181" s="30"/>
      <c r="O2181" s="30"/>
      <c r="P2181" s="30"/>
      <c r="Q2181" s="30"/>
      <c r="R2181" s="30"/>
      <c r="S2181" s="30"/>
      <c r="T2181" s="30"/>
      <c r="U2181" s="30"/>
      <c r="V2181" s="30"/>
      <c r="W2181" s="30"/>
      <c r="X2181" s="30"/>
      <c r="Y2181" s="30"/>
      <c r="Z2181" s="30"/>
      <c r="AA2181" s="30"/>
      <c r="AB2181" s="30"/>
      <c r="AC2181" s="30"/>
      <c r="AD2181" s="30"/>
      <c r="AE2181" s="30"/>
    </row>
    <row r="2182" spans="1:31" ht="13">
      <c r="A2182" s="30"/>
      <c r="B2182" s="30"/>
      <c r="C2182" s="30"/>
      <c r="D2182" s="30"/>
      <c r="E2182" s="30"/>
      <c r="F2182" s="48"/>
      <c r="G2182" s="49"/>
      <c r="H2182" s="49"/>
      <c r="I2182" s="49"/>
      <c r="J2182" s="71"/>
      <c r="K2182" s="71"/>
      <c r="L2182" s="50"/>
      <c r="M2182" s="30"/>
      <c r="N2182" s="30"/>
      <c r="O2182" s="30"/>
      <c r="P2182" s="30"/>
      <c r="Q2182" s="30"/>
      <c r="R2182" s="30"/>
      <c r="S2182" s="30"/>
      <c r="T2182" s="30"/>
      <c r="U2182" s="30"/>
      <c r="V2182" s="30"/>
      <c r="W2182" s="30"/>
      <c r="X2182" s="30"/>
      <c r="Y2182" s="30"/>
      <c r="Z2182" s="30"/>
      <c r="AA2182" s="30"/>
      <c r="AB2182" s="30"/>
      <c r="AC2182" s="30"/>
      <c r="AD2182" s="30"/>
      <c r="AE2182" s="30"/>
    </row>
    <row r="2183" spans="1:31" ht="13">
      <c r="A2183" s="30"/>
      <c r="B2183" s="30"/>
      <c r="C2183" s="30"/>
      <c r="D2183" s="30"/>
      <c r="E2183" s="30"/>
      <c r="F2183" s="48"/>
      <c r="G2183" s="49"/>
      <c r="H2183" s="49"/>
      <c r="I2183" s="49"/>
      <c r="J2183" s="71"/>
      <c r="K2183" s="71"/>
      <c r="L2183" s="50"/>
      <c r="M2183" s="30"/>
      <c r="N2183" s="30"/>
      <c r="O2183" s="30"/>
      <c r="P2183" s="30"/>
      <c r="Q2183" s="30"/>
      <c r="R2183" s="30"/>
      <c r="S2183" s="30"/>
      <c r="T2183" s="30"/>
      <c r="U2183" s="30"/>
      <c r="V2183" s="30"/>
      <c r="W2183" s="30"/>
      <c r="X2183" s="30"/>
      <c r="Y2183" s="30"/>
      <c r="Z2183" s="30"/>
      <c r="AA2183" s="30"/>
      <c r="AB2183" s="30"/>
      <c r="AC2183" s="30"/>
      <c r="AD2183" s="30"/>
      <c r="AE2183" s="30"/>
    </row>
    <row r="2184" spans="1:31" ht="13">
      <c r="A2184" s="30"/>
      <c r="B2184" s="30"/>
      <c r="C2184" s="30"/>
      <c r="D2184" s="30"/>
      <c r="E2184" s="30"/>
      <c r="F2184" s="48"/>
      <c r="G2184" s="49"/>
      <c r="H2184" s="49"/>
      <c r="I2184" s="49"/>
      <c r="J2184" s="71"/>
      <c r="K2184" s="71"/>
      <c r="L2184" s="50"/>
      <c r="M2184" s="30"/>
      <c r="N2184" s="30"/>
      <c r="O2184" s="30"/>
      <c r="P2184" s="30"/>
      <c r="Q2184" s="30"/>
      <c r="R2184" s="30"/>
      <c r="S2184" s="30"/>
      <c r="T2184" s="30"/>
      <c r="U2184" s="30"/>
      <c r="V2184" s="30"/>
      <c r="W2184" s="30"/>
      <c r="X2184" s="30"/>
      <c r="Y2184" s="30"/>
      <c r="Z2184" s="30"/>
      <c r="AA2184" s="30"/>
      <c r="AB2184" s="30"/>
      <c r="AC2184" s="30"/>
      <c r="AD2184" s="30"/>
      <c r="AE2184" s="30"/>
    </row>
    <row r="2185" spans="1:31" ht="13">
      <c r="A2185" s="30"/>
      <c r="B2185" s="30"/>
      <c r="C2185" s="30"/>
      <c r="D2185" s="30"/>
      <c r="E2185" s="30"/>
      <c r="F2185" s="48"/>
      <c r="G2185" s="49"/>
      <c r="H2185" s="49"/>
      <c r="I2185" s="49"/>
      <c r="J2185" s="71"/>
      <c r="K2185" s="71"/>
      <c r="L2185" s="50"/>
      <c r="M2185" s="30"/>
      <c r="N2185" s="30"/>
      <c r="O2185" s="30"/>
      <c r="P2185" s="30"/>
      <c r="Q2185" s="30"/>
      <c r="R2185" s="30"/>
      <c r="S2185" s="30"/>
      <c r="T2185" s="30"/>
      <c r="U2185" s="30"/>
      <c r="V2185" s="30"/>
      <c r="W2185" s="30"/>
      <c r="X2185" s="30"/>
      <c r="Y2185" s="30"/>
      <c r="Z2185" s="30"/>
      <c r="AA2185" s="30"/>
      <c r="AB2185" s="30"/>
      <c r="AC2185" s="30"/>
      <c r="AD2185" s="30"/>
      <c r="AE2185" s="30"/>
    </row>
    <row r="2186" spans="1:31" ht="13">
      <c r="A2186" s="30"/>
      <c r="B2186" s="30"/>
      <c r="C2186" s="30"/>
      <c r="D2186" s="30"/>
      <c r="E2186" s="30"/>
      <c r="F2186" s="48"/>
      <c r="G2186" s="49"/>
      <c r="H2186" s="49"/>
      <c r="I2186" s="49"/>
      <c r="J2186" s="71"/>
      <c r="K2186" s="71"/>
      <c r="L2186" s="50"/>
      <c r="M2186" s="30"/>
      <c r="N2186" s="30"/>
      <c r="O2186" s="30"/>
      <c r="P2186" s="30"/>
      <c r="Q2186" s="30"/>
      <c r="R2186" s="30"/>
      <c r="S2186" s="30"/>
      <c r="T2186" s="30"/>
      <c r="U2186" s="30"/>
      <c r="V2186" s="30"/>
      <c r="W2186" s="30"/>
      <c r="X2186" s="30"/>
      <c r="Y2186" s="30"/>
      <c r="Z2186" s="30"/>
      <c r="AA2186" s="30"/>
      <c r="AB2186" s="30"/>
      <c r="AC2186" s="30"/>
      <c r="AD2186" s="30"/>
      <c r="AE2186" s="30"/>
    </row>
    <row r="2187" spans="1:31" ht="13">
      <c r="A2187" s="30"/>
      <c r="B2187" s="30"/>
      <c r="C2187" s="30"/>
      <c r="D2187" s="30"/>
      <c r="E2187" s="30"/>
      <c r="F2187" s="48"/>
      <c r="G2187" s="49"/>
      <c r="H2187" s="49"/>
      <c r="I2187" s="49"/>
      <c r="J2187" s="71"/>
      <c r="K2187" s="71"/>
      <c r="L2187" s="50"/>
      <c r="M2187" s="30"/>
      <c r="N2187" s="30"/>
      <c r="O2187" s="30"/>
      <c r="P2187" s="30"/>
      <c r="Q2187" s="30"/>
      <c r="R2187" s="30"/>
      <c r="S2187" s="30"/>
      <c r="T2187" s="30"/>
      <c r="U2187" s="30"/>
      <c r="V2187" s="30"/>
      <c r="W2187" s="30"/>
      <c r="X2187" s="30"/>
      <c r="Y2187" s="30"/>
      <c r="Z2187" s="30"/>
      <c r="AA2187" s="30"/>
      <c r="AB2187" s="30"/>
      <c r="AC2187" s="30"/>
      <c r="AD2187" s="30"/>
      <c r="AE2187" s="30"/>
    </row>
    <row r="2188" spans="1:31" ht="13">
      <c r="A2188" s="30"/>
      <c r="B2188" s="30"/>
      <c r="C2188" s="30"/>
      <c r="D2188" s="30"/>
      <c r="E2188" s="30"/>
      <c r="F2188" s="48"/>
      <c r="G2188" s="49"/>
      <c r="H2188" s="49"/>
      <c r="I2188" s="49"/>
      <c r="J2188" s="71"/>
      <c r="K2188" s="71"/>
      <c r="L2188" s="50"/>
      <c r="M2188" s="30"/>
      <c r="N2188" s="30"/>
      <c r="O2188" s="30"/>
      <c r="P2188" s="30"/>
      <c r="Q2188" s="30"/>
      <c r="R2188" s="30"/>
      <c r="S2188" s="30"/>
      <c r="T2188" s="30"/>
      <c r="U2188" s="30"/>
      <c r="V2188" s="30"/>
      <c r="W2188" s="30"/>
      <c r="X2188" s="30"/>
      <c r="Y2188" s="30"/>
      <c r="Z2188" s="30"/>
      <c r="AA2188" s="30"/>
      <c r="AB2188" s="30"/>
      <c r="AC2188" s="30"/>
      <c r="AD2188" s="30"/>
      <c r="AE2188" s="30"/>
    </row>
    <row r="2189" spans="1:31" ht="13">
      <c r="A2189" s="30"/>
      <c r="B2189" s="30"/>
      <c r="C2189" s="30"/>
      <c r="D2189" s="30"/>
      <c r="E2189" s="30"/>
      <c r="F2189" s="48"/>
      <c r="G2189" s="49"/>
      <c r="H2189" s="49"/>
      <c r="I2189" s="49"/>
      <c r="J2189" s="71"/>
      <c r="K2189" s="71"/>
      <c r="L2189" s="50"/>
      <c r="M2189" s="30"/>
      <c r="N2189" s="30"/>
      <c r="O2189" s="30"/>
      <c r="P2189" s="30"/>
      <c r="Q2189" s="30"/>
      <c r="R2189" s="30"/>
      <c r="S2189" s="30"/>
      <c r="T2189" s="30"/>
      <c r="U2189" s="30"/>
      <c r="V2189" s="30"/>
      <c r="W2189" s="30"/>
      <c r="X2189" s="30"/>
      <c r="Y2189" s="30"/>
      <c r="Z2189" s="30"/>
      <c r="AA2189" s="30"/>
      <c r="AB2189" s="30"/>
      <c r="AC2189" s="30"/>
      <c r="AD2189" s="30"/>
      <c r="AE2189" s="30"/>
    </row>
    <row r="2190" spans="1:31" ht="13">
      <c r="A2190" s="30"/>
      <c r="B2190" s="30"/>
      <c r="C2190" s="30"/>
      <c r="D2190" s="30"/>
      <c r="E2190" s="30"/>
      <c r="F2190" s="48"/>
      <c r="G2190" s="49"/>
      <c r="H2190" s="49"/>
      <c r="I2190" s="49"/>
      <c r="J2190" s="71"/>
      <c r="K2190" s="71"/>
      <c r="L2190" s="50"/>
      <c r="M2190" s="30"/>
      <c r="N2190" s="30"/>
      <c r="O2190" s="30"/>
      <c r="P2190" s="30"/>
      <c r="Q2190" s="30"/>
      <c r="R2190" s="30"/>
      <c r="S2190" s="30"/>
      <c r="T2190" s="30"/>
      <c r="U2190" s="30"/>
      <c r="V2190" s="30"/>
      <c r="W2190" s="30"/>
      <c r="X2190" s="30"/>
      <c r="Y2190" s="30"/>
      <c r="Z2190" s="30"/>
      <c r="AA2190" s="30"/>
      <c r="AB2190" s="30"/>
      <c r="AC2190" s="30"/>
      <c r="AD2190" s="30"/>
      <c r="AE2190" s="30"/>
    </row>
    <row r="2191" spans="1:31" ht="13">
      <c r="A2191" s="30"/>
      <c r="B2191" s="30"/>
      <c r="C2191" s="30"/>
      <c r="D2191" s="30"/>
      <c r="E2191" s="30"/>
      <c r="F2191" s="48"/>
      <c r="G2191" s="49"/>
      <c r="H2191" s="49"/>
      <c r="I2191" s="49"/>
      <c r="J2191" s="71"/>
      <c r="K2191" s="71"/>
      <c r="L2191" s="50"/>
      <c r="M2191" s="30"/>
      <c r="N2191" s="30"/>
      <c r="O2191" s="30"/>
      <c r="P2191" s="30"/>
      <c r="Q2191" s="30"/>
      <c r="R2191" s="30"/>
      <c r="S2191" s="30"/>
      <c r="T2191" s="30"/>
      <c r="U2191" s="30"/>
      <c r="V2191" s="30"/>
      <c r="W2191" s="30"/>
      <c r="X2191" s="30"/>
      <c r="Y2191" s="30"/>
      <c r="Z2191" s="30"/>
      <c r="AA2191" s="30"/>
      <c r="AB2191" s="30"/>
      <c r="AC2191" s="30"/>
      <c r="AD2191" s="30"/>
      <c r="AE2191" s="30"/>
    </row>
    <row r="2192" spans="1:31" ht="13">
      <c r="A2192" s="30"/>
      <c r="B2192" s="30"/>
      <c r="C2192" s="30"/>
      <c r="D2192" s="30"/>
      <c r="E2192" s="30"/>
      <c r="F2192" s="48"/>
      <c r="G2192" s="49"/>
      <c r="H2192" s="49"/>
      <c r="I2192" s="49"/>
      <c r="J2192" s="71"/>
      <c r="K2192" s="71"/>
      <c r="L2192" s="50"/>
      <c r="M2192" s="30"/>
      <c r="N2192" s="30"/>
      <c r="O2192" s="30"/>
      <c r="P2192" s="30"/>
      <c r="Q2192" s="30"/>
      <c r="R2192" s="30"/>
      <c r="S2192" s="30"/>
      <c r="T2192" s="30"/>
      <c r="U2192" s="30"/>
      <c r="V2192" s="30"/>
      <c r="W2192" s="30"/>
      <c r="X2192" s="30"/>
      <c r="Y2192" s="30"/>
      <c r="Z2192" s="30"/>
      <c r="AA2192" s="30"/>
      <c r="AB2192" s="30"/>
      <c r="AC2192" s="30"/>
      <c r="AD2192" s="30"/>
      <c r="AE2192" s="30"/>
    </row>
    <row r="2193" spans="1:31" ht="13">
      <c r="A2193" s="30"/>
      <c r="B2193" s="30"/>
      <c r="C2193" s="30"/>
      <c r="D2193" s="30"/>
      <c r="E2193" s="30"/>
      <c r="F2193" s="48"/>
      <c r="G2193" s="49"/>
      <c r="H2193" s="49"/>
      <c r="I2193" s="49"/>
      <c r="J2193" s="71"/>
      <c r="K2193" s="71"/>
      <c r="L2193" s="50"/>
      <c r="M2193" s="30"/>
      <c r="N2193" s="30"/>
      <c r="O2193" s="30"/>
      <c r="P2193" s="30"/>
      <c r="Q2193" s="30"/>
      <c r="R2193" s="30"/>
      <c r="S2193" s="30"/>
      <c r="T2193" s="30"/>
      <c r="U2193" s="30"/>
      <c r="V2193" s="30"/>
      <c r="W2193" s="30"/>
      <c r="X2193" s="30"/>
      <c r="Y2193" s="30"/>
      <c r="Z2193" s="30"/>
      <c r="AA2193" s="30"/>
      <c r="AB2193" s="30"/>
      <c r="AC2193" s="30"/>
      <c r="AD2193" s="30"/>
      <c r="AE2193" s="30"/>
    </row>
    <row r="2194" spans="1:31" ht="13">
      <c r="A2194" s="30"/>
      <c r="B2194" s="30"/>
      <c r="C2194" s="30"/>
      <c r="D2194" s="30"/>
      <c r="E2194" s="30"/>
      <c r="F2194" s="48"/>
      <c r="G2194" s="49"/>
      <c r="H2194" s="49"/>
      <c r="I2194" s="49"/>
      <c r="J2194" s="71"/>
      <c r="K2194" s="71"/>
      <c r="L2194" s="50"/>
      <c r="M2194" s="30"/>
      <c r="N2194" s="30"/>
      <c r="O2194" s="30"/>
      <c r="P2194" s="30"/>
      <c r="Q2194" s="30"/>
      <c r="R2194" s="30"/>
      <c r="S2194" s="30"/>
      <c r="T2194" s="30"/>
      <c r="U2194" s="30"/>
      <c r="V2194" s="30"/>
      <c r="W2194" s="30"/>
      <c r="X2194" s="30"/>
      <c r="Y2194" s="30"/>
      <c r="Z2194" s="30"/>
      <c r="AA2194" s="30"/>
      <c r="AB2194" s="30"/>
      <c r="AC2194" s="30"/>
      <c r="AD2194" s="30"/>
      <c r="AE2194" s="30"/>
    </row>
    <row r="2195" spans="1:31" ht="13">
      <c r="A2195" s="30"/>
      <c r="B2195" s="30"/>
      <c r="C2195" s="30"/>
      <c r="D2195" s="30"/>
      <c r="E2195" s="30"/>
      <c r="F2195" s="48"/>
      <c r="G2195" s="49"/>
      <c r="H2195" s="49"/>
      <c r="I2195" s="49"/>
      <c r="J2195" s="71"/>
      <c r="K2195" s="71"/>
      <c r="L2195" s="50"/>
      <c r="M2195" s="30"/>
      <c r="N2195" s="30"/>
      <c r="O2195" s="30"/>
      <c r="P2195" s="30"/>
      <c r="Q2195" s="30"/>
      <c r="R2195" s="30"/>
      <c r="S2195" s="30"/>
      <c r="T2195" s="30"/>
      <c r="U2195" s="30"/>
      <c r="V2195" s="30"/>
      <c r="W2195" s="30"/>
      <c r="X2195" s="30"/>
      <c r="Y2195" s="30"/>
      <c r="Z2195" s="30"/>
      <c r="AA2195" s="30"/>
      <c r="AB2195" s="30"/>
      <c r="AC2195" s="30"/>
      <c r="AD2195" s="30"/>
      <c r="AE2195" s="30"/>
    </row>
    <row r="2196" spans="1:31" ht="13">
      <c r="A2196" s="30"/>
      <c r="B2196" s="30"/>
      <c r="C2196" s="30"/>
      <c r="D2196" s="30"/>
      <c r="E2196" s="30"/>
      <c r="F2196" s="48"/>
      <c r="G2196" s="49"/>
      <c r="H2196" s="49"/>
      <c r="I2196" s="49"/>
      <c r="J2196" s="71"/>
      <c r="K2196" s="71"/>
      <c r="L2196" s="50"/>
      <c r="M2196" s="30"/>
      <c r="N2196" s="30"/>
      <c r="O2196" s="30"/>
      <c r="P2196" s="30"/>
      <c r="Q2196" s="30"/>
      <c r="R2196" s="30"/>
      <c r="S2196" s="30"/>
      <c r="T2196" s="30"/>
      <c r="U2196" s="30"/>
      <c r="V2196" s="30"/>
      <c r="W2196" s="30"/>
      <c r="X2196" s="30"/>
      <c r="Y2196" s="30"/>
      <c r="Z2196" s="30"/>
      <c r="AA2196" s="30"/>
      <c r="AB2196" s="30"/>
      <c r="AC2196" s="30"/>
      <c r="AD2196" s="30"/>
      <c r="AE2196" s="30"/>
    </row>
    <row r="2197" spans="1:31" ht="13">
      <c r="A2197" s="30"/>
      <c r="B2197" s="30"/>
      <c r="C2197" s="30"/>
      <c r="D2197" s="30"/>
      <c r="E2197" s="30"/>
      <c r="F2197" s="48"/>
      <c r="G2197" s="49"/>
      <c r="H2197" s="49"/>
      <c r="I2197" s="49"/>
      <c r="J2197" s="71"/>
      <c r="K2197" s="71"/>
      <c r="L2197" s="50"/>
      <c r="M2197" s="30"/>
      <c r="N2197" s="30"/>
      <c r="O2197" s="30"/>
      <c r="P2197" s="30"/>
      <c r="Q2197" s="30"/>
      <c r="R2197" s="30"/>
      <c r="S2197" s="30"/>
      <c r="T2197" s="30"/>
      <c r="U2197" s="30"/>
      <c r="V2197" s="30"/>
      <c r="W2197" s="30"/>
      <c r="X2197" s="30"/>
      <c r="Y2197" s="30"/>
      <c r="Z2197" s="30"/>
      <c r="AA2197" s="30"/>
      <c r="AB2197" s="30"/>
      <c r="AC2197" s="30"/>
      <c r="AD2197" s="30"/>
      <c r="AE2197" s="30"/>
    </row>
    <row r="2198" spans="1:31" ht="13">
      <c r="A2198" s="30"/>
      <c r="B2198" s="30"/>
      <c r="C2198" s="30"/>
      <c r="D2198" s="30"/>
      <c r="E2198" s="30"/>
      <c r="F2198" s="48"/>
      <c r="G2198" s="49"/>
      <c r="H2198" s="49"/>
      <c r="I2198" s="49"/>
      <c r="J2198" s="71"/>
      <c r="K2198" s="71"/>
      <c r="L2198" s="50"/>
      <c r="M2198" s="30"/>
      <c r="N2198" s="30"/>
      <c r="O2198" s="30"/>
      <c r="P2198" s="30"/>
      <c r="Q2198" s="30"/>
      <c r="R2198" s="30"/>
      <c r="S2198" s="30"/>
      <c r="T2198" s="30"/>
      <c r="U2198" s="30"/>
      <c r="V2198" s="30"/>
      <c r="W2198" s="30"/>
      <c r="X2198" s="30"/>
      <c r="Y2198" s="30"/>
      <c r="Z2198" s="30"/>
      <c r="AA2198" s="30"/>
      <c r="AB2198" s="30"/>
      <c r="AC2198" s="30"/>
      <c r="AD2198" s="30"/>
      <c r="AE2198" s="30"/>
    </row>
    <row r="2199" spans="1:31" ht="13">
      <c r="A2199" s="30"/>
      <c r="B2199" s="30"/>
      <c r="C2199" s="30"/>
      <c r="D2199" s="30"/>
      <c r="E2199" s="30"/>
      <c r="F2199" s="48"/>
      <c r="G2199" s="49"/>
      <c r="H2199" s="49"/>
      <c r="I2199" s="49"/>
      <c r="J2199" s="71"/>
      <c r="K2199" s="71"/>
      <c r="L2199" s="50"/>
      <c r="M2199" s="30"/>
      <c r="N2199" s="30"/>
      <c r="O2199" s="30"/>
      <c r="P2199" s="30"/>
      <c r="Q2199" s="30"/>
      <c r="R2199" s="30"/>
      <c r="S2199" s="30"/>
      <c r="T2199" s="30"/>
      <c r="U2199" s="30"/>
      <c r="V2199" s="30"/>
      <c r="W2199" s="30"/>
      <c r="X2199" s="30"/>
      <c r="Y2199" s="30"/>
      <c r="Z2199" s="30"/>
      <c r="AA2199" s="30"/>
      <c r="AB2199" s="30"/>
      <c r="AC2199" s="30"/>
      <c r="AD2199" s="30"/>
      <c r="AE2199" s="30"/>
    </row>
    <row r="2200" spans="1:31" ht="13">
      <c r="A2200" s="30"/>
      <c r="B2200" s="30"/>
      <c r="C2200" s="30"/>
      <c r="D2200" s="30"/>
      <c r="E2200" s="30"/>
      <c r="F2200" s="48"/>
      <c r="G2200" s="49"/>
      <c r="H2200" s="49"/>
      <c r="I2200" s="49"/>
      <c r="J2200" s="71"/>
      <c r="K2200" s="71"/>
      <c r="L2200" s="50"/>
      <c r="M2200" s="30"/>
      <c r="N2200" s="30"/>
      <c r="O2200" s="30"/>
      <c r="P2200" s="30"/>
      <c r="Q2200" s="30"/>
      <c r="R2200" s="30"/>
      <c r="S2200" s="30"/>
      <c r="T2200" s="30"/>
      <c r="U2200" s="30"/>
      <c r="V2200" s="30"/>
      <c r="W2200" s="30"/>
      <c r="X2200" s="30"/>
      <c r="Y2200" s="30"/>
      <c r="Z2200" s="30"/>
      <c r="AA2200" s="30"/>
      <c r="AB2200" s="30"/>
      <c r="AC2200" s="30"/>
      <c r="AD2200" s="30"/>
      <c r="AE2200" s="30"/>
    </row>
    <row r="2201" spans="1:31" ht="13">
      <c r="A2201" s="30"/>
      <c r="B2201" s="30"/>
      <c r="C2201" s="30"/>
      <c r="D2201" s="30"/>
      <c r="E2201" s="30"/>
      <c r="F2201" s="48"/>
      <c r="G2201" s="49"/>
      <c r="H2201" s="49"/>
      <c r="I2201" s="49"/>
      <c r="J2201" s="71"/>
      <c r="K2201" s="71"/>
      <c r="L2201" s="50"/>
      <c r="M2201" s="30"/>
      <c r="N2201" s="30"/>
      <c r="O2201" s="30"/>
      <c r="P2201" s="30"/>
      <c r="Q2201" s="30"/>
      <c r="R2201" s="30"/>
      <c r="S2201" s="30"/>
      <c r="T2201" s="30"/>
      <c r="U2201" s="30"/>
      <c r="V2201" s="30"/>
      <c r="W2201" s="30"/>
      <c r="X2201" s="30"/>
      <c r="Y2201" s="30"/>
      <c r="Z2201" s="30"/>
      <c r="AA2201" s="30"/>
      <c r="AB2201" s="30"/>
      <c r="AC2201" s="30"/>
      <c r="AD2201" s="30"/>
      <c r="AE2201" s="30"/>
    </row>
    <row r="2202" spans="1:31" ht="13">
      <c r="A2202" s="30"/>
      <c r="B2202" s="30"/>
      <c r="C2202" s="30"/>
      <c r="D2202" s="30"/>
      <c r="E2202" s="30"/>
      <c r="F2202" s="48"/>
      <c r="G2202" s="49"/>
      <c r="H2202" s="49"/>
      <c r="I2202" s="49"/>
      <c r="J2202" s="71"/>
      <c r="K2202" s="71"/>
      <c r="L2202" s="50"/>
      <c r="M2202" s="30"/>
      <c r="N2202" s="30"/>
      <c r="O2202" s="30"/>
      <c r="P2202" s="30"/>
      <c r="Q2202" s="30"/>
      <c r="R2202" s="30"/>
      <c r="S2202" s="30"/>
      <c r="T2202" s="30"/>
      <c r="U2202" s="30"/>
      <c r="V2202" s="30"/>
      <c r="W2202" s="30"/>
      <c r="X2202" s="30"/>
      <c r="Y2202" s="30"/>
      <c r="Z2202" s="30"/>
      <c r="AA2202" s="30"/>
      <c r="AB2202" s="30"/>
      <c r="AC2202" s="30"/>
      <c r="AD2202" s="30"/>
      <c r="AE2202" s="30"/>
    </row>
    <row r="2203" spans="1:31" ht="13">
      <c r="A2203" s="30"/>
      <c r="B2203" s="30"/>
      <c r="C2203" s="30"/>
      <c r="D2203" s="30"/>
      <c r="E2203" s="30"/>
      <c r="F2203" s="48"/>
      <c r="G2203" s="49"/>
      <c r="H2203" s="49"/>
      <c r="I2203" s="49"/>
      <c r="J2203" s="71"/>
      <c r="K2203" s="71"/>
      <c r="L2203" s="50"/>
      <c r="M2203" s="30"/>
      <c r="N2203" s="30"/>
      <c r="O2203" s="30"/>
      <c r="P2203" s="30"/>
      <c r="Q2203" s="30"/>
      <c r="R2203" s="30"/>
      <c r="S2203" s="30"/>
      <c r="T2203" s="30"/>
      <c r="U2203" s="30"/>
      <c r="V2203" s="30"/>
      <c r="W2203" s="30"/>
      <c r="X2203" s="30"/>
      <c r="Y2203" s="30"/>
      <c r="Z2203" s="30"/>
      <c r="AA2203" s="30"/>
      <c r="AB2203" s="30"/>
      <c r="AC2203" s="30"/>
      <c r="AD2203" s="30"/>
      <c r="AE2203" s="30"/>
    </row>
    <row r="2204" spans="1:31" ht="13">
      <c r="A2204" s="30"/>
      <c r="B2204" s="30"/>
      <c r="C2204" s="30"/>
      <c r="D2204" s="30"/>
      <c r="E2204" s="30"/>
      <c r="F2204" s="48"/>
      <c r="G2204" s="49"/>
      <c r="H2204" s="49"/>
      <c r="I2204" s="49"/>
      <c r="J2204" s="71"/>
      <c r="K2204" s="71"/>
      <c r="L2204" s="50"/>
      <c r="M2204" s="30"/>
      <c r="N2204" s="30"/>
      <c r="O2204" s="30"/>
      <c r="P2204" s="30"/>
      <c r="Q2204" s="30"/>
      <c r="R2204" s="30"/>
      <c r="S2204" s="30"/>
      <c r="T2204" s="30"/>
      <c r="U2204" s="30"/>
      <c r="V2204" s="30"/>
      <c r="W2204" s="30"/>
      <c r="X2204" s="30"/>
      <c r="Y2204" s="30"/>
      <c r="Z2204" s="30"/>
      <c r="AA2204" s="30"/>
      <c r="AB2204" s="30"/>
      <c r="AC2204" s="30"/>
      <c r="AD2204" s="30"/>
      <c r="AE2204" s="30"/>
    </row>
    <row r="2205" spans="1:31" ht="13">
      <c r="A2205" s="30"/>
      <c r="B2205" s="30"/>
      <c r="C2205" s="30"/>
      <c r="D2205" s="30"/>
      <c r="E2205" s="30"/>
      <c r="F2205" s="48"/>
      <c r="G2205" s="49"/>
      <c r="H2205" s="49"/>
      <c r="I2205" s="49"/>
      <c r="J2205" s="71"/>
      <c r="K2205" s="71"/>
      <c r="L2205" s="50"/>
      <c r="M2205" s="30"/>
      <c r="N2205" s="30"/>
      <c r="O2205" s="30"/>
      <c r="P2205" s="30"/>
      <c r="Q2205" s="30"/>
      <c r="R2205" s="30"/>
      <c r="S2205" s="30"/>
      <c r="T2205" s="30"/>
      <c r="U2205" s="30"/>
      <c r="V2205" s="30"/>
      <c r="W2205" s="30"/>
      <c r="X2205" s="30"/>
      <c r="Y2205" s="30"/>
      <c r="Z2205" s="30"/>
      <c r="AA2205" s="30"/>
      <c r="AB2205" s="30"/>
      <c r="AC2205" s="30"/>
      <c r="AD2205" s="30"/>
      <c r="AE2205" s="30"/>
    </row>
    <row r="2206" spans="1:31" ht="13">
      <c r="A2206" s="30"/>
      <c r="B2206" s="30"/>
      <c r="C2206" s="30"/>
      <c r="D2206" s="30"/>
      <c r="E2206" s="30"/>
      <c r="F2206" s="48"/>
      <c r="G2206" s="49"/>
      <c r="H2206" s="49"/>
      <c r="I2206" s="49"/>
      <c r="J2206" s="71"/>
      <c r="K2206" s="71"/>
      <c r="L2206" s="50"/>
      <c r="M2206" s="30"/>
      <c r="N2206" s="30"/>
      <c r="O2206" s="30"/>
      <c r="P2206" s="30"/>
      <c r="Q2206" s="30"/>
      <c r="R2206" s="30"/>
      <c r="S2206" s="30"/>
      <c r="T2206" s="30"/>
      <c r="U2206" s="30"/>
      <c r="V2206" s="30"/>
      <c r="W2206" s="30"/>
      <c r="X2206" s="30"/>
      <c r="Y2206" s="30"/>
      <c r="Z2206" s="30"/>
      <c r="AA2206" s="30"/>
      <c r="AB2206" s="30"/>
      <c r="AC2206" s="30"/>
      <c r="AD2206" s="30"/>
      <c r="AE2206" s="30"/>
    </row>
    <row r="2207" spans="1:31" ht="13">
      <c r="A2207" s="30"/>
      <c r="B2207" s="30"/>
      <c r="C2207" s="30"/>
      <c r="D2207" s="30"/>
      <c r="E2207" s="30"/>
      <c r="F2207" s="48"/>
      <c r="G2207" s="49"/>
      <c r="H2207" s="49"/>
      <c r="I2207" s="49"/>
      <c r="J2207" s="71"/>
      <c r="K2207" s="71"/>
      <c r="L2207" s="50"/>
      <c r="M2207" s="30"/>
      <c r="N2207" s="30"/>
      <c r="O2207" s="30"/>
      <c r="P2207" s="30"/>
      <c r="Q2207" s="30"/>
      <c r="R2207" s="30"/>
      <c r="S2207" s="30"/>
      <c r="T2207" s="30"/>
      <c r="U2207" s="30"/>
      <c r="V2207" s="30"/>
      <c r="W2207" s="30"/>
      <c r="X2207" s="30"/>
      <c r="Y2207" s="30"/>
      <c r="Z2207" s="30"/>
      <c r="AA2207" s="30"/>
      <c r="AB2207" s="30"/>
      <c r="AC2207" s="30"/>
      <c r="AD2207" s="30"/>
      <c r="AE2207" s="30"/>
    </row>
    <row r="2208" spans="1:31" ht="13">
      <c r="A2208" s="30"/>
      <c r="B2208" s="30"/>
      <c r="C2208" s="30"/>
      <c r="D2208" s="30"/>
      <c r="E2208" s="30"/>
      <c r="F2208" s="48"/>
      <c r="G2208" s="49"/>
      <c r="H2208" s="49"/>
      <c r="I2208" s="49"/>
      <c r="J2208" s="71"/>
      <c r="K2208" s="71"/>
      <c r="L2208" s="50"/>
      <c r="M2208" s="30"/>
      <c r="N2208" s="30"/>
      <c r="O2208" s="30"/>
      <c r="P2208" s="30"/>
      <c r="Q2208" s="30"/>
      <c r="R2208" s="30"/>
      <c r="S2208" s="30"/>
      <c r="T2208" s="30"/>
      <c r="U2208" s="30"/>
      <c r="V2208" s="30"/>
      <c r="W2208" s="30"/>
      <c r="X2208" s="30"/>
      <c r="Y2208" s="30"/>
      <c r="Z2208" s="30"/>
      <c r="AA2208" s="30"/>
      <c r="AB2208" s="30"/>
      <c r="AC2208" s="30"/>
      <c r="AD2208" s="30"/>
      <c r="AE2208" s="30"/>
    </row>
    <row r="2209" spans="1:31" ht="13">
      <c r="A2209" s="30"/>
      <c r="B2209" s="30"/>
      <c r="C2209" s="30"/>
      <c r="D2209" s="30"/>
      <c r="E2209" s="30"/>
      <c r="F2209" s="48"/>
      <c r="G2209" s="49"/>
      <c r="H2209" s="49"/>
      <c r="I2209" s="49"/>
      <c r="J2209" s="71"/>
      <c r="K2209" s="71"/>
      <c r="L2209" s="50"/>
      <c r="M2209" s="30"/>
      <c r="N2209" s="30"/>
      <c r="O2209" s="30"/>
      <c r="P2209" s="30"/>
      <c r="Q2209" s="30"/>
      <c r="R2209" s="30"/>
      <c r="S2209" s="30"/>
      <c r="T2209" s="30"/>
      <c r="U2209" s="30"/>
      <c r="V2209" s="30"/>
      <c r="W2209" s="30"/>
      <c r="X2209" s="30"/>
      <c r="Y2209" s="30"/>
      <c r="Z2209" s="30"/>
      <c r="AA2209" s="30"/>
      <c r="AB2209" s="30"/>
      <c r="AC2209" s="30"/>
      <c r="AD2209" s="30"/>
      <c r="AE2209" s="30"/>
    </row>
    <row r="2210" spans="1:31" ht="13">
      <c r="A2210" s="30"/>
      <c r="B2210" s="30"/>
      <c r="C2210" s="30"/>
      <c r="D2210" s="30"/>
      <c r="E2210" s="30"/>
      <c r="F2210" s="48"/>
      <c r="G2210" s="49"/>
      <c r="H2210" s="49"/>
      <c r="I2210" s="49"/>
      <c r="J2210" s="71"/>
      <c r="K2210" s="71"/>
      <c r="L2210" s="50"/>
      <c r="M2210" s="30"/>
      <c r="N2210" s="30"/>
      <c r="O2210" s="30"/>
      <c r="P2210" s="30"/>
      <c r="Q2210" s="30"/>
      <c r="R2210" s="30"/>
      <c r="S2210" s="30"/>
      <c r="T2210" s="30"/>
      <c r="U2210" s="30"/>
      <c r="V2210" s="30"/>
      <c r="W2210" s="30"/>
      <c r="X2210" s="30"/>
      <c r="Y2210" s="30"/>
      <c r="Z2210" s="30"/>
      <c r="AA2210" s="30"/>
      <c r="AB2210" s="30"/>
      <c r="AC2210" s="30"/>
      <c r="AD2210" s="30"/>
      <c r="AE2210" s="30"/>
    </row>
    <row r="2211" spans="1:31" ht="13">
      <c r="A2211" s="30"/>
      <c r="B2211" s="30"/>
      <c r="C2211" s="30"/>
      <c r="D2211" s="30"/>
      <c r="E2211" s="30"/>
      <c r="F2211" s="48"/>
      <c r="G2211" s="49"/>
      <c r="H2211" s="49"/>
      <c r="I2211" s="49"/>
      <c r="J2211" s="71"/>
      <c r="K2211" s="71"/>
      <c r="L2211" s="50"/>
      <c r="M2211" s="30"/>
      <c r="N2211" s="30"/>
      <c r="O2211" s="30"/>
      <c r="P2211" s="30"/>
      <c r="Q2211" s="30"/>
      <c r="R2211" s="30"/>
      <c r="S2211" s="30"/>
      <c r="T2211" s="30"/>
      <c r="U2211" s="30"/>
      <c r="V2211" s="30"/>
      <c r="W2211" s="30"/>
      <c r="X2211" s="30"/>
      <c r="Y2211" s="30"/>
      <c r="Z2211" s="30"/>
      <c r="AA2211" s="30"/>
      <c r="AB2211" s="30"/>
      <c r="AC2211" s="30"/>
      <c r="AD2211" s="30"/>
      <c r="AE2211" s="30"/>
    </row>
    <row r="2212" spans="1:31" ht="13">
      <c r="A2212" s="30"/>
      <c r="B2212" s="30"/>
      <c r="C2212" s="30"/>
      <c r="D2212" s="30"/>
      <c r="E2212" s="30"/>
      <c r="F2212" s="48"/>
      <c r="G2212" s="49"/>
      <c r="H2212" s="49"/>
      <c r="I2212" s="49"/>
      <c r="J2212" s="71"/>
      <c r="K2212" s="71"/>
      <c r="L2212" s="50"/>
      <c r="M2212" s="30"/>
      <c r="N2212" s="30"/>
      <c r="O2212" s="30"/>
      <c r="P2212" s="30"/>
      <c r="Q2212" s="30"/>
      <c r="R2212" s="30"/>
      <c r="S2212" s="30"/>
      <c r="T2212" s="30"/>
      <c r="U2212" s="30"/>
      <c r="V2212" s="30"/>
      <c r="W2212" s="30"/>
      <c r="X2212" s="30"/>
      <c r="Y2212" s="30"/>
      <c r="Z2212" s="30"/>
      <c r="AA2212" s="30"/>
      <c r="AB2212" s="30"/>
      <c r="AC2212" s="30"/>
      <c r="AD2212" s="30"/>
      <c r="AE2212" s="30"/>
    </row>
    <row r="2213" spans="1:31" ht="13">
      <c r="A2213" s="30"/>
      <c r="B2213" s="30"/>
      <c r="C2213" s="30"/>
      <c r="D2213" s="30"/>
      <c r="E2213" s="30"/>
      <c r="F2213" s="48"/>
      <c r="G2213" s="49"/>
      <c r="H2213" s="49"/>
      <c r="I2213" s="49"/>
      <c r="J2213" s="71"/>
      <c r="K2213" s="71"/>
      <c r="L2213" s="50"/>
      <c r="M2213" s="30"/>
      <c r="N2213" s="30"/>
      <c r="O2213" s="30"/>
      <c r="P2213" s="30"/>
      <c r="Q2213" s="30"/>
      <c r="R2213" s="30"/>
      <c r="S2213" s="30"/>
      <c r="T2213" s="30"/>
      <c r="U2213" s="30"/>
      <c r="V2213" s="30"/>
      <c r="W2213" s="30"/>
      <c r="X2213" s="30"/>
      <c r="Y2213" s="30"/>
      <c r="Z2213" s="30"/>
      <c r="AA2213" s="30"/>
      <c r="AB2213" s="30"/>
      <c r="AC2213" s="30"/>
      <c r="AD2213" s="30"/>
      <c r="AE2213" s="30"/>
    </row>
    <row r="2214" spans="1:31" ht="13">
      <c r="A2214" s="30"/>
      <c r="B2214" s="30"/>
      <c r="C2214" s="30"/>
      <c r="D2214" s="30"/>
      <c r="E2214" s="30"/>
      <c r="F2214" s="48"/>
      <c r="G2214" s="49"/>
      <c r="H2214" s="49"/>
      <c r="I2214" s="49"/>
      <c r="J2214" s="71"/>
      <c r="K2214" s="71"/>
      <c r="L2214" s="50"/>
      <c r="M2214" s="30"/>
      <c r="N2214" s="30"/>
      <c r="O2214" s="30"/>
      <c r="P2214" s="30"/>
      <c r="Q2214" s="30"/>
      <c r="R2214" s="30"/>
      <c r="S2214" s="30"/>
      <c r="T2214" s="30"/>
      <c r="U2214" s="30"/>
      <c r="V2214" s="30"/>
      <c r="W2214" s="30"/>
      <c r="X2214" s="30"/>
      <c r="Y2214" s="30"/>
      <c r="Z2214" s="30"/>
      <c r="AA2214" s="30"/>
      <c r="AB2214" s="30"/>
      <c r="AC2214" s="30"/>
      <c r="AD2214" s="30"/>
      <c r="AE2214" s="30"/>
    </row>
    <row r="2215" spans="1:31" ht="13">
      <c r="A2215" s="30"/>
      <c r="B2215" s="30"/>
      <c r="C2215" s="30"/>
      <c r="D2215" s="30"/>
      <c r="E2215" s="30"/>
      <c r="F2215" s="48"/>
      <c r="G2215" s="49"/>
      <c r="H2215" s="49"/>
      <c r="I2215" s="49"/>
      <c r="J2215" s="71"/>
      <c r="K2215" s="71"/>
      <c r="L2215" s="50"/>
      <c r="M2215" s="30"/>
      <c r="N2215" s="30"/>
      <c r="O2215" s="30"/>
      <c r="P2215" s="30"/>
      <c r="Q2215" s="30"/>
      <c r="R2215" s="30"/>
      <c r="S2215" s="30"/>
      <c r="T2215" s="30"/>
      <c r="U2215" s="30"/>
      <c r="V2215" s="30"/>
      <c r="W2215" s="30"/>
      <c r="X2215" s="30"/>
      <c r="Y2215" s="30"/>
      <c r="Z2215" s="30"/>
      <c r="AA2215" s="30"/>
      <c r="AB2215" s="30"/>
      <c r="AC2215" s="30"/>
      <c r="AD2215" s="30"/>
      <c r="AE2215" s="30"/>
    </row>
    <row r="2216" spans="1:31" ht="13">
      <c r="A2216" s="30"/>
      <c r="B2216" s="30"/>
      <c r="C2216" s="30"/>
      <c r="D2216" s="30"/>
      <c r="E2216" s="30"/>
      <c r="F2216" s="48"/>
      <c r="G2216" s="49"/>
      <c r="H2216" s="49"/>
      <c r="I2216" s="49"/>
      <c r="J2216" s="71"/>
      <c r="K2216" s="71"/>
      <c r="L2216" s="50"/>
      <c r="M2216" s="30"/>
      <c r="N2216" s="30"/>
      <c r="O2216" s="30"/>
      <c r="P2216" s="30"/>
      <c r="Q2216" s="30"/>
      <c r="R2216" s="30"/>
      <c r="S2216" s="30"/>
      <c r="T2216" s="30"/>
      <c r="U2216" s="30"/>
      <c r="V2216" s="30"/>
      <c r="W2216" s="30"/>
      <c r="X2216" s="30"/>
      <c r="Y2216" s="30"/>
      <c r="Z2216" s="30"/>
      <c r="AA2216" s="30"/>
      <c r="AB2216" s="30"/>
      <c r="AC2216" s="30"/>
      <c r="AD2216" s="30"/>
      <c r="AE2216" s="30"/>
    </row>
    <row r="2217" spans="1:31" ht="13">
      <c r="A2217" s="30"/>
      <c r="B2217" s="30"/>
      <c r="C2217" s="30"/>
      <c r="D2217" s="30"/>
      <c r="E2217" s="30"/>
      <c r="F2217" s="48"/>
      <c r="G2217" s="49"/>
      <c r="H2217" s="49"/>
      <c r="I2217" s="49"/>
      <c r="J2217" s="71"/>
      <c r="K2217" s="71"/>
      <c r="L2217" s="50"/>
      <c r="M2217" s="30"/>
      <c r="N2217" s="30"/>
      <c r="O2217" s="30"/>
      <c r="P2217" s="30"/>
      <c r="Q2217" s="30"/>
      <c r="R2217" s="30"/>
      <c r="S2217" s="30"/>
      <c r="T2217" s="30"/>
      <c r="U2217" s="30"/>
      <c r="V2217" s="30"/>
      <c r="W2217" s="30"/>
      <c r="X2217" s="30"/>
      <c r="Y2217" s="30"/>
      <c r="Z2217" s="30"/>
      <c r="AA2217" s="30"/>
      <c r="AB2217" s="30"/>
      <c r="AC2217" s="30"/>
      <c r="AD2217" s="30"/>
      <c r="AE2217" s="30"/>
    </row>
    <row r="2218" spans="1:31" ht="13">
      <c r="A2218" s="30"/>
      <c r="B2218" s="30"/>
      <c r="C2218" s="30"/>
      <c r="D2218" s="30"/>
      <c r="E2218" s="30"/>
      <c r="F2218" s="48"/>
      <c r="G2218" s="49"/>
      <c r="H2218" s="49"/>
      <c r="I2218" s="49"/>
      <c r="J2218" s="71"/>
      <c r="K2218" s="71"/>
      <c r="L2218" s="50"/>
      <c r="M2218" s="30"/>
      <c r="N2218" s="30"/>
      <c r="O2218" s="30"/>
      <c r="P2218" s="30"/>
      <c r="Q2218" s="30"/>
      <c r="R2218" s="30"/>
      <c r="S2218" s="30"/>
      <c r="T2218" s="30"/>
      <c r="U2218" s="30"/>
      <c r="V2218" s="30"/>
      <c r="W2218" s="30"/>
      <c r="X2218" s="30"/>
      <c r="Y2218" s="30"/>
      <c r="Z2218" s="30"/>
      <c r="AA2218" s="30"/>
      <c r="AB2218" s="30"/>
      <c r="AC2218" s="30"/>
      <c r="AD2218" s="30"/>
      <c r="AE2218" s="30"/>
    </row>
    <row r="2219" spans="1:31" ht="13">
      <c r="A2219" s="30"/>
      <c r="B2219" s="30"/>
      <c r="C2219" s="30"/>
      <c r="D2219" s="30"/>
      <c r="E2219" s="30"/>
      <c r="F2219" s="48"/>
      <c r="G2219" s="49"/>
      <c r="H2219" s="49"/>
      <c r="I2219" s="49"/>
      <c r="J2219" s="71"/>
      <c r="K2219" s="71"/>
      <c r="L2219" s="50"/>
      <c r="M2219" s="30"/>
      <c r="N2219" s="30"/>
      <c r="O2219" s="30"/>
      <c r="P2219" s="30"/>
      <c r="Q2219" s="30"/>
      <c r="R2219" s="30"/>
      <c r="S2219" s="30"/>
      <c r="T2219" s="30"/>
      <c r="U2219" s="30"/>
      <c r="V2219" s="30"/>
      <c r="W2219" s="30"/>
      <c r="X2219" s="30"/>
      <c r="Y2219" s="30"/>
      <c r="Z2219" s="30"/>
      <c r="AA2219" s="30"/>
      <c r="AB2219" s="30"/>
      <c r="AC2219" s="30"/>
      <c r="AD2219" s="30"/>
      <c r="AE2219" s="30"/>
    </row>
    <row r="2220" spans="1:31" ht="13">
      <c r="A2220" s="30"/>
      <c r="B2220" s="30"/>
      <c r="C2220" s="30"/>
      <c r="D2220" s="30"/>
      <c r="E2220" s="30"/>
      <c r="F2220" s="48"/>
      <c r="G2220" s="49"/>
      <c r="H2220" s="49"/>
      <c r="I2220" s="49"/>
      <c r="J2220" s="71"/>
      <c r="K2220" s="71"/>
      <c r="L2220" s="50"/>
      <c r="M2220" s="30"/>
      <c r="N2220" s="30"/>
      <c r="O2220" s="30"/>
      <c r="P2220" s="30"/>
      <c r="Q2220" s="30"/>
      <c r="R2220" s="30"/>
      <c r="S2220" s="30"/>
      <c r="T2220" s="30"/>
      <c r="U2220" s="30"/>
      <c r="V2220" s="30"/>
      <c r="W2220" s="30"/>
      <c r="X2220" s="30"/>
      <c r="Y2220" s="30"/>
      <c r="Z2220" s="30"/>
      <c r="AA2220" s="30"/>
      <c r="AB2220" s="30"/>
      <c r="AC2220" s="30"/>
      <c r="AD2220" s="30"/>
      <c r="AE2220" s="30"/>
    </row>
    <row r="2221" spans="1:31" ht="13">
      <c r="A2221" s="30"/>
      <c r="B2221" s="30"/>
      <c r="C2221" s="30"/>
      <c r="D2221" s="30"/>
      <c r="E2221" s="30"/>
      <c r="F2221" s="48"/>
      <c r="G2221" s="49"/>
      <c r="H2221" s="49"/>
      <c r="I2221" s="49"/>
      <c r="J2221" s="71"/>
      <c r="K2221" s="71"/>
      <c r="L2221" s="50"/>
      <c r="M2221" s="30"/>
      <c r="N2221" s="30"/>
      <c r="O2221" s="30"/>
      <c r="P2221" s="30"/>
      <c r="Q2221" s="30"/>
      <c r="R2221" s="30"/>
      <c r="S2221" s="30"/>
      <c r="T2221" s="30"/>
      <c r="U2221" s="30"/>
      <c r="V2221" s="30"/>
      <c r="W2221" s="30"/>
      <c r="X2221" s="30"/>
      <c r="Y2221" s="30"/>
      <c r="Z2221" s="30"/>
      <c r="AA2221" s="30"/>
      <c r="AB2221" s="30"/>
      <c r="AC2221" s="30"/>
      <c r="AD2221" s="30"/>
      <c r="AE2221" s="30"/>
    </row>
    <row r="2222" spans="1:31" ht="13">
      <c r="A2222" s="30"/>
      <c r="B2222" s="30"/>
      <c r="C2222" s="30"/>
      <c r="D2222" s="30"/>
      <c r="E2222" s="30"/>
      <c r="F2222" s="48"/>
      <c r="G2222" s="49"/>
      <c r="H2222" s="49"/>
      <c r="I2222" s="49"/>
      <c r="J2222" s="71"/>
      <c r="K2222" s="71"/>
      <c r="L2222" s="50"/>
      <c r="M2222" s="30"/>
      <c r="N2222" s="30"/>
      <c r="O2222" s="30"/>
      <c r="P2222" s="30"/>
      <c r="Q2222" s="30"/>
      <c r="R2222" s="30"/>
      <c r="S2222" s="30"/>
      <c r="T2222" s="30"/>
      <c r="U2222" s="30"/>
      <c r="V2222" s="30"/>
      <c r="W2222" s="30"/>
      <c r="X2222" s="30"/>
      <c r="Y2222" s="30"/>
      <c r="Z2222" s="30"/>
      <c r="AA2222" s="30"/>
      <c r="AB2222" s="30"/>
      <c r="AC2222" s="30"/>
      <c r="AD2222" s="30"/>
      <c r="AE2222" s="30"/>
    </row>
    <row r="2223" spans="1:31" ht="13">
      <c r="A2223" s="30"/>
      <c r="B2223" s="30"/>
      <c r="C2223" s="30"/>
      <c r="D2223" s="30"/>
      <c r="E2223" s="30"/>
      <c r="F2223" s="48"/>
      <c r="G2223" s="49"/>
      <c r="H2223" s="49"/>
      <c r="I2223" s="49"/>
      <c r="J2223" s="71"/>
      <c r="K2223" s="71"/>
      <c r="L2223" s="50"/>
      <c r="M2223" s="30"/>
      <c r="N2223" s="30"/>
      <c r="O2223" s="30"/>
      <c r="P2223" s="30"/>
      <c r="Q2223" s="30"/>
      <c r="R2223" s="30"/>
      <c r="S2223" s="30"/>
      <c r="T2223" s="30"/>
      <c r="U2223" s="30"/>
      <c r="V2223" s="30"/>
      <c r="W2223" s="30"/>
      <c r="X2223" s="30"/>
      <c r="Y2223" s="30"/>
      <c r="Z2223" s="30"/>
      <c r="AA2223" s="30"/>
      <c r="AB2223" s="30"/>
      <c r="AC2223" s="30"/>
      <c r="AD2223" s="30"/>
      <c r="AE2223" s="30"/>
    </row>
    <row r="2224" spans="1:31" ht="13">
      <c r="A2224" s="30"/>
      <c r="B2224" s="30"/>
      <c r="C2224" s="30"/>
      <c r="D2224" s="30"/>
      <c r="E2224" s="30"/>
      <c r="F2224" s="48"/>
      <c r="G2224" s="49"/>
      <c r="H2224" s="49"/>
      <c r="I2224" s="49"/>
      <c r="J2224" s="71"/>
      <c r="K2224" s="71"/>
      <c r="L2224" s="50"/>
      <c r="M2224" s="30"/>
      <c r="N2224" s="30"/>
      <c r="O2224" s="30"/>
      <c r="P2224" s="30"/>
      <c r="Q2224" s="30"/>
      <c r="R2224" s="30"/>
      <c r="S2224" s="30"/>
      <c r="T2224" s="30"/>
      <c r="U2224" s="30"/>
      <c r="V2224" s="30"/>
      <c r="W2224" s="30"/>
      <c r="X2224" s="30"/>
      <c r="Y2224" s="30"/>
      <c r="Z2224" s="30"/>
      <c r="AA2224" s="30"/>
      <c r="AB2224" s="30"/>
      <c r="AC2224" s="30"/>
      <c r="AD2224" s="30"/>
      <c r="AE2224" s="30"/>
    </row>
    <row r="2225" spans="1:31" ht="13">
      <c r="A2225" s="30"/>
      <c r="B2225" s="30"/>
      <c r="C2225" s="30"/>
      <c r="D2225" s="30"/>
      <c r="E2225" s="30"/>
      <c r="F2225" s="48"/>
      <c r="G2225" s="49"/>
      <c r="H2225" s="49"/>
      <c r="I2225" s="49"/>
      <c r="J2225" s="71"/>
      <c r="K2225" s="71"/>
      <c r="L2225" s="50"/>
      <c r="M2225" s="30"/>
      <c r="N2225" s="30"/>
      <c r="O2225" s="30"/>
      <c r="P2225" s="30"/>
      <c r="Q2225" s="30"/>
      <c r="R2225" s="30"/>
      <c r="S2225" s="30"/>
      <c r="T2225" s="30"/>
      <c r="U2225" s="30"/>
      <c r="V2225" s="30"/>
      <c r="W2225" s="30"/>
      <c r="X2225" s="30"/>
      <c r="Y2225" s="30"/>
      <c r="Z2225" s="30"/>
      <c r="AA2225" s="30"/>
      <c r="AB2225" s="30"/>
      <c r="AC2225" s="30"/>
      <c r="AD2225" s="30"/>
      <c r="AE2225" s="30"/>
    </row>
    <row r="2226" spans="1:31" ht="13">
      <c r="A2226" s="30"/>
      <c r="B2226" s="30"/>
      <c r="C2226" s="30"/>
      <c r="D2226" s="30"/>
      <c r="E2226" s="30"/>
      <c r="F2226" s="48"/>
      <c r="G2226" s="49"/>
      <c r="H2226" s="49"/>
      <c r="I2226" s="49"/>
      <c r="J2226" s="71"/>
      <c r="K2226" s="71"/>
      <c r="L2226" s="50"/>
      <c r="M2226" s="30"/>
      <c r="N2226" s="30"/>
      <c r="O2226" s="30"/>
      <c r="P2226" s="30"/>
      <c r="Q2226" s="30"/>
      <c r="R2226" s="30"/>
      <c r="S2226" s="30"/>
      <c r="T2226" s="30"/>
      <c r="U2226" s="30"/>
      <c r="V2226" s="30"/>
      <c r="W2226" s="30"/>
      <c r="X2226" s="30"/>
      <c r="Y2226" s="30"/>
      <c r="Z2226" s="30"/>
      <c r="AA2226" s="30"/>
      <c r="AB2226" s="30"/>
      <c r="AC2226" s="30"/>
      <c r="AD2226" s="30"/>
      <c r="AE2226" s="30"/>
    </row>
    <row r="2227" spans="1:31" ht="13">
      <c r="A2227" s="30"/>
      <c r="B2227" s="30"/>
      <c r="C2227" s="30"/>
      <c r="D2227" s="30"/>
      <c r="E2227" s="30"/>
      <c r="F2227" s="48"/>
      <c r="G2227" s="49"/>
      <c r="H2227" s="49"/>
      <c r="I2227" s="49"/>
      <c r="J2227" s="71"/>
      <c r="K2227" s="71"/>
      <c r="L2227" s="50"/>
      <c r="M2227" s="30"/>
      <c r="N2227" s="30"/>
      <c r="O2227" s="30"/>
      <c r="P2227" s="30"/>
      <c r="Q2227" s="30"/>
      <c r="R2227" s="30"/>
      <c r="S2227" s="30"/>
      <c r="T2227" s="30"/>
      <c r="U2227" s="30"/>
      <c r="V2227" s="30"/>
      <c r="W2227" s="30"/>
      <c r="X2227" s="30"/>
      <c r="Y2227" s="30"/>
      <c r="Z2227" s="30"/>
      <c r="AA2227" s="30"/>
      <c r="AB2227" s="30"/>
      <c r="AC2227" s="30"/>
      <c r="AD2227" s="30"/>
      <c r="AE2227" s="30"/>
    </row>
    <row r="2228" spans="1:31" ht="13">
      <c r="A2228" s="30"/>
      <c r="B2228" s="30"/>
      <c r="C2228" s="30"/>
      <c r="D2228" s="30"/>
      <c r="E2228" s="30"/>
      <c r="F2228" s="48"/>
      <c r="G2228" s="49"/>
      <c r="H2228" s="49"/>
      <c r="I2228" s="49"/>
      <c r="J2228" s="71"/>
      <c r="K2228" s="71"/>
      <c r="L2228" s="50"/>
      <c r="M2228" s="30"/>
      <c r="N2228" s="30"/>
      <c r="O2228" s="30"/>
      <c r="P2228" s="30"/>
      <c r="Q2228" s="30"/>
      <c r="R2228" s="30"/>
      <c r="S2228" s="30"/>
      <c r="T2228" s="30"/>
      <c r="U2228" s="30"/>
      <c r="V2228" s="30"/>
      <c r="W2228" s="30"/>
      <c r="X2228" s="30"/>
      <c r="Y2228" s="30"/>
      <c r="Z2228" s="30"/>
      <c r="AA2228" s="30"/>
      <c r="AB2228" s="30"/>
      <c r="AC2228" s="30"/>
      <c r="AD2228" s="30"/>
      <c r="AE2228" s="30"/>
    </row>
    <row r="2229" spans="1:31" ht="13">
      <c r="A2229" s="30"/>
      <c r="B2229" s="30"/>
      <c r="C2229" s="30"/>
      <c r="D2229" s="30"/>
      <c r="E2229" s="30"/>
      <c r="F2229" s="48"/>
      <c r="G2229" s="49"/>
      <c r="H2229" s="49"/>
      <c r="I2229" s="49"/>
      <c r="J2229" s="71"/>
      <c r="K2229" s="71"/>
      <c r="L2229" s="50"/>
      <c r="M2229" s="30"/>
      <c r="N2229" s="30"/>
      <c r="O2229" s="30"/>
      <c r="P2229" s="30"/>
      <c r="Q2229" s="30"/>
      <c r="R2229" s="30"/>
      <c r="S2229" s="30"/>
      <c r="T2229" s="30"/>
      <c r="U2229" s="30"/>
      <c r="V2229" s="30"/>
      <c r="W2229" s="30"/>
      <c r="X2229" s="30"/>
      <c r="Y2229" s="30"/>
      <c r="Z2229" s="30"/>
      <c r="AA2229" s="30"/>
      <c r="AB2229" s="30"/>
      <c r="AC2229" s="30"/>
      <c r="AD2229" s="30"/>
      <c r="AE2229" s="30"/>
    </row>
    <row r="2230" spans="1:31" ht="13">
      <c r="A2230" s="30"/>
      <c r="B2230" s="30"/>
      <c r="C2230" s="30"/>
      <c r="D2230" s="30"/>
      <c r="E2230" s="30"/>
      <c r="F2230" s="48"/>
      <c r="G2230" s="49"/>
      <c r="H2230" s="49"/>
      <c r="I2230" s="49"/>
      <c r="J2230" s="71"/>
      <c r="K2230" s="71"/>
      <c r="L2230" s="50"/>
      <c r="M2230" s="30"/>
      <c r="N2230" s="30"/>
      <c r="O2230" s="30"/>
      <c r="P2230" s="30"/>
      <c r="Q2230" s="30"/>
      <c r="R2230" s="30"/>
      <c r="S2230" s="30"/>
      <c r="T2230" s="30"/>
      <c r="U2230" s="30"/>
      <c r="V2230" s="30"/>
      <c r="W2230" s="30"/>
      <c r="X2230" s="30"/>
      <c r="Y2230" s="30"/>
      <c r="Z2230" s="30"/>
      <c r="AA2230" s="30"/>
      <c r="AB2230" s="30"/>
      <c r="AC2230" s="30"/>
      <c r="AD2230" s="30"/>
      <c r="AE2230" s="30"/>
    </row>
    <row r="2231" spans="1:31" ht="13">
      <c r="A2231" s="30"/>
      <c r="B2231" s="30"/>
      <c r="C2231" s="30"/>
      <c r="D2231" s="30"/>
      <c r="E2231" s="30"/>
      <c r="F2231" s="48"/>
      <c r="G2231" s="49"/>
      <c r="H2231" s="49"/>
      <c r="I2231" s="49"/>
      <c r="J2231" s="71"/>
      <c r="K2231" s="71"/>
      <c r="L2231" s="50"/>
      <c r="M2231" s="30"/>
      <c r="N2231" s="30"/>
      <c r="O2231" s="30"/>
      <c r="P2231" s="30"/>
      <c r="Q2231" s="30"/>
      <c r="R2231" s="30"/>
      <c r="S2231" s="30"/>
      <c r="T2231" s="30"/>
      <c r="U2231" s="30"/>
      <c r="V2231" s="30"/>
      <c r="W2231" s="30"/>
      <c r="X2231" s="30"/>
      <c r="Y2231" s="30"/>
      <c r="Z2231" s="30"/>
      <c r="AA2231" s="30"/>
      <c r="AB2231" s="30"/>
      <c r="AC2231" s="30"/>
      <c r="AD2231" s="30"/>
      <c r="AE2231" s="30"/>
    </row>
    <row r="2232" spans="1:31" ht="13">
      <c r="A2232" s="30"/>
      <c r="B2232" s="30"/>
      <c r="C2232" s="30"/>
      <c r="D2232" s="30"/>
      <c r="E2232" s="30"/>
      <c r="F2232" s="48"/>
      <c r="G2232" s="49"/>
      <c r="H2232" s="49"/>
      <c r="I2232" s="49"/>
      <c r="J2232" s="71"/>
      <c r="K2232" s="71"/>
      <c r="L2232" s="50"/>
      <c r="M2232" s="30"/>
      <c r="N2232" s="30"/>
      <c r="O2232" s="30"/>
      <c r="P2232" s="30"/>
      <c r="Q2232" s="30"/>
      <c r="R2232" s="30"/>
      <c r="S2232" s="30"/>
      <c r="T2232" s="30"/>
      <c r="U2232" s="30"/>
      <c r="V2232" s="30"/>
      <c r="W2232" s="30"/>
      <c r="X2232" s="30"/>
      <c r="Y2232" s="30"/>
      <c r="Z2232" s="30"/>
      <c r="AA2232" s="30"/>
      <c r="AB2232" s="30"/>
      <c r="AC2232" s="30"/>
      <c r="AD2232" s="30"/>
      <c r="AE2232" s="30"/>
    </row>
    <row r="2233" spans="1:31" ht="13">
      <c r="A2233" s="30"/>
      <c r="B2233" s="30"/>
      <c r="C2233" s="30"/>
      <c r="D2233" s="30"/>
      <c r="E2233" s="30"/>
      <c r="F2233" s="48"/>
      <c r="G2233" s="49"/>
      <c r="H2233" s="49"/>
      <c r="I2233" s="49"/>
      <c r="J2233" s="71"/>
      <c r="K2233" s="71"/>
      <c r="L2233" s="50"/>
      <c r="M2233" s="30"/>
      <c r="N2233" s="30"/>
      <c r="O2233" s="30"/>
      <c r="P2233" s="30"/>
      <c r="Q2233" s="30"/>
      <c r="R2233" s="30"/>
      <c r="S2233" s="30"/>
      <c r="T2233" s="30"/>
      <c r="U2233" s="30"/>
      <c r="V2233" s="30"/>
      <c r="W2233" s="30"/>
      <c r="X2233" s="30"/>
      <c r="Y2233" s="30"/>
      <c r="Z2233" s="30"/>
      <c r="AA2233" s="30"/>
      <c r="AB2233" s="30"/>
      <c r="AC2233" s="30"/>
      <c r="AD2233" s="30"/>
      <c r="AE2233" s="30"/>
    </row>
    <row r="2234" spans="1:31" ht="13">
      <c r="A2234" s="30"/>
      <c r="B2234" s="30"/>
      <c r="C2234" s="30"/>
      <c r="D2234" s="30"/>
      <c r="E2234" s="30"/>
      <c r="F2234" s="48"/>
      <c r="G2234" s="49"/>
      <c r="H2234" s="49"/>
      <c r="I2234" s="49"/>
      <c r="J2234" s="71"/>
      <c r="K2234" s="71"/>
      <c r="L2234" s="50"/>
      <c r="M2234" s="30"/>
      <c r="N2234" s="30"/>
      <c r="O2234" s="30"/>
      <c r="P2234" s="30"/>
      <c r="Q2234" s="30"/>
      <c r="R2234" s="30"/>
      <c r="S2234" s="30"/>
      <c r="T2234" s="30"/>
      <c r="U2234" s="30"/>
      <c r="V2234" s="30"/>
      <c r="W2234" s="30"/>
      <c r="X2234" s="30"/>
      <c r="Y2234" s="30"/>
      <c r="Z2234" s="30"/>
      <c r="AA2234" s="30"/>
      <c r="AB2234" s="30"/>
      <c r="AC2234" s="30"/>
      <c r="AD2234" s="30"/>
      <c r="AE2234" s="30"/>
    </row>
    <row r="2235" spans="1:31" ht="13">
      <c r="A2235" s="30"/>
      <c r="B2235" s="30"/>
      <c r="C2235" s="30"/>
      <c r="D2235" s="30"/>
      <c r="E2235" s="30"/>
      <c r="F2235" s="48"/>
      <c r="G2235" s="49"/>
      <c r="H2235" s="49"/>
      <c r="I2235" s="49"/>
      <c r="J2235" s="71"/>
      <c r="K2235" s="71"/>
      <c r="L2235" s="50"/>
      <c r="M2235" s="30"/>
      <c r="N2235" s="30"/>
      <c r="O2235" s="30"/>
      <c r="P2235" s="30"/>
      <c r="Q2235" s="30"/>
      <c r="R2235" s="30"/>
      <c r="S2235" s="30"/>
      <c r="T2235" s="30"/>
      <c r="U2235" s="30"/>
      <c r="V2235" s="30"/>
      <c r="W2235" s="30"/>
      <c r="X2235" s="30"/>
      <c r="Y2235" s="30"/>
      <c r="Z2235" s="30"/>
      <c r="AA2235" s="30"/>
      <c r="AB2235" s="30"/>
      <c r="AC2235" s="30"/>
      <c r="AD2235" s="30"/>
      <c r="AE2235" s="30"/>
    </row>
    <row r="2236" spans="1:31" ht="13">
      <c r="A2236" s="30"/>
      <c r="B2236" s="30"/>
      <c r="C2236" s="30"/>
      <c r="D2236" s="30"/>
      <c r="E2236" s="30"/>
      <c r="F2236" s="48"/>
      <c r="G2236" s="49"/>
      <c r="H2236" s="49"/>
      <c r="I2236" s="49"/>
      <c r="J2236" s="71"/>
      <c r="K2236" s="71"/>
      <c r="L2236" s="50"/>
      <c r="M2236" s="30"/>
      <c r="N2236" s="30"/>
      <c r="O2236" s="30"/>
      <c r="P2236" s="30"/>
      <c r="Q2236" s="30"/>
      <c r="R2236" s="30"/>
      <c r="S2236" s="30"/>
      <c r="T2236" s="30"/>
      <c r="U2236" s="30"/>
      <c r="V2236" s="30"/>
      <c r="W2236" s="30"/>
      <c r="X2236" s="30"/>
      <c r="Y2236" s="30"/>
      <c r="Z2236" s="30"/>
      <c r="AA2236" s="30"/>
      <c r="AB2236" s="30"/>
      <c r="AC2236" s="30"/>
      <c r="AD2236" s="30"/>
      <c r="AE2236" s="30"/>
    </row>
    <row r="2237" spans="1:31" ht="13">
      <c r="A2237" s="30"/>
      <c r="B2237" s="30"/>
      <c r="C2237" s="30"/>
      <c r="D2237" s="30"/>
      <c r="E2237" s="30"/>
      <c r="F2237" s="48"/>
      <c r="G2237" s="49"/>
      <c r="H2237" s="49"/>
      <c r="I2237" s="49"/>
      <c r="J2237" s="71"/>
      <c r="K2237" s="71"/>
      <c r="L2237" s="50"/>
      <c r="M2237" s="30"/>
      <c r="N2237" s="30"/>
      <c r="O2237" s="30"/>
      <c r="P2237" s="30"/>
      <c r="Q2237" s="30"/>
      <c r="R2237" s="30"/>
      <c r="S2237" s="30"/>
      <c r="T2237" s="30"/>
      <c r="U2237" s="30"/>
      <c r="V2237" s="30"/>
      <c r="W2237" s="30"/>
      <c r="X2237" s="30"/>
      <c r="Y2237" s="30"/>
      <c r="Z2237" s="30"/>
      <c r="AA2237" s="30"/>
      <c r="AB2237" s="30"/>
      <c r="AC2237" s="30"/>
      <c r="AD2237" s="30"/>
      <c r="AE2237" s="30"/>
    </row>
    <row r="2238" spans="1:31" ht="13">
      <c r="A2238" s="30"/>
      <c r="B2238" s="30"/>
      <c r="C2238" s="30"/>
      <c r="D2238" s="30"/>
      <c r="E2238" s="30"/>
      <c r="F2238" s="48"/>
      <c r="G2238" s="49"/>
      <c r="H2238" s="49"/>
      <c r="I2238" s="49"/>
      <c r="J2238" s="71"/>
      <c r="K2238" s="71"/>
      <c r="L2238" s="50"/>
      <c r="M2238" s="30"/>
      <c r="N2238" s="30"/>
      <c r="O2238" s="30"/>
      <c r="P2238" s="30"/>
      <c r="Q2238" s="30"/>
      <c r="R2238" s="30"/>
      <c r="S2238" s="30"/>
      <c r="T2238" s="30"/>
      <c r="U2238" s="30"/>
      <c r="V2238" s="30"/>
      <c r="W2238" s="30"/>
      <c r="X2238" s="30"/>
      <c r="Y2238" s="30"/>
      <c r="Z2238" s="30"/>
      <c r="AA2238" s="30"/>
      <c r="AB2238" s="30"/>
      <c r="AC2238" s="30"/>
      <c r="AD2238" s="30"/>
      <c r="AE2238" s="30"/>
    </row>
    <row r="2239" spans="1:31" ht="13">
      <c r="A2239" s="30"/>
      <c r="B2239" s="30"/>
      <c r="C2239" s="30"/>
      <c r="D2239" s="30"/>
      <c r="E2239" s="30"/>
      <c r="F2239" s="48"/>
      <c r="G2239" s="49"/>
      <c r="H2239" s="49"/>
      <c r="I2239" s="49"/>
      <c r="J2239" s="71"/>
      <c r="K2239" s="71"/>
      <c r="L2239" s="50"/>
      <c r="M2239" s="30"/>
      <c r="N2239" s="30"/>
      <c r="O2239" s="30"/>
      <c r="P2239" s="30"/>
      <c r="Q2239" s="30"/>
      <c r="R2239" s="30"/>
      <c r="S2239" s="30"/>
      <c r="T2239" s="30"/>
      <c r="U2239" s="30"/>
      <c r="V2239" s="30"/>
      <c r="W2239" s="30"/>
      <c r="X2239" s="30"/>
      <c r="Y2239" s="30"/>
      <c r="Z2239" s="30"/>
      <c r="AA2239" s="30"/>
      <c r="AB2239" s="30"/>
      <c r="AC2239" s="30"/>
      <c r="AD2239" s="30"/>
      <c r="AE2239" s="30"/>
    </row>
    <row r="2240" spans="1:31" ht="13">
      <c r="A2240" s="30"/>
      <c r="B2240" s="30"/>
      <c r="C2240" s="30"/>
      <c r="D2240" s="30"/>
      <c r="E2240" s="30"/>
      <c r="F2240" s="48"/>
      <c r="G2240" s="49"/>
      <c r="H2240" s="49"/>
      <c r="I2240" s="49"/>
      <c r="J2240" s="71"/>
      <c r="K2240" s="71"/>
      <c r="L2240" s="50"/>
      <c r="M2240" s="30"/>
      <c r="N2240" s="30"/>
      <c r="O2240" s="30"/>
      <c r="P2240" s="30"/>
      <c r="Q2240" s="30"/>
      <c r="R2240" s="30"/>
      <c r="S2240" s="30"/>
      <c r="T2240" s="30"/>
      <c r="U2240" s="30"/>
      <c r="V2240" s="30"/>
      <c r="W2240" s="30"/>
      <c r="X2240" s="30"/>
      <c r="Y2240" s="30"/>
      <c r="Z2240" s="30"/>
      <c r="AA2240" s="30"/>
      <c r="AB2240" s="30"/>
      <c r="AC2240" s="30"/>
      <c r="AD2240" s="30"/>
      <c r="AE2240" s="30"/>
    </row>
    <row r="2241" spans="1:31" ht="13">
      <c r="A2241" s="30"/>
      <c r="B2241" s="30"/>
      <c r="C2241" s="30"/>
      <c r="D2241" s="30"/>
      <c r="E2241" s="30"/>
      <c r="F2241" s="48"/>
      <c r="G2241" s="49"/>
      <c r="H2241" s="49"/>
      <c r="I2241" s="49"/>
      <c r="J2241" s="71"/>
      <c r="K2241" s="71"/>
      <c r="L2241" s="50"/>
      <c r="M2241" s="30"/>
      <c r="N2241" s="30"/>
      <c r="O2241" s="30"/>
      <c r="P2241" s="30"/>
      <c r="Q2241" s="30"/>
      <c r="R2241" s="30"/>
      <c r="S2241" s="30"/>
      <c r="T2241" s="30"/>
      <c r="U2241" s="30"/>
      <c r="V2241" s="30"/>
      <c r="W2241" s="30"/>
      <c r="X2241" s="30"/>
      <c r="Y2241" s="30"/>
      <c r="Z2241" s="30"/>
      <c r="AA2241" s="30"/>
      <c r="AB2241" s="30"/>
      <c r="AC2241" s="30"/>
      <c r="AD2241" s="30"/>
      <c r="AE2241" s="30"/>
    </row>
    <row r="2242" spans="1:31" ht="13">
      <c r="A2242" s="30"/>
      <c r="B2242" s="30"/>
      <c r="C2242" s="30"/>
      <c r="D2242" s="30"/>
      <c r="E2242" s="30"/>
      <c r="F2242" s="48"/>
      <c r="G2242" s="49"/>
      <c r="H2242" s="49"/>
      <c r="I2242" s="49"/>
      <c r="J2242" s="71"/>
      <c r="K2242" s="71"/>
      <c r="L2242" s="50"/>
      <c r="M2242" s="30"/>
      <c r="N2242" s="30"/>
      <c r="O2242" s="30"/>
      <c r="P2242" s="30"/>
      <c r="Q2242" s="30"/>
      <c r="R2242" s="30"/>
      <c r="S2242" s="30"/>
      <c r="T2242" s="30"/>
      <c r="U2242" s="30"/>
      <c r="V2242" s="30"/>
      <c r="W2242" s="30"/>
      <c r="X2242" s="30"/>
      <c r="Y2242" s="30"/>
      <c r="Z2242" s="30"/>
      <c r="AA2242" s="30"/>
      <c r="AB2242" s="30"/>
      <c r="AC2242" s="30"/>
      <c r="AD2242" s="30"/>
      <c r="AE2242" s="30"/>
    </row>
    <row r="2243" spans="1:31" ht="13">
      <c r="A2243" s="30"/>
      <c r="B2243" s="30"/>
      <c r="C2243" s="30"/>
      <c r="D2243" s="30"/>
      <c r="E2243" s="30"/>
      <c r="F2243" s="48"/>
      <c r="G2243" s="49"/>
      <c r="H2243" s="49"/>
      <c r="I2243" s="49"/>
      <c r="J2243" s="71"/>
      <c r="K2243" s="71"/>
      <c r="L2243" s="50"/>
      <c r="M2243" s="30"/>
      <c r="N2243" s="30"/>
      <c r="O2243" s="30"/>
      <c r="P2243" s="30"/>
      <c r="Q2243" s="30"/>
      <c r="R2243" s="30"/>
      <c r="S2243" s="30"/>
      <c r="T2243" s="30"/>
      <c r="U2243" s="30"/>
      <c r="V2243" s="30"/>
      <c r="W2243" s="30"/>
      <c r="X2243" s="30"/>
      <c r="Y2243" s="30"/>
      <c r="Z2243" s="30"/>
      <c r="AA2243" s="30"/>
      <c r="AB2243" s="30"/>
      <c r="AC2243" s="30"/>
      <c r="AD2243" s="30"/>
      <c r="AE2243" s="30"/>
    </row>
    <row r="2244" spans="1:31" ht="13">
      <c r="A2244" s="30"/>
      <c r="B2244" s="30"/>
      <c r="C2244" s="30"/>
      <c r="D2244" s="30"/>
      <c r="E2244" s="30"/>
      <c r="F2244" s="48"/>
      <c r="G2244" s="49"/>
      <c r="H2244" s="49"/>
      <c r="I2244" s="49"/>
      <c r="J2244" s="71"/>
      <c r="K2244" s="71"/>
      <c r="L2244" s="50"/>
      <c r="M2244" s="30"/>
      <c r="N2244" s="30"/>
      <c r="O2244" s="30"/>
      <c r="P2244" s="30"/>
      <c r="Q2244" s="30"/>
      <c r="R2244" s="30"/>
      <c r="S2244" s="30"/>
      <c r="T2244" s="30"/>
      <c r="U2244" s="30"/>
      <c r="V2244" s="30"/>
      <c r="W2244" s="30"/>
      <c r="X2244" s="30"/>
      <c r="Y2244" s="30"/>
      <c r="Z2244" s="30"/>
      <c r="AA2244" s="30"/>
      <c r="AB2244" s="30"/>
      <c r="AC2244" s="30"/>
      <c r="AD2244" s="30"/>
      <c r="AE2244" s="30"/>
    </row>
    <row r="2245" spans="1:31" ht="13">
      <c r="A2245" s="30"/>
      <c r="B2245" s="30"/>
      <c r="C2245" s="30"/>
      <c r="D2245" s="30"/>
      <c r="E2245" s="30"/>
      <c r="F2245" s="48"/>
      <c r="G2245" s="49"/>
      <c r="H2245" s="49"/>
      <c r="I2245" s="49"/>
      <c r="J2245" s="71"/>
      <c r="K2245" s="71"/>
      <c r="L2245" s="50"/>
      <c r="M2245" s="30"/>
      <c r="N2245" s="30"/>
      <c r="O2245" s="30"/>
      <c r="P2245" s="30"/>
      <c r="Q2245" s="30"/>
      <c r="R2245" s="30"/>
      <c r="S2245" s="30"/>
      <c r="T2245" s="30"/>
      <c r="U2245" s="30"/>
      <c r="V2245" s="30"/>
      <c r="W2245" s="30"/>
      <c r="X2245" s="30"/>
      <c r="Y2245" s="30"/>
      <c r="Z2245" s="30"/>
      <c r="AA2245" s="30"/>
      <c r="AB2245" s="30"/>
      <c r="AC2245" s="30"/>
      <c r="AD2245" s="30"/>
      <c r="AE2245" s="30"/>
    </row>
    <row r="2246" spans="1:31" ht="13">
      <c r="A2246" s="30"/>
      <c r="B2246" s="30"/>
      <c r="C2246" s="30"/>
      <c r="D2246" s="30"/>
      <c r="E2246" s="30"/>
      <c r="F2246" s="48"/>
      <c r="G2246" s="49"/>
      <c r="H2246" s="49"/>
      <c r="I2246" s="49"/>
      <c r="J2246" s="71"/>
      <c r="K2246" s="71"/>
      <c r="L2246" s="50"/>
      <c r="M2246" s="30"/>
      <c r="N2246" s="30"/>
      <c r="O2246" s="30"/>
      <c r="P2246" s="30"/>
      <c r="Q2246" s="30"/>
      <c r="R2246" s="30"/>
      <c r="S2246" s="30"/>
      <c r="T2246" s="30"/>
      <c r="U2246" s="30"/>
      <c r="V2246" s="30"/>
      <c r="W2246" s="30"/>
      <c r="X2246" s="30"/>
      <c r="Y2246" s="30"/>
      <c r="Z2246" s="30"/>
      <c r="AA2246" s="30"/>
      <c r="AB2246" s="30"/>
      <c r="AC2246" s="30"/>
      <c r="AD2246" s="30"/>
      <c r="AE2246" s="30"/>
    </row>
    <row r="2247" spans="1:31" ht="13">
      <c r="A2247" s="30"/>
      <c r="B2247" s="30"/>
      <c r="C2247" s="30"/>
      <c r="D2247" s="30"/>
      <c r="E2247" s="30"/>
      <c r="F2247" s="48"/>
      <c r="G2247" s="49"/>
      <c r="H2247" s="49"/>
      <c r="I2247" s="49"/>
      <c r="J2247" s="71"/>
      <c r="K2247" s="71"/>
      <c r="L2247" s="50"/>
      <c r="M2247" s="30"/>
      <c r="N2247" s="30"/>
      <c r="O2247" s="30"/>
      <c r="P2247" s="30"/>
      <c r="Q2247" s="30"/>
      <c r="R2247" s="30"/>
      <c r="S2247" s="30"/>
      <c r="T2247" s="30"/>
      <c r="U2247" s="30"/>
      <c r="V2247" s="30"/>
      <c r="W2247" s="30"/>
      <c r="X2247" s="30"/>
      <c r="Y2247" s="30"/>
      <c r="Z2247" s="30"/>
      <c r="AA2247" s="30"/>
      <c r="AB2247" s="30"/>
      <c r="AC2247" s="30"/>
      <c r="AD2247" s="30"/>
      <c r="AE2247" s="30"/>
    </row>
    <row r="2248" spans="1:31" ht="13">
      <c r="A2248" s="30"/>
      <c r="B2248" s="30"/>
      <c r="C2248" s="30"/>
      <c r="D2248" s="30"/>
      <c r="E2248" s="30"/>
      <c r="F2248" s="48"/>
      <c r="G2248" s="49"/>
      <c r="H2248" s="49"/>
      <c r="I2248" s="49"/>
      <c r="J2248" s="71"/>
      <c r="K2248" s="71"/>
      <c r="L2248" s="50"/>
      <c r="M2248" s="30"/>
      <c r="N2248" s="30"/>
      <c r="O2248" s="30"/>
      <c r="P2248" s="30"/>
      <c r="Q2248" s="30"/>
      <c r="R2248" s="30"/>
      <c r="S2248" s="30"/>
      <c r="T2248" s="30"/>
      <c r="U2248" s="30"/>
      <c r="V2248" s="30"/>
      <c r="W2248" s="30"/>
      <c r="X2248" s="30"/>
      <c r="Y2248" s="30"/>
      <c r="Z2248" s="30"/>
      <c r="AA2248" s="30"/>
      <c r="AB2248" s="30"/>
      <c r="AC2248" s="30"/>
      <c r="AD2248" s="30"/>
      <c r="AE2248" s="30"/>
    </row>
    <row r="2249" spans="1:31" ht="13">
      <c r="A2249" s="30"/>
      <c r="B2249" s="30"/>
      <c r="C2249" s="30"/>
      <c r="D2249" s="30"/>
      <c r="E2249" s="30"/>
      <c r="F2249" s="48"/>
      <c r="G2249" s="49"/>
      <c r="H2249" s="49"/>
      <c r="I2249" s="49"/>
      <c r="J2249" s="71"/>
      <c r="K2249" s="71"/>
      <c r="L2249" s="50"/>
      <c r="M2249" s="30"/>
      <c r="N2249" s="30"/>
      <c r="O2249" s="30"/>
      <c r="P2249" s="30"/>
      <c r="Q2249" s="30"/>
      <c r="R2249" s="30"/>
      <c r="S2249" s="30"/>
      <c r="T2249" s="30"/>
      <c r="U2249" s="30"/>
      <c r="V2249" s="30"/>
      <c r="W2249" s="30"/>
      <c r="X2249" s="30"/>
      <c r="Y2249" s="30"/>
      <c r="Z2249" s="30"/>
      <c r="AA2249" s="30"/>
      <c r="AB2249" s="30"/>
      <c r="AC2249" s="30"/>
      <c r="AD2249" s="30"/>
      <c r="AE2249" s="30"/>
    </row>
    <row r="2250" spans="1:31" ht="13">
      <c r="A2250" s="30"/>
      <c r="B2250" s="30"/>
      <c r="C2250" s="30"/>
      <c r="D2250" s="30"/>
      <c r="E2250" s="30"/>
      <c r="F2250" s="48"/>
      <c r="G2250" s="49"/>
      <c r="H2250" s="49"/>
      <c r="I2250" s="49"/>
      <c r="J2250" s="71"/>
      <c r="K2250" s="71"/>
      <c r="L2250" s="50"/>
      <c r="M2250" s="30"/>
      <c r="N2250" s="30"/>
      <c r="O2250" s="30"/>
      <c r="P2250" s="30"/>
      <c r="Q2250" s="30"/>
      <c r="R2250" s="30"/>
      <c r="S2250" s="30"/>
      <c r="T2250" s="30"/>
      <c r="U2250" s="30"/>
      <c r="V2250" s="30"/>
      <c r="W2250" s="30"/>
      <c r="X2250" s="30"/>
      <c r="Y2250" s="30"/>
      <c r="Z2250" s="30"/>
      <c r="AA2250" s="30"/>
      <c r="AB2250" s="30"/>
      <c r="AC2250" s="30"/>
      <c r="AD2250" s="30"/>
      <c r="AE2250" s="30"/>
    </row>
    <row r="2251" spans="1:31" ht="13">
      <c r="A2251" s="30"/>
      <c r="B2251" s="30"/>
      <c r="C2251" s="30"/>
      <c r="D2251" s="30"/>
      <c r="E2251" s="30"/>
      <c r="F2251" s="48"/>
      <c r="G2251" s="49"/>
      <c r="H2251" s="49"/>
      <c r="I2251" s="49"/>
      <c r="J2251" s="71"/>
      <c r="K2251" s="71"/>
      <c r="L2251" s="50"/>
      <c r="M2251" s="30"/>
      <c r="N2251" s="30"/>
      <c r="O2251" s="30"/>
      <c r="P2251" s="30"/>
      <c r="Q2251" s="30"/>
      <c r="R2251" s="30"/>
      <c r="S2251" s="30"/>
      <c r="T2251" s="30"/>
      <c r="U2251" s="30"/>
      <c r="V2251" s="30"/>
      <c r="W2251" s="30"/>
      <c r="X2251" s="30"/>
      <c r="Y2251" s="30"/>
      <c r="Z2251" s="30"/>
      <c r="AA2251" s="30"/>
      <c r="AB2251" s="30"/>
      <c r="AC2251" s="30"/>
      <c r="AD2251" s="30"/>
      <c r="AE2251" s="30"/>
    </row>
    <row r="2252" spans="1:31" ht="13">
      <c r="A2252" s="30"/>
      <c r="B2252" s="30"/>
      <c r="C2252" s="30"/>
      <c r="D2252" s="30"/>
      <c r="E2252" s="30"/>
      <c r="F2252" s="48"/>
      <c r="G2252" s="49"/>
      <c r="H2252" s="49"/>
      <c r="I2252" s="49"/>
      <c r="J2252" s="71"/>
      <c r="K2252" s="71"/>
      <c r="L2252" s="50"/>
      <c r="M2252" s="30"/>
      <c r="N2252" s="30"/>
      <c r="O2252" s="30"/>
      <c r="P2252" s="30"/>
      <c r="Q2252" s="30"/>
      <c r="R2252" s="30"/>
      <c r="S2252" s="30"/>
      <c r="T2252" s="30"/>
      <c r="U2252" s="30"/>
      <c r="V2252" s="30"/>
      <c r="W2252" s="30"/>
      <c r="X2252" s="30"/>
      <c r="Y2252" s="30"/>
      <c r="Z2252" s="30"/>
      <c r="AA2252" s="30"/>
      <c r="AB2252" s="30"/>
      <c r="AC2252" s="30"/>
      <c r="AD2252" s="30"/>
      <c r="AE2252" s="30"/>
    </row>
    <row r="2253" spans="1:31" ht="13">
      <c r="A2253" s="30"/>
      <c r="B2253" s="30"/>
      <c r="C2253" s="30"/>
      <c r="D2253" s="30"/>
      <c r="E2253" s="30"/>
      <c r="F2253" s="48"/>
      <c r="G2253" s="49"/>
      <c r="H2253" s="49"/>
      <c r="I2253" s="49"/>
      <c r="J2253" s="71"/>
      <c r="K2253" s="71"/>
      <c r="L2253" s="50"/>
      <c r="M2253" s="30"/>
      <c r="N2253" s="30"/>
      <c r="O2253" s="30"/>
      <c r="P2253" s="30"/>
      <c r="Q2253" s="30"/>
      <c r="R2253" s="30"/>
      <c r="S2253" s="30"/>
      <c r="T2253" s="30"/>
      <c r="U2253" s="30"/>
      <c r="V2253" s="30"/>
      <c r="W2253" s="30"/>
      <c r="X2253" s="30"/>
      <c r="Y2253" s="30"/>
      <c r="Z2253" s="30"/>
      <c r="AA2253" s="30"/>
      <c r="AB2253" s="30"/>
      <c r="AC2253" s="30"/>
      <c r="AD2253" s="30"/>
      <c r="AE2253" s="30"/>
    </row>
    <row r="2254" spans="1:31" ht="13">
      <c r="A2254" s="30"/>
      <c r="B2254" s="30"/>
      <c r="C2254" s="30"/>
      <c r="D2254" s="30"/>
      <c r="E2254" s="30"/>
      <c r="F2254" s="48"/>
      <c r="G2254" s="49"/>
      <c r="H2254" s="49"/>
      <c r="I2254" s="49"/>
      <c r="J2254" s="71"/>
      <c r="K2254" s="71"/>
      <c r="L2254" s="50"/>
      <c r="M2254" s="30"/>
      <c r="N2254" s="30"/>
      <c r="O2254" s="30"/>
      <c r="P2254" s="30"/>
      <c r="Q2254" s="30"/>
      <c r="R2254" s="30"/>
      <c r="S2254" s="30"/>
      <c r="T2254" s="30"/>
      <c r="U2254" s="30"/>
      <c r="V2254" s="30"/>
      <c r="W2254" s="30"/>
      <c r="X2254" s="30"/>
      <c r="Y2254" s="30"/>
      <c r="Z2254" s="30"/>
      <c r="AA2254" s="30"/>
      <c r="AB2254" s="30"/>
      <c r="AC2254" s="30"/>
      <c r="AD2254" s="30"/>
      <c r="AE2254" s="30"/>
    </row>
    <row r="2255" spans="1:31" ht="13">
      <c r="A2255" s="30"/>
      <c r="B2255" s="30"/>
      <c r="C2255" s="30"/>
      <c r="D2255" s="30"/>
      <c r="E2255" s="30"/>
      <c r="F2255" s="48"/>
      <c r="G2255" s="49"/>
      <c r="H2255" s="49"/>
      <c r="I2255" s="49"/>
      <c r="J2255" s="71"/>
      <c r="K2255" s="71"/>
      <c r="L2255" s="50"/>
      <c r="M2255" s="30"/>
      <c r="N2255" s="30"/>
      <c r="O2255" s="30"/>
      <c r="P2255" s="30"/>
      <c r="Q2255" s="30"/>
      <c r="R2255" s="30"/>
      <c r="S2255" s="30"/>
      <c r="T2255" s="30"/>
      <c r="U2255" s="30"/>
      <c r="V2255" s="30"/>
      <c r="W2255" s="30"/>
      <c r="X2255" s="30"/>
      <c r="Y2255" s="30"/>
      <c r="Z2255" s="30"/>
      <c r="AA2255" s="30"/>
      <c r="AB2255" s="30"/>
      <c r="AC2255" s="30"/>
      <c r="AD2255" s="30"/>
      <c r="AE2255" s="30"/>
    </row>
    <row r="2256" spans="1:31" ht="13">
      <c r="A2256" s="30"/>
      <c r="B2256" s="30"/>
      <c r="C2256" s="30"/>
      <c r="D2256" s="30"/>
      <c r="E2256" s="30"/>
      <c r="F2256" s="48"/>
      <c r="G2256" s="49"/>
      <c r="H2256" s="49"/>
      <c r="I2256" s="49"/>
      <c r="J2256" s="71"/>
      <c r="K2256" s="71"/>
      <c r="L2256" s="50"/>
      <c r="M2256" s="30"/>
      <c r="N2256" s="30"/>
      <c r="O2256" s="30"/>
      <c r="P2256" s="30"/>
      <c r="Q2256" s="30"/>
      <c r="R2256" s="30"/>
      <c r="S2256" s="30"/>
      <c r="T2256" s="30"/>
      <c r="U2256" s="30"/>
      <c r="V2256" s="30"/>
      <c r="W2256" s="30"/>
      <c r="X2256" s="30"/>
      <c r="Y2256" s="30"/>
      <c r="Z2256" s="30"/>
      <c r="AA2256" s="30"/>
      <c r="AB2256" s="30"/>
      <c r="AC2256" s="30"/>
      <c r="AD2256" s="30"/>
      <c r="AE2256" s="30"/>
    </row>
    <row r="2257" spans="1:31" ht="13">
      <c r="A2257" s="30"/>
      <c r="B2257" s="30"/>
      <c r="C2257" s="30"/>
      <c r="D2257" s="30"/>
      <c r="E2257" s="30"/>
      <c r="F2257" s="48"/>
      <c r="G2257" s="49"/>
      <c r="H2257" s="49"/>
      <c r="I2257" s="49"/>
      <c r="J2257" s="71"/>
      <c r="K2257" s="71"/>
      <c r="L2257" s="50"/>
      <c r="M2257" s="30"/>
      <c r="N2257" s="30"/>
      <c r="O2257" s="30"/>
      <c r="P2257" s="30"/>
      <c r="Q2257" s="30"/>
      <c r="R2257" s="30"/>
      <c r="S2257" s="30"/>
      <c r="T2257" s="30"/>
      <c r="U2257" s="30"/>
      <c r="V2257" s="30"/>
      <c r="W2257" s="30"/>
      <c r="X2257" s="30"/>
      <c r="Y2257" s="30"/>
      <c r="Z2257" s="30"/>
      <c r="AA2257" s="30"/>
      <c r="AB2257" s="30"/>
      <c r="AC2257" s="30"/>
      <c r="AD2257" s="30"/>
      <c r="AE2257" s="30"/>
    </row>
    <row r="2258" spans="1:31" ht="13">
      <c r="A2258" s="30"/>
      <c r="B2258" s="30"/>
      <c r="C2258" s="30"/>
      <c r="D2258" s="30"/>
      <c r="E2258" s="30"/>
      <c r="F2258" s="48"/>
      <c r="G2258" s="49"/>
      <c r="H2258" s="49"/>
      <c r="I2258" s="49"/>
      <c r="J2258" s="71"/>
      <c r="K2258" s="71"/>
      <c r="L2258" s="50"/>
      <c r="M2258" s="30"/>
      <c r="N2258" s="30"/>
      <c r="O2258" s="30"/>
      <c r="P2258" s="30"/>
      <c r="Q2258" s="30"/>
      <c r="R2258" s="30"/>
      <c r="S2258" s="30"/>
      <c r="T2258" s="30"/>
      <c r="U2258" s="30"/>
      <c r="V2258" s="30"/>
      <c r="W2258" s="30"/>
      <c r="X2258" s="30"/>
      <c r="Y2258" s="30"/>
      <c r="Z2258" s="30"/>
      <c r="AA2258" s="30"/>
      <c r="AB2258" s="30"/>
      <c r="AC2258" s="30"/>
      <c r="AD2258" s="30"/>
      <c r="AE2258" s="30"/>
    </row>
    <row r="2259" spans="1:31" ht="13">
      <c r="A2259" s="30"/>
      <c r="B2259" s="30"/>
      <c r="C2259" s="30"/>
      <c r="D2259" s="30"/>
      <c r="E2259" s="30"/>
      <c r="F2259" s="48"/>
      <c r="G2259" s="49"/>
      <c r="H2259" s="49"/>
      <c r="I2259" s="49"/>
      <c r="J2259" s="71"/>
      <c r="K2259" s="71"/>
      <c r="L2259" s="50"/>
      <c r="M2259" s="30"/>
      <c r="N2259" s="30"/>
      <c r="O2259" s="30"/>
      <c r="P2259" s="30"/>
      <c r="Q2259" s="30"/>
      <c r="R2259" s="30"/>
      <c r="S2259" s="30"/>
      <c r="T2259" s="30"/>
      <c r="U2259" s="30"/>
      <c r="V2259" s="30"/>
      <c r="W2259" s="30"/>
      <c r="X2259" s="30"/>
      <c r="Y2259" s="30"/>
      <c r="Z2259" s="30"/>
      <c r="AA2259" s="30"/>
      <c r="AB2259" s="30"/>
      <c r="AC2259" s="30"/>
      <c r="AD2259" s="30"/>
      <c r="AE2259" s="30"/>
    </row>
    <row r="2260" spans="1:31" ht="13">
      <c r="A2260" s="30"/>
      <c r="B2260" s="30"/>
      <c r="C2260" s="30"/>
      <c r="D2260" s="30"/>
      <c r="E2260" s="30"/>
      <c r="F2260" s="48"/>
      <c r="G2260" s="49"/>
      <c r="H2260" s="49"/>
      <c r="I2260" s="49"/>
      <c r="J2260" s="71"/>
      <c r="K2260" s="71"/>
      <c r="L2260" s="50"/>
      <c r="M2260" s="30"/>
      <c r="N2260" s="30"/>
      <c r="O2260" s="30"/>
      <c r="P2260" s="30"/>
      <c r="Q2260" s="30"/>
      <c r="R2260" s="30"/>
      <c r="S2260" s="30"/>
      <c r="T2260" s="30"/>
      <c r="U2260" s="30"/>
      <c r="V2260" s="30"/>
      <c r="W2260" s="30"/>
      <c r="X2260" s="30"/>
      <c r="Y2260" s="30"/>
      <c r="Z2260" s="30"/>
      <c r="AA2260" s="30"/>
      <c r="AB2260" s="30"/>
      <c r="AC2260" s="30"/>
      <c r="AD2260" s="30"/>
      <c r="AE2260" s="30"/>
    </row>
    <row r="2261" spans="1:31" ht="13">
      <c r="A2261" s="30"/>
      <c r="B2261" s="30"/>
      <c r="C2261" s="30"/>
      <c r="D2261" s="30"/>
      <c r="E2261" s="30"/>
      <c r="F2261" s="48"/>
      <c r="G2261" s="49"/>
      <c r="H2261" s="49"/>
      <c r="I2261" s="49"/>
      <c r="J2261" s="71"/>
      <c r="K2261" s="71"/>
      <c r="L2261" s="50"/>
      <c r="M2261" s="30"/>
      <c r="N2261" s="30"/>
      <c r="O2261" s="30"/>
      <c r="P2261" s="30"/>
      <c r="Q2261" s="30"/>
      <c r="R2261" s="30"/>
      <c r="S2261" s="30"/>
      <c r="T2261" s="30"/>
      <c r="U2261" s="30"/>
      <c r="V2261" s="30"/>
      <c r="W2261" s="30"/>
      <c r="X2261" s="30"/>
      <c r="Y2261" s="30"/>
      <c r="Z2261" s="30"/>
      <c r="AA2261" s="30"/>
      <c r="AB2261" s="30"/>
      <c r="AC2261" s="30"/>
      <c r="AD2261" s="30"/>
      <c r="AE2261" s="30"/>
    </row>
    <row r="2262" spans="1:31" ht="13">
      <c r="A2262" s="30"/>
      <c r="B2262" s="30"/>
      <c r="C2262" s="30"/>
      <c r="D2262" s="30"/>
      <c r="E2262" s="30"/>
      <c r="F2262" s="48"/>
      <c r="G2262" s="49"/>
      <c r="H2262" s="49"/>
      <c r="I2262" s="49"/>
      <c r="J2262" s="71"/>
      <c r="K2262" s="71"/>
      <c r="L2262" s="50"/>
      <c r="M2262" s="30"/>
      <c r="N2262" s="30"/>
      <c r="O2262" s="30"/>
      <c r="P2262" s="30"/>
      <c r="Q2262" s="30"/>
      <c r="R2262" s="30"/>
      <c r="S2262" s="30"/>
      <c r="T2262" s="30"/>
      <c r="U2262" s="30"/>
      <c r="V2262" s="30"/>
      <c r="W2262" s="30"/>
      <c r="X2262" s="30"/>
      <c r="Y2262" s="30"/>
      <c r="Z2262" s="30"/>
      <c r="AA2262" s="30"/>
      <c r="AB2262" s="30"/>
      <c r="AC2262" s="30"/>
      <c r="AD2262" s="30"/>
      <c r="AE2262" s="30"/>
    </row>
    <row r="2263" spans="1:31" ht="13">
      <c r="A2263" s="30"/>
      <c r="B2263" s="30"/>
      <c r="C2263" s="30"/>
      <c r="D2263" s="30"/>
      <c r="E2263" s="30"/>
      <c r="F2263" s="48"/>
      <c r="G2263" s="49"/>
      <c r="H2263" s="49"/>
      <c r="I2263" s="49"/>
      <c r="J2263" s="71"/>
      <c r="K2263" s="71"/>
      <c r="L2263" s="50"/>
      <c r="M2263" s="30"/>
      <c r="N2263" s="30"/>
      <c r="O2263" s="30"/>
      <c r="P2263" s="30"/>
      <c r="Q2263" s="30"/>
      <c r="R2263" s="30"/>
      <c r="S2263" s="30"/>
      <c r="T2263" s="30"/>
      <c r="U2263" s="30"/>
      <c r="V2263" s="30"/>
      <c r="W2263" s="30"/>
      <c r="X2263" s="30"/>
      <c r="Y2263" s="30"/>
      <c r="Z2263" s="30"/>
      <c r="AA2263" s="30"/>
      <c r="AB2263" s="30"/>
      <c r="AC2263" s="30"/>
      <c r="AD2263" s="30"/>
      <c r="AE2263" s="30"/>
    </row>
    <row r="2264" spans="1:31" ht="13">
      <c r="A2264" s="30"/>
      <c r="B2264" s="30"/>
      <c r="C2264" s="30"/>
      <c r="D2264" s="30"/>
      <c r="E2264" s="30"/>
      <c r="F2264" s="48"/>
      <c r="G2264" s="49"/>
      <c r="H2264" s="49"/>
      <c r="I2264" s="49"/>
      <c r="J2264" s="71"/>
      <c r="K2264" s="71"/>
      <c r="L2264" s="50"/>
      <c r="M2264" s="30"/>
      <c r="N2264" s="30"/>
      <c r="O2264" s="30"/>
      <c r="P2264" s="30"/>
      <c r="Q2264" s="30"/>
      <c r="R2264" s="30"/>
      <c r="S2264" s="30"/>
      <c r="T2264" s="30"/>
      <c r="U2264" s="30"/>
      <c r="V2264" s="30"/>
      <c r="W2264" s="30"/>
      <c r="X2264" s="30"/>
      <c r="Y2264" s="30"/>
      <c r="Z2264" s="30"/>
      <c r="AA2264" s="30"/>
      <c r="AB2264" s="30"/>
      <c r="AC2264" s="30"/>
      <c r="AD2264" s="30"/>
      <c r="AE2264" s="30"/>
    </row>
    <row r="2265" spans="1:31" ht="13">
      <c r="A2265" s="30"/>
      <c r="B2265" s="30"/>
      <c r="C2265" s="30"/>
      <c r="D2265" s="30"/>
      <c r="E2265" s="30"/>
      <c r="F2265" s="48"/>
      <c r="G2265" s="49"/>
      <c r="H2265" s="49"/>
      <c r="I2265" s="49"/>
      <c r="J2265" s="71"/>
      <c r="K2265" s="71"/>
      <c r="L2265" s="50"/>
      <c r="M2265" s="30"/>
      <c r="N2265" s="30"/>
      <c r="O2265" s="30"/>
      <c r="P2265" s="30"/>
      <c r="Q2265" s="30"/>
      <c r="R2265" s="30"/>
      <c r="S2265" s="30"/>
      <c r="T2265" s="30"/>
      <c r="U2265" s="30"/>
      <c r="V2265" s="30"/>
      <c r="W2265" s="30"/>
      <c r="X2265" s="30"/>
      <c r="Y2265" s="30"/>
      <c r="Z2265" s="30"/>
      <c r="AA2265" s="30"/>
      <c r="AB2265" s="30"/>
      <c r="AC2265" s="30"/>
      <c r="AD2265" s="30"/>
      <c r="AE2265" s="30"/>
    </row>
    <row r="2266" spans="1:31" ht="13">
      <c r="A2266" s="30"/>
      <c r="B2266" s="30"/>
      <c r="C2266" s="30"/>
      <c r="D2266" s="30"/>
      <c r="E2266" s="30"/>
      <c r="F2266" s="48"/>
      <c r="G2266" s="49"/>
      <c r="H2266" s="49"/>
      <c r="I2266" s="49"/>
      <c r="J2266" s="71"/>
      <c r="K2266" s="71"/>
      <c r="L2266" s="50"/>
      <c r="M2266" s="30"/>
      <c r="N2266" s="30"/>
      <c r="O2266" s="30"/>
      <c r="P2266" s="30"/>
      <c r="Q2266" s="30"/>
      <c r="R2266" s="30"/>
      <c r="S2266" s="30"/>
      <c r="T2266" s="30"/>
      <c r="U2266" s="30"/>
      <c r="V2266" s="30"/>
      <c r="W2266" s="30"/>
      <c r="X2266" s="30"/>
      <c r="Y2266" s="30"/>
      <c r="Z2266" s="30"/>
      <c r="AA2266" s="30"/>
      <c r="AB2266" s="30"/>
      <c r="AC2266" s="30"/>
      <c r="AD2266" s="30"/>
      <c r="AE2266" s="30"/>
    </row>
    <row r="2267" spans="1:31" ht="13">
      <c r="A2267" s="30"/>
      <c r="B2267" s="30"/>
      <c r="C2267" s="30"/>
      <c r="D2267" s="30"/>
      <c r="E2267" s="30"/>
      <c r="F2267" s="48"/>
      <c r="G2267" s="49"/>
      <c r="H2267" s="49"/>
      <c r="I2267" s="49"/>
      <c r="J2267" s="71"/>
      <c r="K2267" s="71"/>
      <c r="L2267" s="50"/>
      <c r="M2267" s="30"/>
      <c r="N2267" s="30"/>
      <c r="O2267" s="30"/>
      <c r="P2267" s="30"/>
      <c r="Q2267" s="30"/>
      <c r="R2267" s="30"/>
      <c r="S2267" s="30"/>
      <c r="T2267" s="30"/>
      <c r="U2267" s="30"/>
      <c r="V2267" s="30"/>
      <c r="W2267" s="30"/>
      <c r="X2267" s="30"/>
      <c r="Y2267" s="30"/>
      <c r="Z2267" s="30"/>
      <c r="AA2267" s="30"/>
      <c r="AB2267" s="30"/>
      <c r="AC2267" s="30"/>
      <c r="AD2267" s="30"/>
      <c r="AE2267" s="30"/>
    </row>
    <row r="2268" spans="1:31" ht="13">
      <c r="A2268" s="30"/>
      <c r="B2268" s="30"/>
      <c r="C2268" s="30"/>
      <c r="D2268" s="30"/>
      <c r="E2268" s="30"/>
      <c r="F2268" s="48"/>
      <c r="G2268" s="49"/>
      <c r="H2268" s="49"/>
      <c r="I2268" s="49"/>
      <c r="J2268" s="71"/>
      <c r="K2268" s="71"/>
      <c r="L2268" s="50"/>
      <c r="M2268" s="30"/>
      <c r="N2268" s="30"/>
      <c r="O2268" s="30"/>
      <c r="P2268" s="30"/>
      <c r="Q2268" s="30"/>
      <c r="R2268" s="30"/>
      <c r="S2268" s="30"/>
      <c r="T2268" s="30"/>
      <c r="U2268" s="30"/>
      <c r="V2268" s="30"/>
      <c r="W2268" s="30"/>
      <c r="X2268" s="30"/>
      <c r="Y2268" s="30"/>
      <c r="Z2268" s="30"/>
      <c r="AA2268" s="30"/>
      <c r="AB2268" s="30"/>
      <c r="AC2268" s="30"/>
      <c r="AD2268" s="30"/>
      <c r="AE2268" s="30"/>
    </row>
    <row r="2269" spans="1:31" ht="13">
      <c r="A2269" s="30"/>
      <c r="B2269" s="30"/>
      <c r="C2269" s="30"/>
      <c r="D2269" s="30"/>
      <c r="E2269" s="30"/>
      <c r="F2269" s="48"/>
      <c r="G2269" s="49"/>
      <c r="H2269" s="49"/>
      <c r="I2269" s="49"/>
      <c r="J2269" s="71"/>
      <c r="K2269" s="71"/>
      <c r="L2269" s="50"/>
      <c r="M2269" s="30"/>
      <c r="N2269" s="30"/>
      <c r="O2269" s="30"/>
      <c r="P2269" s="30"/>
      <c r="Q2269" s="30"/>
      <c r="R2269" s="30"/>
      <c r="S2269" s="30"/>
      <c r="T2269" s="30"/>
      <c r="U2269" s="30"/>
      <c r="V2269" s="30"/>
      <c r="W2269" s="30"/>
      <c r="X2269" s="30"/>
      <c r="Y2269" s="30"/>
      <c r="Z2269" s="30"/>
      <c r="AA2269" s="30"/>
      <c r="AB2269" s="30"/>
      <c r="AC2269" s="30"/>
      <c r="AD2269" s="30"/>
      <c r="AE2269" s="30"/>
    </row>
    <row r="2270" spans="1:31" ht="13">
      <c r="A2270" s="30"/>
      <c r="B2270" s="30"/>
      <c r="C2270" s="30"/>
      <c r="D2270" s="30"/>
      <c r="E2270" s="30"/>
      <c r="F2270" s="48"/>
      <c r="G2270" s="49"/>
      <c r="H2270" s="49"/>
      <c r="I2270" s="49"/>
      <c r="J2270" s="71"/>
      <c r="K2270" s="71"/>
      <c r="L2270" s="50"/>
      <c r="M2270" s="30"/>
      <c r="N2270" s="30"/>
      <c r="O2270" s="30"/>
      <c r="P2270" s="30"/>
      <c r="Q2270" s="30"/>
      <c r="R2270" s="30"/>
      <c r="S2270" s="30"/>
      <c r="T2270" s="30"/>
      <c r="U2270" s="30"/>
      <c r="V2270" s="30"/>
      <c r="W2270" s="30"/>
      <c r="X2270" s="30"/>
      <c r="Y2270" s="30"/>
      <c r="Z2270" s="30"/>
      <c r="AA2270" s="30"/>
      <c r="AB2270" s="30"/>
      <c r="AC2270" s="30"/>
      <c r="AD2270" s="30"/>
      <c r="AE2270" s="30"/>
    </row>
    <row r="2271" spans="1:31" ht="13">
      <c r="A2271" s="30"/>
      <c r="B2271" s="30"/>
      <c r="C2271" s="30"/>
      <c r="D2271" s="30"/>
      <c r="E2271" s="30"/>
      <c r="F2271" s="48"/>
      <c r="G2271" s="49"/>
      <c r="H2271" s="49"/>
      <c r="I2271" s="49"/>
      <c r="J2271" s="71"/>
      <c r="K2271" s="71"/>
      <c r="L2271" s="50"/>
      <c r="M2271" s="30"/>
      <c r="N2271" s="30"/>
      <c r="O2271" s="30"/>
      <c r="P2271" s="30"/>
      <c r="Q2271" s="30"/>
      <c r="R2271" s="30"/>
      <c r="S2271" s="30"/>
      <c r="T2271" s="30"/>
      <c r="U2271" s="30"/>
      <c r="V2271" s="30"/>
      <c r="W2271" s="30"/>
      <c r="X2271" s="30"/>
      <c r="Y2271" s="30"/>
      <c r="Z2271" s="30"/>
      <c r="AA2271" s="30"/>
      <c r="AB2271" s="30"/>
      <c r="AC2271" s="30"/>
      <c r="AD2271" s="30"/>
      <c r="AE2271" s="30"/>
    </row>
    <row r="2272" spans="1:31" ht="13">
      <c r="A2272" s="30"/>
      <c r="B2272" s="30"/>
      <c r="C2272" s="30"/>
      <c r="D2272" s="30"/>
      <c r="E2272" s="30"/>
      <c r="F2272" s="48"/>
      <c r="G2272" s="49"/>
      <c r="H2272" s="49"/>
      <c r="I2272" s="49"/>
      <c r="J2272" s="71"/>
      <c r="K2272" s="71"/>
      <c r="L2272" s="50"/>
      <c r="M2272" s="30"/>
      <c r="N2272" s="30"/>
      <c r="O2272" s="30"/>
      <c r="P2272" s="30"/>
      <c r="Q2272" s="30"/>
      <c r="R2272" s="30"/>
      <c r="S2272" s="30"/>
      <c r="T2272" s="30"/>
      <c r="U2272" s="30"/>
      <c r="V2272" s="30"/>
      <c r="W2272" s="30"/>
      <c r="X2272" s="30"/>
      <c r="Y2272" s="30"/>
      <c r="Z2272" s="30"/>
      <c r="AA2272" s="30"/>
      <c r="AB2272" s="30"/>
      <c r="AC2272" s="30"/>
      <c r="AD2272" s="30"/>
      <c r="AE2272" s="30"/>
    </row>
    <row r="2273" spans="1:31" ht="13">
      <c r="A2273" s="30"/>
      <c r="B2273" s="30"/>
      <c r="C2273" s="30"/>
      <c r="D2273" s="30"/>
      <c r="E2273" s="30"/>
      <c r="F2273" s="48"/>
      <c r="G2273" s="49"/>
      <c r="H2273" s="49"/>
      <c r="I2273" s="49"/>
      <c r="J2273" s="71"/>
      <c r="K2273" s="71"/>
      <c r="L2273" s="50"/>
      <c r="M2273" s="30"/>
      <c r="N2273" s="30"/>
      <c r="O2273" s="30"/>
      <c r="P2273" s="30"/>
      <c r="Q2273" s="30"/>
      <c r="R2273" s="30"/>
      <c r="S2273" s="30"/>
      <c r="T2273" s="30"/>
      <c r="U2273" s="30"/>
      <c r="V2273" s="30"/>
      <c r="W2273" s="30"/>
      <c r="X2273" s="30"/>
      <c r="Y2273" s="30"/>
      <c r="Z2273" s="30"/>
      <c r="AA2273" s="30"/>
      <c r="AB2273" s="30"/>
      <c r="AC2273" s="30"/>
      <c r="AD2273" s="30"/>
      <c r="AE2273" s="30"/>
    </row>
    <row r="2274" spans="1:31" ht="13">
      <c r="A2274" s="30"/>
      <c r="B2274" s="30"/>
      <c r="C2274" s="30"/>
      <c r="D2274" s="30"/>
      <c r="E2274" s="30"/>
      <c r="F2274" s="48"/>
      <c r="G2274" s="49"/>
      <c r="H2274" s="49"/>
      <c r="I2274" s="49"/>
      <c r="J2274" s="71"/>
      <c r="K2274" s="71"/>
      <c r="L2274" s="50"/>
      <c r="M2274" s="30"/>
      <c r="N2274" s="30"/>
      <c r="O2274" s="30"/>
      <c r="P2274" s="30"/>
      <c r="Q2274" s="30"/>
      <c r="R2274" s="30"/>
      <c r="S2274" s="30"/>
      <c r="T2274" s="30"/>
      <c r="U2274" s="30"/>
      <c r="V2274" s="30"/>
      <c r="W2274" s="30"/>
      <c r="X2274" s="30"/>
      <c r="Y2274" s="30"/>
      <c r="Z2274" s="30"/>
      <c r="AA2274" s="30"/>
      <c r="AB2274" s="30"/>
      <c r="AC2274" s="30"/>
      <c r="AD2274" s="30"/>
      <c r="AE2274" s="30"/>
    </row>
    <row r="2275" spans="1:31" ht="13">
      <c r="A2275" s="30"/>
      <c r="B2275" s="30"/>
      <c r="C2275" s="30"/>
      <c r="D2275" s="30"/>
      <c r="E2275" s="30"/>
      <c r="F2275" s="48"/>
      <c r="G2275" s="49"/>
      <c r="H2275" s="49"/>
      <c r="I2275" s="49"/>
      <c r="J2275" s="71"/>
      <c r="K2275" s="71"/>
      <c r="L2275" s="50"/>
      <c r="M2275" s="30"/>
      <c r="N2275" s="30"/>
      <c r="O2275" s="30"/>
      <c r="P2275" s="30"/>
      <c r="Q2275" s="30"/>
      <c r="R2275" s="30"/>
      <c r="S2275" s="30"/>
      <c r="T2275" s="30"/>
      <c r="U2275" s="30"/>
      <c r="V2275" s="30"/>
      <c r="W2275" s="30"/>
      <c r="X2275" s="30"/>
      <c r="Y2275" s="30"/>
      <c r="Z2275" s="30"/>
      <c r="AA2275" s="30"/>
      <c r="AB2275" s="30"/>
      <c r="AC2275" s="30"/>
      <c r="AD2275" s="30"/>
      <c r="AE2275" s="30"/>
    </row>
    <row r="2276" spans="1:31" ht="13">
      <c r="A2276" s="30"/>
      <c r="B2276" s="30"/>
      <c r="C2276" s="30"/>
      <c r="D2276" s="30"/>
      <c r="E2276" s="30"/>
      <c r="F2276" s="48"/>
      <c r="G2276" s="49"/>
      <c r="H2276" s="49"/>
      <c r="I2276" s="49"/>
      <c r="J2276" s="71"/>
      <c r="K2276" s="71"/>
      <c r="L2276" s="50"/>
      <c r="M2276" s="30"/>
      <c r="N2276" s="30"/>
      <c r="O2276" s="30"/>
      <c r="P2276" s="30"/>
      <c r="Q2276" s="30"/>
      <c r="R2276" s="30"/>
      <c r="S2276" s="30"/>
      <c r="T2276" s="30"/>
      <c r="U2276" s="30"/>
      <c r="V2276" s="30"/>
      <c r="W2276" s="30"/>
      <c r="X2276" s="30"/>
      <c r="Y2276" s="30"/>
      <c r="Z2276" s="30"/>
      <c r="AA2276" s="30"/>
      <c r="AB2276" s="30"/>
      <c r="AC2276" s="30"/>
      <c r="AD2276" s="30"/>
      <c r="AE2276" s="30"/>
    </row>
    <row r="2277" spans="1:31" ht="13">
      <c r="A2277" s="30"/>
      <c r="B2277" s="30"/>
      <c r="C2277" s="30"/>
      <c r="D2277" s="30"/>
      <c r="E2277" s="30"/>
      <c r="F2277" s="48"/>
      <c r="G2277" s="49"/>
      <c r="H2277" s="49"/>
      <c r="I2277" s="49"/>
      <c r="J2277" s="71"/>
      <c r="K2277" s="71"/>
      <c r="L2277" s="50"/>
      <c r="M2277" s="30"/>
      <c r="N2277" s="30"/>
      <c r="O2277" s="30"/>
      <c r="P2277" s="30"/>
      <c r="Q2277" s="30"/>
      <c r="R2277" s="30"/>
      <c r="S2277" s="30"/>
      <c r="T2277" s="30"/>
      <c r="U2277" s="30"/>
      <c r="V2277" s="30"/>
      <c r="W2277" s="30"/>
      <c r="X2277" s="30"/>
      <c r="Y2277" s="30"/>
      <c r="Z2277" s="30"/>
      <c r="AA2277" s="30"/>
      <c r="AB2277" s="30"/>
      <c r="AC2277" s="30"/>
      <c r="AD2277" s="30"/>
      <c r="AE2277" s="30"/>
    </row>
    <row r="2278" spans="1:31" ht="13">
      <c r="A2278" s="30"/>
      <c r="B2278" s="30"/>
      <c r="C2278" s="30"/>
      <c r="D2278" s="30"/>
      <c r="E2278" s="30"/>
      <c r="F2278" s="48"/>
      <c r="G2278" s="49"/>
      <c r="H2278" s="49"/>
      <c r="I2278" s="49"/>
      <c r="J2278" s="71"/>
      <c r="K2278" s="71"/>
      <c r="L2278" s="50"/>
      <c r="M2278" s="30"/>
      <c r="N2278" s="30"/>
      <c r="O2278" s="30"/>
      <c r="P2278" s="30"/>
      <c r="Q2278" s="30"/>
      <c r="R2278" s="30"/>
      <c r="S2278" s="30"/>
      <c r="T2278" s="30"/>
      <c r="U2278" s="30"/>
      <c r="V2278" s="30"/>
      <c r="W2278" s="30"/>
      <c r="X2278" s="30"/>
      <c r="Y2278" s="30"/>
      <c r="Z2278" s="30"/>
      <c r="AA2278" s="30"/>
      <c r="AB2278" s="30"/>
      <c r="AC2278" s="30"/>
      <c r="AD2278" s="30"/>
      <c r="AE2278" s="30"/>
    </row>
    <row r="2279" spans="1:31" ht="13">
      <c r="A2279" s="30"/>
      <c r="B2279" s="30"/>
      <c r="C2279" s="30"/>
      <c r="D2279" s="30"/>
      <c r="E2279" s="30"/>
      <c r="F2279" s="48"/>
      <c r="G2279" s="49"/>
      <c r="H2279" s="49"/>
      <c r="I2279" s="49"/>
      <c r="J2279" s="71"/>
      <c r="K2279" s="71"/>
      <c r="L2279" s="50"/>
      <c r="M2279" s="30"/>
      <c r="N2279" s="30"/>
      <c r="O2279" s="30"/>
      <c r="P2279" s="30"/>
      <c r="Q2279" s="30"/>
      <c r="R2279" s="30"/>
      <c r="S2279" s="30"/>
      <c r="T2279" s="30"/>
      <c r="U2279" s="30"/>
      <c r="V2279" s="30"/>
      <c r="W2279" s="30"/>
      <c r="X2279" s="30"/>
      <c r="Y2279" s="30"/>
      <c r="Z2279" s="30"/>
      <c r="AA2279" s="30"/>
      <c r="AB2279" s="30"/>
      <c r="AC2279" s="30"/>
      <c r="AD2279" s="30"/>
      <c r="AE2279" s="30"/>
    </row>
    <row r="2280" spans="1:31" ht="13">
      <c r="A2280" s="30"/>
      <c r="B2280" s="30"/>
      <c r="C2280" s="30"/>
      <c r="D2280" s="30"/>
      <c r="E2280" s="30"/>
      <c r="F2280" s="48"/>
      <c r="G2280" s="49"/>
      <c r="H2280" s="49"/>
      <c r="I2280" s="49"/>
      <c r="J2280" s="71"/>
      <c r="K2280" s="71"/>
      <c r="L2280" s="50"/>
      <c r="M2280" s="30"/>
      <c r="N2280" s="30"/>
      <c r="O2280" s="30"/>
      <c r="P2280" s="30"/>
      <c r="Q2280" s="30"/>
      <c r="R2280" s="30"/>
      <c r="S2280" s="30"/>
      <c r="T2280" s="30"/>
      <c r="U2280" s="30"/>
      <c r="V2280" s="30"/>
      <c r="W2280" s="30"/>
      <c r="X2280" s="30"/>
      <c r="Y2280" s="30"/>
      <c r="Z2280" s="30"/>
      <c r="AA2280" s="30"/>
      <c r="AB2280" s="30"/>
      <c r="AC2280" s="30"/>
      <c r="AD2280" s="30"/>
      <c r="AE2280" s="30"/>
    </row>
    <row r="2281" spans="1:31" ht="13">
      <c r="A2281" s="30"/>
      <c r="B2281" s="30"/>
      <c r="C2281" s="30"/>
      <c r="D2281" s="30"/>
      <c r="E2281" s="30"/>
      <c r="F2281" s="48"/>
      <c r="G2281" s="49"/>
      <c r="H2281" s="49"/>
      <c r="I2281" s="49"/>
      <c r="J2281" s="71"/>
      <c r="K2281" s="71"/>
      <c r="L2281" s="50"/>
      <c r="M2281" s="30"/>
      <c r="N2281" s="30"/>
      <c r="O2281" s="30"/>
      <c r="P2281" s="30"/>
      <c r="Q2281" s="30"/>
      <c r="R2281" s="30"/>
      <c r="S2281" s="30"/>
      <c r="T2281" s="30"/>
      <c r="U2281" s="30"/>
      <c r="V2281" s="30"/>
      <c r="W2281" s="30"/>
      <c r="X2281" s="30"/>
      <c r="Y2281" s="30"/>
      <c r="Z2281" s="30"/>
      <c r="AA2281" s="30"/>
      <c r="AB2281" s="30"/>
      <c r="AC2281" s="30"/>
      <c r="AD2281" s="30"/>
      <c r="AE2281" s="30"/>
    </row>
    <row r="2282" spans="1:31" ht="13">
      <c r="A2282" s="30"/>
      <c r="B2282" s="30"/>
      <c r="C2282" s="30"/>
      <c r="D2282" s="30"/>
      <c r="E2282" s="30"/>
      <c r="F2282" s="48"/>
      <c r="G2282" s="49"/>
      <c r="H2282" s="49"/>
      <c r="I2282" s="49"/>
      <c r="J2282" s="71"/>
      <c r="K2282" s="71"/>
      <c r="L2282" s="50"/>
      <c r="M2282" s="30"/>
      <c r="N2282" s="30"/>
      <c r="O2282" s="30"/>
      <c r="P2282" s="30"/>
      <c r="Q2282" s="30"/>
      <c r="R2282" s="30"/>
      <c r="S2282" s="30"/>
      <c r="T2282" s="30"/>
      <c r="U2282" s="30"/>
      <c r="V2282" s="30"/>
      <c r="W2282" s="30"/>
      <c r="X2282" s="30"/>
      <c r="Y2282" s="30"/>
      <c r="Z2282" s="30"/>
      <c r="AA2282" s="30"/>
      <c r="AB2282" s="30"/>
      <c r="AC2282" s="30"/>
      <c r="AD2282" s="30"/>
      <c r="AE2282" s="30"/>
    </row>
    <row r="2283" spans="1:31" ht="13">
      <c r="A2283" s="30"/>
      <c r="B2283" s="30"/>
      <c r="C2283" s="30"/>
      <c r="D2283" s="30"/>
      <c r="E2283" s="30"/>
      <c r="F2283" s="48"/>
      <c r="G2283" s="49"/>
      <c r="H2283" s="49"/>
      <c r="I2283" s="49"/>
      <c r="J2283" s="71"/>
      <c r="K2283" s="71"/>
      <c r="L2283" s="50"/>
      <c r="M2283" s="30"/>
      <c r="N2283" s="30"/>
      <c r="O2283" s="30"/>
      <c r="P2283" s="30"/>
      <c r="Q2283" s="30"/>
      <c r="R2283" s="30"/>
      <c r="S2283" s="30"/>
      <c r="T2283" s="30"/>
      <c r="U2283" s="30"/>
      <c r="V2283" s="30"/>
      <c r="W2283" s="30"/>
      <c r="X2283" s="30"/>
      <c r="Y2283" s="30"/>
      <c r="Z2283" s="30"/>
      <c r="AA2283" s="30"/>
      <c r="AB2283" s="30"/>
      <c r="AC2283" s="30"/>
      <c r="AD2283" s="30"/>
      <c r="AE2283" s="30"/>
    </row>
    <row r="2284" spans="1:31" ht="13">
      <c r="A2284" s="30"/>
      <c r="B2284" s="30"/>
      <c r="C2284" s="30"/>
      <c r="D2284" s="30"/>
      <c r="E2284" s="30"/>
      <c r="F2284" s="48"/>
      <c r="G2284" s="49"/>
      <c r="H2284" s="49"/>
      <c r="I2284" s="49"/>
      <c r="J2284" s="71"/>
      <c r="K2284" s="71"/>
      <c r="L2284" s="50"/>
      <c r="M2284" s="30"/>
      <c r="N2284" s="30"/>
      <c r="O2284" s="30"/>
      <c r="P2284" s="30"/>
      <c r="Q2284" s="30"/>
      <c r="R2284" s="30"/>
      <c r="S2284" s="30"/>
      <c r="T2284" s="30"/>
      <c r="U2284" s="30"/>
      <c r="V2284" s="30"/>
      <c r="W2284" s="30"/>
      <c r="X2284" s="30"/>
      <c r="Y2284" s="30"/>
      <c r="Z2284" s="30"/>
      <c r="AA2284" s="30"/>
      <c r="AB2284" s="30"/>
      <c r="AC2284" s="30"/>
      <c r="AD2284" s="30"/>
      <c r="AE2284" s="30"/>
    </row>
    <row r="2285" spans="1:31" ht="13">
      <c r="A2285" s="30"/>
      <c r="B2285" s="30"/>
      <c r="C2285" s="30"/>
      <c r="D2285" s="30"/>
      <c r="E2285" s="30"/>
      <c r="F2285" s="48"/>
      <c r="G2285" s="49"/>
      <c r="H2285" s="49"/>
      <c r="I2285" s="49"/>
      <c r="J2285" s="71"/>
      <c r="K2285" s="71"/>
      <c r="L2285" s="50"/>
      <c r="M2285" s="30"/>
      <c r="N2285" s="30"/>
      <c r="O2285" s="30"/>
      <c r="P2285" s="30"/>
      <c r="Q2285" s="30"/>
      <c r="R2285" s="30"/>
      <c r="S2285" s="30"/>
      <c r="T2285" s="30"/>
      <c r="U2285" s="30"/>
      <c r="V2285" s="30"/>
      <c r="W2285" s="30"/>
      <c r="X2285" s="30"/>
      <c r="Y2285" s="30"/>
      <c r="Z2285" s="30"/>
      <c r="AA2285" s="30"/>
      <c r="AB2285" s="30"/>
      <c r="AC2285" s="30"/>
      <c r="AD2285" s="30"/>
      <c r="AE2285" s="30"/>
    </row>
    <row r="2286" spans="1:31" ht="13">
      <c r="A2286" s="30"/>
      <c r="B2286" s="30"/>
      <c r="C2286" s="30"/>
      <c r="D2286" s="30"/>
      <c r="E2286" s="30"/>
      <c r="F2286" s="48"/>
      <c r="G2286" s="49"/>
      <c r="H2286" s="49"/>
      <c r="I2286" s="49"/>
      <c r="J2286" s="71"/>
      <c r="K2286" s="71"/>
      <c r="L2286" s="50"/>
      <c r="M2286" s="30"/>
      <c r="N2286" s="30"/>
      <c r="O2286" s="30"/>
      <c r="P2286" s="30"/>
      <c r="Q2286" s="30"/>
      <c r="R2286" s="30"/>
      <c r="S2286" s="30"/>
      <c r="T2286" s="30"/>
      <c r="U2286" s="30"/>
      <c r="V2286" s="30"/>
      <c r="W2286" s="30"/>
      <c r="X2286" s="30"/>
      <c r="Y2286" s="30"/>
      <c r="Z2286" s="30"/>
      <c r="AA2286" s="30"/>
      <c r="AB2286" s="30"/>
      <c r="AC2286" s="30"/>
      <c r="AD2286" s="30"/>
      <c r="AE2286" s="30"/>
    </row>
    <row r="2287" spans="1:31" ht="13">
      <c r="A2287" s="30"/>
      <c r="B2287" s="30"/>
      <c r="C2287" s="30"/>
      <c r="D2287" s="30"/>
      <c r="E2287" s="30"/>
      <c r="F2287" s="48"/>
      <c r="G2287" s="49"/>
      <c r="H2287" s="49"/>
      <c r="I2287" s="49"/>
      <c r="J2287" s="71"/>
      <c r="K2287" s="71"/>
      <c r="L2287" s="50"/>
      <c r="M2287" s="30"/>
      <c r="N2287" s="30"/>
      <c r="O2287" s="30"/>
      <c r="P2287" s="30"/>
      <c r="Q2287" s="30"/>
      <c r="R2287" s="30"/>
      <c r="S2287" s="30"/>
      <c r="T2287" s="30"/>
      <c r="U2287" s="30"/>
      <c r="V2287" s="30"/>
      <c r="W2287" s="30"/>
      <c r="X2287" s="30"/>
      <c r="Y2287" s="30"/>
      <c r="Z2287" s="30"/>
      <c r="AA2287" s="30"/>
      <c r="AB2287" s="30"/>
      <c r="AC2287" s="30"/>
      <c r="AD2287" s="30"/>
      <c r="AE2287" s="30"/>
    </row>
    <row r="2288" spans="1:31" ht="13">
      <c r="A2288" s="30"/>
      <c r="B2288" s="30"/>
      <c r="C2288" s="30"/>
      <c r="D2288" s="30"/>
      <c r="E2288" s="30"/>
      <c r="F2288" s="48"/>
      <c r="G2288" s="49"/>
      <c r="H2288" s="49"/>
      <c r="I2288" s="49"/>
      <c r="J2288" s="71"/>
      <c r="K2288" s="71"/>
      <c r="L2288" s="50"/>
      <c r="M2288" s="30"/>
      <c r="N2288" s="30"/>
      <c r="O2288" s="30"/>
      <c r="P2288" s="30"/>
      <c r="Q2288" s="30"/>
      <c r="R2288" s="30"/>
      <c r="S2288" s="30"/>
      <c r="T2288" s="30"/>
      <c r="U2288" s="30"/>
      <c r="V2288" s="30"/>
      <c r="W2288" s="30"/>
      <c r="X2288" s="30"/>
      <c r="Y2288" s="30"/>
      <c r="Z2288" s="30"/>
      <c r="AA2288" s="30"/>
      <c r="AB2288" s="30"/>
      <c r="AC2288" s="30"/>
      <c r="AD2288" s="30"/>
      <c r="AE2288" s="30"/>
    </row>
    <row r="2289" spans="1:31" ht="13">
      <c r="A2289" s="30"/>
      <c r="B2289" s="30"/>
      <c r="C2289" s="30"/>
      <c r="D2289" s="30"/>
      <c r="E2289" s="30"/>
      <c r="F2289" s="48"/>
      <c r="G2289" s="49"/>
      <c r="H2289" s="49"/>
      <c r="I2289" s="49"/>
      <c r="J2289" s="71"/>
      <c r="K2289" s="71"/>
      <c r="L2289" s="50"/>
      <c r="M2289" s="30"/>
      <c r="N2289" s="30"/>
      <c r="O2289" s="30"/>
      <c r="P2289" s="30"/>
      <c r="Q2289" s="30"/>
      <c r="R2289" s="30"/>
      <c r="S2289" s="30"/>
      <c r="T2289" s="30"/>
      <c r="U2289" s="30"/>
      <c r="V2289" s="30"/>
      <c r="W2289" s="30"/>
      <c r="X2289" s="30"/>
      <c r="Y2289" s="30"/>
      <c r="Z2289" s="30"/>
      <c r="AA2289" s="30"/>
      <c r="AB2289" s="30"/>
      <c r="AC2289" s="30"/>
      <c r="AD2289" s="30"/>
      <c r="AE2289" s="30"/>
    </row>
    <row r="2290" spans="1:31" ht="13">
      <c r="A2290" s="30"/>
      <c r="B2290" s="30"/>
      <c r="C2290" s="30"/>
      <c r="D2290" s="30"/>
      <c r="E2290" s="30"/>
      <c r="F2290" s="48"/>
      <c r="G2290" s="49"/>
      <c r="H2290" s="49"/>
      <c r="I2290" s="49"/>
      <c r="J2290" s="71"/>
      <c r="K2290" s="71"/>
      <c r="L2290" s="50"/>
      <c r="M2290" s="30"/>
      <c r="N2290" s="30"/>
      <c r="O2290" s="30"/>
      <c r="P2290" s="30"/>
      <c r="Q2290" s="30"/>
      <c r="R2290" s="30"/>
      <c r="S2290" s="30"/>
      <c r="T2290" s="30"/>
      <c r="U2290" s="30"/>
      <c r="V2290" s="30"/>
      <c r="W2290" s="30"/>
      <c r="X2290" s="30"/>
      <c r="Y2290" s="30"/>
      <c r="Z2290" s="30"/>
      <c r="AA2290" s="30"/>
      <c r="AB2290" s="30"/>
      <c r="AC2290" s="30"/>
      <c r="AD2290" s="30"/>
      <c r="AE2290" s="30"/>
    </row>
    <row r="2291" spans="1:31" ht="13">
      <c r="A2291" s="30"/>
      <c r="B2291" s="30"/>
      <c r="C2291" s="30"/>
      <c r="D2291" s="30"/>
      <c r="E2291" s="30"/>
      <c r="F2291" s="48"/>
      <c r="G2291" s="49"/>
      <c r="H2291" s="49"/>
      <c r="I2291" s="49"/>
      <c r="J2291" s="71"/>
      <c r="K2291" s="71"/>
      <c r="L2291" s="50"/>
      <c r="M2291" s="30"/>
      <c r="N2291" s="30"/>
      <c r="O2291" s="30"/>
      <c r="P2291" s="30"/>
      <c r="Q2291" s="30"/>
      <c r="R2291" s="30"/>
      <c r="S2291" s="30"/>
      <c r="T2291" s="30"/>
      <c r="U2291" s="30"/>
      <c r="V2291" s="30"/>
      <c r="W2291" s="30"/>
      <c r="X2291" s="30"/>
      <c r="Y2291" s="30"/>
      <c r="Z2291" s="30"/>
      <c r="AA2291" s="30"/>
      <c r="AB2291" s="30"/>
      <c r="AC2291" s="30"/>
      <c r="AD2291" s="30"/>
      <c r="AE2291" s="30"/>
    </row>
    <row r="2292" spans="1:31" ht="13">
      <c r="A2292" s="30"/>
      <c r="B2292" s="30"/>
      <c r="C2292" s="30"/>
      <c r="D2292" s="30"/>
      <c r="E2292" s="30"/>
      <c r="F2292" s="48"/>
      <c r="G2292" s="49"/>
      <c r="H2292" s="49"/>
      <c r="I2292" s="49"/>
      <c r="J2292" s="71"/>
      <c r="K2292" s="71"/>
      <c r="L2292" s="50"/>
      <c r="M2292" s="30"/>
      <c r="N2292" s="30"/>
      <c r="O2292" s="30"/>
      <c r="P2292" s="30"/>
      <c r="Q2292" s="30"/>
      <c r="R2292" s="30"/>
      <c r="S2292" s="30"/>
      <c r="T2292" s="30"/>
      <c r="U2292" s="30"/>
      <c r="V2292" s="30"/>
      <c r="W2292" s="30"/>
      <c r="X2292" s="30"/>
      <c r="Y2292" s="30"/>
      <c r="Z2292" s="30"/>
      <c r="AA2292" s="30"/>
      <c r="AB2292" s="30"/>
      <c r="AC2292" s="30"/>
      <c r="AD2292" s="30"/>
      <c r="AE2292" s="30"/>
    </row>
    <row r="2293" spans="1:31" ht="13">
      <c r="A2293" s="30"/>
      <c r="B2293" s="30"/>
      <c r="C2293" s="30"/>
      <c r="D2293" s="30"/>
      <c r="E2293" s="30"/>
      <c r="F2293" s="48"/>
      <c r="G2293" s="49"/>
      <c r="H2293" s="49"/>
      <c r="I2293" s="49"/>
      <c r="J2293" s="71"/>
      <c r="K2293" s="71"/>
      <c r="L2293" s="50"/>
      <c r="M2293" s="30"/>
      <c r="N2293" s="30"/>
      <c r="O2293" s="30"/>
      <c r="P2293" s="30"/>
      <c r="Q2293" s="30"/>
      <c r="R2293" s="30"/>
      <c r="S2293" s="30"/>
      <c r="T2293" s="30"/>
      <c r="U2293" s="30"/>
      <c r="V2293" s="30"/>
      <c r="W2293" s="30"/>
      <c r="X2293" s="30"/>
      <c r="Y2293" s="30"/>
      <c r="Z2293" s="30"/>
      <c r="AA2293" s="30"/>
      <c r="AB2293" s="30"/>
      <c r="AC2293" s="30"/>
      <c r="AD2293" s="30"/>
      <c r="AE2293" s="30"/>
    </row>
    <row r="2294" spans="1:31" ht="13">
      <c r="A2294" s="30"/>
      <c r="B2294" s="30"/>
      <c r="C2294" s="30"/>
      <c r="D2294" s="30"/>
      <c r="E2294" s="30"/>
      <c r="F2294" s="48"/>
      <c r="G2294" s="49"/>
      <c r="H2294" s="49"/>
      <c r="I2294" s="49"/>
      <c r="J2294" s="71"/>
      <c r="K2294" s="71"/>
      <c r="L2294" s="50"/>
      <c r="M2294" s="30"/>
      <c r="N2294" s="30"/>
      <c r="O2294" s="30"/>
      <c r="P2294" s="30"/>
      <c r="Q2294" s="30"/>
      <c r="R2294" s="30"/>
      <c r="S2294" s="30"/>
      <c r="T2294" s="30"/>
      <c r="U2294" s="30"/>
      <c r="V2294" s="30"/>
      <c r="W2294" s="30"/>
      <c r="X2294" s="30"/>
      <c r="Y2294" s="30"/>
      <c r="Z2294" s="30"/>
      <c r="AA2294" s="30"/>
      <c r="AB2294" s="30"/>
      <c r="AC2294" s="30"/>
      <c r="AD2294" s="30"/>
      <c r="AE2294" s="30"/>
    </row>
    <row r="2295" spans="1:31" ht="13">
      <c r="A2295" s="30"/>
      <c r="B2295" s="30"/>
      <c r="C2295" s="30"/>
      <c r="D2295" s="30"/>
      <c r="E2295" s="30"/>
      <c r="F2295" s="48"/>
      <c r="G2295" s="49"/>
      <c r="H2295" s="49"/>
      <c r="I2295" s="49"/>
      <c r="J2295" s="71"/>
      <c r="K2295" s="71"/>
      <c r="L2295" s="50"/>
      <c r="M2295" s="30"/>
      <c r="N2295" s="30"/>
      <c r="O2295" s="30"/>
      <c r="P2295" s="30"/>
      <c r="Q2295" s="30"/>
      <c r="R2295" s="30"/>
      <c r="S2295" s="30"/>
      <c r="T2295" s="30"/>
      <c r="U2295" s="30"/>
      <c r="V2295" s="30"/>
      <c r="W2295" s="30"/>
      <c r="X2295" s="30"/>
      <c r="Y2295" s="30"/>
      <c r="Z2295" s="30"/>
      <c r="AA2295" s="30"/>
      <c r="AB2295" s="30"/>
      <c r="AC2295" s="30"/>
      <c r="AD2295" s="30"/>
      <c r="AE2295" s="30"/>
    </row>
    <row r="2296" spans="1:31" ht="13">
      <c r="A2296" s="30"/>
      <c r="B2296" s="30"/>
      <c r="C2296" s="30"/>
      <c r="D2296" s="30"/>
      <c r="E2296" s="30"/>
      <c r="F2296" s="48"/>
      <c r="G2296" s="49"/>
      <c r="H2296" s="49"/>
      <c r="I2296" s="49"/>
      <c r="J2296" s="71"/>
      <c r="K2296" s="71"/>
      <c r="L2296" s="50"/>
      <c r="M2296" s="30"/>
      <c r="N2296" s="30"/>
      <c r="O2296" s="30"/>
      <c r="P2296" s="30"/>
      <c r="Q2296" s="30"/>
      <c r="R2296" s="30"/>
      <c r="S2296" s="30"/>
      <c r="T2296" s="30"/>
      <c r="U2296" s="30"/>
      <c r="V2296" s="30"/>
      <c r="W2296" s="30"/>
      <c r="X2296" s="30"/>
      <c r="Y2296" s="30"/>
      <c r="Z2296" s="30"/>
      <c r="AA2296" s="30"/>
      <c r="AB2296" s="30"/>
      <c r="AC2296" s="30"/>
      <c r="AD2296" s="30"/>
      <c r="AE2296" s="30"/>
    </row>
    <row r="2297" spans="1:31" ht="13">
      <c r="A2297" s="30"/>
      <c r="B2297" s="30"/>
      <c r="C2297" s="30"/>
      <c r="D2297" s="30"/>
      <c r="E2297" s="30"/>
      <c r="F2297" s="48"/>
      <c r="G2297" s="49"/>
      <c r="H2297" s="49"/>
      <c r="I2297" s="49"/>
      <c r="J2297" s="71"/>
      <c r="K2297" s="71"/>
      <c r="L2297" s="50"/>
      <c r="M2297" s="30"/>
      <c r="N2297" s="30"/>
      <c r="O2297" s="30"/>
      <c r="P2297" s="30"/>
      <c r="Q2297" s="30"/>
      <c r="R2297" s="30"/>
      <c r="S2297" s="30"/>
      <c r="T2297" s="30"/>
      <c r="U2297" s="30"/>
      <c r="V2297" s="30"/>
      <c r="W2297" s="30"/>
      <c r="X2297" s="30"/>
      <c r="Y2297" s="30"/>
      <c r="Z2297" s="30"/>
      <c r="AA2297" s="30"/>
      <c r="AB2297" s="30"/>
      <c r="AC2297" s="30"/>
      <c r="AD2297" s="30"/>
      <c r="AE2297" s="30"/>
    </row>
    <row r="2298" spans="1:31" ht="13">
      <c r="A2298" s="30"/>
      <c r="B2298" s="30"/>
      <c r="C2298" s="30"/>
      <c r="D2298" s="30"/>
      <c r="E2298" s="30"/>
      <c r="F2298" s="48"/>
      <c r="G2298" s="49"/>
      <c r="H2298" s="49"/>
      <c r="I2298" s="49"/>
      <c r="J2298" s="71"/>
      <c r="K2298" s="71"/>
      <c r="L2298" s="50"/>
      <c r="M2298" s="30"/>
      <c r="N2298" s="30"/>
      <c r="O2298" s="30"/>
      <c r="P2298" s="30"/>
      <c r="Q2298" s="30"/>
      <c r="R2298" s="30"/>
      <c r="S2298" s="30"/>
      <c r="T2298" s="30"/>
      <c r="U2298" s="30"/>
      <c r="V2298" s="30"/>
      <c r="W2298" s="30"/>
      <c r="X2298" s="30"/>
      <c r="Y2298" s="30"/>
      <c r="Z2298" s="30"/>
      <c r="AA2298" s="30"/>
      <c r="AB2298" s="30"/>
      <c r="AC2298" s="30"/>
      <c r="AD2298" s="30"/>
      <c r="AE2298" s="30"/>
    </row>
    <row r="2299" spans="1:31" ht="13">
      <c r="A2299" s="30"/>
      <c r="B2299" s="30"/>
      <c r="C2299" s="30"/>
      <c r="D2299" s="30"/>
      <c r="E2299" s="30"/>
      <c r="F2299" s="48"/>
      <c r="G2299" s="49"/>
      <c r="H2299" s="49"/>
      <c r="I2299" s="49"/>
      <c r="J2299" s="71"/>
      <c r="K2299" s="71"/>
      <c r="L2299" s="50"/>
      <c r="M2299" s="30"/>
      <c r="N2299" s="30"/>
      <c r="O2299" s="30"/>
      <c r="P2299" s="30"/>
      <c r="Q2299" s="30"/>
      <c r="R2299" s="30"/>
      <c r="S2299" s="30"/>
      <c r="T2299" s="30"/>
      <c r="U2299" s="30"/>
      <c r="V2299" s="30"/>
      <c r="W2299" s="30"/>
      <c r="X2299" s="30"/>
      <c r="Y2299" s="30"/>
      <c r="Z2299" s="30"/>
      <c r="AA2299" s="30"/>
      <c r="AB2299" s="30"/>
      <c r="AC2299" s="30"/>
      <c r="AD2299" s="30"/>
      <c r="AE2299" s="30"/>
    </row>
    <row r="2300" spans="1:31" ht="13">
      <c r="A2300" s="30"/>
      <c r="B2300" s="30"/>
      <c r="C2300" s="30"/>
      <c r="D2300" s="30"/>
      <c r="E2300" s="30"/>
      <c r="F2300" s="48"/>
      <c r="G2300" s="49"/>
      <c r="H2300" s="49"/>
      <c r="I2300" s="49"/>
      <c r="J2300" s="71"/>
      <c r="K2300" s="71"/>
      <c r="L2300" s="50"/>
      <c r="M2300" s="30"/>
      <c r="N2300" s="30"/>
      <c r="O2300" s="30"/>
      <c r="P2300" s="30"/>
      <c r="Q2300" s="30"/>
      <c r="R2300" s="30"/>
      <c r="S2300" s="30"/>
      <c r="T2300" s="30"/>
      <c r="U2300" s="30"/>
      <c r="V2300" s="30"/>
      <c r="W2300" s="30"/>
      <c r="X2300" s="30"/>
      <c r="Y2300" s="30"/>
      <c r="Z2300" s="30"/>
      <c r="AA2300" s="30"/>
      <c r="AB2300" s="30"/>
      <c r="AC2300" s="30"/>
      <c r="AD2300" s="30"/>
      <c r="AE2300" s="30"/>
    </row>
    <row r="2301" spans="1:31" ht="13">
      <c r="A2301" s="30"/>
      <c r="B2301" s="30"/>
      <c r="C2301" s="30"/>
      <c r="D2301" s="30"/>
      <c r="E2301" s="30"/>
      <c r="F2301" s="48"/>
      <c r="G2301" s="49"/>
      <c r="H2301" s="49"/>
      <c r="I2301" s="49"/>
      <c r="J2301" s="71"/>
      <c r="K2301" s="71"/>
      <c r="L2301" s="50"/>
      <c r="M2301" s="30"/>
      <c r="N2301" s="30"/>
      <c r="O2301" s="30"/>
      <c r="P2301" s="30"/>
      <c r="Q2301" s="30"/>
      <c r="R2301" s="30"/>
      <c r="S2301" s="30"/>
      <c r="T2301" s="30"/>
      <c r="U2301" s="30"/>
      <c r="V2301" s="30"/>
      <c r="W2301" s="30"/>
      <c r="X2301" s="30"/>
      <c r="Y2301" s="30"/>
      <c r="Z2301" s="30"/>
      <c r="AA2301" s="30"/>
      <c r="AB2301" s="30"/>
      <c r="AC2301" s="30"/>
      <c r="AD2301" s="30"/>
      <c r="AE2301" s="30"/>
    </row>
    <row r="2302" spans="1:31" ht="13">
      <c r="A2302" s="30"/>
      <c r="B2302" s="30"/>
      <c r="C2302" s="30"/>
      <c r="D2302" s="30"/>
      <c r="E2302" s="30"/>
      <c r="F2302" s="48"/>
      <c r="G2302" s="49"/>
      <c r="H2302" s="49"/>
      <c r="I2302" s="49"/>
      <c r="J2302" s="71"/>
      <c r="K2302" s="71"/>
      <c r="L2302" s="50"/>
      <c r="M2302" s="30"/>
      <c r="N2302" s="30"/>
      <c r="O2302" s="30"/>
      <c r="P2302" s="30"/>
      <c r="Q2302" s="30"/>
      <c r="R2302" s="30"/>
      <c r="S2302" s="30"/>
      <c r="T2302" s="30"/>
      <c r="U2302" s="30"/>
      <c r="V2302" s="30"/>
      <c r="W2302" s="30"/>
      <c r="X2302" s="30"/>
      <c r="Y2302" s="30"/>
      <c r="Z2302" s="30"/>
      <c r="AA2302" s="30"/>
      <c r="AB2302" s="30"/>
      <c r="AC2302" s="30"/>
      <c r="AD2302" s="30"/>
      <c r="AE2302" s="30"/>
    </row>
    <row r="2303" spans="1:31" ht="13">
      <c r="A2303" s="30"/>
      <c r="B2303" s="30"/>
      <c r="C2303" s="30"/>
      <c r="D2303" s="30"/>
      <c r="E2303" s="30"/>
      <c r="F2303" s="48"/>
      <c r="G2303" s="49"/>
      <c r="H2303" s="49"/>
      <c r="I2303" s="49"/>
      <c r="J2303" s="71"/>
      <c r="K2303" s="71"/>
      <c r="L2303" s="50"/>
      <c r="M2303" s="30"/>
      <c r="N2303" s="30"/>
      <c r="O2303" s="30"/>
      <c r="P2303" s="30"/>
      <c r="Q2303" s="30"/>
      <c r="R2303" s="30"/>
      <c r="S2303" s="30"/>
      <c r="T2303" s="30"/>
      <c r="U2303" s="30"/>
      <c r="V2303" s="30"/>
      <c r="W2303" s="30"/>
      <c r="X2303" s="30"/>
      <c r="Y2303" s="30"/>
      <c r="Z2303" s="30"/>
      <c r="AA2303" s="30"/>
      <c r="AB2303" s="30"/>
      <c r="AC2303" s="30"/>
      <c r="AD2303" s="30"/>
      <c r="AE2303" s="30"/>
    </row>
    <row r="2304" spans="1:31" ht="13">
      <c r="A2304" s="30"/>
      <c r="B2304" s="30"/>
      <c r="C2304" s="30"/>
      <c r="D2304" s="30"/>
      <c r="E2304" s="30"/>
      <c r="F2304" s="48"/>
      <c r="G2304" s="49"/>
      <c r="H2304" s="49"/>
      <c r="I2304" s="49"/>
      <c r="J2304" s="71"/>
      <c r="K2304" s="71"/>
      <c r="L2304" s="50"/>
      <c r="M2304" s="30"/>
      <c r="N2304" s="30"/>
      <c r="O2304" s="30"/>
      <c r="P2304" s="30"/>
      <c r="Q2304" s="30"/>
      <c r="R2304" s="30"/>
      <c r="S2304" s="30"/>
      <c r="T2304" s="30"/>
      <c r="U2304" s="30"/>
      <c r="V2304" s="30"/>
      <c r="W2304" s="30"/>
      <c r="X2304" s="30"/>
      <c r="Y2304" s="30"/>
      <c r="Z2304" s="30"/>
      <c r="AA2304" s="30"/>
      <c r="AB2304" s="30"/>
      <c r="AC2304" s="30"/>
      <c r="AD2304" s="30"/>
      <c r="AE2304" s="30"/>
    </row>
    <row r="2305" spans="1:31" ht="13">
      <c r="A2305" s="30"/>
      <c r="B2305" s="30"/>
      <c r="C2305" s="30"/>
      <c r="D2305" s="30"/>
      <c r="E2305" s="30"/>
      <c r="F2305" s="48"/>
      <c r="G2305" s="49"/>
      <c r="H2305" s="49"/>
      <c r="I2305" s="49"/>
      <c r="J2305" s="71"/>
      <c r="K2305" s="71"/>
      <c r="L2305" s="50"/>
      <c r="M2305" s="30"/>
      <c r="N2305" s="30"/>
      <c r="O2305" s="30"/>
      <c r="P2305" s="30"/>
      <c r="Q2305" s="30"/>
      <c r="R2305" s="30"/>
      <c r="S2305" s="30"/>
      <c r="T2305" s="30"/>
      <c r="U2305" s="30"/>
      <c r="V2305" s="30"/>
      <c r="W2305" s="30"/>
      <c r="X2305" s="30"/>
      <c r="Y2305" s="30"/>
      <c r="Z2305" s="30"/>
      <c r="AA2305" s="30"/>
      <c r="AB2305" s="30"/>
      <c r="AC2305" s="30"/>
      <c r="AD2305" s="30"/>
      <c r="AE2305" s="30"/>
    </row>
    <row r="2306" spans="1:31" ht="13">
      <c r="A2306" s="30"/>
      <c r="B2306" s="30"/>
      <c r="C2306" s="30"/>
      <c r="D2306" s="30"/>
      <c r="E2306" s="30"/>
      <c r="F2306" s="48"/>
      <c r="G2306" s="49"/>
      <c r="H2306" s="49"/>
      <c r="I2306" s="49"/>
      <c r="J2306" s="71"/>
      <c r="K2306" s="71"/>
      <c r="L2306" s="50"/>
      <c r="M2306" s="30"/>
      <c r="N2306" s="30"/>
      <c r="O2306" s="30"/>
      <c r="P2306" s="30"/>
      <c r="Q2306" s="30"/>
      <c r="R2306" s="30"/>
      <c r="S2306" s="30"/>
      <c r="T2306" s="30"/>
      <c r="U2306" s="30"/>
      <c r="V2306" s="30"/>
      <c r="W2306" s="30"/>
      <c r="X2306" s="30"/>
      <c r="Y2306" s="30"/>
      <c r="Z2306" s="30"/>
      <c r="AA2306" s="30"/>
      <c r="AB2306" s="30"/>
      <c r="AC2306" s="30"/>
      <c r="AD2306" s="30"/>
      <c r="AE2306" s="30"/>
    </row>
    <row r="2307" spans="1:31" ht="13">
      <c r="A2307" s="30"/>
      <c r="B2307" s="30"/>
      <c r="C2307" s="30"/>
      <c r="D2307" s="30"/>
      <c r="E2307" s="30"/>
      <c r="F2307" s="48"/>
      <c r="G2307" s="49"/>
      <c r="H2307" s="49"/>
      <c r="I2307" s="49"/>
      <c r="J2307" s="71"/>
      <c r="K2307" s="71"/>
      <c r="L2307" s="50"/>
      <c r="M2307" s="30"/>
      <c r="N2307" s="30"/>
      <c r="O2307" s="30"/>
      <c r="P2307" s="30"/>
      <c r="Q2307" s="30"/>
      <c r="R2307" s="30"/>
      <c r="S2307" s="30"/>
      <c r="T2307" s="30"/>
      <c r="U2307" s="30"/>
      <c r="V2307" s="30"/>
      <c r="W2307" s="30"/>
      <c r="X2307" s="30"/>
      <c r="Y2307" s="30"/>
      <c r="Z2307" s="30"/>
      <c r="AA2307" s="30"/>
      <c r="AB2307" s="30"/>
      <c r="AC2307" s="30"/>
      <c r="AD2307" s="30"/>
      <c r="AE2307" s="30"/>
    </row>
    <row r="2308" spans="1:31" ht="13">
      <c r="A2308" s="30"/>
      <c r="B2308" s="30"/>
      <c r="C2308" s="30"/>
      <c r="D2308" s="30"/>
      <c r="E2308" s="30"/>
      <c r="F2308" s="48"/>
      <c r="G2308" s="49"/>
      <c r="H2308" s="49"/>
      <c r="I2308" s="49"/>
      <c r="J2308" s="71"/>
      <c r="K2308" s="71"/>
      <c r="L2308" s="50"/>
      <c r="M2308" s="30"/>
      <c r="N2308" s="30"/>
      <c r="O2308" s="30"/>
      <c r="P2308" s="30"/>
      <c r="Q2308" s="30"/>
      <c r="R2308" s="30"/>
      <c r="S2308" s="30"/>
      <c r="T2308" s="30"/>
      <c r="U2308" s="30"/>
      <c r="V2308" s="30"/>
      <c r="W2308" s="30"/>
      <c r="X2308" s="30"/>
      <c r="Y2308" s="30"/>
      <c r="Z2308" s="30"/>
      <c r="AA2308" s="30"/>
      <c r="AB2308" s="30"/>
      <c r="AC2308" s="30"/>
      <c r="AD2308" s="30"/>
      <c r="AE2308" s="30"/>
    </row>
    <row r="2309" spans="1:31" ht="13">
      <c r="A2309" s="30"/>
      <c r="B2309" s="30"/>
      <c r="C2309" s="30"/>
      <c r="D2309" s="30"/>
      <c r="E2309" s="30"/>
      <c r="F2309" s="48"/>
      <c r="G2309" s="49"/>
      <c r="H2309" s="49"/>
      <c r="I2309" s="49"/>
      <c r="J2309" s="71"/>
      <c r="K2309" s="71"/>
      <c r="L2309" s="50"/>
      <c r="M2309" s="30"/>
      <c r="N2309" s="30"/>
      <c r="O2309" s="30"/>
      <c r="P2309" s="30"/>
      <c r="Q2309" s="30"/>
      <c r="R2309" s="30"/>
      <c r="S2309" s="30"/>
      <c r="T2309" s="30"/>
      <c r="U2309" s="30"/>
      <c r="V2309" s="30"/>
      <c r="W2309" s="30"/>
      <c r="X2309" s="30"/>
      <c r="Y2309" s="30"/>
      <c r="Z2309" s="30"/>
      <c r="AA2309" s="30"/>
      <c r="AB2309" s="30"/>
      <c r="AC2309" s="30"/>
      <c r="AD2309" s="30"/>
      <c r="AE2309" s="30"/>
    </row>
    <row r="2310" spans="1:31" ht="13">
      <c r="A2310" s="30"/>
      <c r="B2310" s="30"/>
      <c r="C2310" s="30"/>
      <c r="D2310" s="30"/>
      <c r="E2310" s="30"/>
      <c r="F2310" s="48"/>
      <c r="G2310" s="49"/>
      <c r="H2310" s="49"/>
      <c r="I2310" s="49"/>
      <c r="J2310" s="71"/>
      <c r="K2310" s="71"/>
      <c r="L2310" s="50"/>
      <c r="M2310" s="30"/>
      <c r="N2310" s="30"/>
      <c r="O2310" s="30"/>
      <c r="P2310" s="30"/>
      <c r="Q2310" s="30"/>
      <c r="R2310" s="30"/>
      <c r="S2310" s="30"/>
      <c r="T2310" s="30"/>
      <c r="U2310" s="30"/>
      <c r="V2310" s="30"/>
      <c r="W2310" s="30"/>
      <c r="X2310" s="30"/>
      <c r="Y2310" s="30"/>
      <c r="Z2310" s="30"/>
      <c r="AA2310" s="30"/>
      <c r="AB2310" s="30"/>
      <c r="AC2310" s="30"/>
      <c r="AD2310" s="30"/>
      <c r="AE2310" s="30"/>
    </row>
    <row r="2311" spans="1:31" ht="13">
      <c r="A2311" s="30"/>
      <c r="B2311" s="30"/>
      <c r="C2311" s="30"/>
      <c r="D2311" s="30"/>
      <c r="E2311" s="30"/>
      <c r="F2311" s="48"/>
      <c r="G2311" s="49"/>
      <c r="H2311" s="49"/>
      <c r="I2311" s="49"/>
      <c r="J2311" s="71"/>
      <c r="K2311" s="71"/>
      <c r="L2311" s="50"/>
      <c r="M2311" s="30"/>
      <c r="N2311" s="30"/>
      <c r="O2311" s="30"/>
      <c r="P2311" s="30"/>
      <c r="Q2311" s="30"/>
      <c r="R2311" s="30"/>
      <c r="S2311" s="30"/>
      <c r="T2311" s="30"/>
      <c r="U2311" s="30"/>
      <c r="V2311" s="30"/>
      <c r="W2311" s="30"/>
      <c r="X2311" s="30"/>
      <c r="Y2311" s="30"/>
      <c r="Z2311" s="30"/>
      <c r="AA2311" s="30"/>
      <c r="AB2311" s="30"/>
      <c r="AC2311" s="30"/>
      <c r="AD2311" s="30"/>
      <c r="AE2311" s="30"/>
    </row>
    <row r="2312" spans="1:31" ht="13">
      <c r="A2312" s="30"/>
      <c r="B2312" s="30"/>
      <c r="C2312" s="30"/>
      <c r="D2312" s="30"/>
      <c r="E2312" s="30"/>
      <c r="F2312" s="48"/>
      <c r="G2312" s="49"/>
      <c r="H2312" s="49"/>
      <c r="I2312" s="49"/>
      <c r="J2312" s="71"/>
      <c r="K2312" s="71"/>
      <c r="L2312" s="50"/>
      <c r="M2312" s="30"/>
      <c r="N2312" s="30"/>
      <c r="O2312" s="30"/>
      <c r="P2312" s="30"/>
      <c r="Q2312" s="30"/>
      <c r="R2312" s="30"/>
      <c r="S2312" s="30"/>
      <c r="T2312" s="30"/>
      <c r="U2312" s="30"/>
      <c r="V2312" s="30"/>
      <c r="W2312" s="30"/>
      <c r="X2312" s="30"/>
      <c r="Y2312" s="30"/>
      <c r="Z2312" s="30"/>
      <c r="AA2312" s="30"/>
      <c r="AB2312" s="30"/>
      <c r="AC2312" s="30"/>
      <c r="AD2312" s="30"/>
      <c r="AE2312" s="30"/>
    </row>
    <row r="2313" spans="1:31" ht="13">
      <c r="A2313" s="30"/>
      <c r="B2313" s="30"/>
      <c r="C2313" s="30"/>
      <c r="D2313" s="30"/>
      <c r="E2313" s="30"/>
      <c r="F2313" s="48"/>
      <c r="G2313" s="49"/>
      <c r="H2313" s="49"/>
      <c r="I2313" s="49"/>
      <c r="J2313" s="71"/>
      <c r="K2313" s="71"/>
      <c r="L2313" s="50"/>
      <c r="M2313" s="30"/>
      <c r="N2313" s="30"/>
      <c r="O2313" s="30"/>
      <c r="P2313" s="30"/>
      <c r="Q2313" s="30"/>
      <c r="R2313" s="30"/>
      <c r="S2313" s="30"/>
      <c r="T2313" s="30"/>
      <c r="U2313" s="30"/>
      <c r="V2313" s="30"/>
      <c r="W2313" s="30"/>
      <c r="X2313" s="30"/>
      <c r="Y2313" s="30"/>
      <c r="Z2313" s="30"/>
      <c r="AA2313" s="30"/>
      <c r="AB2313" s="30"/>
      <c r="AC2313" s="30"/>
      <c r="AD2313" s="30"/>
      <c r="AE2313" s="30"/>
    </row>
    <row r="2314" spans="1:31" ht="13">
      <c r="A2314" s="30"/>
      <c r="B2314" s="30"/>
      <c r="C2314" s="30"/>
      <c r="D2314" s="30"/>
      <c r="E2314" s="30"/>
      <c r="F2314" s="48"/>
      <c r="G2314" s="49"/>
      <c r="H2314" s="49"/>
      <c r="I2314" s="49"/>
      <c r="J2314" s="71"/>
      <c r="K2314" s="71"/>
      <c r="L2314" s="50"/>
      <c r="M2314" s="30"/>
      <c r="N2314" s="30"/>
      <c r="O2314" s="30"/>
      <c r="P2314" s="30"/>
      <c r="Q2314" s="30"/>
      <c r="R2314" s="30"/>
      <c r="S2314" s="30"/>
      <c r="T2314" s="30"/>
      <c r="U2314" s="30"/>
      <c r="V2314" s="30"/>
      <c r="W2314" s="30"/>
      <c r="X2314" s="30"/>
      <c r="Y2314" s="30"/>
      <c r="Z2314" s="30"/>
      <c r="AA2314" s="30"/>
      <c r="AB2314" s="30"/>
      <c r="AC2314" s="30"/>
      <c r="AD2314" s="30"/>
      <c r="AE2314" s="30"/>
    </row>
    <row r="2315" spans="1:31" ht="13">
      <c r="A2315" s="30"/>
      <c r="B2315" s="30"/>
      <c r="C2315" s="30"/>
      <c r="D2315" s="30"/>
      <c r="E2315" s="30"/>
      <c r="F2315" s="48"/>
      <c r="G2315" s="49"/>
      <c r="H2315" s="49"/>
      <c r="I2315" s="49"/>
      <c r="J2315" s="71"/>
      <c r="K2315" s="71"/>
      <c r="L2315" s="50"/>
      <c r="M2315" s="30"/>
      <c r="N2315" s="30"/>
      <c r="O2315" s="30"/>
      <c r="P2315" s="30"/>
      <c r="Q2315" s="30"/>
      <c r="R2315" s="30"/>
      <c r="S2315" s="30"/>
      <c r="T2315" s="30"/>
      <c r="U2315" s="30"/>
      <c r="V2315" s="30"/>
      <c r="W2315" s="30"/>
      <c r="X2315" s="30"/>
      <c r="Y2315" s="30"/>
      <c r="Z2315" s="30"/>
      <c r="AA2315" s="30"/>
      <c r="AB2315" s="30"/>
      <c r="AC2315" s="30"/>
      <c r="AD2315" s="30"/>
      <c r="AE2315" s="30"/>
    </row>
    <row r="2316" spans="1:31" ht="13">
      <c r="A2316" s="30"/>
      <c r="B2316" s="30"/>
      <c r="C2316" s="30"/>
      <c r="D2316" s="30"/>
      <c r="E2316" s="30"/>
      <c r="F2316" s="48"/>
      <c r="G2316" s="49"/>
      <c r="H2316" s="49"/>
      <c r="I2316" s="49"/>
      <c r="J2316" s="71"/>
      <c r="K2316" s="71"/>
      <c r="L2316" s="50"/>
      <c r="M2316" s="30"/>
      <c r="N2316" s="30"/>
      <c r="O2316" s="30"/>
      <c r="P2316" s="30"/>
      <c r="Q2316" s="30"/>
      <c r="R2316" s="30"/>
      <c r="S2316" s="30"/>
      <c r="T2316" s="30"/>
      <c r="U2316" s="30"/>
      <c r="V2316" s="30"/>
      <c r="W2316" s="30"/>
      <c r="X2316" s="30"/>
      <c r="Y2316" s="30"/>
      <c r="Z2316" s="30"/>
      <c r="AA2316" s="30"/>
      <c r="AB2316" s="30"/>
      <c r="AC2316" s="30"/>
      <c r="AD2316" s="30"/>
      <c r="AE2316" s="30"/>
    </row>
    <row r="2317" spans="1:31" ht="13">
      <c r="A2317" s="30"/>
      <c r="B2317" s="30"/>
      <c r="C2317" s="30"/>
      <c r="D2317" s="30"/>
      <c r="E2317" s="30"/>
      <c r="F2317" s="48"/>
      <c r="G2317" s="49"/>
      <c r="H2317" s="49"/>
      <c r="I2317" s="49"/>
      <c r="J2317" s="71"/>
      <c r="K2317" s="71"/>
      <c r="L2317" s="50"/>
      <c r="M2317" s="30"/>
      <c r="N2317" s="30"/>
      <c r="O2317" s="30"/>
      <c r="P2317" s="30"/>
      <c r="Q2317" s="30"/>
      <c r="R2317" s="30"/>
      <c r="S2317" s="30"/>
      <c r="T2317" s="30"/>
      <c r="U2317" s="30"/>
      <c r="V2317" s="30"/>
      <c r="W2317" s="30"/>
      <c r="X2317" s="30"/>
      <c r="Y2317" s="30"/>
      <c r="Z2317" s="30"/>
      <c r="AA2317" s="30"/>
      <c r="AB2317" s="30"/>
      <c r="AC2317" s="30"/>
      <c r="AD2317" s="30"/>
      <c r="AE2317" s="30"/>
    </row>
    <row r="2318" spans="1:31" ht="13">
      <c r="A2318" s="30"/>
      <c r="B2318" s="30"/>
      <c r="C2318" s="30"/>
      <c r="D2318" s="30"/>
      <c r="E2318" s="30"/>
      <c r="F2318" s="48"/>
      <c r="G2318" s="49"/>
      <c r="H2318" s="49"/>
      <c r="I2318" s="49"/>
      <c r="J2318" s="71"/>
      <c r="K2318" s="71"/>
      <c r="L2318" s="50"/>
      <c r="M2318" s="30"/>
      <c r="N2318" s="30"/>
      <c r="O2318" s="30"/>
      <c r="P2318" s="30"/>
      <c r="Q2318" s="30"/>
      <c r="R2318" s="30"/>
      <c r="S2318" s="30"/>
      <c r="T2318" s="30"/>
      <c r="U2318" s="30"/>
      <c r="V2318" s="30"/>
      <c r="W2318" s="30"/>
      <c r="X2318" s="30"/>
      <c r="Y2318" s="30"/>
      <c r="Z2318" s="30"/>
      <c r="AA2318" s="30"/>
      <c r="AB2318" s="30"/>
      <c r="AC2318" s="30"/>
      <c r="AD2318" s="30"/>
      <c r="AE2318" s="30"/>
    </row>
    <row r="2319" spans="1:31" ht="13">
      <c r="A2319" s="30"/>
      <c r="B2319" s="30"/>
      <c r="C2319" s="30"/>
      <c r="D2319" s="30"/>
      <c r="E2319" s="30"/>
      <c r="F2319" s="48"/>
      <c r="G2319" s="49"/>
      <c r="H2319" s="49"/>
      <c r="I2319" s="49"/>
      <c r="J2319" s="71"/>
      <c r="K2319" s="71"/>
      <c r="L2319" s="50"/>
      <c r="M2319" s="30"/>
      <c r="N2319" s="30"/>
      <c r="O2319" s="30"/>
      <c r="P2319" s="30"/>
      <c r="Q2319" s="30"/>
      <c r="R2319" s="30"/>
      <c r="S2319" s="30"/>
      <c r="T2319" s="30"/>
      <c r="U2319" s="30"/>
      <c r="V2319" s="30"/>
      <c r="W2319" s="30"/>
      <c r="X2319" s="30"/>
      <c r="Y2319" s="30"/>
      <c r="Z2319" s="30"/>
      <c r="AA2319" s="30"/>
      <c r="AB2319" s="30"/>
      <c r="AC2319" s="30"/>
      <c r="AD2319" s="30"/>
      <c r="AE2319" s="30"/>
    </row>
    <row r="2320" spans="1:31" ht="13">
      <c r="A2320" s="30"/>
      <c r="B2320" s="30"/>
      <c r="C2320" s="30"/>
      <c r="D2320" s="30"/>
      <c r="E2320" s="30"/>
      <c r="F2320" s="48"/>
      <c r="G2320" s="49"/>
      <c r="H2320" s="49"/>
      <c r="I2320" s="49"/>
      <c r="J2320" s="71"/>
      <c r="K2320" s="71"/>
      <c r="L2320" s="50"/>
      <c r="M2320" s="30"/>
      <c r="N2320" s="30"/>
      <c r="O2320" s="30"/>
      <c r="P2320" s="30"/>
      <c r="Q2320" s="30"/>
      <c r="R2320" s="30"/>
      <c r="S2320" s="30"/>
      <c r="T2320" s="30"/>
      <c r="U2320" s="30"/>
      <c r="V2320" s="30"/>
      <c r="W2320" s="30"/>
      <c r="X2320" s="30"/>
      <c r="Y2320" s="30"/>
      <c r="Z2320" s="30"/>
      <c r="AA2320" s="30"/>
      <c r="AB2320" s="30"/>
      <c r="AC2320" s="30"/>
      <c r="AD2320" s="30"/>
      <c r="AE2320" s="30"/>
    </row>
    <row r="2321" spans="1:31" ht="13">
      <c r="A2321" s="30"/>
      <c r="B2321" s="30"/>
      <c r="C2321" s="30"/>
      <c r="D2321" s="30"/>
      <c r="E2321" s="30"/>
      <c r="F2321" s="48"/>
      <c r="G2321" s="49"/>
      <c r="H2321" s="49"/>
      <c r="I2321" s="49"/>
      <c r="J2321" s="71"/>
      <c r="K2321" s="71"/>
      <c r="L2321" s="50"/>
      <c r="M2321" s="30"/>
      <c r="N2321" s="30"/>
      <c r="O2321" s="30"/>
      <c r="P2321" s="30"/>
      <c r="Q2321" s="30"/>
      <c r="R2321" s="30"/>
      <c r="S2321" s="30"/>
      <c r="T2321" s="30"/>
      <c r="U2321" s="30"/>
      <c r="V2321" s="30"/>
      <c r="W2321" s="30"/>
      <c r="X2321" s="30"/>
      <c r="Y2321" s="30"/>
      <c r="Z2321" s="30"/>
      <c r="AA2321" s="30"/>
      <c r="AB2321" s="30"/>
      <c r="AC2321" s="30"/>
      <c r="AD2321" s="30"/>
      <c r="AE2321" s="30"/>
    </row>
    <row r="2322" spans="1:31" ht="13">
      <c r="A2322" s="30"/>
      <c r="B2322" s="30"/>
      <c r="C2322" s="30"/>
      <c r="D2322" s="30"/>
      <c r="E2322" s="30"/>
      <c r="F2322" s="48"/>
      <c r="G2322" s="49"/>
      <c r="H2322" s="49"/>
      <c r="I2322" s="49"/>
      <c r="J2322" s="71"/>
      <c r="K2322" s="71"/>
      <c r="L2322" s="50"/>
      <c r="M2322" s="30"/>
      <c r="N2322" s="30"/>
      <c r="O2322" s="30"/>
      <c r="P2322" s="30"/>
      <c r="Q2322" s="30"/>
      <c r="R2322" s="30"/>
      <c r="S2322" s="30"/>
      <c r="T2322" s="30"/>
      <c r="U2322" s="30"/>
      <c r="V2322" s="30"/>
      <c r="W2322" s="30"/>
      <c r="X2322" s="30"/>
      <c r="Y2322" s="30"/>
      <c r="Z2322" s="30"/>
      <c r="AA2322" s="30"/>
      <c r="AB2322" s="30"/>
      <c r="AC2322" s="30"/>
      <c r="AD2322" s="30"/>
      <c r="AE2322" s="30"/>
    </row>
    <row r="2323" spans="1:31" ht="13">
      <c r="A2323" s="30"/>
      <c r="B2323" s="30"/>
      <c r="C2323" s="30"/>
      <c r="D2323" s="30"/>
      <c r="E2323" s="30"/>
      <c r="F2323" s="48"/>
      <c r="G2323" s="49"/>
      <c r="H2323" s="49"/>
      <c r="I2323" s="49"/>
      <c r="J2323" s="71"/>
      <c r="K2323" s="71"/>
      <c r="L2323" s="50"/>
      <c r="M2323" s="30"/>
      <c r="N2323" s="30"/>
      <c r="O2323" s="30"/>
      <c r="P2323" s="30"/>
      <c r="Q2323" s="30"/>
      <c r="R2323" s="30"/>
      <c r="S2323" s="30"/>
      <c r="T2323" s="30"/>
      <c r="U2323" s="30"/>
      <c r="V2323" s="30"/>
      <c r="W2323" s="30"/>
      <c r="X2323" s="30"/>
      <c r="Y2323" s="30"/>
      <c r="Z2323" s="30"/>
      <c r="AA2323" s="30"/>
      <c r="AB2323" s="30"/>
      <c r="AC2323" s="30"/>
      <c r="AD2323" s="30"/>
      <c r="AE2323" s="30"/>
    </row>
    <row r="2324" spans="1:31" ht="13">
      <c r="A2324" s="30"/>
      <c r="B2324" s="30"/>
      <c r="C2324" s="30"/>
      <c r="D2324" s="30"/>
      <c r="E2324" s="30"/>
      <c r="F2324" s="48"/>
      <c r="G2324" s="49"/>
      <c r="H2324" s="49"/>
      <c r="I2324" s="49"/>
      <c r="J2324" s="71"/>
      <c r="K2324" s="71"/>
      <c r="L2324" s="50"/>
      <c r="M2324" s="30"/>
      <c r="N2324" s="30"/>
      <c r="O2324" s="30"/>
      <c r="P2324" s="30"/>
      <c r="Q2324" s="30"/>
      <c r="R2324" s="30"/>
      <c r="S2324" s="30"/>
      <c r="T2324" s="30"/>
      <c r="U2324" s="30"/>
      <c r="V2324" s="30"/>
      <c r="W2324" s="30"/>
      <c r="X2324" s="30"/>
      <c r="Y2324" s="30"/>
      <c r="Z2324" s="30"/>
      <c r="AA2324" s="30"/>
      <c r="AB2324" s="30"/>
      <c r="AC2324" s="30"/>
      <c r="AD2324" s="30"/>
      <c r="AE2324" s="30"/>
    </row>
    <row r="2325" spans="1:31" ht="13">
      <c r="A2325" s="30"/>
      <c r="B2325" s="30"/>
      <c r="C2325" s="30"/>
      <c r="D2325" s="30"/>
      <c r="E2325" s="30"/>
      <c r="F2325" s="48"/>
      <c r="G2325" s="49"/>
      <c r="H2325" s="49"/>
      <c r="I2325" s="49"/>
      <c r="J2325" s="71"/>
      <c r="K2325" s="71"/>
      <c r="L2325" s="50"/>
      <c r="M2325" s="30"/>
      <c r="N2325" s="30"/>
      <c r="O2325" s="30"/>
      <c r="P2325" s="30"/>
      <c r="Q2325" s="30"/>
      <c r="R2325" s="30"/>
      <c r="S2325" s="30"/>
      <c r="T2325" s="30"/>
      <c r="U2325" s="30"/>
      <c r="V2325" s="30"/>
      <c r="W2325" s="30"/>
      <c r="X2325" s="30"/>
      <c r="Y2325" s="30"/>
      <c r="Z2325" s="30"/>
      <c r="AA2325" s="30"/>
      <c r="AB2325" s="30"/>
      <c r="AC2325" s="30"/>
      <c r="AD2325" s="30"/>
      <c r="AE2325" s="30"/>
    </row>
    <row r="2326" spans="1:31" ht="13">
      <c r="A2326" s="30"/>
      <c r="B2326" s="30"/>
      <c r="C2326" s="30"/>
      <c r="D2326" s="30"/>
      <c r="E2326" s="30"/>
      <c r="F2326" s="48"/>
      <c r="G2326" s="49"/>
      <c r="H2326" s="49"/>
      <c r="I2326" s="49"/>
      <c r="J2326" s="71"/>
      <c r="K2326" s="71"/>
      <c r="L2326" s="50"/>
      <c r="M2326" s="30"/>
      <c r="N2326" s="30"/>
      <c r="O2326" s="30"/>
      <c r="P2326" s="30"/>
      <c r="Q2326" s="30"/>
      <c r="R2326" s="30"/>
      <c r="S2326" s="30"/>
      <c r="T2326" s="30"/>
      <c r="U2326" s="30"/>
      <c r="V2326" s="30"/>
      <c r="W2326" s="30"/>
      <c r="X2326" s="30"/>
      <c r="Y2326" s="30"/>
      <c r="Z2326" s="30"/>
      <c r="AA2326" s="30"/>
      <c r="AB2326" s="30"/>
      <c r="AC2326" s="30"/>
      <c r="AD2326" s="30"/>
      <c r="AE2326" s="30"/>
    </row>
    <row r="2327" spans="1:31" ht="13">
      <c r="A2327" s="30"/>
      <c r="B2327" s="30"/>
      <c r="C2327" s="30"/>
      <c r="D2327" s="30"/>
      <c r="E2327" s="30"/>
      <c r="F2327" s="48"/>
      <c r="G2327" s="49"/>
      <c r="H2327" s="49"/>
      <c r="I2327" s="49"/>
      <c r="J2327" s="71"/>
      <c r="K2327" s="71"/>
      <c r="L2327" s="50"/>
      <c r="M2327" s="30"/>
      <c r="N2327" s="30"/>
      <c r="O2327" s="30"/>
      <c r="P2327" s="30"/>
      <c r="Q2327" s="30"/>
      <c r="R2327" s="30"/>
      <c r="S2327" s="30"/>
      <c r="T2327" s="30"/>
      <c r="U2327" s="30"/>
      <c r="V2327" s="30"/>
      <c r="W2327" s="30"/>
      <c r="X2327" s="30"/>
      <c r="Y2327" s="30"/>
      <c r="Z2327" s="30"/>
      <c r="AA2327" s="30"/>
      <c r="AB2327" s="30"/>
      <c r="AC2327" s="30"/>
      <c r="AD2327" s="30"/>
      <c r="AE2327" s="30"/>
    </row>
    <row r="2328" spans="1:31" ht="13">
      <c r="A2328" s="30"/>
      <c r="B2328" s="30"/>
      <c r="C2328" s="30"/>
      <c r="D2328" s="30"/>
      <c r="E2328" s="30"/>
      <c r="F2328" s="48"/>
      <c r="G2328" s="49"/>
      <c r="H2328" s="49"/>
      <c r="I2328" s="49"/>
      <c r="J2328" s="71"/>
      <c r="K2328" s="71"/>
      <c r="L2328" s="50"/>
      <c r="M2328" s="30"/>
      <c r="N2328" s="30"/>
      <c r="O2328" s="30"/>
      <c r="P2328" s="30"/>
      <c r="Q2328" s="30"/>
      <c r="R2328" s="30"/>
      <c r="S2328" s="30"/>
      <c r="T2328" s="30"/>
      <c r="U2328" s="30"/>
      <c r="V2328" s="30"/>
      <c r="W2328" s="30"/>
      <c r="X2328" s="30"/>
      <c r="Y2328" s="30"/>
      <c r="Z2328" s="30"/>
      <c r="AA2328" s="30"/>
      <c r="AB2328" s="30"/>
      <c r="AC2328" s="30"/>
      <c r="AD2328" s="30"/>
      <c r="AE2328" s="30"/>
    </row>
    <row r="2329" spans="1:31" ht="13">
      <c r="A2329" s="30"/>
      <c r="B2329" s="30"/>
      <c r="C2329" s="30"/>
      <c r="D2329" s="30"/>
      <c r="E2329" s="30"/>
      <c r="F2329" s="48"/>
      <c r="G2329" s="49"/>
      <c r="H2329" s="49"/>
      <c r="I2329" s="49"/>
      <c r="J2329" s="71"/>
      <c r="K2329" s="71"/>
      <c r="L2329" s="50"/>
      <c r="M2329" s="30"/>
      <c r="N2329" s="30"/>
      <c r="O2329" s="30"/>
      <c r="P2329" s="30"/>
      <c r="Q2329" s="30"/>
      <c r="R2329" s="30"/>
      <c r="S2329" s="30"/>
      <c r="T2329" s="30"/>
      <c r="U2329" s="30"/>
      <c r="V2329" s="30"/>
      <c r="W2329" s="30"/>
      <c r="X2329" s="30"/>
      <c r="Y2329" s="30"/>
      <c r="Z2329" s="30"/>
      <c r="AA2329" s="30"/>
      <c r="AB2329" s="30"/>
      <c r="AC2329" s="30"/>
      <c r="AD2329" s="30"/>
      <c r="AE2329" s="30"/>
    </row>
    <row r="2330" spans="1:31" ht="13">
      <c r="A2330" s="30"/>
      <c r="B2330" s="30"/>
      <c r="C2330" s="30"/>
      <c r="D2330" s="30"/>
      <c r="E2330" s="30"/>
      <c r="F2330" s="48"/>
      <c r="G2330" s="49"/>
      <c r="H2330" s="49"/>
      <c r="I2330" s="49"/>
      <c r="J2330" s="71"/>
      <c r="K2330" s="71"/>
      <c r="L2330" s="50"/>
      <c r="M2330" s="30"/>
      <c r="N2330" s="30"/>
      <c r="O2330" s="30"/>
      <c r="P2330" s="30"/>
      <c r="Q2330" s="30"/>
      <c r="R2330" s="30"/>
      <c r="S2330" s="30"/>
      <c r="T2330" s="30"/>
      <c r="U2330" s="30"/>
      <c r="V2330" s="30"/>
      <c r="W2330" s="30"/>
      <c r="X2330" s="30"/>
      <c r="Y2330" s="30"/>
      <c r="Z2330" s="30"/>
      <c r="AA2330" s="30"/>
      <c r="AB2330" s="30"/>
      <c r="AC2330" s="30"/>
      <c r="AD2330" s="30"/>
      <c r="AE2330" s="30"/>
    </row>
    <row r="2331" spans="1:31" ht="13">
      <c r="A2331" s="30"/>
      <c r="B2331" s="30"/>
      <c r="C2331" s="30"/>
      <c r="D2331" s="30"/>
      <c r="E2331" s="30"/>
      <c r="F2331" s="48"/>
      <c r="G2331" s="49"/>
      <c r="H2331" s="49"/>
      <c r="I2331" s="49"/>
      <c r="J2331" s="71"/>
      <c r="K2331" s="71"/>
      <c r="L2331" s="50"/>
      <c r="M2331" s="30"/>
      <c r="N2331" s="30"/>
      <c r="O2331" s="30"/>
      <c r="P2331" s="30"/>
      <c r="Q2331" s="30"/>
      <c r="R2331" s="30"/>
      <c r="S2331" s="30"/>
      <c r="T2331" s="30"/>
      <c r="U2331" s="30"/>
      <c r="V2331" s="30"/>
      <c r="W2331" s="30"/>
      <c r="X2331" s="30"/>
      <c r="Y2331" s="30"/>
      <c r="Z2331" s="30"/>
      <c r="AA2331" s="30"/>
      <c r="AB2331" s="30"/>
      <c r="AC2331" s="30"/>
      <c r="AD2331" s="30"/>
      <c r="AE2331" s="30"/>
    </row>
    <row r="2332" spans="1:31" ht="13">
      <c r="A2332" s="30"/>
      <c r="B2332" s="30"/>
      <c r="C2332" s="30"/>
      <c r="D2332" s="30"/>
      <c r="E2332" s="30"/>
      <c r="F2332" s="48"/>
      <c r="G2332" s="49"/>
      <c r="H2332" s="49"/>
      <c r="I2332" s="49"/>
      <c r="J2332" s="71"/>
      <c r="K2332" s="71"/>
      <c r="L2332" s="50"/>
      <c r="M2332" s="30"/>
      <c r="N2332" s="30"/>
      <c r="O2332" s="30"/>
      <c r="P2332" s="30"/>
      <c r="Q2332" s="30"/>
      <c r="R2332" s="30"/>
      <c r="S2332" s="30"/>
      <c r="T2332" s="30"/>
      <c r="U2332" s="30"/>
      <c r="V2332" s="30"/>
      <c r="W2332" s="30"/>
      <c r="X2332" s="30"/>
      <c r="Y2332" s="30"/>
      <c r="Z2332" s="30"/>
      <c r="AA2332" s="30"/>
      <c r="AB2332" s="30"/>
      <c r="AC2332" s="30"/>
      <c r="AD2332" s="30"/>
      <c r="AE2332" s="30"/>
    </row>
    <row r="2333" spans="1:31" ht="13">
      <c r="A2333" s="30"/>
      <c r="B2333" s="30"/>
      <c r="C2333" s="30"/>
      <c r="D2333" s="30"/>
      <c r="E2333" s="30"/>
      <c r="F2333" s="48"/>
      <c r="G2333" s="49"/>
      <c r="H2333" s="49"/>
      <c r="I2333" s="49"/>
      <c r="J2333" s="71"/>
      <c r="K2333" s="71"/>
      <c r="L2333" s="50"/>
      <c r="M2333" s="30"/>
      <c r="N2333" s="30"/>
      <c r="O2333" s="30"/>
      <c r="P2333" s="30"/>
      <c r="Q2333" s="30"/>
      <c r="R2333" s="30"/>
      <c r="S2333" s="30"/>
      <c r="T2333" s="30"/>
      <c r="U2333" s="30"/>
      <c r="V2333" s="30"/>
      <c r="W2333" s="30"/>
      <c r="X2333" s="30"/>
      <c r="Y2333" s="30"/>
      <c r="Z2333" s="30"/>
      <c r="AA2333" s="30"/>
      <c r="AB2333" s="30"/>
      <c r="AC2333" s="30"/>
      <c r="AD2333" s="30"/>
      <c r="AE2333" s="30"/>
    </row>
    <row r="2334" spans="1:31" ht="13">
      <c r="A2334" s="30"/>
      <c r="B2334" s="30"/>
      <c r="C2334" s="30"/>
      <c r="D2334" s="30"/>
      <c r="E2334" s="30"/>
      <c r="F2334" s="48"/>
      <c r="G2334" s="49"/>
      <c r="H2334" s="49"/>
      <c r="I2334" s="49"/>
      <c r="J2334" s="71"/>
      <c r="K2334" s="71"/>
      <c r="L2334" s="50"/>
      <c r="M2334" s="30"/>
      <c r="N2334" s="30"/>
      <c r="O2334" s="30"/>
      <c r="P2334" s="30"/>
      <c r="Q2334" s="30"/>
      <c r="R2334" s="30"/>
      <c r="S2334" s="30"/>
      <c r="T2334" s="30"/>
      <c r="U2334" s="30"/>
      <c r="V2334" s="30"/>
      <c r="W2334" s="30"/>
      <c r="X2334" s="30"/>
      <c r="Y2334" s="30"/>
      <c r="Z2334" s="30"/>
      <c r="AA2334" s="30"/>
      <c r="AB2334" s="30"/>
      <c r="AC2334" s="30"/>
      <c r="AD2334" s="30"/>
      <c r="AE2334" s="30"/>
    </row>
    <row r="2335" spans="1:31" ht="13">
      <c r="A2335" s="30"/>
      <c r="B2335" s="30"/>
      <c r="C2335" s="30"/>
      <c r="D2335" s="30"/>
      <c r="E2335" s="30"/>
      <c r="F2335" s="48"/>
      <c r="G2335" s="49"/>
      <c r="H2335" s="49"/>
      <c r="I2335" s="49"/>
      <c r="J2335" s="71"/>
      <c r="K2335" s="71"/>
      <c r="L2335" s="50"/>
      <c r="M2335" s="30"/>
      <c r="N2335" s="30"/>
      <c r="O2335" s="30"/>
      <c r="P2335" s="30"/>
      <c r="Q2335" s="30"/>
      <c r="R2335" s="30"/>
      <c r="S2335" s="30"/>
      <c r="T2335" s="30"/>
      <c r="U2335" s="30"/>
      <c r="V2335" s="30"/>
      <c r="W2335" s="30"/>
      <c r="X2335" s="30"/>
      <c r="Y2335" s="30"/>
      <c r="Z2335" s="30"/>
      <c r="AA2335" s="30"/>
      <c r="AB2335" s="30"/>
      <c r="AC2335" s="30"/>
      <c r="AD2335" s="30"/>
      <c r="AE2335" s="30"/>
    </row>
    <row r="2336" spans="1:31" ht="13">
      <c r="A2336" s="30"/>
      <c r="B2336" s="30"/>
      <c r="C2336" s="30"/>
      <c r="D2336" s="30"/>
      <c r="E2336" s="30"/>
      <c r="F2336" s="48"/>
      <c r="G2336" s="49"/>
      <c r="H2336" s="49"/>
      <c r="I2336" s="49"/>
      <c r="J2336" s="71"/>
      <c r="K2336" s="71"/>
      <c r="L2336" s="50"/>
      <c r="M2336" s="30"/>
      <c r="N2336" s="30"/>
      <c r="O2336" s="30"/>
      <c r="P2336" s="30"/>
      <c r="Q2336" s="30"/>
      <c r="R2336" s="30"/>
      <c r="S2336" s="30"/>
      <c r="T2336" s="30"/>
      <c r="U2336" s="30"/>
      <c r="V2336" s="30"/>
      <c r="W2336" s="30"/>
      <c r="X2336" s="30"/>
      <c r="Y2336" s="30"/>
      <c r="Z2336" s="30"/>
      <c r="AA2336" s="30"/>
      <c r="AB2336" s="30"/>
      <c r="AC2336" s="30"/>
      <c r="AD2336" s="30"/>
      <c r="AE2336" s="30"/>
    </row>
    <row r="2337" spans="1:31" ht="13">
      <c r="A2337" s="30"/>
      <c r="B2337" s="30"/>
      <c r="C2337" s="30"/>
      <c r="D2337" s="30"/>
      <c r="E2337" s="30"/>
      <c r="F2337" s="48"/>
      <c r="G2337" s="49"/>
      <c r="H2337" s="49"/>
      <c r="I2337" s="49"/>
      <c r="J2337" s="71"/>
      <c r="K2337" s="71"/>
      <c r="L2337" s="50"/>
      <c r="M2337" s="30"/>
      <c r="N2337" s="30"/>
      <c r="O2337" s="30"/>
      <c r="P2337" s="30"/>
      <c r="Q2337" s="30"/>
      <c r="R2337" s="30"/>
      <c r="S2337" s="30"/>
      <c r="T2337" s="30"/>
      <c r="U2337" s="30"/>
      <c r="V2337" s="30"/>
      <c r="W2337" s="30"/>
      <c r="X2337" s="30"/>
      <c r="Y2337" s="30"/>
      <c r="Z2337" s="30"/>
      <c r="AA2337" s="30"/>
      <c r="AB2337" s="30"/>
      <c r="AC2337" s="30"/>
      <c r="AD2337" s="30"/>
      <c r="AE2337" s="30"/>
    </row>
    <row r="2338" spans="1:31" ht="13">
      <c r="A2338" s="30"/>
      <c r="B2338" s="30"/>
      <c r="C2338" s="30"/>
      <c r="D2338" s="30"/>
      <c r="E2338" s="30"/>
      <c r="F2338" s="48"/>
      <c r="G2338" s="49"/>
      <c r="H2338" s="49"/>
      <c r="I2338" s="49"/>
      <c r="J2338" s="71"/>
      <c r="K2338" s="71"/>
      <c r="L2338" s="50"/>
      <c r="M2338" s="30"/>
      <c r="N2338" s="30"/>
      <c r="O2338" s="30"/>
      <c r="P2338" s="30"/>
      <c r="Q2338" s="30"/>
      <c r="R2338" s="30"/>
      <c r="S2338" s="30"/>
      <c r="T2338" s="30"/>
      <c r="U2338" s="30"/>
      <c r="V2338" s="30"/>
      <c r="W2338" s="30"/>
      <c r="X2338" s="30"/>
      <c r="Y2338" s="30"/>
      <c r="Z2338" s="30"/>
      <c r="AA2338" s="30"/>
      <c r="AB2338" s="30"/>
      <c r="AC2338" s="30"/>
      <c r="AD2338" s="30"/>
      <c r="AE2338" s="30"/>
    </row>
    <row r="2339" spans="1:31" ht="13">
      <c r="A2339" s="30"/>
      <c r="B2339" s="30"/>
      <c r="C2339" s="30"/>
      <c r="D2339" s="30"/>
      <c r="E2339" s="30"/>
      <c r="F2339" s="48"/>
      <c r="G2339" s="49"/>
      <c r="H2339" s="49"/>
      <c r="I2339" s="49"/>
      <c r="J2339" s="71"/>
      <c r="K2339" s="71"/>
      <c r="L2339" s="50"/>
      <c r="M2339" s="30"/>
      <c r="N2339" s="30"/>
      <c r="O2339" s="30"/>
      <c r="P2339" s="30"/>
      <c r="Q2339" s="30"/>
      <c r="R2339" s="30"/>
      <c r="S2339" s="30"/>
      <c r="T2339" s="30"/>
      <c r="U2339" s="30"/>
      <c r="V2339" s="30"/>
      <c r="W2339" s="30"/>
      <c r="X2339" s="30"/>
      <c r="Y2339" s="30"/>
      <c r="Z2339" s="30"/>
      <c r="AA2339" s="30"/>
      <c r="AB2339" s="30"/>
      <c r="AC2339" s="30"/>
      <c r="AD2339" s="30"/>
      <c r="AE2339" s="30"/>
    </row>
    <row r="2340" spans="1:31" ht="13">
      <c r="A2340" s="30"/>
      <c r="B2340" s="30"/>
      <c r="C2340" s="30"/>
      <c r="D2340" s="30"/>
      <c r="E2340" s="30"/>
      <c r="F2340" s="48"/>
      <c r="G2340" s="49"/>
      <c r="H2340" s="49"/>
      <c r="I2340" s="49"/>
      <c r="J2340" s="71"/>
      <c r="K2340" s="71"/>
      <c r="L2340" s="50"/>
      <c r="M2340" s="30"/>
      <c r="N2340" s="30"/>
      <c r="O2340" s="30"/>
      <c r="P2340" s="30"/>
      <c r="Q2340" s="30"/>
      <c r="R2340" s="30"/>
      <c r="S2340" s="30"/>
      <c r="T2340" s="30"/>
      <c r="U2340" s="30"/>
      <c r="V2340" s="30"/>
      <c r="W2340" s="30"/>
      <c r="X2340" s="30"/>
      <c r="Y2340" s="30"/>
      <c r="Z2340" s="30"/>
      <c r="AA2340" s="30"/>
      <c r="AB2340" s="30"/>
      <c r="AC2340" s="30"/>
      <c r="AD2340" s="30"/>
      <c r="AE2340" s="30"/>
    </row>
    <row r="2341" spans="1:31" ht="13">
      <c r="A2341" s="30"/>
      <c r="B2341" s="30"/>
      <c r="C2341" s="30"/>
      <c r="D2341" s="30"/>
      <c r="E2341" s="30"/>
      <c r="F2341" s="48"/>
      <c r="G2341" s="49"/>
      <c r="H2341" s="49"/>
      <c r="I2341" s="49"/>
      <c r="J2341" s="71"/>
      <c r="K2341" s="71"/>
      <c r="L2341" s="50"/>
      <c r="M2341" s="30"/>
      <c r="N2341" s="30"/>
      <c r="O2341" s="30"/>
      <c r="P2341" s="30"/>
      <c r="Q2341" s="30"/>
      <c r="R2341" s="30"/>
      <c r="S2341" s="30"/>
      <c r="T2341" s="30"/>
      <c r="U2341" s="30"/>
      <c r="V2341" s="30"/>
      <c r="W2341" s="30"/>
      <c r="X2341" s="30"/>
      <c r="Y2341" s="30"/>
      <c r="Z2341" s="30"/>
      <c r="AA2341" s="30"/>
      <c r="AB2341" s="30"/>
      <c r="AC2341" s="30"/>
      <c r="AD2341" s="30"/>
      <c r="AE2341" s="30"/>
    </row>
    <row r="2342" spans="1:31" ht="13">
      <c r="A2342" s="30"/>
      <c r="B2342" s="30"/>
      <c r="C2342" s="30"/>
      <c r="D2342" s="30"/>
      <c r="E2342" s="30"/>
      <c r="F2342" s="48"/>
      <c r="G2342" s="49"/>
      <c r="H2342" s="49"/>
      <c r="I2342" s="49"/>
      <c r="J2342" s="71"/>
      <c r="K2342" s="71"/>
      <c r="L2342" s="50"/>
      <c r="M2342" s="30"/>
      <c r="N2342" s="30"/>
      <c r="O2342" s="30"/>
      <c r="P2342" s="30"/>
      <c r="Q2342" s="30"/>
      <c r="R2342" s="30"/>
      <c r="S2342" s="30"/>
      <c r="T2342" s="30"/>
      <c r="U2342" s="30"/>
      <c r="V2342" s="30"/>
      <c r="W2342" s="30"/>
      <c r="X2342" s="30"/>
      <c r="Y2342" s="30"/>
      <c r="Z2342" s="30"/>
      <c r="AA2342" s="30"/>
      <c r="AB2342" s="30"/>
      <c r="AC2342" s="30"/>
      <c r="AD2342" s="30"/>
      <c r="AE2342" s="30"/>
    </row>
    <row r="2343" spans="1:31" ht="13">
      <c r="A2343" s="30"/>
      <c r="B2343" s="30"/>
      <c r="C2343" s="30"/>
      <c r="D2343" s="30"/>
      <c r="E2343" s="30"/>
      <c r="F2343" s="48"/>
      <c r="G2343" s="49"/>
      <c r="H2343" s="49"/>
      <c r="I2343" s="49"/>
      <c r="J2343" s="71"/>
      <c r="K2343" s="71"/>
      <c r="L2343" s="50"/>
      <c r="M2343" s="30"/>
      <c r="N2343" s="30"/>
      <c r="O2343" s="30"/>
      <c r="P2343" s="30"/>
      <c r="Q2343" s="30"/>
      <c r="R2343" s="30"/>
      <c r="S2343" s="30"/>
      <c r="T2343" s="30"/>
      <c r="U2343" s="30"/>
      <c r="V2343" s="30"/>
      <c r="W2343" s="30"/>
      <c r="X2343" s="30"/>
      <c r="Y2343" s="30"/>
      <c r="Z2343" s="30"/>
      <c r="AA2343" s="30"/>
      <c r="AB2343" s="30"/>
      <c r="AC2343" s="30"/>
      <c r="AD2343" s="30"/>
      <c r="AE2343" s="30"/>
    </row>
    <row r="2344" spans="1:31" ht="13">
      <c r="A2344" s="30"/>
      <c r="B2344" s="30"/>
      <c r="C2344" s="30"/>
      <c r="D2344" s="30"/>
      <c r="E2344" s="30"/>
      <c r="F2344" s="48"/>
      <c r="G2344" s="49"/>
      <c r="H2344" s="49"/>
      <c r="I2344" s="49"/>
      <c r="J2344" s="71"/>
      <c r="K2344" s="71"/>
      <c r="L2344" s="50"/>
      <c r="M2344" s="30"/>
      <c r="N2344" s="30"/>
      <c r="O2344" s="30"/>
      <c r="P2344" s="30"/>
      <c r="Q2344" s="30"/>
      <c r="R2344" s="30"/>
      <c r="S2344" s="30"/>
      <c r="T2344" s="30"/>
      <c r="U2344" s="30"/>
      <c r="V2344" s="30"/>
      <c r="W2344" s="30"/>
      <c r="X2344" s="30"/>
      <c r="Y2344" s="30"/>
      <c r="Z2344" s="30"/>
      <c r="AA2344" s="30"/>
      <c r="AB2344" s="30"/>
      <c r="AC2344" s="30"/>
      <c r="AD2344" s="30"/>
      <c r="AE2344" s="30"/>
    </row>
    <row r="2345" spans="1:31" ht="13">
      <c r="A2345" s="30"/>
      <c r="B2345" s="30"/>
      <c r="C2345" s="30"/>
      <c r="D2345" s="30"/>
      <c r="E2345" s="30"/>
      <c r="F2345" s="48"/>
      <c r="G2345" s="49"/>
      <c r="H2345" s="49"/>
      <c r="I2345" s="49"/>
      <c r="J2345" s="71"/>
      <c r="K2345" s="71"/>
      <c r="L2345" s="50"/>
      <c r="M2345" s="30"/>
      <c r="N2345" s="30"/>
      <c r="O2345" s="30"/>
      <c r="P2345" s="30"/>
      <c r="Q2345" s="30"/>
      <c r="R2345" s="30"/>
      <c r="S2345" s="30"/>
      <c r="T2345" s="30"/>
      <c r="U2345" s="30"/>
      <c r="V2345" s="30"/>
      <c r="W2345" s="30"/>
      <c r="X2345" s="30"/>
      <c r="Y2345" s="30"/>
      <c r="Z2345" s="30"/>
      <c r="AA2345" s="30"/>
      <c r="AB2345" s="30"/>
      <c r="AC2345" s="30"/>
      <c r="AD2345" s="30"/>
      <c r="AE2345" s="30"/>
    </row>
    <row r="2346" spans="1:31" ht="13">
      <c r="A2346" s="30"/>
      <c r="B2346" s="30"/>
      <c r="C2346" s="30"/>
      <c r="D2346" s="30"/>
      <c r="E2346" s="30"/>
      <c r="F2346" s="48"/>
      <c r="G2346" s="49"/>
      <c r="H2346" s="49"/>
      <c r="I2346" s="49"/>
      <c r="J2346" s="71"/>
      <c r="K2346" s="71"/>
      <c r="L2346" s="50"/>
      <c r="M2346" s="30"/>
      <c r="N2346" s="30"/>
      <c r="O2346" s="30"/>
      <c r="P2346" s="30"/>
      <c r="Q2346" s="30"/>
      <c r="R2346" s="30"/>
      <c r="S2346" s="30"/>
      <c r="T2346" s="30"/>
      <c r="U2346" s="30"/>
      <c r="V2346" s="30"/>
      <c r="W2346" s="30"/>
      <c r="X2346" s="30"/>
      <c r="Y2346" s="30"/>
      <c r="Z2346" s="30"/>
      <c r="AA2346" s="30"/>
      <c r="AB2346" s="30"/>
      <c r="AC2346" s="30"/>
      <c r="AD2346" s="30"/>
      <c r="AE2346" s="30"/>
    </row>
    <row r="2347" spans="1:31" ht="13">
      <c r="A2347" s="30"/>
      <c r="B2347" s="30"/>
      <c r="C2347" s="30"/>
      <c r="D2347" s="30"/>
      <c r="E2347" s="30"/>
      <c r="F2347" s="48"/>
      <c r="G2347" s="49"/>
      <c r="H2347" s="49"/>
      <c r="I2347" s="49"/>
      <c r="J2347" s="71"/>
      <c r="K2347" s="71"/>
      <c r="L2347" s="50"/>
      <c r="M2347" s="30"/>
      <c r="N2347" s="30"/>
      <c r="O2347" s="30"/>
      <c r="P2347" s="30"/>
      <c r="Q2347" s="30"/>
      <c r="R2347" s="30"/>
      <c r="S2347" s="30"/>
      <c r="T2347" s="30"/>
      <c r="U2347" s="30"/>
      <c r="V2347" s="30"/>
      <c r="W2347" s="30"/>
      <c r="X2347" s="30"/>
      <c r="Y2347" s="30"/>
      <c r="Z2347" s="30"/>
      <c r="AA2347" s="30"/>
      <c r="AB2347" s="30"/>
      <c r="AC2347" s="30"/>
      <c r="AD2347" s="30"/>
      <c r="AE2347" s="30"/>
    </row>
    <row r="2348" spans="1:31" ht="13">
      <c r="A2348" s="30"/>
      <c r="B2348" s="30"/>
      <c r="C2348" s="30"/>
      <c r="D2348" s="30"/>
      <c r="E2348" s="30"/>
      <c r="F2348" s="48"/>
      <c r="G2348" s="49"/>
      <c r="H2348" s="49"/>
      <c r="I2348" s="49"/>
      <c r="J2348" s="71"/>
      <c r="K2348" s="71"/>
      <c r="L2348" s="50"/>
      <c r="M2348" s="30"/>
      <c r="N2348" s="30"/>
      <c r="O2348" s="30"/>
      <c r="P2348" s="30"/>
      <c r="Q2348" s="30"/>
      <c r="R2348" s="30"/>
      <c r="S2348" s="30"/>
      <c r="T2348" s="30"/>
      <c r="U2348" s="30"/>
      <c r="V2348" s="30"/>
      <c r="W2348" s="30"/>
      <c r="X2348" s="30"/>
      <c r="Y2348" s="30"/>
      <c r="Z2348" s="30"/>
      <c r="AA2348" s="30"/>
      <c r="AB2348" s="30"/>
      <c r="AC2348" s="30"/>
      <c r="AD2348" s="30"/>
      <c r="AE2348" s="30"/>
    </row>
    <row r="2349" spans="1:31" ht="13">
      <c r="A2349" s="30"/>
      <c r="B2349" s="30"/>
      <c r="C2349" s="30"/>
      <c r="D2349" s="30"/>
      <c r="E2349" s="30"/>
      <c r="F2349" s="48"/>
      <c r="G2349" s="49"/>
      <c r="H2349" s="49"/>
      <c r="I2349" s="49"/>
      <c r="J2349" s="71"/>
      <c r="K2349" s="71"/>
      <c r="L2349" s="50"/>
      <c r="M2349" s="30"/>
      <c r="N2349" s="30"/>
      <c r="O2349" s="30"/>
      <c r="P2349" s="30"/>
      <c r="Q2349" s="30"/>
      <c r="R2349" s="30"/>
      <c r="S2349" s="30"/>
      <c r="T2349" s="30"/>
      <c r="U2349" s="30"/>
      <c r="V2349" s="30"/>
      <c r="W2349" s="30"/>
      <c r="X2349" s="30"/>
      <c r="Y2349" s="30"/>
      <c r="Z2349" s="30"/>
      <c r="AA2349" s="30"/>
      <c r="AB2349" s="30"/>
      <c r="AC2349" s="30"/>
      <c r="AD2349" s="30"/>
      <c r="AE2349" s="30"/>
    </row>
    <row r="2350" spans="1:31" ht="13">
      <c r="A2350" s="30"/>
      <c r="B2350" s="30"/>
      <c r="C2350" s="30"/>
      <c r="D2350" s="30"/>
      <c r="E2350" s="30"/>
      <c r="F2350" s="48"/>
      <c r="G2350" s="49"/>
      <c r="H2350" s="49"/>
      <c r="I2350" s="49"/>
      <c r="J2350" s="71"/>
      <c r="K2350" s="71"/>
      <c r="L2350" s="50"/>
      <c r="M2350" s="30"/>
      <c r="N2350" s="30"/>
      <c r="O2350" s="30"/>
      <c r="P2350" s="30"/>
      <c r="Q2350" s="30"/>
      <c r="R2350" s="30"/>
      <c r="S2350" s="30"/>
      <c r="T2350" s="30"/>
      <c r="U2350" s="30"/>
      <c r="V2350" s="30"/>
      <c r="W2350" s="30"/>
      <c r="X2350" s="30"/>
      <c r="Y2350" s="30"/>
      <c r="Z2350" s="30"/>
      <c r="AA2350" s="30"/>
      <c r="AB2350" s="30"/>
      <c r="AC2350" s="30"/>
      <c r="AD2350" s="30"/>
      <c r="AE2350" s="30"/>
    </row>
    <row r="2351" spans="1:31" ht="13">
      <c r="A2351" s="30"/>
      <c r="B2351" s="30"/>
      <c r="C2351" s="30"/>
      <c r="D2351" s="30"/>
      <c r="E2351" s="30"/>
      <c r="F2351" s="48"/>
      <c r="G2351" s="49"/>
      <c r="H2351" s="49"/>
      <c r="I2351" s="49"/>
      <c r="J2351" s="71"/>
      <c r="K2351" s="71"/>
      <c r="L2351" s="50"/>
      <c r="M2351" s="30"/>
      <c r="N2351" s="30"/>
      <c r="O2351" s="30"/>
      <c r="P2351" s="30"/>
      <c r="Q2351" s="30"/>
      <c r="R2351" s="30"/>
      <c r="S2351" s="30"/>
      <c r="T2351" s="30"/>
      <c r="U2351" s="30"/>
      <c r="V2351" s="30"/>
      <c r="W2351" s="30"/>
      <c r="X2351" s="30"/>
      <c r="Y2351" s="30"/>
      <c r="Z2351" s="30"/>
      <c r="AA2351" s="30"/>
      <c r="AB2351" s="30"/>
      <c r="AC2351" s="30"/>
      <c r="AD2351" s="30"/>
      <c r="AE2351" s="30"/>
    </row>
    <row r="2352" spans="1:31" ht="13">
      <c r="A2352" s="30"/>
      <c r="B2352" s="30"/>
      <c r="C2352" s="30"/>
      <c r="D2352" s="30"/>
      <c r="E2352" s="30"/>
      <c r="F2352" s="48"/>
      <c r="G2352" s="49"/>
      <c r="H2352" s="49"/>
      <c r="I2352" s="49"/>
      <c r="J2352" s="71"/>
      <c r="K2352" s="71"/>
      <c r="L2352" s="50"/>
      <c r="M2352" s="30"/>
      <c r="N2352" s="30"/>
      <c r="O2352" s="30"/>
      <c r="P2352" s="30"/>
      <c r="Q2352" s="30"/>
      <c r="R2352" s="30"/>
      <c r="S2352" s="30"/>
      <c r="T2352" s="30"/>
      <c r="U2352" s="30"/>
      <c r="V2352" s="30"/>
      <c r="W2352" s="30"/>
      <c r="X2352" s="30"/>
      <c r="Y2352" s="30"/>
      <c r="Z2352" s="30"/>
      <c r="AA2352" s="30"/>
      <c r="AB2352" s="30"/>
      <c r="AC2352" s="30"/>
      <c r="AD2352" s="30"/>
      <c r="AE2352" s="30"/>
    </row>
    <row r="2353" spans="1:31" ht="13">
      <c r="A2353" s="30"/>
      <c r="B2353" s="30"/>
      <c r="C2353" s="30"/>
      <c r="D2353" s="30"/>
      <c r="E2353" s="30"/>
      <c r="F2353" s="48"/>
      <c r="G2353" s="49"/>
      <c r="H2353" s="49"/>
      <c r="I2353" s="49"/>
      <c r="J2353" s="71"/>
      <c r="K2353" s="71"/>
      <c r="L2353" s="50"/>
      <c r="M2353" s="30"/>
      <c r="N2353" s="30"/>
      <c r="O2353" s="30"/>
      <c r="P2353" s="30"/>
      <c r="Q2353" s="30"/>
      <c r="R2353" s="30"/>
      <c r="S2353" s="30"/>
      <c r="T2353" s="30"/>
      <c r="U2353" s="30"/>
      <c r="V2353" s="30"/>
      <c r="W2353" s="30"/>
      <c r="X2353" s="30"/>
      <c r="Y2353" s="30"/>
      <c r="Z2353" s="30"/>
      <c r="AA2353" s="30"/>
      <c r="AB2353" s="30"/>
      <c r="AC2353" s="30"/>
      <c r="AD2353" s="30"/>
      <c r="AE2353" s="30"/>
    </row>
    <row r="2354" spans="1:31" ht="13">
      <c r="A2354" s="30"/>
      <c r="B2354" s="30"/>
      <c r="C2354" s="30"/>
      <c r="D2354" s="30"/>
      <c r="E2354" s="30"/>
      <c r="F2354" s="48"/>
      <c r="G2354" s="49"/>
      <c r="H2354" s="49"/>
      <c r="I2354" s="49"/>
      <c r="J2354" s="71"/>
      <c r="K2354" s="71"/>
      <c r="L2354" s="50"/>
      <c r="M2354" s="30"/>
      <c r="N2354" s="30"/>
      <c r="O2354" s="30"/>
      <c r="P2354" s="30"/>
      <c r="Q2354" s="30"/>
      <c r="R2354" s="30"/>
      <c r="S2354" s="30"/>
      <c r="T2354" s="30"/>
      <c r="U2354" s="30"/>
      <c r="V2354" s="30"/>
      <c r="W2354" s="30"/>
      <c r="X2354" s="30"/>
      <c r="Y2354" s="30"/>
      <c r="Z2354" s="30"/>
      <c r="AA2354" s="30"/>
      <c r="AB2354" s="30"/>
      <c r="AC2354" s="30"/>
      <c r="AD2354" s="30"/>
      <c r="AE2354" s="30"/>
    </row>
    <row r="2355" spans="1:31" ht="13">
      <c r="A2355" s="30"/>
      <c r="B2355" s="30"/>
      <c r="C2355" s="30"/>
      <c r="D2355" s="30"/>
      <c r="E2355" s="30"/>
      <c r="F2355" s="48"/>
      <c r="G2355" s="49"/>
      <c r="H2355" s="49"/>
      <c r="I2355" s="49"/>
      <c r="J2355" s="71"/>
      <c r="K2355" s="71"/>
      <c r="L2355" s="50"/>
      <c r="M2355" s="30"/>
      <c r="N2355" s="30"/>
      <c r="O2355" s="30"/>
      <c r="P2355" s="30"/>
      <c r="Q2355" s="30"/>
      <c r="R2355" s="30"/>
      <c r="S2355" s="30"/>
      <c r="T2355" s="30"/>
      <c r="U2355" s="30"/>
      <c r="V2355" s="30"/>
      <c r="W2355" s="30"/>
      <c r="X2355" s="30"/>
      <c r="Y2355" s="30"/>
      <c r="Z2355" s="30"/>
      <c r="AA2355" s="30"/>
      <c r="AB2355" s="30"/>
      <c r="AC2355" s="30"/>
      <c r="AD2355" s="30"/>
      <c r="AE2355" s="30"/>
    </row>
    <row r="2356" spans="1:31" ht="13">
      <c r="A2356" s="30"/>
      <c r="B2356" s="30"/>
      <c r="C2356" s="30"/>
      <c r="D2356" s="30"/>
      <c r="E2356" s="30"/>
      <c r="F2356" s="48"/>
      <c r="G2356" s="49"/>
      <c r="H2356" s="49"/>
      <c r="I2356" s="49"/>
      <c r="J2356" s="71"/>
      <c r="K2356" s="71"/>
      <c r="L2356" s="50"/>
      <c r="M2356" s="30"/>
      <c r="N2356" s="30"/>
      <c r="O2356" s="30"/>
      <c r="P2356" s="30"/>
      <c r="Q2356" s="30"/>
      <c r="R2356" s="30"/>
      <c r="S2356" s="30"/>
      <c r="T2356" s="30"/>
      <c r="U2356" s="30"/>
      <c r="V2356" s="30"/>
      <c r="W2356" s="30"/>
      <c r="X2356" s="30"/>
      <c r="Y2356" s="30"/>
      <c r="Z2356" s="30"/>
      <c r="AA2356" s="30"/>
      <c r="AB2356" s="30"/>
      <c r="AC2356" s="30"/>
      <c r="AD2356" s="30"/>
      <c r="AE2356" s="30"/>
    </row>
    <row r="2357" spans="1:31" ht="13">
      <c r="A2357" s="30"/>
      <c r="B2357" s="30"/>
      <c r="C2357" s="30"/>
      <c r="D2357" s="30"/>
      <c r="E2357" s="30"/>
      <c r="F2357" s="48"/>
      <c r="G2357" s="49"/>
      <c r="H2357" s="49"/>
      <c r="I2357" s="49"/>
      <c r="J2357" s="71"/>
      <c r="K2357" s="71"/>
      <c r="L2357" s="50"/>
      <c r="M2357" s="30"/>
      <c r="N2357" s="30"/>
      <c r="O2357" s="30"/>
      <c r="P2357" s="30"/>
      <c r="Q2357" s="30"/>
      <c r="R2357" s="30"/>
      <c r="S2357" s="30"/>
      <c r="T2357" s="30"/>
      <c r="U2357" s="30"/>
      <c r="V2357" s="30"/>
      <c r="W2357" s="30"/>
      <c r="X2357" s="30"/>
      <c r="Y2357" s="30"/>
      <c r="Z2357" s="30"/>
      <c r="AA2357" s="30"/>
      <c r="AB2357" s="30"/>
      <c r="AC2357" s="30"/>
      <c r="AD2357" s="30"/>
      <c r="AE2357" s="30"/>
    </row>
    <row r="2358" spans="1:31" ht="13">
      <c r="A2358" s="30"/>
      <c r="B2358" s="30"/>
      <c r="C2358" s="30"/>
      <c r="D2358" s="30"/>
      <c r="E2358" s="30"/>
      <c r="F2358" s="48"/>
      <c r="G2358" s="49"/>
      <c r="H2358" s="49"/>
      <c r="I2358" s="49"/>
      <c r="J2358" s="71"/>
      <c r="K2358" s="71"/>
      <c r="L2358" s="50"/>
      <c r="M2358" s="30"/>
      <c r="N2358" s="30"/>
      <c r="O2358" s="30"/>
      <c r="P2358" s="30"/>
      <c r="Q2358" s="30"/>
      <c r="R2358" s="30"/>
      <c r="S2358" s="30"/>
      <c r="T2358" s="30"/>
      <c r="U2358" s="30"/>
      <c r="V2358" s="30"/>
      <c r="W2358" s="30"/>
      <c r="X2358" s="30"/>
      <c r="Y2358" s="30"/>
      <c r="Z2358" s="30"/>
      <c r="AA2358" s="30"/>
      <c r="AB2358" s="30"/>
      <c r="AC2358" s="30"/>
      <c r="AD2358" s="30"/>
      <c r="AE2358" s="30"/>
    </row>
    <row r="2359" spans="1:31" ht="13">
      <c r="A2359" s="30"/>
      <c r="B2359" s="30"/>
      <c r="C2359" s="30"/>
      <c r="D2359" s="30"/>
      <c r="E2359" s="30"/>
      <c r="F2359" s="48"/>
      <c r="G2359" s="49"/>
      <c r="H2359" s="49"/>
      <c r="I2359" s="49"/>
      <c r="J2359" s="71"/>
      <c r="K2359" s="71"/>
      <c r="L2359" s="50"/>
      <c r="M2359" s="30"/>
      <c r="N2359" s="30"/>
      <c r="O2359" s="30"/>
      <c r="P2359" s="30"/>
      <c r="Q2359" s="30"/>
      <c r="R2359" s="30"/>
      <c r="S2359" s="30"/>
      <c r="T2359" s="30"/>
      <c r="U2359" s="30"/>
      <c r="V2359" s="30"/>
      <c r="W2359" s="30"/>
      <c r="X2359" s="30"/>
      <c r="Y2359" s="30"/>
      <c r="Z2359" s="30"/>
      <c r="AA2359" s="30"/>
      <c r="AB2359" s="30"/>
      <c r="AC2359" s="30"/>
      <c r="AD2359" s="30"/>
      <c r="AE2359" s="30"/>
    </row>
    <row r="2360" spans="1:31" ht="13">
      <c r="A2360" s="30"/>
      <c r="B2360" s="30"/>
      <c r="C2360" s="30"/>
      <c r="D2360" s="30"/>
      <c r="E2360" s="30"/>
      <c r="F2360" s="48"/>
      <c r="G2360" s="49"/>
      <c r="H2360" s="49"/>
      <c r="I2360" s="49"/>
      <c r="J2360" s="71"/>
      <c r="K2360" s="71"/>
      <c r="L2360" s="50"/>
      <c r="M2360" s="30"/>
      <c r="N2360" s="30"/>
      <c r="O2360" s="30"/>
      <c r="P2360" s="30"/>
      <c r="Q2360" s="30"/>
      <c r="R2360" s="30"/>
      <c r="S2360" s="30"/>
      <c r="T2360" s="30"/>
      <c r="U2360" s="30"/>
      <c r="V2360" s="30"/>
      <c r="W2360" s="30"/>
      <c r="X2360" s="30"/>
      <c r="Y2360" s="30"/>
      <c r="Z2360" s="30"/>
      <c r="AA2360" s="30"/>
      <c r="AB2360" s="30"/>
      <c r="AC2360" s="30"/>
      <c r="AD2360" s="30"/>
      <c r="AE2360" s="30"/>
    </row>
    <row r="2361" spans="1:31" ht="13">
      <c r="A2361" s="30"/>
      <c r="B2361" s="30"/>
      <c r="C2361" s="30"/>
      <c r="D2361" s="30"/>
      <c r="E2361" s="30"/>
      <c r="F2361" s="48"/>
      <c r="G2361" s="49"/>
      <c r="H2361" s="49"/>
      <c r="I2361" s="49"/>
      <c r="J2361" s="71"/>
      <c r="K2361" s="71"/>
      <c r="L2361" s="50"/>
      <c r="M2361" s="30"/>
      <c r="N2361" s="30"/>
      <c r="O2361" s="30"/>
      <c r="P2361" s="30"/>
      <c r="Q2361" s="30"/>
      <c r="R2361" s="30"/>
      <c r="S2361" s="30"/>
      <c r="T2361" s="30"/>
      <c r="U2361" s="30"/>
      <c r="V2361" s="30"/>
      <c r="W2361" s="30"/>
      <c r="X2361" s="30"/>
      <c r="Y2361" s="30"/>
      <c r="Z2361" s="30"/>
      <c r="AA2361" s="30"/>
      <c r="AB2361" s="30"/>
      <c r="AC2361" s="30"/>
      <c r="AD2361" s="30"/>
      <c r="AE2361" s="30"/>
    </row>
    <row r="2362" spans="1:31" ht="13">
      <c r="A2362" s="30"/>
      <c r="B2362" s="30"/>
      <c r="C2362" s="30"/>
      <c r="D2362" s="30"/>
      <c r="E2362" s="30"/>
      <c r="F2362" s="48"/>
      <c r="G2362" s="49"/>
      <c r="H2362" s="49"/>
      <c r="I2362" s="49"/>
      <c r="J2362" s="71"/>
      <c r="K2362" s="71"/>
      <c r="L2362" s="50"/>
      <c r="M2362" s="30"/>
      <c r="N2362" s="30"/>
      <c r="O2362" s="30"/>
      <c r="P2362" s="30"/>
      <c r="Q2362" s="30"/>
      <c r="R2362" s="30"/>
      <c r="S2362" s="30"/>
      <c r="T2362" s="30"/>
      <c r="U2362" s="30"/>
      <c r="V2362" s="30"/>
      <c r="W2362" s="30"/>
      <c r="X2362" s="30"/>
      <c r="Y2362" s="30"/>
      <c r="Z2362" s="30"/>
      <c r="AA2362" s="30"/>
      <c r="AB2362" s="30"/>
      <c r="AC2362" s="30"/>
      <c r="AD2362" s="30"/>
      <c r="AE2362" s="30"/>
    </row>
    <row r="2363" spans="1:31" ht="13">
      <c r="A2363" s="30"/>
      <c r="B2363" s="30"/>
      <c r="C2363" s="30"/>
      <c r="D2363" s="30"/>
      <c r="E2363" s="30"/>
      <c r="F2363" s="48"/>
      <c r="G2363" s="49"/>
      <c r="H2363" s="49"/>
      <c r="I2363" s="49"/>
      <c r="J2363" s="71"/>
      <c r="K2363" s="71"/>
      <c r="L2363" s="50"/>
      <c r="M2363" s="30"/>
      <c r="N2363" s="30"/>
      <c r="O2363" s="30"/>
      <c r="P2363" s="30"/>
      <c r="Q2363" s="30"/>
      <c r="R2363" s="30"/>
      <c r="S2363" s="30"/>
      <c r="T2363" s="30"/>
      <c r="U2363" s="30"/>
      <c r="V2363" s="30"/>
      <c r="W2363" s="30"/>
      <c r="X2363" s="30"/>
      <c r="Y2363" s="30"/>
      <c r="Z2363" s="30"/>
      <c r="AA2363" s="30"/>
      <c r="AB2363" s="30"/>
      <c r="AC2363" s="30"/>
      <c r="AD2363" s="30"/>
      <c r="AE2363" s="30"/>
    </row>
    <row r="2364" spans="1:31" ht="13">
      <c r="A2364" s="30"/>
      <c r="B2364" s="30"/>
      <c r="C2364" s="30"/>
      <c r="D2364" s="30"/>
      <c r="E2364" s="30"/>
      <c r="F2364" s="48"/>
      <c r="G2364" s="49"/>
      <c r="H2364" s="49"/>
      <c r="I2364" s="49"/>
      <c r="J2364" s="71"/>
      <c r="K2364" s="71"/>
      <c r="L2364" s="50"/>
      <c r="M2364" s="30"/>
      <c r="N2364" s="30"/>
      <c r="O2364" s="30"/>
      <c r="P2364" s="30"/>
      <c r="Q2364" s="30"/>
      <c r="R2364" s="30"/>
      <c r="S2364" s="30"/>
      <c r="T2364" s="30"/>
      <c r="U2364" s="30"/>
      <c r="V2364" s="30"/>
      <c r="W2364" s="30"/>
      <c r="X2364" s="30"/>
      <c r="Y2364" s="30"/>
      <c r="Z2364" s="30"/>
      <c r="AA2364" s="30"/>
      <c r="AB2364" s="30"/>
      <c r="AC2364" s="30"/>
      <c r="AD2364" s="30"/>
      <c r="AE2364" s="30"/>
    </row>
    <row r="2365" spans="1:31" ht="13">
      <c r="A2365" s="30"/>
      <c r="B2365" s="30"/>
      <c r="C2365" s="30"/>
      <c r="D2365" s="30"/>
      <c r="E2365" s="30"/>
      <c r="F2365" s="48"/>
      <c r="G2365" s="49"/>
      <c r="H2365" s="49"/>
      <c r="I2365" s="49"/>
      <c r="J2365" s="71"/>
      <c r="K2365" s="71"/>
      <c r="L2365" s="50"/>
      <c r="M2365" s="30"/>
      <c r="N2365" s="30"/>
      <c r="O2365" s="30"/>
      <c r="P2365" s="30"/>
      <c r="Q2365" s="30"/>
      <c r="R2365" s="30"/>
      <c r="S2365" s="30"/>
      <c r="T2365" s="30"/>
      <c r="U2365" s="30"/>
      <c r="V2365" s="30"/>
      <c r="W2365" s="30"/>
      <c r="X2365" s="30"/>
      <c r="Y2365" s="30"/>
      <c r="Z2365" s="30"/>
      <c r="AA2365" s="30"/>
      <c r="AB2365" s="30"/>
      <c r="AC2365" s="30"/>
      <c r="AD2365" s="30"/>
      <c r="AE2365" s="30"/>
    </row>
    <row r="2366" spans="1:31" ht="13">
      <c r="A2366" s="30"/>
      <c r="B2366" s="30"/>
      <c r="C2366" s="30"/>
      <c r="D2366" s="30"/>
      <c r="E2366" s="30"/>
      <c r="F2366" s="48"/>
      <c r="G2366" s="49"/>
      <c r="H2366" s="49"/>
      <c r="I2366" s="49"/>
      <c r="J2366" s="71"/>
      <c r="K2366" s="71"/>
      <c r="L2366" s="50"/>
      <c r="M2366" s="30"/>
      <c r="N2366" s="30"/>
      <c r="O2366" s="30"/>
      <c r="P2366" s="30"/>
      <c r="Q2366" s="30"/>
      <c r="R2366" s="30"/>
      <c r="S2366" s="30"/>
      <c r="T2366" s="30"/>
      <c r="U2366" s="30"/>
      <c r="V2366" s="30"/>
      <c r="W2366" s="30"/>
      <c r="X2366" s="30"/>
      <c r="Y2366" s="30"/>
      <c r="Z2366" s="30"/>
      <c r="AA2366" s="30"/>
      <c r="AB2366" s="30"/>
      <c r="AC2366" s="30"/>
      <c r="AD2366" s="30"/>
      <c r="AE2366" s="30"/>
    </row>
    <row r="2367" spans="1:31" ht="13">
      <c r="A2367" s="30"/>
      <c r="B2367" s="30"/>
      <c r="C2367" s="30"/>
      <c r="D2367" s="30"/>
      <c r="E2367" s="30"/>
      <c r="F2367" s="48"/>
      <c r="G2367" s="49"/>
      <c r="H2367" s="49"/>
      <c r="I2367" s="49"/>
      <c r="J2367" s="71"/>
      <c r="K2367" s="71"/>
      <c r="L2367" s="50"/>
      <c r="M2367" s="30"/>
      <c r="N2367" s="30"/>
      <c r="O2367" s="30"/>
      <c r="P2367" s="30"/>
      <c r="Q2367" s="30"/>
      <c r="R2367" s="30"/>
      <c r="S2367" s="30"/>
      <c r="T2367" s="30"/>
      <c r="U2367" s="30"/>
      <c r="V2367" s="30"/>
      <c r="W2367" s="30"/>
      <c r="X2367" s="30"/>
      <c r="Y2367" s="30"/>
      <c r="Z2367" s="30"/>
      <c r="AA2367" s="30"/>
      <c r="AB2367" s="30"/>
      <c r="AC2367" s="30"/>
      <c r="AD2367" s="30"/>
      <c r="AE2367" s="30"/>
    </row>
    <row r="2368" spans="1:31" ht="13">
      <c r="A2368" s="30"/>
      <c r="B2368" s="30"/>
      <c r="C2368" s="30"/>
      <c r="D2368" s="30"/>
      <c r="E2368" s="30"/>
      <c r="F2368" s="48"/>
      <c r="G2368" s="49"/>
      <c r="H2368" s="49"/>
      <c r="I2368" s="49"/>
      <c r="J2368" s="71"/>
      <c r="K2368" s="71"/>
      <c r="L2368" s="50"/>
      <c r="M2368" s="30"/>
      <c r="N2368" s="30"/>
      <c r="O2368" s="30"/>
      <c r="P2368" s="30"/>
      <c r="Q2368" s="30"/>
      <c r="R2368" s="30"/>
      <c r="S2368" s="30"/>
      <c r="T2368" s="30"/>
      <c r="U2368" s="30"/>
      <c r="V2368" s="30"/>
      <c r="W2368" s="30"/>
      <c r="X2368" s="30"/>
      <c r="Y2368" s="30"/>
      <c r="Z2368" s="30"/>
      <c r="AA2368" s="30"/>
      <c r="AB2368" s="30"/>
      <c r="AC2368" s="30"/>
      <c r="AD2368" s="30"/>
      <c r="AE2368" s="30"/>
    </row>
    <row r="2369" spans="1:31" ht="13">
      <c r="A2369" s="30"/>
      <c r="B2369" s="30"/>
      <c r="C2369" s="30"/>
      <c r="D2369" s="30"/>
      <c r="E2369" s="30"/>
      <c r="F2369" s="48"/>
      <c r="G2369" s="49"/>
      <c r="H2369" s="49"/>
      <c r="I2369" s="49"/>
      <c r="J2369" s="71"/>
      <c r="K2369" s="71"/>
      <c r="L2369" s="50"/>
      <c r="M2369" s="30"/>
      <c r="N2369" s="30"/>
      <c r="O2369" s="30"/>
      <c r="P2369" s="30"/>
      <c r="Q2369" s="30"/>
      <c r="R2369" s="30"/>
      <c r="S2369" s="30"/>
      <c r="T2369" s="30"/>
      <c r="U2369" s="30"/>
      <c r="V2369" s="30"/>
      <c r="W2369" s="30"/>
      <c r="X2369" s="30"/>
      <c r="Y2369" s="30"/>
      <c r="Z2369" s="30"/>
      <c r="AA2369" s="30"/>
      <c r="AB2369" s="30"/>
      <c r="AC2369" s="30"/>
      <c r="AD2369" s="30"/>
      <c r="AE2369" s="30"/>
    </row>
    <row r="2370" spans="1:31" ht="13">
      <c r="A2370" s="30"/>
      <c r="B2370" s="30"/>
      <c r="C2370" s="30"/>
      <c r="D2370" s="30"/>
      <c r="E2370" s="30"/>
      <c r="F2370" s="48"/>
      <c r="G2370" s="49"/>
      <c r="H2370" s="49"/>
      <c r="I2370" s="49"/>
      <c r="J2370" s="71"/>
      <c r="K2370" s="71"/>
      <c r="L2370" s="50"/>
      <c r="M2370" s="30"/>
      <c r="N2370" s="30"/>
      <c r="O2370" s="30"/>
      <c r="P2370" s="30"/>
      <c r="Q2370" s="30"/>
      <c r="R2370" s="30"/>
      <c r="S2370" s="30"/>
      <c r="T2370" s="30"/>
      <c r="U2370" s="30"/>
      <c r="V2370" s="30"/>
      <c r="W2370" s="30"/>
      <c r="X2370" s="30"/>
      <c r="Y2370" s="30"/>
      <c r="Z2370" s="30"/>
      <c r="AA2370" s="30"/>
      <c r="AB2370" s="30"/>
      <c r="AC2370" s="30"/>
      <c r="AD2370" s="30"/>
      <c r="AE2370" s="30"/>
    </row>
    <row r="2371" spans="1:31" ht="13">
      <c r="A2371" s="30"/>
      <c r="B2371" s="30"/>
      <c r="C2371" s="30"/>
      <c r="D2371" s="30"/>
      <c r="E2371" s="30"/>
      <c r="F2371" s="48"/>
      <c r="G2371" s="49"/>
      <c r="H2371" s="49"/>
      <c r="I2371" s="49"/>
      <c r="J2371" s="71"/>
      <c r="K2371" s="71"/>
      <c r="L2371" s="50"/>
      <c r="M2371" s="30"/>
      <c r="N2371" s="30"/>
      <c r="O2371" s="30"/>
      <c r="P2371" s="30"/>
      <c r="Q2371" s="30"/>
      <c r="R2371" s="30"/>
      <c r="S2371" s="30"/>
      <c r="T2371" s="30"/>
      <c r="U2371" s="30"/>
      <c r="V2371" s="30"/>
      <c r="W2371" s="30"/>
      <c r="X2371" s="30"/>
      <c r="Y2371" s="30"/>
      <c r="Z2371" s="30"/>
      <c r="AA2371" s="30"/>
      <c r="AB2371" s="30"/>
      <c r="AC2371" s="30"/>
      <c r="AD2371" s="30"/>
      <c r="AE2371" s="30"/>
    </row>
    <row r="2372" spans="1:31" ht="13">
      <c r="A2372" s="30"/>
      <c r="B2372" s="30"/>
      <c r="C2372" s="30"/>
      <c r="D2372" s="30"/>
      <c r="E2372" s="30"/>
      <c r="F2372" s="48"/>
      <c r="G2372" s="49"/>
      <c r="H2372" s="49"/>
      <c r="I2372" s="49"/>
      <c r="J2372" s="71"/>
      <c r="K2372" s="71"/>
      <c r="L2372" s="50"/>
      <c r="M2372" s="30"/>
      <c r="N2372" s="30"/>
      <c r="O2372" s="30"/>
      <c r="P2372" s="30"/>
      <c r="Q2372" s="30"/>
      <c r="R2372" s="30"/>
      <c r="S2372" s="30"/>
      <c r="T2372" s="30"/>
      <c r="U2372" s="30"/>
      <c r="V2372" s="30"/>
      <c r="W2372" s="30"/>
      <c r="X2372" s="30"/>
      <c r="Y2372" s="30"/>
      <c r="Z2372" s="30"/>
      <c r="AA2372" s="30"/>
      <c r="AB2372" s="30"/>
      <c r="AC2372" s="30"/>
      <c r="AD2372" s="30"/>
      <c r="AE2372" s="30"/>
    </row>
    <row r="2373" spans="1:31" ht="13">
      <c r="A2373" s="30"/>
      <c r="B2373" s="30"/>
      <c r="C2373" s="30"/>
      <c r="D2373" s="30"/>
      <c r="E2373" s="30"/>
      <c r="F2373" s="48"/>
      <c r="G2373" s="49"/>
      <c r="H2373" s="49"/>
      <c r="I2373" s="49"/>
      <c r="J2373" s="71"/>
      <c r="K2373" s="71"/>
      <c r="L2373" s="50"/>
      <c r="M2373" s="30"/>
      <c r="N2373" s="30"/>
      <c r="O2373" s="30"/>
      <c r="P2373" s="30"/>
      <c r="Q2373" s="30"/>
      <c r="R2373" s="30"/>
      <c r="S2373" s="30"/>
      <c r="T2373" s="30"/>
      <c r="U2373" s="30"/>
      <c r="V2373" s="30"/>
      <c r="W2373" s="30"/>
      <c r="X2373" s="30"/>
      <c r="Y2373" s="30"/>
      <c r="Z2373" s="30"/>
      <c r="AA2373" s="30"/>
      <c r="AB2373" s="30"/>
      <c r="AC2373" s="30"/>
      <c r="AD2373" s="30"/>
      <c r="AE2373" s="30"/>
    </row>
    <row r="2374" spans="1:31" ht="13">
      <c r="A2374" s="30"/>
      <c r="B2374" s="30"/>
      <c r="C2374" s="30"/>
      <c r="D2374" s="30"/>
      <c r="E2374" s="30"/>
      <c r="F2374" s="48"/>
      <c r="G2374" s="49"/>
      <c r="H2374" s="49"/>
      <c r="I2374" s="49"/>
      <c r="J2374" s="71"/>
      <c r="K2374" s="71"/>
      <c r="L2374" s="50"/>
      <c r="M2374" s="30"/>
      <c r="N2374" s="30"/>
      <c r="O2374" s="30"/>
      <c r="P2374" s="30"/>
      <c r="Q2374" s="30"/>
      <c r="R2374" s="30"/>
      <c r="S2374" s="30"/>
      <c r="T2374" s="30"/>
      <c r="U2374" s="30"/>
      <c r="V2374" s="30"/>
      <c r="W2374" s="30"/>
      <c r="X2374" s="30"/>
      <c r="Y2374" s="30"/>
      <c r="Z2374" s="30"/>
      <c r="AA2374" s="30"/>
      <c r="AB2374" s="30"/>
      <c r="AC2374" s="30"/>
      <c r="AD2374" s="30"/>
      <c r="AE2374" s="30"/>
    </row>
    <row r="2375" spans="1:31" ht="13">
      <c r="A2375" s="30"/>
      <c r="B2375" s="30"/>
      <c r="C2375" s="30"/>
      <c r="D2375" s="30"/>
      <c r="E2375" s="30"/>
      <c r="F2375" s="48"/>
      <c r="G2375" s="49"/>
      <c r="H2375" s="49"/>
      <c r="I2375" s="49"/>
      <c r="J2375" s="71"/>
      <c r="K2375" s="71"/>
      <c r="L2375" s="50"/>
      <c r="M2375" s="30"/>
      <c r="N2375" s="30"/>
      <c r="O2375" s="30"/>
      <c r="P2375" s="30"/>
      <c r="Q2375" s="30"/>
      <c r="R2375" s="30"/>
      <c r="S2375" s="30"/>
      <c r="T2375" s="30"/>
      <c r="U2375" s="30"/>
      <c r="V2375" s="30"/>
      <c r="W2375" s="30"/>
      <c r="X2375" s="30"/>
      <c r="Y2375" s="30"/>
      <c r="Z2375" s="30"/>
      <c r="AA2375" s="30"/>
      <c r="AB2375" s="30"/>
      <c r="AC2375" s="30"/>
      <c r="AD2375" s="30"/>
      <c r="AE2375" s="30"/>
    </row>
    <row r="2376" spans="1:31" ht="13">
      <c r="A2376" s="30"/>
      <c r="B2376" s="30"/>
      <c r="C2376" s="30"/>
      <c r="D2376" s="30"/>
      <c r="E2376" s="30"/>
      <c r="F2376" s="48"/>
      <c r="G2376" s="49"/>
      <c r="H2376" s="49"/>
      <c r="I2376" s="49"/>
      <c r="J2376" s="71"/>
      <c r="K2376" s="71"/>
      <c r="L2376" s="50"/>
      <c r="M2376" s="30"/>
      <c r="N2376" s="30"/>
      <c r="O2376" s="30"/>
      <c r="P2376" s="30"/>
      <c r="Q2376" s="30"/>
      <c r="R2376" s="30"/>
      <c r="S2376" s="30"/>
      <c r="T2376" s="30"/>
      <c r="U2376" s="30"/>
      <c r="V2376" s="30"/>
      <c r="W2376" s="30"/>
      <c r="X2376" s="30"/>
      <c r="Y2376" s="30"/>
      <c r="Z2376" s="30"/>
      <c r="AA2376" s="30"/>
      <c r="AB2376" s="30"/>
      <c r="AC2376" s="30"/>
      <c r="AD2376" s="30"/>
      <c r="AE2376" s="30"/>
    </row>
    <row r="2377" spans="1:31" ht="13">
      <c r="A2377" s="30"/>
      <c r="B2377" s="30"/>
      <c r="C2377" s="30"/>
      <c r="D2377" s="30"/>
      <c r="E2377" s="30"/>
      <c r="F2377" s="48"/>
      <c r="G2377" s="49"/>
      <c r="H2377" s="49"/>
      <c r="I2377" s="49"/>
      <c r="J2377" s="71"/>
      <c r="K2377" s="71"/>
      <c r="L2377" s="50"/>
      <c r="M2377" s="30"/>
      <c r="N2377" s="30"/>
      <c r="O2377" s="30"/>
      <c r="P2377" s="30"/>
      <c r="Q2377" s="30"/>
      <c r="R2377" s="30"/>
      <c r="S2377" s="30"/>
      <c r="T2377" s="30"/>
      <c r="U2377" s="30"/>
      <c r="V2377" s="30"/>
      <c r="W2377" s="30"/>
      <c r="X2377" s="30"/>
      <c r="Y2377" s="30"/>
      <c r="Z2377" s="30"/>
      <c r="AA2377" s="30"/>
      <c r="AB2377" s="30"/>
      <c r="AC2377" s="30"/>
      <c r="AD2377" s="30"/>
      <c r="AE2377" s="30"/>
    </row>
    <row r="2378" spans="1:31" ht="13">
      <c r="A2378" s="30"/>
      <c r="B2378" s="30"/>
      <c r="C2378" s="30"/>
      <c r="D2378" s="30"/>
      <c r="E2378" s="30"/>
      <c r="F2378" s="48"/>
      <c r="G2378" s="49"/>
      <c r="H2378" s="49"/>
      <c r="I2378" s="49"/>
      <c r="J2378" s="71"/>
      <c r="K2378" s="71"/>
      <c r="L2378" s="50"/>
      <c r="M2378" s="30"/>
      <c r="N2378" s="30"/>
      <c r="O2378" s="30"/>
      <c r="P2378" s="30"/>
      <c r="Q2378" s="30"/>
      <c r="R2378" s="30"/>
      <c r="S2378" s="30"/>
      <c r="T2378" s="30"/>
      <c r="U2378" s="30"/>
      <c r="V2378" s="30"/>
      <c r="W2378" s="30"/>
      <c r="X2378" s="30"/>
      <c r="Y2378" s="30"/>
      <c r="Z2378" s="30"/>
      <c r="AA2378" s="30"/>
      <c r="AB2378" s="30"/>
      <c r="AC2378" s="30"/>
      <c r="AD2378" s="30"/>
      <c r="AE2378" s="30"/>
    </row>
    <row r="2379" spans="1:31" ht="13">
      <c r="A2379" s="30"/>
      <c r="B2379" s="30"/>
      <c r="C2379" s="30"/>
      <c r="D2379" s="30"/>
      <c r="E2379" s="30"/>
      <c r="F2379" s="48"/>
      <c r="G2379" s="49"/>
      <c r="H2379" s="49"/>
      <c r="I2379" s="49"/>
      <c r="J2379" s="71"/>
      <c r="K2379" s="71"/>
      <c r="L2379" s="50"/>
      <c r="M2379" s="30"/>
      <c r="N2379" s="30"/>
      <c r="O2379" s="30"/>
      <c r="P2379" s="30"/>
      <c r="Q2379" s="30"/>
      <c r="R2379" s="30"/>
      <c r="S2379" s="30"/>
      <c r="T2379" s="30"/>
      <c r="U2379" s="30"/>
      <c r="V2379" s="30"/>
      <c r="W2379" s="30"/>
      <c r="X2379" s="30"/>
      <c r="Y2379" s="30"/>
      <c r="Z2379" s="30"/>
      <c r="AA2379" s="30"/>
      <c r="AB2379" s="30"/>
      <c r="AC2379" s="30"/>
      <c r="AD2379" s="30"/>
      <c r="AE2379" s="30"/>
    </row>
    <row r="2380" spans="1:31" ht="13">
      <c r="A2380" s="30"/>
      <c r="B2380" s="30"/>
      <c r="C2380" s="30"/>
      <c r="D2380" s="30"/>
      <c r="E2380" s="30"/>
      <c r="F2380" s="48"/>
      <c r="G2380" s="49"/>
      <c r="H2380" s="49"/>
      <c r="I2380" s="49"/>
      <c r="J2380" s="71"/>
      <c r="K2380" s="71"/>
      <c r="L2380" s="50"/>
      <c r="M2380" s="30"/>
      <c r="N2380" s="30"/>
      <c r="O2380" s="30"/>
      <c r="P2380" s="30"/>
      <c r="Q2380" s="30"/>
      <c r="R2380" s="30"/>
      <c r="S2380" s="30"/>
      <c r="T2380" s="30"/>
      <c r="U2380" s="30"/>
      <c r="V2380" s="30"/>
      <c r="W2380" s="30"/>
      <c r="X2380" s="30"/>
      <c r="Y2380" s="30"/>
      <c r="Z2380" s="30"/>
      <c r="AA2380" s="30"/>
      <c r="AB2380" s="30"/>
      <c r="AC2380" s="30"/>
      <c r="AD2380" s="30"/>
      <c r="AE2380" s="30"/>
    </row>
    <row r="2381" spans="1:31" ht="13">
      <c r="A2381" s="30"/>
      <c r="B2381" s="30"/>
      <c r="C2381" s="30"/>
      <c r="D2381" s="30"/>
      <c r="E2381" s="30"/>
      <c r="F2381" s="48"/>
      <c r="G2381" s="49"/>
      <c r="H2381" s="49"/>
      <c r="I2381" s="49"/>
      <c r="J2381" s="71"/>
      <c r="K2381" s="71"/>
      <c r="L2381" s="50"/>
      <c r="M2381" s="30"/>
      <c r="N2381" s="30"/>
      <c r="O2381" s="30"/>
      <c r="P2381" s="30"/>
      <c r="Q2381" s="30"/>
      <c r="R2381" s="30"/>
      <c r="S2381" s="30"/>
      <c r="T2381" s="30"/>
      <c r="U2381" s="30"/>
      <c r="V2381" s="30"/>
      <c r="W2381" s="30"/>
      <c r="X2381" s="30"/>
      <c r="Y2381" s="30"/>
      <c r="Z2381" s="30"/>
      <c r="AA2381" s="30"/>
      <c r="AB2381" s="30"/>
      <c r="AC2381" s="30"/>
      <c r="AD2381" s="30"/>
      <c r="AE2381" s="30"/>
    </row>
    <row r="2382" spans="1:31" ht="13">
      <c r="A2382" s="30"/>
      <c r="B2382" s="30"/>
      <c r="C2382" s="30"/>
      <c r="D2382" s="30"/>
      <c r="E2382" s="30"/>
      <c r="F2382" s="48"/>
      <c r="G2382" s="49"/>
      <c r="H2382" s="49"/>
      <c r="I2382" s="49"/>
      <c r="J2382" s="71"/>
      <c r="K2382" s="71"/>
      <c r="L2382" s="50"/>
      <c r="M2382" s="30"/>
      <c r="N2382" s="30"/>
      <c r="O2382" s="30"/>
      <c r="P2382" s="30"/>
      <c r="Q2382" s="30"/>
      <c r="R2382" s="30"/>
      <c r="S2382" s="30"/>
      <c r="T2382" s="30"/>
      <c r="U2382" s="30"/>
      <c r="V2382" s="30"/>
      <c r="W2382" s="30"/>
      <c r="X2382" s="30"/>
      <c r="Y2382" s="30"/>
      <c r="Z2382" s="30"/>
      <c r="AA2382" s="30"/>
      <c r="AB2382" s="30"/>
      <c r="AC2382" s="30"/>
      <c r="AD2382" s="30"/>
      <c r="AE2382" s="30"/>
    </row>
    <row r="2383" spans="1:31" ht="13">
      <c r="A2383" s="30"/>
      <c r="B2383" s="30"/>
      <c r="C2383" s="30"/>
      <c r="D2383" s="30"/>
      <c r="E2383" s="30"/>
      <c r="F2383" s="48"/>
      <c r="G2383" s="49"/>
      <c r="H2383" s="49"/>
      <c r="I2383" s="49"/>
      <c r="J2383" s="71"/>
      <c r="K2383" s="71"/>
      <c r="L2383" s="50"/>
      <c r="M2383" s="30"/>
      <c r="N2383" s="30"/>
      <c r="O2383" s="30"/>
      <c r="P2383" s="30"/>
      <c r="Q2383" s="30"/>
      <c r="R2383" s="30"/>
      <c r="S2383" s="30"/>
      <c r="T2383" s="30"/>
      <c r="U2383" s="30"/>
      <c r="V2383" s="30"/>
      <c r="W2383" s="30"/>
      <c r="X2383" s="30"/>
      <c r="Y2383" s="30"/>
      <c r="Z2383" s="30"/>
      <c r="AA2383" s="30"/>
      <c r="AB2383" s="30"/>
      <c r="AC2383" s="30"/>
      <c r="AD2383" s="30"/>
      <c r="AE2383" s="30"/>
    </row>
    <row r="2384" spans="1:31" ht="13">
      <c r="A2384" s="30"/>
      <c r="B2384" s="30"/>
      <c r="C2384" s="30"/>
      <c r="D2384" s="30"/>
      <c r="E2384" s="30"/>
      <c r="F2384" s="48"/>
      <c r="G2384" s="49"/>
      <c r="H2384" s="49"/>
      <c r="I2384" s="49"/>
      <c r="J2384" s="71"/>
      <c r="K2384" s="71"/>
      <c r="L2384" s="50"/>
      <c r="M2384" s="30"/>
      <c r="N2384" s="30"/>
      <c r="O2384" s="30"/>
      <c r="P2384" s="30"/>
      <c r="Q2384" s="30"/>
      <c r="R2384" s="30"/>
      <c r="S2384" s="30"/>
      <c r="T2384" s="30"/>
      <c r="U2384" s="30"/>
      <c r="V2384" s="30"/>
      <c r="W2384" s="30"/>
      <c r="X2384" s="30"/>
      <c r="Y2384" s="30"/>
      <c r="Z2384" s="30"/>
      <c r="AA2384" s="30"/>
      <c r="AB2384" s="30"/>
      <c r="AC2384" s="30"/>
      <c r="AD2384" s="30"/>
      <c r="AE2384" s="30"/>
    </row>
    <row r="2385" spans="1:31" ht="13">
      <c r="A2385" s="30"/>
      <c r="B2385" s="30"/>
      <c r="C2385" s="30"/>
      <c r="D2385" s="30"/>
      <c r="E2385" s="30"/>
      <c r="F2385" s="48"/>
      <c r="G2385" s="49"/>
      <c r="H2385" s="49"/>
      <c r="I2385" s="49"/>
      <c r="J2385" s="71"/>
      <c r="K2385" s="71"/>
      <c r="L2385" s="50"/>
      <c r="M2385" s="30"/>
      <c r="N2385" s="30"/>
      <c r="O2385" s="30"/>
      <c r="P2385" s="30"/>
      <c r="Q2385" s="30"/>
      <c r="R2385" s="30"/>
      <c r="S2385" s="30"/>
      <c r="T2385" s="30"/>
      <c r="U2385" s="30"/>
      <c r="V2385" s="30"/>
      <c r="W2385" s="30"/>
      <c r="X2385" s="30"/>
      <c r="Y2385" s="30"/>
      <c r="Z2385" s="30"/>
      <c r="AA2385" s="30"/>
      <c r="AB2385" s="30"/>
      <c r="AC2385" s="30"/>
      <c r="AD2385" s="30"/>
      <c r="AE2385" s="30"/>
    </row>
    <row r="2386" spans="1:31" ht="13">
      <c r="A2386" s="30"/>
      <c r="B2386" s="30"/>
      <c r="C2386" s="30"/>
      <c r="D2386" s="30"/>
      <c r="E2386" s="30"/>
      <c r="F2386" s="48"/>
      <c r="G2386" s="49"/>
      <c r="H2386" s="49"/>
      <c r="I2386" s="49"/>
      <c r="J2386" s="71"/>
      <c r="K2386" s="71"/>
      <c r="L2386" s="50"/>
      <c r="M2386" s="30"/>
      <c r="N2386" s="30"/>
      <c r="O2386" s="30"/>
      <c r="P2386" s="30"/>
      <c r="Q2386" s="30"/>
      <c r="R2386" s="30"/>
      <c r="S2386" s="30"/>
      <c r="T2386" s="30"/>
      <c r="U2386" s="30"/>
      <c r="V2386" s="30"/>
      <c r="W2386" s="30"/>
      <c r="X2386" s="30"/>
      <c r="Y2386" s="30"/>
      <c r="Z2386" s="30"/>
      <c r="AA2386" s="30"/>
      <c r="AB2386" s="30"/>
      <c r="AC2386" s="30"/>
      <c r="AD2386" s="30"/>
      <c r="AE2386" s="30"/>
    </row>
    <row r="2387" spans="1:31" ht="13">
      <c r="A2387" s="30"/>
      <c r="B2387" s="30"/>
      <c r="C2387" s="30"/>
      <c r="D2387" s="30"/>
      <c r="E2387" s="30"/>
      <c r="F2387" s="48"/>
      <c r="G2387" s="49"/>
      <c r="H2387" s="49"/>
      <c r="I2387" s="49"/>
      <c r="J2387" s="71"/>
      <c r="K2387" s="71"/>
      <c r="L2387" s="50"/>
      <c r="M2387" s="30"/>
      <c r="N2387" s="30"/>
      <c r="O2387" s="30"/>
      <c r="P2387" s="30"/>
      <c r="Q2387" s="30"/>
      <c r="R2387" s="30"/>
      <c r="S2387" s="30"/>
      <c r="T2387" s="30"/>
      <c r="U2387" s="30"/>
      <c r="V2387" s="30"/>
      <c r="W2387" s="30"/>
      <c r="X2387" s="30"/>
      <c r="Y2387" s="30"/>
      <c r="Z2387" s="30"/>
      <c r="AA2387" s="30"/>
      <c r="AB2387" s="30"/>
      <c r="AC2387" s="30"/>
      <c r="AD2387" s="30"/>
      <c r="AE2387" s="30"/>
    </row>
    <row r="2388" spans="1:31" ht="13">
      <c r="A2388" s="30"/>
      <c r="B2388" s="30"/>
      <c r="C2388" s="30"/>
      <c r="D2388" s="30"/>
      <c r="E2388" s="30"/>
      <c r="F2388" s="48"/>
      <c r="G2388" s="49"/>
      <c r="H2388" s="49"/>
      <c r="I2388" s="49"/>
      <c r="J2388" s="71"/>
      <c r="K2388" s="71"/>
      <c r="L2388" s="50"/>
      <c r="M2388" s="30"/>
      <c r="N2388" s="30"/>
      <c r="O2388" s="30"/>
      <c r="P2388" s="30"/>
      <c r="Q2388" s="30"/>
      <c r="R2388" s="30"/>
      <c r="S2388" s="30"/>
      <c r="T2388" s="30"/>
      <c r="U2388" s="30"/>
      <c r="V2388" s="30"/>
      <c r="W2388" s="30"/>
      <c r="X2388" s="30"/>
      <c r="Y2388" s="30"/>
      <c r="Z2388" s="30"/>
      <c r="AA2388" s="30"/>
      <c r="AB2388" s="30"/>
      <c r="AC2388" s="30"/>
      <c r="AD2388" s="30"/>
      <c r="AE2388" s="30"/>
    </row>
    <row r="2389" spans="1:31" ht="13">
      <c r="A2389" s="30"/>
      <c r="B2389" s="30"/>
      <c r="C2389" s="30"/>
      <c r="D2389" s="30"/>
      <c r="E2389" s="30"/>
      <c r="F2389" s="48"/>
      <c r="G2389" s="49"/>
      <c r="H2389" s="49"/>
      <c r="I2389" s="49"/>
      <c r="J2389" s="71"/>
      <c r="K2389" s="71"/>
      <c r="L2389" s="50"/>
      <c r="M2389" s="30"/>
      <c r="N2389" s="30"/>
      <c r="O2389" s="30"/>
      <c r="P2389" s="30"/>
      <c r="Q2389" s="30"/>
      <c r="R2389" s="30"/>
      <c r="S2389" s="30"/>
      <c r="T2389" s="30"/>
      <c r="U2389" s="30"/>
      <c r="V2389" s="30"/>
      <c r="W2389" s="30"/>
      <c r="X2389" s="30"/>
      <c r="Y2389" s="30"/>
      <c r="Z2389" s="30"/>
      <c r="AA2389" s="30"/>
      <c r="AB2389" s="30"/>
      <c r="AC2389" s="30"/>
      <c r="AD2389" s="30"/>
      <c r="AE2389" s="30"/>
    </row>
    <row r="2390" spans="1:31" ht="13">
      <c r="A2390" s="30"/>
      <c r="B2390" s="30"/>
      <c r="C2390" s="30"/>
      <c r="D2390" s="30"/>
      <c r="E2390" s="30"/>
      <c r="F2390" s="48"/>
      <c r="G2390" s="49"/>
      <c r="H2390" s="49"/>
      <c r="I2390" s="49"/>
      <c r="J2390" s="71"/>
      <c r="K2390" s="71"/>
      <c r="L2390" s="50"/>
      <c r="M2390" s="30"/>
      <c r="N2390" s="30"/>
      <c r="O2390" s="30"/>
      <c r="P2390" s="30"/>
      <c r="Q2390" s="30"/>
      <c r="R2390" s="30"/>
      <c r="S2390" s="30"/>
      <c r="T2390" s="30"/>
      <c r="U2390" s="30"/>
      <c r="V2390" s="30"/>
      <c r="W2390" s="30"/>
      <c r="X2390" s="30"/>
      <c r="Y2390" s="30"/>
      <c r="Z2390" s="30"/>
      <c r="AA2390" s="30"/>
      <c r="AB2390" s="30"/>
      <c r="AC2390" s="30"/>
      <c r="AD2390" s="30"/>
      <c r="AE2390" s="30"/>
    </row>
    <row r="2391" spans="1:31" ht="13">
      <c r="A2391" s="30"/>
      <c r="B2391" s="30"/>
      <c r="C2391" s="30"/>
      <c r="D2391" s="30"/>
      <c r="E2391" s="30"/>
      <c r="F2391" s="48"/>
      <c r="G2391" s="49"/>
      <c r="H2391" s="49"/>
      <c r="I2391" s="49"/>
      <c r="J2391" s="71"/>
      <c r="K2391" s="71"/>
      <c r="L2391" s="50"/>
      <c r="M2391" s="30"/>
      <c r="N2391" s="30"/>
      <c r="O2391" s="30"/>
      <c r="P2391" s="30"/>
      <c r="Q2391" s="30"/>
      <c r="R2391" s="30"/>
      <c r="S2391" s="30"/>
      <c r="T2391" s="30"/>
      <c r="U2391" s="30"/>
      <c r="V2391" s="30"/>
      <c r="W2391" s="30"/>
      <c r="X2391" s="30"/>
      <c r="Y2391" s="30"/>
      <c r="Z2391" s="30"/>
      <c r="AA2391" s="30"/>
      <c r="AB2391" s="30"/>
      <c r="AC2391" s="30"/>
      <c r="AD2391" s="30"/>
      <c r="AE2391" s="30"/>
    </row>
    <row r="2392" spans="1:31" ht="13">
      <c r="A2392" s="30"/>
      <c r="B2392" s="30"/>
      <c r="C2392" s="30"/>
      <c r="D2392" s="30"/>
      <c r="E2392" s="30"/>
      <c r="F2392" s="48"/>
      <c r="G2392" s="49"/>
      <c r="H2392" s="49"/>
      <c r="I2392" s="49"/>
      <c r="J2392" s="71"/>
      <c r="K2392" s="71"/>
      <c r="L2392" s="50"/>
      <c r="M2392" s="30"/>
      <c r="N2392" s="30"/>
      <c r="O2392" s="30"/>
      <c r="P2392" s="30"/>
      <c r="Q2392" s="30"/>
      <c r="R2392" s="30"/>
      <c r="S2392" s="30"/>
      <c r="T2392" s="30"/>
      <c r="U2392" s="30"/>
      <c r="V2392" s="30"/>
      <c r="W2392" s="30"/>
      <c r="X2392" s="30"/>
      <c r="Y2392" s="30"/>
      <c r="Z2392" s="30"/>
      <c r="AA2392" s="30"/>
      <c r="AB2392" s="30"/>
      <c r="AC2392" s="30"/>
      <c r="AD2392" s="30"/>
      <c r="AE2392" s="30"/>
    </row>
    <row r="2393" spans="1:31" ht="13">
      <c r="A2393" s="30"/>
      <c r="B2393" s="30"/>
      <c r="C2393" s="30"/>
      <c r="D2393" s="30"/>
      <c r="E2393" s="30"/>
      <c r="F2393" s="48"/>
      <c r="G2393" s="49"/>
      <c r="H2393" s="49"/>
      <c r="I2393" s="49"/>
      <c r="J2393" s="71"/>
      <c r="K2393" s="71"/>
      <c r="L2393" s="50"/>
      <c r="M2393" s="30"/>
      <c r="N2393" s="30"/>
      <c r="O2393" s="30"/>
      <c r="P2393" s="30"/>
      <c r="Q2393" s="30"/>
      <c r="R2393" s="30"/>
      <c r="S2393" s="30"/>
      <c r="T2393" s="30"/>
      <c r="U2393" s="30"/>
      <c r="V2393" s="30"/>
      <c r="W2393" s="30"/>
      <c r="X2393" s="30"/>
      <c r="Y2393" s="30"/>
      <c r="Z2393" s="30"/>
      <c r="AA2393" s="30"/>
      <c r="AB2393" s="30"/>
      <c r="AC2393" s="30"/>
      <c r="AD2393" s="30"/>
      <c r="AE2393" s="30"/>
    </row>
    <row r="2394" spans="1:31" ht="13">
      <c r="A2394" s="30"/>
      <c r="B2394" s="30"/>
      <c r="C2394" s="30"/>
      <c r="D2394" s="30"/>
      <c r="E2394" s="30"/>
      <c r="F2394" s="48"/>
      <c r="G2394" s="49"/>
      <c r="H2394" s="49"/>
      <c r="I2394" s="49"/>
      <c r="J2394" s="71"/>
      <c r="K2394" s="71"/>
      <c r="L2394" s="50"/>
      <c r="M2394" s="30"/>
      <c r="N2394" s="30"/>
      <c r="O2394" s="30"/>
      <c r="P2394" s="30"/>
      <c r="Q2394" s="30"/>
      <c r="R2394" s="30"/>
      <c r="S2394" s="30"/>
      <c r="T2394" s="30"/>
      <c r="U2394" s="30"/>
      <c r="V2394" s="30"/>
      <c r="W2394" s="30"/>
      <c r="X2394" s="30"/>
      <c r="Y2394" s="30"/>
      <c r="Z2394" s="30"/>
      <c r="AA2394" s="30"/>
      <c r="AB2394" s="30"/>
      <c r="AC2394" s="30"/>
      <c r="AD2394" s="30"/>
      <c r="AE2394" s="30"/>
    </row>
    <row r="2395" spans="1:31" ht="13">
      <c r="A2395" s="30"/>
      <c r="B2395" s="30"/>
      <c r="C2395" s="30"/>
      <c r="D2395" s="30"/>
      <c r="E2395" s="30"/>
      <c r="F2395" s="48"/>
      <c r="G2395" s="49"/>
      <c r="H2395" s="49"/>
      <c r="I2395" s="49"/>
      <c r="J2395" s="71"/>
      <c r="K2395" s="71"/>
      <c r="L2395" s="50"/>
      <c r="M2395" s="30"/>
      <c r="N2395" s="30"/>
      <c r="O2395" s="30"/>
      <c r="P2395" s="30"/>
      <c r="Q2395" s="30"/>
      <c r="R2395" s="30"/>
      <c r="S2395" s="30"/>
      <c r="T2395" s="30"/>
      <c r="U2395" s="30"/>
      <c r="V2395" s="30"/>
      <c r="W2395" s="30"/>
      <c r="X2395" s="30"/>
      <c r="Y2395" s="30"/>
      <c r="Z2395" s="30"/>
      <c r="AA2395" s="30"/>
      <c r="AB2395" s="30"/>
      <c r="AC2395" s="30"/>
      <c r="AD2395" s="30"/>
      <c r="AE2395" s="30"/>
    </row>
    <row r="2396" spans="1:31" ht="13">
      <c r="A2396" s="30"/>
      <c r="B2396" s="30"/>
      <c r="C2396" s="30"/>
      <c r="D2396" s="30"/>
      <c r="E2396" s="30"/>
      <c r="F2396" s="48"/>
      <c r="G2396" s="49"/>
      <c r="H2396" s="49"/>
      <c r="I2396" s="49"/>
      <c r="J2396" s="71"/>
      <c r="K2396" s="71"/>
      <c r="L2396" s="50"/>
      <c r="M2396" s="30"/>
      <c r="N2396" s="30"/>
      <c r="O2396" s="30"/>
      <c r="P2396" s="30"/>
      <c r="Q2396" s="30"/>
      <c r="R2396" s="30"/>
      <c r="S2396" s="30"/>
      <c r="T2396" s="30"/>
      <c r="U2396" s="30"/>
      <c r="V2396" s="30"/>
      <c r="W2396" s="30"/>
      <c r="X2396" s="30"/>
      <c r="Y2396" s="30"/>
      <c r="Z2396" s="30"/>
      <c r="AA2396" s="30"/>
      <c r="AB2396" s="30"/>
      <c r="AC2396" s="30"/>
      <c r="AD2396" s="30"/>
      <c r="AE2396" s="30"/>
    </row>
    <row r="2397" spans="1:31" ht="13">
      <c r="A2397" s="30"/>
      <c r="B2397" s="30"/>
      <c r="C2397" s="30"/>
      <c r="D2397" s="30"/>
      <c r="E2397" s="30"/>
      <c r="F2397" s="48"/>
      <c r="G2397" s="49"/>
      <c r="H2397" s="49"/>
      <c r="I2397" s="49"/>
      <c r="J2397" s="71"/>
      <c r="K2397" s="71"/>
      <c r="L2397" s="50"/>
      <c r="M2397" s="30"/>
      <c r="N2397" s="30"/>
      <c r="O2397" s="30"/>
      <c r="P2397" s="30"/>
      <c r="Q2397" s="30"/>
      <c r="R2397" s="30"/>
      <c r="S2397" s="30"/>
      <c r="T2397" s="30"/>
      <c r="U2397" s="30"/>
      <c r="V2397" s="30"/>
      <c r="W2397" s="30"/>
      <c r="X2397" s="30"/>
      <c r="Y2397" s="30"/>
      <c r="Z2397" s="30"/>
      <c r="AA2397" s="30"/>
      <c r="AB2397" s="30"/>
      <c r="AC2397" s="30"/>
      <c r="AD2397" s="30"/>
      <c r="AE2397" s="30"/>
    </row>
    <row r="2398" spans="1:31" ht="13">
      <c r="A2398" s="30"/>
      <c r="B2398" s="30"/>
      <c r="C2398" s="30"/>
      <c r="D2398" s="30"/>
      <c r="E2398" s="30"/>
      <c r="F2398" s="48"/>
      <c r="G2398" s="49"/>
      <c r="H2398" s="49"/>
      <c r="I2398" s="49"/>
      <c r="J2398" s="71"/>
      <c r="K2398" s="71"/>
      <c r="L2398" s="50"/>
      <c r="M2398" s="30"/>
      <c r="N2398" s="30"/>
      <c r="O2398" s="30"/>
      <c r="P2398" s="30"/>
      <c r="Q2398" s="30"/>
      <c r="R2398" s="30"/>
      <c r="S2398" s="30"/>
      <c r="T2398" s="30"/>
      <c r="U2398" s="30"/>
      <c r="V2398" s="30"/>
      <c r="W2398" s="30"/>
      <c r="X2398" s="30"/>
      <c r="Y2398" s="30"/>
      <c r="Z2398" s="30"/>
      <c r="AA2398" s="30"/>
      <c r="AB2398" s="30"/>
      <c r="AC2398" s="30"/>
      <c r="AD2398" s="30"/>
      <c r="AE2398" s="30"/>
    </row>
    <row r="2399" spans="1:31" ht="13">
      <c r="A2399" s="30"/>
      <c r="B2399" s="30"/>
      <c r="C2399" s="30"/>
      <c r="D2399" s="30"/>
      <c r="E2399" s="30"/>
      <c r="F2399" s="48"/>
      <c r="G2399" s="49"/>
      <c r="H2399" s="49"/>
      <c r="I2399" s="49"/>
      <c r="J2399" s="71"/>
      <c r="K2399" s="71"/>
      <c r="L2399" s="50"/>
      <c r="M2399" s="30"/>
      <c r="N2399" s="30"/>
      <c r="O2399" s="30"/>
      <c r="P2399" s="30"/>
      <c r="Q2399" s="30"/>
      <c r="R2399" s="30"/>
      <c r="S2399" s="30"/>
      <c r="T2399" s="30"/>
      <c r="U2399" s="30"/>
      <c r="V2399" s="30"/>
      <c r="W2399" s="30"/>
      <c r="X2399" s="30"/>
      <c r="Y2399" s="30"/>
      <c r="Z2399" s="30"/>
      <c r="AA2399" s="30"/>
      <c r="AB2399" s="30"/>
      <c r="AC2399" s="30"/>
      <c r="AD2399" s="30"/>
      <c r="AE2399" s="30"/>
    </row>
    <row r="2400" spans="1:31" ht="13">
      <c r="A2400" s="30"/>
      <c r="B2400" s="30"/>
      <c r="C2400" s="30"/>
      <c r="D2400" s="30"/>
      <c r="E2400" s="30"/>
      <c r="F2400" s="48"/>
      <c r="G2400" s="49"/>
      <c r="H2400" s="49"/>
      <c r="I2400" s="49"/>
      <c r="J2400" s="71"/>
      <c r="K2400" s="71"/>
      <c r="L2400" s="50"/>
      <c r="M2400" s="30"/>
      <c r="N2400" s="30"/>
      <c r="O2400" s="30"/>
      <c r="P2400" s="30"/>
      <c r="Q2400" s="30"/>
      <c r="R2400" s="30"/>
      <c r="S2400" s="30"/>
      <c r="T2400" s="30"/>
      <c r="U2400" s="30"/>
      <c r="V2400" s="30"/>
      <c r="W2400" s="30"/>
      <c r="X2400" s="30"/>
      <c r="Y2400" s="30"/>
      <c r="Z2400" s="30"/>
      <c r="AA2400" s="30"/>
      <c r="AB2400" s="30"/>
      <c r="AC2400" s="30"/>
      <c r="AD2400" s="30"/>
      <c r="AE2400" s="30"/>
    </row>
    <row r="2401" spans="1:31" ht="13">
      <c r="A2401" s="30"/>
      <c r="B2401" s="30"/>
      <c r="C2401" s="30"/>
      <c r="D2401" s="30"/>
      <c r="E2401" s="30"/>
      <c r="F2401" s="48"/>
      <c r="G2401" s="49"/>
      <c r="H2401" s="49"/>
      <c r="I2401" s="49"/>
      <c r="J2401" s="71"/>
      <c r="K2401" s="71"/>
      <c r="L2401" s="50"/>
      <c r="M2401" s="30"/>
      <c r="N2401" s="30"/>
      <c r="O2401" s="30"/>
      <c r="P2401" s="30"/>
      <c r="Q2401" s="30"/>
      <c r="R2401" s="30"/>
      <c r="S2401" s="30"/>
      <c r="T2401" s="30"/>
      <c r="U2401" s="30"/>
      <c r="V2401" s="30"/>
      <c r="W2401" s="30"/>
      <c r="X2401" s="30"/>
      <c r="Y2401" s="30"/>
      <c r="Z2401" s="30"/>
      <c r="AA2401" s="30"/>
      <c r="AB2401" s="30"/>
      <c r="AC2401" s="30"/>
      <c r="AD2401" s="30"/>
      <c r="AE2401" s="30"/>
    </row>
    <row r="2402" spans="1:31" ht="13">
      <c r="A2402" s="30"/>
      <c r="B2402" s="30"/>
      <c r="C2402" s="30"/>
      <c r="D2402" s="30"/>
      <c r="E2402" s="30"/>
      <c r="F2402" s="48"/>
      <c r="G2402" s="49"/>
      <c r="H2402" s="49"/>
      <c r="I2402" s="49"/>
      <c r="J2402" s="71"/>
      <c r="K2402" s="71"/>
      <c r="L2402" s="50"/>
      <c r="M2402" s="30"/>
      <c r="N2402" s="30"/>
      <c r="O2402" s="30"/>
      <c r="P2402" s="30"/>
      <c r="Q2402" s="30"/>
      <c r="R2402" s="30"/>
      <c r="S2402" s="30"/>
      <c r="T2402" s="30"/>
      <c r="U2402" s="30"/>
      <c r="V2402" s="30"/>
      <c r="W2402" s="30"/>
      <c r="X2402" s="30"/>
      <c r="Y2402" s="30"/>
      <c r="Z2402" s="30"/>
      <c r="AA2402" s="30"/>
      <c r="AB2402" s="30"/>
      <c r="AC2402" s="30"/>
      <c r="AD2402" s="30"/>
      <c r="AE2402" s="30"/>
    </row>
    <row r="2403" spans="1:31" ht="13">
      <c r="A2403" s="30"/>
      <c r="B2403" s="30"/>
      <c r="C2403" s="30"/>
      <c r="D2403" s="30"/>
      <c r="E2403" s="30"/>
      <c r="F2403" s="48"/>
      <c r="G2403" s="49"/>
      <c r="H2403" s="49"/>
      <c r="I2403" s="49"/>
      <c r="J2403" s="71"/>
      <c r="K2403" s="71"/>
      <c r="L2403" s="50"/>
      <c r="M2403" s="30"/>
      <c r="N2403" s="30"/>
      <c r="O2403" s="30"/>
      <c r="P2403" s="30"/>
      <c r="Q2403" s="30"/>
      <c r="R2403" s="30"/>
      <c r="S2403" s="30"/>
      <c r="T2403" s="30"/>
      <c r="U2403" s="30"/>
      <c r="V2403" s="30"/>
      <c r="W2403" s="30"/>
      <c r="X2403" s="30"/>
      <c r="Y2403" s="30"/>
      <c r="Z2403" s="30"/>
      <c r="AA2403" s="30"/>
      <c r="AB2403" s="30"/>
      <c r="AC2403" s="30"/>
      <c r="AD2403" s="30"/>
      <c r="AE2403" s="30"/>
    </row>
    <row r="2404" spans="1:31" ht="13">
      <c r="A2404" s="30"/>
      <c r="B2404" s="30"/>
      <c r="C2404" s="30"/>
      <c r="D2404" s="30"/>
      <c r="E2404" s="30"/>
      <c r="F2404" s="48"/>
      <c r="G2404" s="49"/>
      <c r="H2404" s="49"/>
      <c r="I2404" s="49"/>
      <c r="J2404" s="71"/>
      <c r="K2404" s="71"/>
      <c r="L2404" s="50"/>
      <c r="M2404" s="30"/>
      <c r="N2404" s="30"/>
      <c r="O2404" s="30"/>
      <c r="P2404" s="30"/>
      <c r="Q2404" s="30"/>
      <c r="R2404" s="30"/>
      <c r="S2404" s="30"/>
      <c r="T2404" s="30"/>
      <c r="U2404" s="30"/>
      <c r="V2404" s="30"/>
      <c r="W2404" s="30"/>
      <c r="X2404" s="30"/>
      <c r="Y2404" s="30"/>
      <c r="Z2404" s="30"/>
      <c r="AA2404" s="30"/>
      <c r="AB2404" s="30"/>
      <c r="AC2404" s="30"/>
      <c r="AD2404" s="30"/>
      <c r="AE2404" s="30"/>
    </row>
    <row r="2405" spans="1:31" ht="13">
      <c r="A2405" s="30"/>
      <c r="B2405" s="30"/>
      <c r="C2405" s="30"/>
      <c r="D2405" s="30"/>
      <c r="E2405" s="30"/>
      <c r="F2405" s="48"/>
      <c r="G2405" s="49"/>
      <c r="H2405" s="49"/>
      <c r="I2405" s="49"/>
      <c r="J2405" s="71"/>
      <c r="K2405" s="71"/>
      <c r="L2405" s="50"/>
      <c r="M2405" s="30"/>
      <c r="N2405" s="30"/>
      <c r="O2405" s="30"/>
      <c r="P2405" s="30"/>
      <c r="Q2405" s="30"/>
      <c r="R2405" s="30"/>
      <c r="S2405" s="30"/>
      <c r="T2405" s="30"/>
      <c r="U2405" s="30"/>
      <c r="V2405" s="30"/>
      <c r="W2405" s="30"/>
      <c r="X2405" s="30"/>
      <c r="Y2405" s="30"/>
      <c r="Z2405" s="30"/>
      <c r="AA2405" s="30"/>
      <c r="AB2405" s="30"/>
      <c r="AC2405" s="30"/>
      <c r="AD2405" s="30"/>
      <c r="AE2405" s="30"/>
    </row>
    <row r="2406" spans="1:31" ht="13">
      <c r="A2406" s="30"/>
      <c r="B2406" s="30"/>
      <c r="C2406" s="30"/>
      <c r="D2406" s="30"/>
      <c r="E2406" s="30"/>
      <c r="F2406" s="48"/>
      <c r="G2406" s="49"/>
      <c r="H2406" s="49"/>
      <c r="I2406" s="49"/>
      <c r="J2406" s="71"/>
      <c r="K2406" s="71"/>
      <c r="L2406" s="50"/>
      <c r="M2406" s="30"/>
      <c r="N2406" s="30"/>
      <c r="O2406" s="30"/>
      <c r="P2406" s="30"/>
      <c r="Q2406" s="30"/>
      <c r="R2406" s="30"/>
      <c r="S2406" s="30"/>
      <c r="T2406" s="30"/>
      <c r="U2406" s="30"/>
      <c r="V2406" s="30"/>
      <c r="W2406" s="30"/>
      <c r="X2406" s="30"/>
      <c r="Y2406" s="30"/>
      <c r="Z2406" s="30"/>
      <c r="AA2406" s="30"/>
      <c r="AB2406" s="30"/>
      <c r="AC2406" s="30"/>
      <c r="AD2406" s="30"/>
      <c r="AE2406" s="30"/>
    </row>
    <row r="2407" spans="1:31" ht="13">
      <c r="A2407" s="30"/>
      <c r="B2407" s="30"/>
      <c r="C2407" s="30"/>
      <c r="D2407" s="30"/>
      <c r="E2407" s="30"/>
      <c r="F2407" s="48"/>
      <c r="G2407" s="49"/>
      <c r="H2407" s="49"/>
      <c r="I2407" s="49"/>
      <c r="J2407" s="71"/>
      <c r="K2407" s="71"/>
      <c r="L2407" s="50"/>
      <c r="M2407" s="30"/>
      <c r="N2407" s="30"/>
      <c r="O2407" s="30"/>
      <c r="P2407" s="30"/>
      <c r="Q2407" s="30"/>
      <c r="R2407" s="30"/>
      <c r="S2407" s="30"/>
      <c r="T2407" s="30"/>
      <c r="U2407" s="30"/>
      <c r="V2407" s="30"/>
      <c r="W2407" s="30"/>
      <c r="X2407" s="30"/>
      <c r="Y2407" s="30"/>
      <c r="Z2407" s="30"/>
      <c r="AA2407" s="30"/>
      <c r="AB2407" s="30"/>
      <c r="AC2407" s="30"/>
      <c r="AD2407" s="30"/>
      <c r="AE2407" s="30"/>
    </row>
    <row r="2408" spans="1:31" ht="13">
      <c r="A2408" s="30"/>
      <c r="B2408" s="30"/>
      <c r="C2408" s="30"/>
      <c r="D2408" s="30"/>
      <c r="E2408" s="30"/>
      <c r="F2408" s="48"/>
      <c r="G2408" s="49"/>
      <c r="H2408" s="49"/>
      <c r="I2408" s="49"/>
      <c r="J2408" s="71"/>
      <c r="K2408" s="71"/>
      <c r="L2408" s="50"/>
      <c r="M2408" s="30"/>
      <c r="N2408" s="30"/>
      <c r="O2408" s="30"/>
      <c r="P2408" s="30"/>
      <c r="Q2408" s="30"/>
      <c r="R2408" s="30"/>
      <c r="S2408" s="30"/>
      <c r="T2408" s="30"/>
      <c r="U2408" s="30"/>
      <c r="V2408" s="30"/>
      <c r="W2408" s="30"/>
      <c r="X2408" s="30"/>
      <c r="Y2408" s="30"/>
      <c r="Z2408" s="30"/>
      <c r="AA2408" s="30"/>
      <c r="AB2408" s="30"/>
      <c r="AC2408" s="30"/>
      <c r="AD2408" s="30"/>
      <c r="AE2408" s="30"/>
    </row>
    <row r="2409" spans="1:31" ht="13">
      <c r="A2409" s="30"/>
      <c r="B2409" s="30"/>
      <c r="C2409" s="30"/>
      <c r="D2409" s="30"/>
      <c r="E2409" s="30"/>
      <c r="F2409" s="48"/>
      <c r="G2409" s="49"/>
      <c r="H2409" s="49"/>
      <c r="I2409" s="49"/>
      <c r="J2409" s="71"/>
      <c r="K2409" s="71"/>
      <c r="L2409" s="50"/>
      <c r="M2409" s="30"/>
      <c r="N2409" s="30"/>
      <c r="O2409" s="30"/>
      <c r="P2409" s="30"/>
      <c r="Q2409" s="30"/>
      <c r="R2409" s="30"/>
      <c r="S2409" s="30"/>
      <c r="T2409" s="30"/>
      <c r="U2409" s="30"/>
      <c r="V2409" s="30"/>
      <c r="W2409" s="30"/>
      <c r="X2409" s="30"/>
      <c r="Y2409" s="30"/>
      <c r="Z2409" s="30"/>
      <c r="AA2409" s="30"/>
      <c r="AB2409" s="30"/>
      <c r="AC2409" s="30"/>
      <c r="AD2409" s="30"/>
      <c r="AE2409" s="30"/>
    </row>
    <row r="2410" spans="1:31" ht="13">
      <c r="A2410" s="30"/>
      <c r="B2410" s="30"/>
      <c r="C2410" s="30"/>
      <c r="D2410" s="30"/>
      <c r="E2410" s="30"/>
      <c r="F2410" s="48"/>
      <c r="G2410" s="49"/>
      <c r="H2410" s="49"/>
      <c r="I2410" s="49"/>
      <c r="J2410" s="71"/>
      <c r="K2410" s="71"/>
      <c r="L2410" s="50"/>
      <c r="M2410" s="30"/>
      <c r="N2410" s="30"/>
      <c r="O2410" s="30"/>
      <c r="P2410" s="30"/>
      <c r="Q2410" s="30"/>
      <c r="R2410" s="30"/>
      <c r="S2410" s="30"/>
      <c r="T2410" s="30"/>
      <c r="U2410" s="30"/>
      <c r="V2410" s="30"/>
      <c r="W2410" s="30"/>
      <c r="X2410" s="30"/>
      <c r="Y2410" s="30"/>
      <c r="Z2410" s="30"/>
      <c r="AA2410" s="30"/>
      <c r="AB2410" s="30"/>
      <c r="AC2410" s="30"/>
      <c r="AD2410" s="30"/>
      <c r="AE2410" s="30"/>
    </row>
    <row r="2411" spans="1:31" ht="13">
      <c r="A2411" s="30"/>
      <c r="B2411" s="30"/>
      <c r="C2411" s="30"/>
      <c r="D2411" s="30"/>
      <c r="E2411" s="30"/>
      <c r="F2411" s="48"/>
      <c r="G2411" s="49"/>
      <c r="H2411" s="49"/>
      <c r="I2411" s="49"/>
      <c r="J2411" s="71"/>
      <c r="K2411" s="71"/>
      <c r="L2411" s="50"/>
      <c r="M2411" s="30"/>
      <c r="N2411" s="30"/>
      <c r="O2411" s="30"/>
      <c r="P2411" s="30"/>
      <c r="Q2411" s="30"/>
      <c r="R2411" s="30"/>
      <c r="S2411" s="30"/>
      <c r="T2411" s="30"/>
      <c r="U2411" s="30"/>
      <c r="V2411" s="30"/>
      <c r="W2411" s="30"/>
      <c r="X2411" s="30"/>
      <c r="Y2411" s="30"/>
      <c r="Z2411" s="30"/>
      <c r="AA2411" s="30"/>
      <c r="AB2411" s="30"/>
      <c r="AC2411" s="30"/>
      <c r="AD2411" s="30"/>
      <c r="AE2411" s="30"/>
    </row>
    <row r="2412" spans="1:31" ht="13">
      <c r="A2412" s="30"/>
      <c r="B2412" s="30"/>
      <c r="C2412" s="30"/>
      <c r="D2412" s="30"/>
      <c r="E2412" s="30"/>
      <c r="F2412" s="48"/>
      <c r="G2412" s="49"/>
      <c r="H2412" s="49"/>
      <c r="I2412" s="49"/>
      <c r="J2412" s="71"/>
      <c r="K2412" s="71"/>
      <c r="L2412" s="50"/>
      <c r="M2412" s="30"/>
      <c r="N2412" s="30"/>
      <c r="O2412" s="30"/>
      <c r="P2412" s="30"/>
      <c r="Q2412" s="30"/>
      <c r="R2412" s="30"/>
      <c r="S2412" s="30"/>
      <c r="T2412" s="30"/>
      <c r="U2412" s="30"/>
      <c r="V2412" s="30"/>
      <c r="W2412" s="30"/>
      <c r="X2412" s="30"/>
      <c r="Y2412" s="30"/>
      <c r="Z2412" s="30"/>
      <c r="AA2412" s="30"/>
      <c r="AB2412" s="30"/>
      <c r="AC2412" s="30"/>
      <c r="AD2412" s="30"/>
      <c r="AE2412" s="30"/>
    </row>
    <row r="2413" spans="1:31" ht="13">
      <c r="A2413" s="30"/>
      <c r="B2413" s="30"/>
      <c r="C2413" s="30"/>
      <c r="D2413" s="30"/>
      <c r="E2413" s="30"/>
      <c r="F2413" s="48"/>
      <c r="G2413" s="49"/>
      <c r="H2413" s="49"/>
      <c r="I2413" s="49"/>
      <c r="J2413" s="71"/>
      <c r="K2413" s="71"/>
      <c r="L2413" s="50"/>
      <c r="M2413" s="30"/>
      <c r="N2413" s="30"/>
      <c r="O2413" s="30"/>
      <c r="P2413" s="30"/>
      <c r="Q2413" s="30"/>
      <c r="R2413" s="30"/>
      <c r="S2413" s="30"/>
      <c r="T2413" s="30"/>
      <c r="U2413" s="30"/>
      <c r="V2413" s="30"/>
      <c r="W2413" s="30"/>
      <c r="X2413" s="30"/>
      <c r="Y2413" s="30"/>
      <c r="Z2413" s="30"/>
      <c r="AA2413" s="30"/>
      <c r="AB2413" s="30"/>
      <c r="AC2413" s="30"/>
      <c r="AD2413" s="30"/>
      <c r="AE2413" s="30"/>
    </row>
    <row r="2414" spans="1:31" ht="13">
      <c r="A2414" s="30"/>
      <c r="B2414" s="30"/>
      <c r="C2414" s="30"/>
      <c r="D2414" s="30"/>
      <c r="E2414" s="30"/>
      <c r="F2414" s="48"/>
      <c r="G2414" s="49"/>
      <c r="H2414" s="49"/>
      <c r="I2414" s="49"/>
      <c r="J2414" s="71"/>
      <c r="K2414" s="71"/>
      <c r="L2414" s="50"/>
      <c r="M2414" s="30"/>
      <c r="N2414" s="30"/>
      <c r="O2414" s="30"/>
      <c r="P2414" s="30"/>
      <c r="Q2414" s="30"/>
      <c r="R2414" s="30"/>
      <c r="S2414" s="30"/>
      <c r="T2414" s="30"/>
      <c r="U2414" s="30"/>
      <c r="V2414" s="30"/>
      <c r="W2414" s="30"/>
      <c r="X2414" s="30"/>
      <c r="Y2414" s="30"/>
      <c r="Z2414" s="30"/>
      <c r="AA2414" s="30"/>
      <c r="AB2414" s="30"/>
      <c r="AC2414" s="30"/>
      <c r="AD2414" s="30"/>
      <c r="AE2414" s="30"/>
    </row>
    <row r="2415" spans="1:31" ht="13">
      <c r="A2415" s="30"/>
      <c r="B2415" s="30"/>
      <c r="C2415" s="30"/>
      <c r="D2415" s="30"/>
      <c r="E2415" s="30"/>
      <c r="F2415" s="48"/>
      <c r="G2415" s="49"/>
      <c r="H2415" s="49"/>
      <c r="I2415" s="49"/>
      <c r="J2415" s="71"/>
      <c r="K2415" s="71"/>
      <c r="L2415" s="50"/>
      <c r="M2415" s="30"/>
      <c r="N2415" s="30"/>
      <c r="O2415" s="30"/>
      <c r="P2415" s="30"/>
      <c r="Q2415" s="30"/>
      <c r="R2415" s="30"/>
      <c r="S2415" s="30"/>
      <c r="T2415" s="30"/>
      <c r="U2415" s="30"/>
      <c r="V2415" s="30"/>
      <c r="W2415" s="30"/>
      <c r="X2415" s="30"/>
      <c r="Y2415" s="30"/>
      <c r="Z2415" s="30"/>
      <c r="AA2415" s="30"/>
      <c r="AB2415" s="30"/>
      <c r="AC2415" s="30"/>
      <c r="AD2415" s="30"/>
      <c r="AE2415" s="30"/>
    </row>
    <row r="2416" spans="1:31" ht="13">
      <c r="A2416" s="30"/>
      <c r="B2416" s="30"/>
      <c r="C2416" s="30"/>
      <c r="D2416" s="30"/>
      <c r="E2416" s="30"/>
      <c r="F2416" s="48"/>
      <c r="G2416" s="49"/>
      <c r="H2416" s="49"/>
      <c r="I2416" s="49"/>
      <c r="J2416" s="71"/>
      <c r="K2416" s="71"/>
      <c r="L2416" s="50"/>
      <c r="M2416" s="30"/>
      <c r="N2416" s="30"/>
      <c r="O2416" s="30"/>
      <c r="P2416" s="30"/>
      <c r="Q2416" s="30"/>
      <c r="R2416" s="30"/>
      <c r="S2416" s="30"/>
      <c r="T2416" s="30"/>
      <c r="U2416" s="30"/>
      <c r="V2416" s="30"/>
      <c r="W2416" s="30"/>
      <c r="X2416" s="30"/>
      <c r="Y2416" s="30"/>
      <c r="Z2416" s="30"/>
      <c r="AA2416" s="30"/>
      <c r="AB2416" s="30"/>
      <c r="AC2416" s="30"/>
      <c r="AD2416" s="30"/>
      <c r="AE2416" s="30"/>
    </row>
    <row r="2417" spans="1:31" ht="13">
      <c r="A2417" s="30"/>
      <c r="B2417" s="30"/>
      <c r="C2417" s="30"/>
      <c r="D2417" s="30"/>
      <c r="E2417" s="30"/>
      <c r="F2417" s="48"/>
      <c r="G2417" s="49"/>
      <c r="H2417" s="49"/>
      <c r="I2417" s="49"/>
      <c r="J2417" s="71"/>
      <c r="K2417" s="71"/>
      <c r="L2417" s="50"/>
      <c r="M2417" s="30"/>
      <c r="N2417" s="30"/>
      <c r="O2417" s="30"/>
      <c r="P2417" s="30"/>
      <c r="Q2417" s="30"/>
      <c r="R2417" s="30"/>
      <c r="S2417" s="30"/>
      <c r="T2417" s="30"/>
      <c r="U2417" s="30"/>
      <c r="V2417" s="30"/>
      <c r="W2417" s="30"/>
      <c r="X2417" s="30"/>
      <c r="Y2417" s="30"/>
      <c r="Z2417" s="30"/>
      <c r="AA2417" s="30"/>
      <c r="AB2417" s="30"/>
      <c r="AC2417" s="30"/>
      <c r="AD2417" s="30"/>
      <c r="AE2417" s="30"/>
    </row>
    <row r="2418" spans="1:31" ht="13">
      <c r="A2418" s="30"/>
      <c r="B2418" s="30"/>
      <c r="C2418" s="30"/>
      <c r="D2418" s="30"/>
      <c r="E2418" s="30"/>
      <c r="F2418" s="48"/>
      <c r="G2418" s="49"/>
      <c r="H2418" s="49"/>
      <c r="I2418" s="49"/>
      <c r="J2418" s="71"/>
      <c r="K2418" s="71"/>
      <c r="L2418" s="50"/>
      <c r="M2418" s="30"/>
      <c r="N2418" s="30"/>
      <c r="O2418" s="30"/>
      <c r="P2418" s="30"/>
      <c r="Q2418" s="30"/>
      <c r="R2418" s="30"/>
      <c r="S2418" s="30"/>
      <c r="T2418" s="30"/>
      <c r="U2418" s="30"/>
      <c r="V2418" s="30"/>
      <c r="W2418" s="30"/>
      <c r="X2418" s="30"/>
      <c r="Y2418" s="30"/>
      <c r="Z2418" s="30"/>
      <c r="AA2418" s="30"/>
      <c r="AB2418" s="30"/>
      <c r="AC2418" s="30"/>
      <c r="AD2418" s="30"/>
      <c r="AE2418" s="30"/>
    </row>
    <row r="2419" spans="1:31" ht="13">
      <c r="A2419" s="30"/>
      <c r="B2419" s="30"/>
      <c r="C2419" s="30"/>
      <c r="D2419" s="30"/>
      <c r="E2419" s="30"/>
      <c r="F2419" s="48"/>
      <c r="G2419" s="49"/>
      <c r="H2419" s="49"/>
      <c r="I2419" s="49"/>
      <c r="J2419" s="71"/>
      <c r="K2419" s="71"/>
      <c r="L2419" s="50"/>
      <c r="M2419" s="30"/>
      <c r="N2419" s="30"/>
      <c r="O2419" s="30"/>
      <c r="P2419" s="30"/>
      <c r="Q2419" s="30"/>
      <c r="R2419" s="30"/>
      <c r="S2419" s="30"/>
      <c r="T2419" s="30"/>
      <c r="U2419" s="30"/>
      <c r="V2419" s="30"/>
      <c r="W2419" s="30"/>
      <c r="X2419" s="30"/>
      <c r="Y2419" s="30"/>
      <c r="Z2419" s="30"/>
      <c r="AA2419" s="30"/>
      <c r="AB2419" s="30"/>
      <c r="AC2419" s="30"/>
      <c r="AD2419" s="30"/>
      <c r="AE2419" s="30"/>
    </row>
    <row r="2420" spans="1:31" ht="13">
      <c r="A2420" s="30"/>
      <c r="B2420" s="30"/>
      <c r="C2420" s="30"/>
      <c r="D2420" s="30"/>
      <c r="E2420" s="30"/>
      <c r="F2420" s="48"/>
      <c r="G2420" s="49"/>
      <c r="H2420" s="49"/>
      <c r="I2420" s="49"/>
      <c r="J2420" s="71"/>
      <c r="K2420" s="71"/>
      <c r="L2420" s="50"/>
      <c r="M2420" s="30"/>
      <c r="N2420" s="30"/>
      <c r="O2420" s="30"/>
      <c r="P2420" s="30"/>
      <c r="Q2420" s="30"/>
      <c r="R2420" s="30"/>
      <c r="S2420" s="30"/>
      <c r="T2420" s="30"/>
      <c r="U2420" s="30"/>
      <c r="V2420" s="30"/>
      <c r="W2420" s="30"/>
      <c r="X2420" s="30"/>
      <c r="Y2420" s="30"/>
      <c r="Z2420" s="30"/>
      <c r="AA2420" s="30"/>
      <c r="AB2420" s="30"/>
      <c r="AC2420" s="30"/>
      <c r="AD2420" s="30"/>
      <c r="AE2420" s="30"/>
    </row>
    <row r="2421" spans="1:31" ht="13">
      <c r="A2421" s="30"/>
      <c r="B2421" s="30"/>
      <c r="C2421" s="30"/>
      <c r="D2421" s="30"/>
      <c r="E2421" s="30"/>
      <c r="F2421" s="48"/>
      <c r="G2421" s="49"/>
      <c r="H2421" s="49"/>
      <c r="I2421" s="49"/>
      <c r="J2421" s="71"/>
      <c r="K2421" s="71"/>
      <c r="L2421" s="50"/>
      <c r="M2421" s="30"/>
      <c r="N2421" s="30"/>
      <c r="O2421" s="30"/>
      <c r="P2421" s="30"/>
      <c r="Q2421" s="30"/>
      <c r="R2421" s="30"/>
      <c r="S2421" s="30"/>
      <c r="T2421" s="30"/>
      <c r="U2421" s="30"/>
      <c r="V2421" s="30"/>
      <c r="W2421" s="30"/>
      <c r="X2421" s="30"/>
      <c r="Y2421" s="30"/>
      <c r="Z2421" s="30"/>
      <c r="AA2421" s="30"/>
      <c r="AB2421" s="30"/>
      <c r="AC2421" s="30"/>
      <c r="AD2421" s="30"/>
      <c r="AE2421" s="30"/>
    </row>
    <row r="2422" spans="1:31" ht="13">
      <c r="A2422" s="30"/>
      <c r="B2422" s="30"/>
      <c r="C2422" s="30"/>
      <c r="D2422" s="30"/>
      <c r="E2422" s="30"/>
      <c r="F2422" s="48"/>
      <c r="G2422" s="49"/>
      <c r="H2422" s="49"/>
      <c r="I2422" s="49"/>
      <c r="J2422" s="71"/>
      <c r="K2422" s="71"/>
      <c r="L2422" s="50"/>
      <c r="M2422" s="30"/>
      <c r="N2422" s="30"/>
      <c r="O2422" s="30"/>
      <c r="P2422" s="30"/>
      <c r="Q2422" s="30"/>
      <c r="R2422" s="30"/>
      <c r="S2422" s="30"/>
      <c r="T2422" s="30"/>
      <c r="U2422" s="30"/>
      <c r="V2422" s="30"/>
      <c r="W2422" s="30"/>
      <c r="X2422" s="30"/>
      <c r="Y2422" s="30"/>
      <c r="Z2422" s="30"/>
      <c r="AA2422" s="30"/>
      <c r="AB2422" s="30"/>
      <c r="AC2422" s="30"/>
      <c r="AD2422" s="30"/>
      <c r="AE2422" s="30"/>
    </row>
    <row r="2423" spans="1:31" ht="13">
      <c r="A2423" s="30"/>
      <c r="B2423" s="30"/>
      <c r="C2423" s="30"/>
      <c r="D2423" s="30"/>
      <c r="E2423" s="30"/>
      <c r="F2423" s="48"/>
      <c r="G2423" s="49"/>
      <c r="H2423" s="49"/>
      <c r="I2423" s="49"/>
      <c r="J2423" s="71"/>
      <c r="K2423" s="71"/>
      <c r="L2423" s="50"/>
      <c r="M2423" s="30"/>
      <c r="N2423" s="30"/>
      <c r="O2423" s="30"/>
      <c r="P2423" s="30"/>
      <c r="Q2423" s="30"/>
      <c r="R2423" s="30"/>
      <c r="S2423" s="30"/>
      <c r="T2423" s="30"/>
      <c r="U2423" s="30"/>
      <c r="V2423" s="30"/>
      <c r="W2423" s="30"/>
      <c r="X2423" s="30"/>
      <c r="Y2423" s="30"/>
      <c r="Z2423" s="30"/>
      <c r="AA2423" s="30"/>
      <c r="AB2423" s="30"/>
      <c r="AC2423" s="30"/>
      <c r="AD2423" s="30"/>
      <c r="AE2423" s="30"/>
    </row>
    <row r="2424" spans="1:31" ht="13">
      <c r="A2424" s="30"/>
      <c r="B2424" s="30"/>
      <c r="C2424" s="30"/>
      <c r="D2424" s="30"/>
      <c r="E2424" s="30"/>
      <c r="F2424" s="48"/>
      <c r="G2424" s="49"/>
      <c r="H2424" s="49"/>
      <c r="I2424" s="49"/>
      <c r="J2424" s="71"/>
      <c r="K2424" s="71"/>
      <c r="L2424" s="50"/>
      <c r="M2424" s="30"/>
      <c r="N2424" s="30"/>
      <c r="O2424" s="30"/>
      <c r="P2424" s="30"/>
      <c r="Q2424" s="30"/>
      <c r="R2424" s="30"/>
      <c r="S2424" s="30"/>
      <c r="T2424" s="30"/>
      <c r="U2424" s="30"/>
      <c r="V2424" s="30"/>
      <c r="W2424" s="30"/>
      <c r="X2424" s="30"/>
      <c r="Y2424" s="30"/>
      <c r="Z2424" s="30"/>
      <c r="AA2424" s="30"/>
      <c r="AB2424" s="30"/>
      <c r="AC2424" s="30"/>
      <c r="AD2424" s="30"/>
      <c r="AE2424" s="30"/>
    </row>
    <row r="2425" spans="1:31" ht="13">
      <c r="A2425" s="30"/>
      <c r="B2425" s="30"/>
      <c r="C2425" s="30"/>
      <c r="D2425" s="30"/>
      <c r="E2425" s="30"/>
      <c r="F2425" s="48"/>
      <c r="G2425" s="49"/>
      <c r="H2425" s="49"/>
      <c r="I2425" s="49"/>
      <c r="J2425" s="71"/>
      <c r="K2425" s="71"/>
      <c r="L2425" s="50"/>
      <c r="M2425" s="30"/>
      <c r="N2425" s="30"/>
      <c r="O2425" s="30"/>
      <c r="P2425" s="30"/>
      <c r="Q2425" s="30"/>
      <c r="R2425" s="30"/>
      <c r="S2425" s="30"/>
      <c r="T2425" s="30"/>
      <c r="U2425" s="30"/>
      <c r="V2425" s="30"/>
      <c r="W2425" s="30"/>
      <c r="X2425" s="30"/>
      <c r="Y2425" s="30"/>
      <c r="Z2425" s="30"/>
      <c r="AA2425" s="30"/>
      <c r="AB2425" s="30"/>
      <c r="AC2425" s="30"/>
      <c r="AD2425" s="30"/>
      <c r="AE2425" s="30"/>
    </row>
    <row r="2426" spans="1:31" ht="13">
      <c r="A2426" s="30"/>
      <c r="B2426" s="30"/>
      <c r="C2426" s="30"/>
      <c r="D2426" s="30"/>
      <c r="E2426" s="30"/>
      <c r="F2426" s="48"/>
      <c r="G2426" s="49"/>
      <c r="H2426" s="49"/>
      <c r="I2426" s="49"/>
      <c r="J2426" s="71"/>
      <c r="K2426" s="71"/>
      <c r="L2426" s="50"/>
      <c r="M2426" s="30"/>
      <c r="N2426" s="30"/>
      <c r="O2426" s="30"/>
      <c r="P2426" s="30"/>
      <c r="Q2426" s="30"/>
      <c r="R2426" s="30"/>
      <c r="S2426" s="30"/>
      <c r="T2426" s="30"/>
      <c r="U2426" s="30"/>
      <c r="V2426" s="30"/>
      <c r="W2426" s="30"/>
      <c r="X2426" s="30"/>
      <c r="Y2426" s="30"/>
      <c r="Z2426" s="30"/>
      <c r="AA2426" s="30"/>
      <c r="AB2426" s="30"/>
      <c r="AC2426" s="30"/>
      <c r="AD2426" s="30"/>
      <c r="AE2426" s="30"/>
    </row>
    <row r="2427" spans="1:31" ht="13">
      <c r="A2427" s="30"/>
      <c r="B2427" s="30"/>
      <c r="C2427" s="30"/>
      <c r="D2427" s="30"/>
      <c r="E2427" s="30"/>
      <c r="F2427" s="48"/>
      <c r="G2427" s="49"/>
      <c r="H2427" s="49"/>
      <c r="I2427" s="49"/>
      <c r="J2427" s="71"/>
      <c r="K2427" s="71"/>
      <c r="L2427" s="50"/>
      <c r="M2427" s="30"/>
      <c r="N2427" s="30"/>
      <c r="O2427" s="30"/>
      <c r="P2427" s="30"/>
      <c r="Q2427" s="30"/>
      <c r="R2427" s="30"/>
      <c r="S2427" s="30"/>
      <c r="T2427" s="30"/>
      <c r="U2427" s="30"/>
      <c r="V2427" s="30"/>
      <c r="W2427" s="30"/>
      <c r="X2427" s="30"/>
      <c r="Y2427" s="30"/>
      <c r="Z2427" s="30"/>
      <c r="AA2427" s="30"/>
      <c r="AB2427" s="30"/>
      <c r="AC2427" s="30"/>
      <c r="AD2427" s="30"/>
      <c r="AE2427" s="30"/>
    </row>
    <row r="2428" spans="1:31" ht="13">
      <c r="A2428" s="30"/>
      <c r="B2428" s="30"/>
      <c r="C2428" s="30"/>
      <c r="D2428" s="30"/>
      <c r="E2428" s="30"/>
      <c r="F2428" s="48"/>
      <c r="G2428" s="49"/>
      <c r="H2428" s="49"/>
      <c r="I2428" s="49"/>
      <c r="J2428" s="71"/>
      <c r="K2428" s="71"/>
      <c r="L2428" s="50"/>
      <c r="M2428" s="30"/>
      <c r="N2428" s="30"/>
      <c r="O2428" s="30"/>
      <c r="P2428" s="30"/>
      <c r="Q2428" s="30"/>
      <c r="R2428" s="30"/>
      <c r="S2428" s="30"/>
      <c r="T2428" s="30"/>
      <c r="U2428" s="30"/>
      <c r="V2428" s="30"/>
      <c r="W2428" s="30"/>
      <c r="X2428" s="30"/>
      <c r="Y2428" s="30"/>
      <c r="Z2428" s="30"/>
      <c r="AA2428" s="30"/>
      <c r="AB2428" s="30"/>
      <c r="AC2428" s="30"/>
      <c r="AD2428" s="30"/>
      <c r="AE2428" s="30"/>
    </row>
    <row r="2429" spans="1:31" ht="13">
      <c r="A2429" s="30"/>
      <c r="B2429" s="30"/>
      <c r="C2429" s="30"/>
      <c r="D2429" s="30"/>
      <c r="E2429" s="30"/>
      <c r="F2429" s="48"/>
      <c r="G2429" s="49"/>
      <c r="H2429" s="49"/>
      <c r="I2429" s="49"/>
      <c r="J2429" s="71"/>
      <c r="K2429" s="71"/>
      <c r="L2429" s="50"/>
      <c r="M2429" s="30"/>
      <c r="N2429" s="30"/>
      <c r="O2429" s="30"/>
      <c r="P2429" s="30"/>
      <c r="Q2429" s="30"/>
      <c r="R2429" s="30"/>
      <c r="S2429" s="30"/>
      <c r="T2429" s="30"/>
      <c r="U2429" s="30"/>
      <c r="V2429" s="30"/>
      <c r="W2429" s="30"/>
      <c r="X2429" s="30"/>
      <c r="Y2429" s="30"/>
      <c r="Z2429" s="30"/>
      <c r="AA2429" s="30"/>
      <c r="AB2429" s="30"/>
      <c r="AC2429" s="30"/>
      <c r="AD2429" s="30"/>
      <c r="AE2429" s="30"/>
    </row>
    <row r="2430" spans="1:31" ht="13">
      <c r="A2430" s="30"/>
      <c r="B2430" s="30"/>
      <c r="C2430" s="30"/>
      <c r="D2430" s="30"/>
      <c r="E2430" s="30"/>
      <c r="F2430" s="48"/>
      <c r="G2430" s="49"/>
      <c r="H2430" s="49"/>
      <c r="I2430" s="49"/>
      <c r="J2430" s="71"/>
      <c r="K2430" s="71"/>
      <c r="L2430" s="50"/>
      <c r="M2430" s="30"/>
      <c r="N2430" s="30"/>
      <c r="O2430" s="30"/>
      <c r="P2430" s="30"/>
      <c r="Q2430" s="30"/>
      <c r="R2430" s="30"/>
      <c r="S2430" s="30"/>
      <c r="T2430" s="30"/>
      <c r="U2430" s="30"/>
      <c r="V2430" s="30"/>
      <c r="W2430" s="30"/>
      <c r="X2430" s="30"/>
      <c r="Y2430" s="30"/>
      <c r="Z2430" s="30"/>
      <c r="AA2430" s="30"/>
      <c r="AB2430" s="30"/>
      <c r="AC2430" s="30"/>
      <c r="AD2430" s="30"/>
      <c r="AE2430" s="30"/>
    </row>
    <row r="2431" spans="1:31" ht="13">
      <c r="A2431" s="30"/>
      <c r="B2431" s="30"/>
      <c r="C2431" s="30"/>
      <c r="D2431" s="30"/>
      <c r="E2431" s="30"/>
      <c r="F2431" s="48"/>
      <c r="G2431" s="49"/>
      <c r="H2431" s="49"/>
      <c r="I2431" s="49"/>
      <c r="J2431" s="71"/>
      <c r="K2431" s="71"/>
      <c r="L2431" s="50"/>
      <c r="M2431" s="30"/>
      <c r="N2431" s="30"/>
      <c r="O2431" s="30"/>
      <c r="P2431" s="30"/>
      <c r="Q2431" s="30"/>
      <c r="R2431" s="30"/>
      <c r="S2431" s="30"/>
      <c r="T2431" s="30"/>
      <c r="U2431" s="30"/>
      <c r="V2431" s="30"/>
      <c r="W2431" s="30"/>
      <c r="X2431" s="30"/>
      <c r="Y2431" s="30"/>
      <c r="Z2431" s="30"/>
      <c r="AA2431" s="30"/>
      <c r="AB2431" s="30"/>
      <c r="AC2431" s="30"/>
      <c r="AD2431" s="30"/>
      <c r="AE2431" s="30"/>
    </row>
    <row r="2432" spans="1:31" ht="13">
      <c r="A2432" s="30"/>
      <c r="B2432" s="30"/>
      <c r="C2432" s="30"/>
      <c r="D2432" s="30"/>
      <c r="E2432" s="30"/>
      <c r="F2432" s="48"/>
      <c r="G2432" s="49"/>
      <c r="H2432" s="49"/>
      <c r="I2432" s="49"/>
      <c r="J2432" s="71"/>
      <c r="K2432" s="71"/>
      <c r="L2432" s="50"/>
      <c r="M2432" s="30"/>
      <c r="N2432" s="30"/>
      <c r="O2432" s="30"/>
      <c r="P2432" s="30"/>
      <c r="Q2432" s="30"/>
      <c r="R2432" s="30"/>
      <c r="S2432" s="30"/>
      <c r="T2432" s="30"/>
      <c r="U2432" s="30"/>
      <c r="V2432" s="30"/>
      <c r="W2432" s="30"/>
      <c r="X2432" s="30"/>
      <c r="Y2432" s="30"/>
      <c r="Z2432" s="30"/>
      <c r="AA2432" s="30"/>
      <c r="AB2432" s="30"/>
      <c r="AC2432" s="30"/>
      <c r="AD2432" s="30"/>
      <c r="AE2432" s="30"/>
    </row>
    <row r="2433" spans="1:31" ht="13">
      <c r="A2433" s="30"/>
      <c r="B2433" s="30"/>
      <c r="C2433" s="30"/>
      <c r="D2433" s="30"/>
      <c r="E2433" s="30"/>
      <c r="F2433" s="48"/>
      <c r="G2433" s="49"/>
      <c r="H2433" s="49"/>
      <c r="I2433" s="49"/>
      <c r="J2433" s="71"/>
      <c r="K2433" s="71"/>
      <c r="L2433" s="50"/>
      <c r="M2433" s="30"/>
      <c r="N2433" s="30"/>
      <c r="O2433" s="30"/>
      <c r="P2433" s="30"/>
      <c r="Q2433" s="30"/>
      <c r="R2433" s="30"/>
      <c r="S2433" s="30"/>
      <c r="T2433" s="30"/>
      <c r="U2433" s="30"/>
      <c r="V2433" s="30"/>
      <c r="W2433" s="30"/>
      <c r="X2433" s="30"/>
      <c r="Y2433" s="30"/>
      <c r="Z2433" s="30"/>
      <c r="AA2433" s="30"/>
      <c r="AB2433" s="30"/>
      <c r="AC2433" s="30"/>
      <c r="AD2433" s="30"/>
      <c r="AE2433" s="30"/>
    </row>
    <row r="2434" spans="1:31" ht="13">
      <c r="A2434" s="30"/>
      <c r="B2434" s="30"/>
      <c r="C2434" s="30"/>
      <c r="D2434" s="30"/>
      <c r="E2434" s="30"/>
      <c r="F2434" s="48"/>
      <c r="G2434" s="49"/>
      <c r="H2434" s="49"/>
      <c r="I2434" s="49"/>
      <c r="J2434" s="71"/>
      <c r="K2434" s="71"/>
      <c r="L2434" s="50"/>
      <c r="M2434" s="30"/>
      <c r="N2434" s="30"/>
      <c r="O2434" s="30"/>
      <c r="P2434" s="30"/>
      <c r="Q2434" s="30"/>
      <c r="R2434" s="30"/>
      <c r="S2434" s="30"/>
      <c r="T2434" s="30"/>
      <c r="U2434" s="30"/>
      <c r="V2434" s="30"/>
      <c r="W2434" s="30"/>
      <c r="X2434" s="30"/>
      <c r="Y2434" s="30"/>
      <c r="Z2434" s="30"/>
      <c r="AA2434" s="30"/>
      <c r="AB2434" s="30"/>
      <c r="AC2434" s="30"/>
      <c r="AD2434" s="30"/>
      <c r="AE2434" s="30"/>
    </row>
    <row r="2435" spans="1:31" ht="13">
      <c r="A2435" s="30"/>
      <c r="B2435" s="30"/>
      <c r="C2435" s="30"/>
      <c r="D2435" s="30"/>
      <c r="E2435" s="30"/>
      <c r="F2435" s="48"/>
      <c r="G2435" s="49"/>
      <c r="H2435" s="49"/>
      <c r="I2435" s="49"/>
      <c r="J2435" s="71"/>
      <c r="K2435" s="71"/>
      <c r="L2435" s="50"/>
      <c r="M2435" s="30"/>
      <c r="N2435" s="30"/>
      <c r="O2435" s="30"/>
      <c r="P2435" s="30"/>
      <c r="Q2435" s="30"/>
      <c r="R2435" s="30"/>
      <c r="S2435" s="30"/>
      <c r="T2435" s="30"/>
      <c r="U2435" s="30"/>
      <c r="V2435" s="30"/>
      <c r="W2435" s="30"/>
      <c r="X2435" s="30"/>
      <c r="Y2435" s="30"/>
      <c r="Z2435" s="30"/>
      <c r="AA2435" s="30"/>
      <c r="AB2435" s="30"/>
      <c r="AC2435" s="30"/>
      <c r="AD2435" s="30"/>
      <c r="AE2435" s="30"/>
    </row>
    <row r="2436" spans="1:31" ht="13">
      <c r="A2436" s="30"/>
      <c r="B2436" s="30"/>
      <c r="C2436" s="30"/>
      <c r="D2436" s="30"/>
      <c r="E2436" s="30"/>
      <c r="F2436" s="48"/>
      <c r="G2436" s="49"/>
      <c r="H2436" s="49"/>
      <c r="I2436" s="49"/>
      <c r="J2436" s="71"/>
      <c r="K2436" s="71"/>
      <c r="L2436" s="50"/>
      <c r="M2436" s="30"/>
      <c r="N2436" s="30"/>
      <c r="O2436" s="30"/>
      <c r="P2436" s="30"/>
      <c r="Q2436" s="30"/>
      <c r="R2436" s="30"/>
      <c r="S2436" s="30"/>
      <c r="T2436" s="30"/>
      <c r="U2436" s="30"/>
      <c r="V2436" s="30"/>
      <c r="W2436" s="30"/>
      <c r="X2436" s="30"/>
      <c r="Y2436" s="30"/>
      <c r="Z2436" s="30"/>
      <c r="AA2436" s="30"/>
      <c r="AB2436" s="30"/>
      <c r="AC2436" s="30"/>
      <c r="AD2436" s="30"/>
      <c r="AE2436" s="30"/>
    </row>
    <row r="2437" spans="1:31" ht="13">
      <c r="A2437" s="30"/>
      <c r="B2437" s="30"/>
      <c r="C2437" s="30"/>
      <c r="D2437" s="30"/>
      <c r="E2437" s="30"/>
      <c r="F2437" s="48"/>
      <c r="G2437" s="49"/>
      <c r="H2437" s="49"/>
      <c r="I2437" s="49"/>
      <c r="J2437" s="71"/>
      <c r="K2437" s="71"/>
      <c r="L2437" s="50"/>
      <c r="M2437" s="30"/>
      <c r="N2437" s="30"/>
      <c r="O2437" s="30"/>
      <c r="P2437" s="30"/>
      <c r="Q2437" s="30"/>
      <c r="R2437" s="30"/>
      <c r="S2437" s="30"/>
      <c r="T2437" s="30"/>
      <c r="U2437" s="30"/>
      <c r="V2437" s="30"/>
      <c r="W2437" s="30"/>
      <c r="X2437" s="30"/>
      <c r="Y2437" s="30"/>
      <c r="Z2437" s="30"/>
      <c r="AA2437" s="30"/>
      <c r="AB2437" s="30"/>
      <c r="AC2437" s="30"/>
      <c r="AD2437" s="30"/>
      <c r="AE2437" s="30"/>
    </row>
    <row r="2438" spans="1:31" ht="13">
      <c r="A2438" s="30"/>
      <c r="B2438" s="30"/>
      <c r="C2438" s="30"/>
      <c r="D2438" s="30"/>
      <c r="E2438" s="30"/>
      <c r="F2438" s="48"/>
      <c r="G2438" s="49"/>
      <c r="H2438" s="49"/>
      <c r="I2438" s="49"/>
      <c r="J2438" s="71"/>
      <c r="K2438" s="71"/>
      <c r="L2438" s="50"/>
      <c r="M2438" s="30"/>
      <c r="N2438" s="30"/>
      <c r="O2438" s="30"/>
      <c r="P2438" s="30"/>
      <c r="Q2438" s="30"/>
      <c r="R2438" s="30"/>
      <c r="S2438" s="30"/>
      <c r="T2438" s="30"/>
      <c r="U2438" s="30"/>
      <c r="V2438" s="30"/>
      <c r="W2438" s="30"/>
      <c r="X2438" s="30"/>
      <c r="Y2438" s="30"/>
      <c r="Z2438" s="30"/>
      <c r="AA2438" s="30"/>
      <c r="AB2438" s="30"/>
      <c r="AC2438" s="30"/>
      <c r="AD2438" s="30"/>
      <c r="AE2438" s="30"/>
    </row>
    <row r="2439" spans="1:31" ht="13">
      <c r="A2439" s="30"/>
      <c r="B2439" s="30"/>
      <c r="C2439" s="30"/>
      <c r="D2439" s="30"/>
      <c r="E2439" s="30"/>
      <c r="F2439" s="48"/>
      <c r="G2439" s="49"/>
      <c r="H2439" s="49"/>
      <c r="I2439" s="49"/>
      <c r="J2439" s="71"/>
      <c r="K2439" s="71"/>
      <c r="L2439" s="50"/>
      <c r="M2439" s="30"/>
      <c r="N2439" s="30"/>
      <c r="O2439" s="30"/>
      <c r="P2439" s="30"/>
      <c r="Q2439" s="30"/>
      <c r="R2439" s="30"/>
      <c r="S2439" s="30"/>
      <c r="T2439" s="30"/>
      <c r="U2439" s="30"/>
      <c r="V2439" s="30"/>
      <c r="W2439" s="30"/>
      <c r="X2439" s="30"/>
      <c r="Y2439" s="30"/>
      <c r="Z2439" s="30"/>
      <c r="AA2439" s="30"/>
      <c r="AB2439" s="30"/>
      <c r="AC2439" s="30"/>
      <c r="AD2439" s="30"/>
      <c r="AE2439" s="30"/>
    </row>
    <row r="2440" spans="1:31" ht="13">
      <c r="A2440" s="30"/>
      <c r="B2440" s="30"/>
      <c r="C2440" s="30"/>
      <c r="D2440" s="30"/>
      <c r="E2440" s="30"/>
      <c r="F2440" s="48"/>
      <c r="G2440" s="49"/>
      <c r="H2440" s="49"/>
      <c r="I2440" s="49"/>
      <c r="J2440" s="71"/>
      <c r="K2440" s="71"/>
      <c r="L2440" s="50"/>
      <c r="M2440" s="30"/>
      <c r="N2440" s="30"/>
      <c r="O2440" s="30"/>
      <c r="P2440" s="30"/>
      <c r="Q2440" s="30"/>
      <c r="R2440" s="30"/>
      <c r="S2440" s="30"/>
      <c r="T2440" s="30"/>
      <c r="U2440" s="30"/>
      <c r="V2440" s="30"/>
      <c r="W2440" s="30"/>
      <c r="X2440" s="30"/>
      <c r="Y2440" s="30"/>
      <c r="Z2440" s="30"/>
      <c r="AA2440" s="30"/>
      <c r="AB2440" s="30"/>
      <c r="AC2440" s="30"/>
      <c r="AD2440" s="30"/>
      <c r="AE2440" s="30"/>
    </row>
    <row r="2441" spans="1:31" ht="13">
      <c r="A2441" s="30"/>
      <c r="B2441" s="30"/>
      <c r="C2441" s="30"/>
      <c r="D2441" s="30"/>
      <c r="E2441" s="30"/>
      <c r="F2441" s="48"/>
      <c r="G2441" s="49"/>
      <c r="H2441" s="49"/>
      <c r="I2441" s="49"/>
      <c r="J2441" s="71"/>
      <c r="K2441" s="71"/>
      <c r="L2441" s="50"/>
      <c r="M2441" s="30"/>
      <c r="N2441" s="30"/>
      <c r="O2441" s="30"/>
      <c r="P2441" s="30"/>
      <c r="Q2441" s="30"/>
      <c r="R2441" s="30"/>
      <c r="S2441" s="30"/>
      <c r="T2441" s="30"/>
      <c r="U2441" s="30"/>
      <c r="V2441" s="30"/>
      <c r="W2441" s="30"/>
      <c r="X2441" s="30"/>
      <c r="Y2441" s="30"/>
      <c r="Z2441" s="30"/>
      <c r="AA2441" s="30"/>
      <c r="AB2441" s="30"/>
      <c r="AC2441" s="30"/>
      <c r="AD2441" s="30"/>
      <c r="AE2441" s="30"/>
    </row>
    <row r="2442" spans="1:31" ht="13">
      <c r="A2442" s="30"/>
      <c r="B2442" s="30"/>
      <c r="C2442" s="30"/>
      <c r="D2442" s="30"/>
      <c r="E2442" s="30"/>
      <c r="F2442" s="48"/>
      <c r="G2442" s="49"/>
      <c r="H2442" s="49"/>
      <c r="I2442" s="49"/>
      <c r="J2442" s="71"/>
      <c r="K2442" s="71"/>
      <c r="L2442" s="50"/>
      <c r="M2442" s="30"/>
      <c r="N2442" s="30"/>
      <c r="O2442" s="30"/>
      <c r="P2442" s="30"/>
      <c r="Q2442" s="30"/>
      <c r="R2442" s="30"/>
      <c r="S2442" s="30"/>
      <c r="T2442" s="30"/>
      <c r="U2442" s="30"/>
      <c r="V2442" s="30"/>
      <c r="W2442" s="30"/>
      <c r="X2442" s="30"/>
      <c r="Y2442" s="30"/>
      <c r="Z2442" s="30"/>
      <c r="AA2442" s="30"/>
      <c r="AB2442" s="30"/>
      <c r="AC2442" s="30"/>
      <c r="AD2442" s="30"/>
      <c r="AE2442" s="30"/>
    </row>
    <row r="2443" spans="1:31" ht="13">
      <c r="A2443" s="30"/>
      <c r="B2443" s="30"/>
      <c r="C2443" s="30"/>
      <c r="D2443" s="30"/>
      <c r="E2443" s="30"/>
      <c r="F2443" s="48"/>
      <c r="G2443" s="49"/>
      <c r="H2443" s="49"/>
      <c r="I2443" s="49"/>
      <c r="J2443" s="71"/>
      <c r="K2443" s="71"/>
      <c r="L2443" s="50"/>
      <c r="M2443" s="30"/>
      <c r="N2443" s="30"/>
      <c r="O2443" s="30"/>
      <c r="P2443" s="30"/>
      <c r="Q2443" s="30"/>
      <c r="R2443" s="30"/>
      <c r="S2443" s="30"/>
      <c r="T2443" s="30"/>
      <c r="U2443" s="30"/>
      <c r="V2443" s="30"/>
      <c r="W2443" s="30"/>
      <c r="X2443" s="30"/>
      <c r="Y2443" s="30"/>
      <c r="Z2443" s="30"/>
      <c r="AA2443" s="30"/>
      <c r="AB2443" s="30"/>
      <c r="AC2443" s="30"/>
      <c r="AD2443" s="30"/>
      <c r="AE2443" s="30"/>
    </row>
    <row r="2444" spans="1:31" ht="13">
      <c r="A2444" s="30"/>
      <c r="B2444" s="30"/>
      <c r="C2444" s="30"/>
      <c r="D2444" s="30"/>
      <c r="E2444" s="30"/>
      <c r="F2444" s="48"/>
      <c r="G2444" s="49"/>
      <c r="H2444" s="49"/>
      <c r="I2444" s="49"/>
      <c r="J2444" s="71"/>
      <c r="K2444" s="71"/>
      <c r="L2444" s="50"/>
      <c r="M2444" s="30"/>
      <c r="N2444" s="30"/>
      <c r="O2444" s="30"/>
      <c r="P2444" s="30"/>
      <c r="Q2444" s="30"/>
      <c r="R2444" s="30"/>
      <c r="S2444" s="30"/>
      <c r="T2444" s="30"/>
      <c r="U2444" s="30"/>
      <c r="V2444" s="30"/>
      <c r="W2444" s="30"/>
      <c r="X2444" s="30"/>
      <c r="Y2444" s="30"/>
      <c r="Z2444" s="30"/>
      <c r="AA2444" s="30"/>
      <c r="AB2444" s="30"/>
      <c r="AC2444" s="30"/>
      <c r="AD2444" s="30"/>
      <c r="AE2444" s="30"/>
    </row>
    <row r="2445" spans="1:31" ht="13">
      <c r="A2445" s="30"/>
      <c r="B2445" s="30"/>
      <c r="C2445" s="30"/>
      <c r="D2445" s="30"/>
      <c r="E2445" s="30"/>
      <c r="F2445" s="48"/>
      <c r="G2445" s="49"/>
      <c r="H2445" s="49"/>
      <c r="I2445" s="49"/>
      <c r="J2445" s="71"/>
      <c r="K2445" s="71"/>
      <c r="L2445" s="50"/>
      <c r="M2445" s="30"/>
      <c r="N2445" s="30"/>
      <c r="O2445" s="30"/>
      <c r="P2445" s="30"/>
      <c r="Q2445" s="30"/>
      <c r="R2445" s="30"/>
      <c r="S2445" s="30"/>
      <c r="T2445" s="30"/>
      <c r="U2445" s="30"/>
      <c r="V2445" s="30"/>
      <c r="W2445" s="30"/>
      <c r="X2445" s="30"/>
      <c r="Y2445" s="30"/>
      <c r="Z2445" s="30"/>
      <c r="AA2445" s="30"/>
      <c r="AB2445" s="30"/>
      <c r="AC2445" s="30"/>
      <c r="AD2445" s="30"/>
      <c r="AE2445" s="30"/>
    </row>
    <row r="2446" spans="1:31" ht="13">
      <c r="A2446" s="30"/>
      <c r="B2446" s="30"/>
      <c r="C2446" s="30"/>
      <c r="D2446" s="30"/>
      <c r="E2446" s="30"/>
      <c r="F2446" s="48"/>
      <c r="G2446" s="49"/>
      <c r="H2446" s="49"/>
      <c r="I2446" s="49"/>
      <c r="J2446" s="71"/>
      <c r="K2446" s="71"/>
      <c r="L2446" s="50"/>
      <c r="M2446" s="30"/>
      <c r="N2446" s="30"/>
      <c r="O2446" s="30"/>
      <c r="P2446" s="30"/>
      <c r="Q2446" s="30"/>
      <c r="R2446" s="30"/>
      <c r="S2446" s="30"/>
      <c r="T2446" s="30"/>
      <c r="U2446" s="30"/>
      <c r="V2446" s="30"/>
      <c r="W2446" s="30"/>
      <c r="X2446" s="30"/>
      <c r="Y2446" s="30"/>
      <c r="Z2446" s="30"/>
      <c r="AA2446" s="30"/>
      <c r="AB2446" s="30"/>
      <c r="AC2446" s="30"/>
      <c r="AD2446" s="30"/>
      <c r="AE2446" s="30"/>
    </row>
    <row r="2447" spans="1:31" ht="13">
      <c r="A2447" s="30"/>
      <c r="B2447" s="30"/>
      <c r="C2447" s="30"/>
      <c r="D2447" s="30"/>
      <c r="E2447" s="30"/>
      <c r="F2447" s="48"/>
      <c r="G2447" s="49"/>
      <c r="H2447" s="49"/>
      <c r="I2447" s="49"/>
      <c r="J2447" s="71"/>
      <c r="K2447" s="71"/>
      <c r="L2447" s="50"/>
      <c r="M2447" s="30"/>
      <c r="N2447" s="30"/>
      <c r="O2447" s="30"/>
      <c r="P2447" s="30"/>
      <c r="Q2447" s="30"/>
      <c r="R2447" s="30"/>
      <c r="S2447" s="30"/>
      <c r="T2447" s="30"/>
      <c r="U2447" s="30"/>
      <c r="V2447" s="30"/>
      <c r="W2447" s="30"/>
      <c r="X2447" s="30"/>
      <c r="Y2447" s="30"/>
      <c r="Z2447" s="30"/>
      <c r="AA2447" s="30"/>
      <c r="AB2447" s="30"/>
      <c r="AC2447" s="30"/>
      <c r="AD2447" s="30"/>
      <c r="AE2447" s="30"/>
    </row>
    <row r="2448" spans="1:31" ht="13">
      <c r="A2448" s="30"/>
      <c r="B2448" s="30"/>
      <c r="C2448" s="30"/>
      <c r="D2448" s="30"/>
      <c r="E2448" s="30"/>
      <c r="F2448" s="48"/>
      <c r="G2448" s="49"/>
      <c r="H2448" s="49"/>
      <c r="I2448" s="49"/>
      <c r="J2448" s="71"/>
      <c r="K2448" s="71"/>
      <c r="L2448" s="50"/>
      <c r="M2448" s="30"/>
      <c r="N2448" s="30"/>
      <c r="O2448" s="30"/>
      <c r="P2448" s="30"/>
      <c r="Q2448" s="30"/>
      <c r="R2448" s="30"/>
      <c r="S2448" s="30"/>
      <c r="T2448" s="30"/>
      <c r="U2448" s="30"/>
      <c r="V2448" s="30"/>
      <c r="W2448" s="30"/>
      <c r="X2448" s="30"/>
      <c r="Y2448" s="30"/>
      <c r="Z2448" s="30"/>
      <c r="AA2448" s="30"/>
      <c r="AB2448" s="30"/>
      <c r="AC2448" s="30"/>
      <c r="AD2448" s="30"/>
      <c r="AE2448" s="30"/>
    </row>
    <row r="2449" spans="1:31" ht="13">
      <c r="A2449" s="30"/>
      <c r="B2449" s="30"/>
      <c r="C2449" s="30"/>
      <c r="D2449" s="30"/>
      <c r="E2449" s="30"/>
      <c r="F2449" s="48"/>
      <c r="G2449" s="49"/>
      <c r="H2449" s="49"/>
      <c r="I2449" s="49"/>
      <c r="J2449" s="71"/>
      <c r="K2449" s="71"/>
      <c r="L2449" s="50"/>
      <c r="M2449" s="30"/>
      <c r="N2449" s="30"/>
      <c r="O2449" s="30"/>
      <c r="P2449" s="30"/>
      <c r="Q2449" s="30"/>
      <c r="R2449" s="30"/>
      <c r="S2449" s="30"/>
      <c r="T2449" s="30"/>
      <c r="U2449" s="30"/>
      <c r="V2449" s="30"/>
      <c r="W2449" s="30"/>
      <c r="X2449" s="30"/>
      <c r="Y2449" s="30"/>
      <c r="Z2449" s="30"/>
      <c r="AA2449" s="30"/>
      <c r="AB2449" s="30"/>
      <c r="AC2449" s="30"/>
      <c r="AD2449" s="30"/>
      <c r="AE2449" s="30"/>
    </row>
    <row r="2450" spans="1:31" ht="13">
      <c r="A2450" s="30"/>
      <c r="B2450" s="30"/>
      <c r="C2450" s="30"/>
      <c r="D2450" s="30"/>
      <c r="E2450" s="30"/>
      <c r="F2450" s="48"/>
      <c r="G2450" s="49"/>
      <c r="H2450" s="49"/>
      <c r="I2450" s="49"/>
      <c r="J2450" s="71"/>
      <c r="K2450" s="71"/>
      <c r="L2450" s="50"/>
      <c r="M2450" s="30"/>
      <c r="N2450" s="30"/>
      <c r="O2450" s="30"/>
      <c r="P2450" s="30"/>
      <c r="Q2450" s="30"/>
      <c r="R2450" s="30"/>
      <c r="S2450" s="30"/>
      <c r="T2450" s="30"/>
      <c r="U2450" s="30"/>
      <c r="V2450" s="30"/>
      <c r="W2450" s="30"/>
      <c r="X2450" s="30"/>
      <c r="Y2450" s="30"/>
      <c r="Z2450" s="30"/>
      <c r="AA2450" s="30"/>
      <c r="AB2450" s="30"/>
      <c r="AC2450" s="30"/>
      <c r="AD2450" s="30"/>
      <c r="AE2450" s="30"/>
    </row>
    <row r="2451" spans="1:31" ht="13">
      <c r="A2451" s="30"/>
      <c r="B2451" s="30"/>
      <c r="C2451" s="30"/>
      <c r="D2451" s="30"/>
      <c r="E2451" s="30"/>
      <c r="F2451" s="48"/>
      <c r="G2451" s="49"/>
      <c r="H2451" s="49"/>
      <c r="I2451" s="49"/>
      <c r="J2451" s="71"/>
      <c r="K2451" s="71"/>
      <c r="L2451" s="50"/>
      <c r="M2451" s="30"/>
      <c r="N2451" s="30"/>
      <c r="O2451" s="30"/>
      <c r="P2451" s="30"/>
      <c r="Q2451" s="30"/>
      <c r="R2451" s="30"/>
      <c r="S2451" s="30"/>
      <c r="T2451" s="30"/>
      <c r="U2451" s="30"/>
      <c r="V2451" s="30"/>
      <c r="W2451" s="30"/>
      <c r="X2451" s="30"/>
      <c r="Y2451" s="30"/>
      <c r="Z2451" s="30"/>
      <c r="AA2451" s="30"/>
      <c r="AB2451" s="30"/>
      <c r="AC2451" s="30"/>
      <c r="AD2451" s="30"/>
      <c r="AE2451" s="30"/>
    </row>
    <row r="2452" spans="1:31" ht="13">
      <c r="A2452" s="30"/>
      <c r="B2452" s="30"/>
      <c r="C2452" s="30"/>
      <c r="D2452" s="30"/>
      <c r="E2452" s="30"/>
      <c r="F2452" s="48"/>
      <c r="G2452" s="49"/>
      <c r="H2452" s="49"/>
      <c r="I2452" s="49"/>
      <c r="J2452" s="71"/>
      <c r="K2452" s="71"/>
      <c r="L2452" s="50"/>
      <c r="M2452" s="30"/>
      <c r="N2452" s="30"/>
      <c r="O2452" s="30"/>
      <c r="P2452" s="30"/>
      <c r="Q2452" s="30"/>
      <c r="R2452" s="30"/>
      <c r="S2452" s="30"/>
      <c r="T2452" s="30"/>
      <c r="U2452" s="30"/>
      <c r="V2452" s="30"/>
      <c r="W2452" s="30"/>
      <c r="X2452" s="30"/>
      <c r="Y2452" s="30"/>
      <c r="Z2452" s="30"/>
      <c r="AA2452" s="30"/>
      <c r="AB2452" s="30"/>
      <c r="AC2452" s="30"/>
      <c r="AD2452" s="30"/>
      <c r="AE2452" s="30"/>
    </row>
    <row r="2453" spans="1:31" ht="13">
      <c r="A2453" s="30"/>
      <c r="B2453" s="30"/>
      <c r="C2453" s="30"/>
      <c r="D2453" s="30"/>
      <c r="E2453" s="30"/>
      <c r="F2453" s="48"/>
      <c r="G2453" s="49"/>
      <c r="H2453" s="49"/>
      <c r="I2453" s="49"/>
      <c r="J2453" s="71"/>
      <c r="K2453" s="71"/>
      <c r="L2453" s="50"/>
      <c r="M2453" s="30"/>
      <c r="N2453" s="30"/>
      <c r="O2453" s="30"/>
      <c r="P2453" s="30"/>
      <c r="Q2453" s="30"/>
      <c r="R2453" s="30"/>
      <c r="S2453" s="30"/>
      <c r="T2453" s="30"/>
      <c r="U2453" s="30"/>
      <c r="V2453" s="30"/>
      <c r="W2453" s="30"/>
      <c r="X2453" s="30"/>
      <c r="Y2453" s="30"/>
      <c r="Z2453" s="30"/>
      <c r="AA2453" s="30"/>
      <c r="AB2453" s="30"/>
      <c r="AC2453" s="30"/>
      <c r="AD2453" s="30"/>
      <c r="AE2453" s="30"/>
    </row>
    <row r="2454" spans="1:31" ht="13">
      <c r="A2454" s="30"/>
      <c r="B2454" s="30"/>
      <c r="C2454" s="30"/>
      <c r="D2454" s="30"/>
      <c r="E2454" s="30"/>
      <c r="F2454" s="48"/>
      <c r="G2454" s="49"/>
      <c r="H2454" s="49"/>
      <c r="I2454" s="49"/>
      <c r="J2454" s="71"/>
      <c r="K2454" s="71"/>
      <c r="L2454" s="50"/>
      <c r="M2454" s="30"/>
      <c r="N2454" s="30"/>
      <c r="O2454" s="30"/>
      <c r="P2454" s="30"/>
      <c r="Q2454" s="30"/>
      <c r="R2454" s="30"/>
      <c r="S2454" s="30"/>
      <c r="T2454" s="30"/>
      <c r="U2454" s="30"/>
      <c r="V2454" s="30"/>
      <c r="W2454" s="30"/>
      <c r="X2454" s="30"/>
      <c r="Y2454" s="30"/>
      <c r="Z2454" s="30"/>
      <c r="AA2454" s="30"/>
      <c r="AB2454" s="30"/>
      <c r="AC2454" s="30"/>
      <c r="AD2454" s="30"/>
      <c r="AE2454" s="30"/>
    </row>
    <row r="2455" spans="1:31" ht="13">
      <c r="A2455" s="30"/>
      <c r="B2455" s="30"/>
      <c r="C2455" s="30"/>
      <c r="D2455" s="30"/>
      <c r="E2455" s="30"/>
      <c r="F2455" s="48"/>
      <c r="G2455" s="49"/>
      <c r="H2455" s="49"/>
      <c r="I2455" s="49"/>
      <c r="J2455" s="71"/>
      <c r="K2455" s="71"/>
      <c r="L2455" s="50"/>
      <c r="M2455" s="30"/>
      <c r="N2455" s="30"/>
      <c r="O2455" s="30"/>
      <c r="P2455" s="30"/>
      <c r="Q2455" s="30"/>
      <c r="R2455" s="30"/>
      <c r="S2455" s="30"/>
      <c r="T2455" s="30"/>
      <c r="U2455" s="30"/>
      <c r="V2455" s="30"/>
      <c r="W2455" s="30"/>
      <c r="X2455" s="30"/>
      <c r="Y2455" s="30"/>
      <c r="Z2455" s="30"/>
      <c r="AA2455" s="30"/>
      <c r="AB2455" s="30"/>
      <c r="AC2455" s="30"/>
      <c r="AD2455" s="30"/>
      <c r="AE2455" s="30"/>
    </row>
    <row r="2456" spans="1:31" ht="13">
      <c r="A2456" s="30"/>
      <c r="B2456" s="30"/>
      <c r="C2456" s="30"/>
      <c r="D2456" s="30"/>
      <c r="E2456" s="30"/>
      <c r="F2456" s="48"/>
      <c r="G2456" s="49"/>
      <c r="H2456" s="49"/>
      <c r="I2456" s="49"/>
      <c r="J2456" s="71"/>
      <c r="K2456" s="71"/>
      <c r="L2456" s="50"/>
      <c r="M2456" s="30"/>
      <c r="N2456" s="30"/>
      <c r="O2456" s="30"/>
      <c r="P2456" s="30"/>
      <c r="Q2456" s="30"/>
      <c r="R2456" s="30"/>
      <c r="S2456" s="30"/>
      <c r="T2456" s="30"/>
      <c r="U2456" s="30"/>
      <c r="V2456" s="30"/>
      <c r="W2456" s="30"/>
      <c r="X2456" s="30"/>
      <c r="Y2456" s="30"/>
      <c r="Z2456" s="30"/>
      <c r="AA2456" s="30"/>
      <c r="AB2456" s="30"/>
      <c r="AC2456" s="30"/>
      <c r="AD2456" s="30"/>
      <c r="AE2456" s="30"/>
    </row>
    <row r="2457" spans="1:31" ht="13">
      <c r="A2457" s="30"/>
      <c r="B2457" s="30"/>
      <c r="C2457" s="30"/>
      <c r="D2457" s="30"/>
      <c r="E2457" s="30"/>
      <c r="F2457" s="48"/>
      <c r="G2457" s="49"/>
      <c r="H2457" s="49"/>
      <c r="I2457" s="49"/>
      <c r="J2457" s="71"/>
      <c r="K2457" s="71"/>
      <c r="L2457" s="50"/>
      <c r="M2457" s="30"/>
      <c r="N2457" s="30"/>
      <c r="O2457" s="30"/>
      <c r="P2457" s="30"/>
      <c r="Q2457" s="30"/>
      <c r="R2457" s="30"/>
      <c r="S2457" s="30"/>
      <c r="T2457" s="30"/>
      <c r="U2457" s="30"/>
      <c r="V2457" s="30"/>
      <c r="W2457" s="30"/>
      <c r="X2457" s="30"/>
      <c r="Y2457" s="30"/>
      <c r="Z2457" s="30"/>
      <c r="AA2457" s="30"/>
      <c r="AB2457" s="30"/>
      <c r="AC2457" s="30"/>
      <c r="AD2457" s="30"/>
      <c r="AE2457" s="30"/>
    </row>
    <row r="2458" spans="1:31" ht="13">
      <c r="A2458" s="30"/>
      <c r="B2458" s="30"/>
      <c r="C2458" s="30"/>
      <c r="D2458" s="30"/>
      <c r="E2458" s="30"/>
      <c r="F2458" s="48"/>
      <c r="G2458" s="49"/>
      <c r="H2458" s="49"/>
      <c r="I2458" s="49"/>
      <c r="J2458" s="71"/>
      <c r="K2458" s="71"/>
      <c r="L2458" s="50"/>
      <c r="M2458" s="30"/>
      <c r="N2458" s="30"/>
      <c r="O2458" s="30"/>
      <c r="P2458" s="30"/>
      <c r="Q2458" s="30"/>
      <c r="R2458" s="30"/>
      <c r="S2458" s="30"/>
      <c r="T2458" s="30"/>
      <c r="U2458" s="30"/>
      <c r="V2458" s="30"/>
      <c r="W2458" s="30"/>
      <c r="X2458" s="30"/>
      <c r="Y2458" s="30"/>
      <c r="Z2458" s="30"/>
      <c r="AA2458" s="30"/>
      <c r="AB2458" s="30"/>
      <c r="AC2458" s="30"/>
      <c r="AD2458" s="30"/>
      <c r="AE2458" s="30"/>
    </row>
    <row r="2459" spans="1:31" ht="13">
      <c r="A2459" s="30"/>
      <c r="B2459" s="30"/>
      <c r="C2459" s="30"/>
      <c r="D2459" s="30"/>
      <c r="E2459" s="30"/>
      <c r="F2459" s="48"/>
      <c r="G2459" s="49"/>
      <c r="H2459" s="49"/>
      <c r="I2459" s="49"/>
      <c r="J2459" s="71"/>
      <c r="K2459" s="71"/>
      <c r="L2459" s="50"/>
      <c r="M2459" s="30"/>
      <c r="N2459" s="30"/>
      <c r="O2459" s="30"/>
      <c r="P2459" s="30"/>
      <c r="Q2459" s="30"/>
      <c r="R2459" s="30"/>
      <c r="S2459" s="30"/>
      <c r="T2459" s="30"/>
      <c r="U2459" s="30"/>
      <c r="V2459" s="30"/>
      <c r="W2459" s="30"/>
      <c r="X2459" s="30"/>
      <c r="Y2459" s="30"/>
      <c r="Z2459" s="30"/>
      <c r="AA2459" s="30"/>
      <c r="AB2459" s="30"/>
      <c r="AC2459" s="30"/>
      <c r="AD2459" s="30"/>
      <c r="AE2459" s="30"/>
    </row>
    <row r="2460" spans="1:31" ht="13">
      <c r="A2460" s="30"/>
      <c r="B2460" s="30"/>
      <c r="C2460" s="30"/>
      <c r="D2460" s="30"/>
      <c r="E2460" s="30"/>
      <c r="F2460" s="48"/>
      <c r="G2460" s="49"/>
      <c r="H2460" s="49"/>
      <c r="I2460" s="49"/>
      <c r="J2460" s="71"/>
      <c r="K2460" s="71"/>
      <c r="L2460" s="50"/>
      <c r="M2460" s="30"/>
      <c r="N2460" s="30"/>
      <c r="O2460" s="30"/>
      <c r="P2460" s="30"/>
      <c r="Q2460" s="30"/>
      <c r="R2460" s="30"/>
      <c r="S2460" s="30"/>
      <c r="T2460" s="30"/>
      <c r="U2460" s="30"/>
      <c r="V2460" s="30"/>
      <c r="W2460" s="30"/>
      <c r="X2460" s="30"/>
      <c r="Y2460" s="30"/>
      <c r="Z2460" s="30"/>
      <c r="AA2460" s="30"/>
      <c r="AB2460" s="30"/>
      <c r="AC2460" s="30"/>
      <c r="AD2460" s="30"/>
      <c r="AE2460" s="30"/>
    </row>
    <row r="2461" spans="1:31" ht="13">
      <c r="A2461" s="30"/>
      <c r="B2461" s="30"/>
      <c r="C2461" s="30"/>
      <c r="D2461" s="30"/>
      <c r="E2461" s="30"/>
      <c r="F2461" s="48"/>
      <c r="G2461" s="49"/>
      <c r="H2461" s="49"/>
      <c r="I2461" s="49"/>
      <c r="J2461" s="71"/>
      <c r="K2461" s="71"/>
      <c r="L2461" s="50"/>
      <c r="M2461" s="30"/>
      <c r="N2461" s="30"/>
      <c r="O2461" s="30"/>
      <c r="P2461" s="30"/>
      <c r="Q2461" s="30"/>
      <c r="R2461" s="30"/>
      <c r="S2461" s="30"/>
      <c r="T2461" s="30"/>
      <c r="U2461" s="30"/>
      <c r="V2461" s="30"/>
      <c r="W2461" s="30"/>
      <c r="X2461" s="30"/>
      <c r="Y2461" s="30"/>
      <c r="Z2461" s="30"/>
      <c r="AA2461" s="30"/>
      <c r="AB2461" s="30"/>
      <c r="AC2461" s="30"/>
      <c r="AD2461" s="30"/>
      <c r="AE2461" s="30"/>
    </row>
    <row r="2462" spans="1:31" ht="13">
      <c r="A2462" s="30"/>
      <c r="B2462" s="30"/>
      <c r="C2462" s="30"/>
      <c r="D2462" s="30"/>
      <c r="E2462" s="30"/>
      <c r="F2462" s="48"/>
      <c r="G2462" s="49"/>
      <c r="H2462" s="49"/>
      <c r="I2462" s="49"/>
      <c r="J2462" s="71"/>
      <c r="K2462" s="71"/>
      <c r="L2462" s="50"/>
      <c r="M2462" s="30"/>
      <c r="N2462" s="30"/>
      <c r="O2462" s="30"/>
      <c r="P2462" s="30"/>
      <c r="Q2462" s="30"/>
      <c r="R2462" s="30"/>
      <c r="S2462" s="30"/>
      <c r="T2462" s="30"/>
      <c r="U2462" s="30"/>
      <c r="V2462" s="30"/>
      <c r="W2462" s="30"/>
      <c r="X2462" s="30"/>
      <c r="Y2462" s="30"/>
      <c r="Z2462" s="30"/>
      <c r="AA2462" s="30"/>
      <c r="AB2462" s="30"/>
      <c r="AC2462" s="30"/>
      <c r="AD2462" s="30"/>
      <c r="AE2462" s="30"/>
    </row>
    <row r="2463" spans="1:31" ht="13">
      <c r="A2463" s="30"/>
      <c r="B2463" s="30"/>
      <c r="C2463" s="30"/>
      <c r="D2463" s="30"/>
      <c r="E2463" s="30"/>
      <c r="F2463" s="48"/>
      <c r="G2463" s="49"/>
      <c r="H2463" s="49"/>
      <c r="I2463" s="49"/>
      <c r="J2463" s="71"/>
      <c r="K2463" s="71"/>
      <c r="L2463" s="50"/>
      <c r="M2463" s="30"/>
      <c r="N2463" s="30"/>
      <c r="O2463" s="30"/>
      <c r="P2463" s="30"/>
      <c r="Q2463" s="30"/>
      <c r="R2463" s="30"/>
      <c r="S2463" s="30"/>
      <c r="T2463" s="30"/>
      <c r="U2463" s="30"/>
      <c r="V2463" s="30"/>
      <c r="W2463" s="30"/>
      <c r="X2463" s="30"/>
      <c r="Y2463" s="30"/>
      <c r="Z2463" s="30"/>
      <c r="AA2463" s="30"/>
      <c r="AB2463" s="30"/>
      <c r="AC2463" s="30"/>
      <c r="AD2463" s="30"/>
      <c r="AE2463" s="30"/>
    </row>
    <row r="2464" spans="1:31" ht="13">
      <c r="A2464" s="30"/>
      <c r="B2464" s="30"/>
      <c r="C2464" s="30"/>
      <c r="D2464" s="30"/>
      <c r="E2464" s="30"/>
      <c r="F2464" s="48"/>
      <c r="G2464" s="49"/>
      <c r="H2464" s="49"/>
      <c r="I2464" s="49"/>
      <c r="J2464" s="71"/>
      <c r="K2464" s="71"/>
      <c r="L2464" s="50"/>
      <c r="M2464" s="30"/>
      <c r="N2464" s="30"/>
      <c r="O2464" s="30"/>
      <c r="P2464" s="30"/>
      <c r="Q2464" s="30"/>
      <c r="R2464" s="30"/>
      <c r="S2464" s="30"/>
      <c r="T2464" s="30"/>
      <c r="U2464" s="30"/>
      <c r="V2464" s="30"/>
      <c r="W2464" s="30"/>
      <c r="X2464" s="30"/>
      <c r="Y2464" s="30"/>
      <c r="Z2464" s="30"/>
      <c r="AA2464" s="30"/>
      <c r="AB2464" s="30"/>
      <c r="AC2464" s="30"/>
      <c r="AD2464" s="30"/>
      <c r="AE2464" s="30"/>
    </row>
    <row r="2465" spans="1:31" ht="13">
      <c r="A2465" s="30"/>
      <c r="B2465" s="30"/>
      <c r="C2465" s="30"/>
      <c r="D2465" s="30"/>
      <c r="E2465" s="30"/>
      <c r="F2465" s="48"/>
      <c r="G2465" s="49"/>
      <c r="H2465" s="49"/>
      <c r="I2465" s="49"/>
      <c r="J2465" s="71"/>
      <c r="K2465" s="71"/>
      <c r="L2465" s="50"/>
      <c r="M2465" s="30"/>
      <c r="N2465" s="30"/>
      <c r="O2465" s="30"/>
      <c r="P2465" s="30"/>
      <c r="Q2465" s="30"/>
      <c r="R2465" s="30"/>
      <c r="S2465" s="30"/>
      <c r="T2465" s="30"/>
      <c r="U2465" s="30"/>
      <c r="V2465" s="30"/>
      <c r="W2465" s="30"/>
      <c r="X2465" s="30"/>
      <c r="Y2465" s="30"/>
      <c r="Z2465" s="30"/>
      <c r="AA2465" s="30"/>
      <c r="AB2465" s="30"/>
      <c r="AC2465" s="30"/>
      <c r="AD2465" s="30"/>
      <c r="AE2465" s="30"/>
    </row>
    <row r="2466" spans="1:31" ht="13">
      <c r="A2466" s="30"/>
      <c r="B2466" s="30"/>
      <c r="C2466" s="30"/>
      <c r="D2466" s="30"/>
      <c r="E2466" s="30"/>
      <c r="F2466" s="48"/>
      <c r="G2466" s="49"/>
      <c r="H2466" s="49"/>
      <c r="I2466" s="49"/>
      <c r="J2466" s="71"/>
      <c r="K2466" s="71"/>
      <c r="L2466" s="50"/>
      <c r="M2466" s="30"/>
      <c r="N2466" s="30"/>
      <c r="O2466" s="30"/>
      <c r="P2466" s="30"/>
      <c r="Q2466" s="30"/>
      <c r="R2466" s="30"/>
      <c r="S2466" s="30"/>
      <c r="T2466" s="30"/>
      <c r="U2466" s="30"/>
      <c r="V2466" s="30"/>
      <c r="W2466" s="30"/>
      <c r="X2466" s="30"/>
      <c r="Y2466" s="30"/>
      <c r="Z2466" s="30"/>
      <c r="AA2466" s="30"/>
      <c r="AB2466" s="30"/>
      <c r="AC2466" s="30"/>
      <c r="AD2466" s="30"/>
      <c r="AE2466" s="30"/>
    </row>
    <row r="2467" spans="1:31" ht="13">
      <c r="A2467" s="30"/>
      <c r="B2467" s="30"/>
      <c r="C2467" s="30"/>
      <c r="D2467" s="30"/>
      <c r="E2467" s="30"/>
      <c r="F2467" s="48"/>
      <c r="G2467" s="49"/>
      <c r="H2467" s="49"/>
      <c r="I2467" s="49"/>
      <c r="J2467" s="71"/>
      <c r="K2467" s="71"/>
      <c r="L2467" s="50"/>
      <c r="M2467" s="30"/>
      <c r="N2467" s="30"/>
      <c r="O2467" s="30"/>
      <c r="P2467" s="30"/>
      <c r="Q2467" s="30"/>
      <c r="R2467" s="30"/>
      <c r="S2467" s="30"/>
      <c r="T2467" s="30"/>
      <c r="U2467" s="30"/>
      <c r="V2467" s="30"/>
      <c r="W2467" s="30"/>
      <c r="X2467" s="30"/>
      <c r="Y2467" s="30"/>
      <c r="Z2467" s="30"/>
      <c r="AA2467" s="30"/>
      <c r="AB2467" s="30"/>
      <c r="AC2467" s="30"/>
      <c r="AD2467" s="30"/>
      <c r="AE2467" s="30"/>
    </row>
    <row r="2468" spans="1:31" ht="13">
      <c r="A2468" s="30"/>
      <c r="B2468" s="30"/>
      <c r="C2468" s="30"/>
      <c r="D2468" s="30"/>
      <c r="E2468" s="30"/>
      <c r="F2468" s="48"/>
      <c r="G2468" s="49"/>
      <c r="H2468" s="49"/>
      <c r="I2468" s="49"/>
      <c r="J2468" s="71"/>
      <c r="K2468" s="71"/>
      <c r="L2468" s="50"/>
      <c r="M2468" s="30"/>
      <c r="N2468" s="30"/>
      <c r="O2468" s="30"/>
      <c r="P2468" s="30"/>
      <c r="Q2468" s="30"/>
      <c r="R2468" s="30"/>
      <c r="S2468" s="30"/>
      <c r="T2468" s="30"/>
      <c r="U2468" s="30"/>
      <c r="V2468" s="30"/>
      <c r="W2468" s="30"/>
      <c r="X2468" s="30"/>
      <c r="Y2468" s="30"/>
      <c r="Z2468" s="30"/>
      <c r="AA2468" s="30"/>
      <c r="AB2468" s="30"/>
      <c r="AC2468" s="30"/>
      <c r="AD2468" s="30"/>
      <c r="AE2468" s="30"/>
    </row>
    <row r="2469" spans="1:31" ht="13">
      <c r="A2469" s="30"/>
      <c r="B2469" s="30"/>
      <c r="C2469" s="30"/>
      <c r="D2469" s="30"/>
      <c r="E2469" s="30"/>
      <c r="F2469" s="48"/>
      <c r="G2469" s="49"/>
      <c r="H2469" s="49"/>
      <c r="I2469" s="49"/>
      <c r="J2469" s="71"/>
      <c r="K2469" s="71"/>
      <c r="L2469" s="50"/>
      <c r="M2469" s="30"/>
      <c r="N2469" s="30"/>
      <c r="O2469" s="30"/>
      <c r="P2469" s="30"/>
      <c r="Q2469" s="30"/>
      <c r="R2469" s="30"/>
      <c r="S2469" s="30"/>
      <c r="T2469" s="30"/>
      <c r="U2469" s="30"/>
      <c r="V2469" s="30"/>
      <c r="W2469" s="30"/>
      <c r="X2469" s="30"/>
      <c r="Y2469" s="30"/>
      <c r="Z2469" s="30"/>
      <c r="AA2469" s="30"/>
      <c r="AB2469" s="30"/>
      <c r="AC2469" s="30"/>
      <c r="AD2469" s="30"/>
      <c r="AE2469" s="30"/>
    </row>
    <row r="2470" spans="1:31" ht="13">
      <c r="A2470" s="30"/>
      <c r="B2470" s="30"/>
      <c r="C2470" s="30"/>
      <c r="D2470" s="30"/>
      <c r="E2470" s="30"/>
      <c r="F2470" s="48"/>
      <c r="G2470" s="49"/>
      <c r="H2470" s="49"/>
      <c r="I2470" s="49"/>
      <c r="J2470" s="71"/>
      <c r="K2470" s="71"/>
      <c r="L2470" s="50"/>
      <c r="M2470" s="30"/>
      <c r="N2470" s="30"/>
      <c r="O2470" s="30"/>
      <c r="P2470" s="30"/>
      <c r="Q2470" s="30"/>
      <c r="R2470" s="30"/>
      <c r="S2470" s="30"/>
      <c r="T2470" s="30"/>
      <c r="U2470" s="30"/>
      <c r="V2470" s="30"/>
      <c r="W2470" s="30"/>
      <c r="X2470" s="30"/>
      <c r="Y2470" s="30"/>
      <c r="Z2470" s="30"/>
      <c r="AA2470" s="30"/>
      <c r="AB2470" s="30"/>
      <c r="AC2470" s="30"/>
      <c r="AD2470" s="30"/>
      <c r="AE2470" s="30"/>
    </row>
    <row r="2471" spans="1:31" ht="13">
      <c r="A2471" s="30"/>
      <c r="B2471" s="30"/>
      <c r="C2471" s="30"/>
      <c r="D2471" s="30"/>
      <c r="E2471" s="30"/>
      <c r="F2471" s="48"/>
      <c r="G2471" s="49"/>
      <c r="H2471" s="49"/>
      <c r="I2471" s="49"/>
      <c r="J2471" s="71"/>
      <c r="K2471" s="71"/>
      <c r="L2471" s="50"/>
      <c r="M2471" s="30"/>
      <c r="N2471" s="30"/>
      <c r="O2471" s="30"/>
      <c r="P2471" s="30"/>
      <c r="Q2471" s="30"/>
      <c r="R2471" s="30"/>
      <c r="S2471" s="30"/>
      <c r="T2471" s="30"/>
      <c r="U2471" s="30"/>
      <c r="V2471" s="30"/>
      <c r="W2471" s="30"/>
      <c r="X2471" s="30"/>
      <c r="Y2471" s="30"/>
      <c r="Z2471" s="30"/>
      <c r="AA2471" s="30"/>
      <c r="AB2471" s="30"/>
      <c r="AC2471" s="30"/>
      <c r="AD2471" s="30"/>
      <c r="AE2471" s="30"/>
    </row>
    <row r="2472" spans="1:31" ht="13">
      <c r="A2472" s="30"/>
      <c r="B2472" s="30"/>
      <c r="C2472" s="30"/>
      <c r="D2472" s="30"/>
      <c r="E2472" s="30"/>
      <c r="F2472" s="48"/>
      <c r="G2472" s="49"/>
      <c r="H2472" s="49"/>
      <c r="I2472" s="49"/>
      <c r="J2472" s="71"/>
      <c r="K2472" s="71"/>
      <c r="L2472" s="50"/>
      <c r="M2472" s="30"/>
      <c r="N2472" s="30"/>
      <c r="O2472" s="30"/>
      <c r="P2472" s="30"/>
      <c r="Q2472" s="30"/>
      <c r="R2472" s="30"/>
      <c r="S2472" s="30"/>
      <c r="T2472" s="30"/>
      <c r="U2472" s="30"/>
      <c r="V2472" s="30"/>
      <c r="W2472" s="30"/>
      <c r="X2472" s="30"/>
      <c r="Y2472" s="30"/>
      <c r="Z2472" s="30"/>
      <c r="AA2472" s="30"/>
      <c r="AB2472" s="30"/>
      <c r="AC2472" s="30"/>
      <c r="AD2472" s="30"/>
      <c r="AE2472" s="30"/>
    </row>
    <row r="2473" spans="1:31" ht="13">
      <c r="A2473" s="30"/>
      <c r="B2473" s="30"/>
      <c r="C2473" s="30"/>
      <c r="D2473" s="30"/>
      <c r="E2473" s="30"/>
      <c r="F2473" s="48"/>
      <c r="G2473" s="49"/>
      <c r="H2473" s="49"/>
      <c r="I2473" s="49"/>
      <c r="J2473" s="71"/>
      <c r="K2473" s="71"/>
      <c r="L2473" s="50"/>
      <c r="M2473" s="30"/>
      <c r="N2473" s="30"/>
      <c r="O2473" s="30"/>
      <c r="P2473" s="30"/>
      <c r="Q2473" s="30"/>
      <c r="R2473" s="30"/>
      <c r="S2473" s="30"/>
      <c r="T2473" s="30"/>
      <c r="U2473" s="30"/>
      <c r="V2473" s="30"/>
      <c r="W2473" s="30"/>
      <c r="X2473" s="30"/>
      <c r="Y2473" s="30"/>
      <c r="Z2473" s="30"/>
      <c r="AA2473" s="30"/>
      <c r="AB2473" s="30"/>
      <c r="AC2473" s="30"/>
      <c r="AD2473" s="30"/>
      <c r="AE2473" s="30"/>
    </row>
    <row r="2474" spans="1:31" ht="13">
      <c r="A2474" s="30"/>
      <c r="B2474" s="30"/>
      <c r="C2474" s="30"/>
      <c r="D2474" s="30"/>
      <c r="E2474" s="30"/>
      <c r="F2474" s="48"/>
      <c r="G2474" s="49"/>
      <c r="H2474" s="49"/>
      <c r="I2474" s="49"/>
      <c r="J2474" s="71"/>
      <c r="K2474" s="71"/>
      <c r="L2474" s="50"/>
      <c r="M2474" s="30"/>
      <c r="N2474" s="30"/>
      <c r="O2474" s="30"/>
      <c r="P2474" s="30"/>
      <c r="Q2474" s="30"/>
      <c r="R2474" s="30"/>
      <c r="S2474" s="30"/>
      <c r="T2474" s="30"/>
      <c r="U2474" s="30"/>
      <c r="V2474" s="30"/>
      <c r="W2474" s="30"/>
      <c r="X2474" s="30"/>
      <c r="Y2474" s="30"/>
      <c r="Z2474" s="30"/>
      <c r="AA2474" s="30"/>
      <c r="AB2474" s="30"/>
      <c r="AC2474" s="30"/>
      <c r="AD2474" s="30"/>
      <c r="AE2474" s="30"/>
    </row>
    <row r="2475" spans="1:31" ht="13">
      <c r="A2475" s="30"/>
      <c r="B2475" s="30"/>
      <c r="C2475" s="30"/>
      <c r="D2475" s="30"/>
      <c r="E2475" s="30"/>
      <c r="F2475" s="48"/>
      <c r="G2475" s="49"/>
      <c r="H2475" s="49"/>
      <c r="I2475" s="49"/>
      <c r="J2475" s="71"/>
      <c r="K2475" s="71"/>
      <c r="L2475" s="50"/>
      <c r="M2475" s="30"/>
      <c r="N2475" s="30"/>
      <c r="O2475" s="30"/>
      <c r="P2475" s="30"/>
      <c r="Q2475" s="30"/>
      <c r="R2475" s="30"/>
      <c r="S2475" s="30"/>
      <c r="T2475" s="30"/>
      <c r="U2475" s="30"/>
      <c r="V2475" s="30"/>
      <c r="W2475" s="30"/>
      <c r="X2475" s="30"/>
      <c r="Y2475" s="30"/>
      <c r="Z2475" s="30"/>
      <c r="AA2475" s="30"/>
      <c r="AB2475" s="30"/>
      <c r="AC2475" s="30"/>
      <c r="AD2475" s="30"/>
      <c r="AE2475" s="30"/>
    </row>
    <row r="2476" spans="1:31" ht="13">
      <c r="A2476" s="30"/>
      <c r="B2476" s="30"/>
      <c r="C2476" s="30"/>
      <c r="D2476" s="30"/>
      <c r="E2476" s="30"/>
      <c r="F2476" s="48"/>
      <c r="G2476" s="49"/>
      <c r="H2476" s="49"/>
      <c r="I2476" s="49"/>
      <c r="J2476" s="71"/>
      <c r="K2476" s="71"/>
      <c r="L2476" s="50"/>
      <c r="M2476" s="30"/>
      <c r="N2476" s="30"/>
      <c r="O2476" s="30"/>
      <c r="P2476" s="30"/>
      <c r="Q2476" s="30"/>
      <c r="R2476" s="30"/>
      <c r="S2476" s="30"/>
      <c r="T2476" s="30"/>
      <c r="U2476" s="30"/>
      <c r="V2476" s="30"/>
      <c r="W2476" s="30"/>
      <c r="X2476" s="30"/>
      <c r="Y2476" s="30"/>
      <c r="Z2476" s="30"/>
      <c r="AA2476" s="30"/>
      <c r="AB2476" s="30"/>
      <c r="AC2476" s="30"/>
      <c r="AD2476" s="30"/>
      <c r="AE2476" s="30"/>
    </row>
    <row r="2477" spans="1:31" ht="13">
      <c r="A2477" s="30"/>
      <c r="B2477" s="30"/>
      <c r="C2477" s="30"/>
      <c r="D2477" s="30"/>
      <c r="E2477" s="30"/>
      <c r="F2477" s="48"/>
      <c r="G2477" s="49"/>
      <c r="H2477" s="49"/>
      <c r="I2477" s="49"/>
      <c r="J2477" s="71"/>
      <c r="K2477" s="71"/>
      <c r="L2477" s="50"/>
      <c r="M2477" s="30"/>
      <c r="N2477" s="30"/>
      <c r="O2477" s="30"/>
      <c r="P2477" s="30"/>
      <c r="Q2477" s="30"/>
      <c r="R2477" s="30"/>
      <c r="S2477" s="30"/>
      <c r="T2477" s="30"/>
      <c r="U2477" s="30"/>
      <c r="V2477" s="30"/>
      <c r="W2477" s="30"/>
      <c r="X2477" s="30"/>
      <c r="Y2477" s="30"/>
      <c r="Z2477" s="30"/>
      <c r="AA2477" s="30"/>
      <c r="AB2477" s="30"/>
      <c r="AC2477" s="30"/>
      <c r="AD2477" s="30"/>
      <c r="AE2477" s="30"/>
    </row>
    <row r="2478" spans="1:31" ht="13">
      <c r="A2478" s="30"/>
      <c r="B2478" s="30"/>
      <c r="C2478" s="30"/>
      <c r="D2478" s="30"/>
      <c r="E2478" s="30"/>
      <c r="F2478" s="48"/>
      <c r="G2478" s="49"/>
      <c r="H2478" s="49"/>
      <c r="I2478" s="49"/>
      <c r="J2478" s="71"/>
      <c r="K2478" s="71"/>
      <c r="L2478" s="50"/>
      <c r="M2478" s="30"/>
      <c r="N2478" s="30"/>
      <c r="O2478" s="30"/>
      <c r="P2478" s="30"/>
      <c r="Q2478" s="30"/>
      <c r="R2478" s="30"/>
      <c r="S2478" s="30"/>
      <c r="T2478" s="30"/>
      <c r="U2478" s="30"/>
      <c r="V2478" s="30"/>
      <c r="W2478" s="30"/>
      <c r="X2478" s="30"/>
      <c r="Y2478" s="30"/>
      <c r="Z2478" s="30"/>
      <c r="AA2478" s="30"/>
      <c r="AB2478" s="30"/>
      <c r="AC2478" s="30"/>
      <c r="AD2478" s="30"/>
      <c r="AE2478" s="30"/>
    </row>
    <row r="2479" spans="1:31" ht="13">
      <c r="A2479" s="30"/>
      <c r="B2479" s="30"/>
      <c r="C2479" s="30"/>
      <c r="D2479" s="30"/>
      <c r="E2479" s="30"/>
      <c r="F2479" s="48"/>
      <c r="G2479" s="49"/>
      <c r="H2479" s="49"/>
      <c r="I2479" s="49"/>
      <c r="J2479" s="71"/>
      <c r="K2479" s="71"/>
      <c r="L2479" s="50"/>
      <c r="M2479" s="30"/>
      <c r="N2479" s="30"/>
      <c r="O2479" s="30"/>
      <c r="P2479" s="30"/>
      <c r="Q2479" s="30"/>
      <c r="R2479" s="30"/>
      <c r="S2479" s="30"/>
      <c r="T2479" s="30"/>
      <c r="U2479" s="30"/>
      <c r="V2479" s="30"/>
      <c r="W2479" s="30"/>
      <c r="X2479" s="30"/>
      <c r="Y2479" s="30"/>
      <c r="Z2479" s="30"/>
      <c r="AA2479" s="30"/>
      <c r="AB2479" s="30"/>
      <c r="AC2479" s="30"/>
      <c r="AD2479" s="30"/>
      <c r="AE2479" s="30"/>
    </row>
    <row r="2480" spans="1:31" ht="13">
      <c r="A2480" s="30"/>
      <c r="B2480" s="30"/>
      <c r="C2480" s="30"/>
      <c r="D2480" s="30"/>
      <c r="E2480" s="30"/>
      <c r="F2480" s="48"/>
      <c r="G2480" s="49"/>
      <c r="H2480" s="49"/>
      <c r="I2480" s="49"/>
      <c r="J2480" s="71"/>
      <c r="K2480" s="71"/>
      <c r="L2480" s="50"/>
      <c r="M2480" s="30"/>
      <c r="N2480" s="30"/>
      <c r="O2480" s="30"/>
      <c r="P2480" s="30"/>
      <c r="Q2480" s="30"/>
      <c r="R2480" s="30"/>
      <c r="S2480" s="30"/>
      <c r="T2480" s="30"/>
      <c r="U2480" s="30"/>
      <c r="V2480" s="30"/>
      <c r="W2480" s="30"/>
      <c r="X2480" s="30"/>
      <c r="Y2480" s="30"/>
      <c r="Z2480" s="30"/>
      <c r="AA2480" s="30"/>
      <c r="AB2480" s="30"/>
      <c r="AC2480" s="30"/>
      <c r="AD2480" s="30"/>
      <c r="AE2480" s="30"/>
    </row>
    <row r="2481" spans="1:31" ht="13">
      <c r="A2481" s="30"/>
      <c r="B2481" s="30"/>
      <c r="C2481" s="30"/>
      <c r="D2481" s="30"/>
      <c r="E2481" s="30"/>
      <c r="F2481" s="48"/>
      <c r="G2481" s="49"/>
      <c r="H2481" s="49"/>
      <c r="I2481" s="49"/>
      <c r="J2481" s="71"/>
      <c r="K2481" s="71"/>
      <c r="L2481" s="50"/>
      <c r="M2481" s="30"/>
      <c r="N2481" s="30"/>
      <c r="O2481" s="30"/>
      <c r="P2481" s="30"/>
      <c r="Q2481" s="30"/>
      <c r="R2481" s="30"/>
      <c r="S2481" s="30"/>
      <c r="T2481" s="30"/>
      <c r="U2481" s="30"/>
      <c r="V2481" s="30"/>
      <c r="W2481" s="30"/>
      <c r="X2481" s="30"/>
      <c r="Y2481" s="30"/>
      <c r="Z2481" s="30"/>
      <c r="AA2481" s="30"/>
      <c r="AB2481" s="30"/>
      <c r="AC2481" s="30"/>
      <c r="AD2481" s="30"/>
      <c r="AE2481" s="30"/>
    </row>
    <row r="2482" spans="1:31" ht="13">
      <c r="A2482" s="30"/>
      <c r="B2482" s="30"/>
      <c r="C2482" s="30"/>
      <c r="D2482" s="30"/>
      <c r="E2482" s="30"/>
      <c r="F2482" s="48"/>
      <c r="G2482" s="49"/>
      <c r="H2482" s="49"/>
      <c r="I2482" s="49"/>
      <c r="J2482" s="71"/>
      <c r="K2482" s="71"/>
      <c r="L2482" s="50"/>
      <c r="M2482" s="30"/>
      <c r="N2482" s="30"/>
      <c r="O2482" s="30"/>
      <c r="P2482" s="30"/>
      <c r="Q2482" s="30"/>
      <c r="R2482" s="30"/>
      <c r="S2482" s="30"/>
      <c r="T2482" s="30"/>
      <c r="U2482" s="30"/>
      <c r="V2482" s="30"/>
      <c r="W2482" s="30"/>
      <c r="X2482" s="30"/>
      <c r="Y2482" s="30"/>
      <c r="Z2482" s="30"/>
      <c r="AA2482" s="30"/>
      <c r="AB2482" s="30"/>
      <c r="AC2482" s="30"/>
      <c r="AD2482" s="30"/>
      <c r="AE2482" s="30"/>
    </row>
    <row r="2483" spans="1:31" ht="13">
      <c r="A2483" s="30"/>
      <c r="B2483" s="30"/>
      <c r="C2483" s="30"/>
      <c r="D2483" s="30"/>
      <c r="E2483" s="30"/>
      <c r="F2483" s="48"/>
      <c r="G2483" s="49"/>
      <c r="H2483" s="49"/>
      <c r="I2483" s="49"/>
      <c r="J2483" s="71"/>
      <c r="K2483" s="71"/>
      <c r="L2483" s="50"/>
      <c r="M2483" s="30"/>
      <c r="N2483" s="30"/>
      <c r="O2483" s="30"/>
      <c r="P2483" s="30"/>
      <c r="Q2483" s="30"/>
      <c r="R2483" s="30"/>
      <c r="S2483" s="30"/>
      <c r="T2483" s="30"/>
      <c r="U2483" s="30"/>
      <c r="V2483" s="30"/>
      <c r="W2483" s="30"/>
      <c r="X2483" s="30"/>
      <c r="Y2483" s="30"/>
      <c r="Z2483" s="30"/>
      <c r="AA2483" s="30"/>
      <c r="AB2483" s="30"/>
      <c r="AC2483" s="30"/>
      <c r="AD2483" s="30"/>
      <c r="AE2483" s="30"/>
    </row>
    <row r="2484" spans="1:31" ht="13">
      <c r="A2484" s="30"/>
      <c r="B2484" s="30"/>
      <c r="C2484" s="30"/>
      <c r="D2484" s="30"/>
      <c r="E2484" s="30"/>
      <c r="F2484" s="48"/>
      <c r="G2484" s="49"/>
      <c r="H2484" s="49"/>
      <c r="I2484" s="49"/>
      <c r="J2484" s="71"/>
      <c r="K2484" s="71"/>
      <c r="L2484" s="50"/>
      <c r="M2484" s="30"/>
      <c r="N2484" s="30"/>
      <c r="O2484" s="30"/>
      <c r="P2484" s="30"/>
      <c r="Q2484" s="30"/>
      <c r="R2484" s="30"/>
      <c r="S2484" s="30"/>
      <c r="T2484" s="30"/>
      <c r="U2484" s="30"/>
      <c r="V2484" s="30"/>
      <c r="W2484" s="30"/>
      <c r="X2484" s="30"/>
      <c r="Y2484" s="30"/>
      <c r="Z2484" s="30"/>
      <c r="AA2484" s="30"/>
      <c r="AB2484" s="30"/>
      <c r="AC2484" s="30"/>
      <c r="AD2484" s="30"/>
      <c r="AE2484" s="30"/>
    </row>
    <row r="2485" spans="1:31" ht="13">
      <c r="A2485" s="30"/>
      <c r="B2485" s="30"/>
      <c r="C2485" s="30"/>
      <c r="D2485" s="30"/>
      <c r="E2485" s="30"/>
      <c r="F2485" s="48"/>
      <c r="G2485" s="49"/>
      <c r="H2485" s="49"/>
      <c r="I2485" s="49"/>
      <c r="J2485" s="71"/>
      <c r="K2485" s="71"/>
      <c r="L2485" s="50"/>
      <c r="M2485" s="30"/>
      <c r="N2485" s="30"/>
      <c r="O2485" s="30"/>
      <c r="P2485" s="30"/>
      <c r="Q2485" s="30"/>
      <c r="R2485" s="30"/>
      <c r="S2485" s="30"/>
      <c r="T2485" s="30"/>
      <c r="U2485" s="30"/>
      <c r="V2485" s="30"/>
      <c r="W2485" s="30"/>
      <c r="X2485" s="30"/>
      <c r="Y2485" s="30"/>
      <c r="Z2485" s="30"/>
      <c r="AA2485" s="30"/>
      <c r="AB2485" s="30"/>
      <c r="AC2485" s="30"/>
      <c r="AD2485" s="30"/>
      <c r="AE2485" s="30"/>
    </row>
    <row r="2486" spans="1:31" ht="13">
      <c r="A2486" s="30"/>
      <c r="B2486" s="30"/>
      <c r="C2486" s="30"/>
      <c r="D2486" s="30"/>
      <c r="E2486" s="30"/>
      <c r="F2486" s="48"/>
      <c r="G2486" s="49"/>
      <c r="H2486" s="49"/>
      <c r="I2486" s="49"/>
      <c r="J2486" s="71"/>
      <c r="K2486" s="71"/>
      <c r="L2486" s="50"/>
      <c r="M2486" s="30"/>
      <c r="N2486" s="30"/>
      <c r="O2486" s="30"/>
      <c r="P2486" s="30"/>
      <c r="Q2486" s="30"/>
      <c r="R2486" s="30"/>
      <c r="S2486" s="30"/>
      <c r="T2486" s="30"/>
      <c r="U2486" s="30"/>
      <c r="V2486" s="30"/>
      <c r="W2486" s="30"/>
      <c r="X2486" s="30"/>
      <c r="Y2486" s="30"/>
      <c r="Z2486" s="30"/>
      <c r="AA2486" s="30"/>
      <c r="AB2486" s="30"/>
      <c r="AC2486" s="30"/>
      <c r="AD2486" s="30"/>
      <c r="AE2486" s="30"/>
    </row>
    <row r="2487" spans="1:31" ht="13">
      <c r="A2487" s="30"/>
      <c r="B2487" s="30"/>
      <c r="C2487" s="30"/>
      <c r="D2487" s="30"/>
      <c r="E2487" s="30"/>
      <c r="F2487" s="48"/>
      <c r="G2487" s="49"/>
      <c r="H2487" s="49"/>
      <c r="I2487" s="49"/>
      <c r="J2487" s="71"/>
      <c r="K2487" s="71"/>
      <c r="L2487" s="50"/>
      <c r="M2487" s="30"/>
      <c r="N2487" s="30"/>
      <c r="O2487" s="30"/>
      <c r="P2487" s="30"/>
      <c r="Q2487" s="30"/>
      <c r="R2487" s="30"/>
      <c r="S2487" s="30"/>
      <c r="T2487" s="30"/>
      <c r="U2487" s="30"/>
      <c r="V2487" s="30"/>
      <c r="W2487" s="30"/>
      <c r="X2487" s="30"/>
      <c r="Y2487" s="30"/>
      <c r="Z2487" s="30"/>
      <c r="AA2487" s="30"/>
      <c r="AB2487" s="30"/>
      <c r="AC2487" s="30"/>
      <c r="AD2487" s="30"/>
      <c r="AE2487" s="30"/>
    </row>
    <row r="2488" spans="1:31" ht="13">
      <c r="A2488" s="30"/>
      <c r="B2488" s="30"/>
      <c r="C2488" s="30"/>
      <c r="D2488" s="30"/>
      <c r="E2488" s="30"/>
      <c r="F2488" s="48"/>
      <c r="G2488" s="49"/>
      <c r="H2488" s="49"/>
      <c r="I2488" s="49"/>
      <c r="J2488" s="71"/>
      <c r="K2488" s="71"/>
      <c r="L2488" s="50"/>
      <c r="M2488" s="30"/>
      <c r="N2488" s="30"/>
      <c r="O2488" s="30"/>
      <c r="P2488" s="30"/>
      <c r="Q2488" s="30"/>
      <c r="R2488" s="30"/>
      <c r="S2488" s="30"/>
      <c r="T2488" s="30"/>
      <c r="U2488" s="30"/>
      <c r="V2488" s="30"/>
      <c r="W2488" s="30"/>
      <c r="X2488" s="30"/>
      <c r="Y2488" s="30"/>
      <c r="Z2488" s="30"/>
      <c r="AA2488" s="30"/>
      <c r="AB2488" s="30"/>
      <c r="AC2488" s="30"/>
      <c r="AD2488" s="30"/>
      <c r="AE2488" s="30"/>
    </row>
    <row r="2489" spans="1:31" ht="13">
      <c r="A2489" s="30"/>
      <c r="B2489" s="30"/>
      <c r="C2489" s="30"/>
      <c r="D2489" s="30"/>
      <c r="E2489" s="30"/>
      <c r="F2489" s="48"/>
      <c r="G2489" s="49"/>
      <c r="H2489" s="49"/>
      <c r="I2489" s="49"/>
      <c r="J2489" s="71"/>
      <c r="K2489" s="71"/>
      <c r="L2489" s="50"/>
      <c r="M2489" s="30"/>
      <c r="N2489" s="30"/>
      <c r="O2489" s="30"/>
      <c r="P2489" s="30"/>
      <c r="Q2489" s="30"/>
      <c r="R2489" s="30"/>
      <c r="S2489" s="30"/>
      <c r="T2489" s="30"/>
      <c r="U2489" s="30"/>
      <c r="V2489" s="30"/>
      <c r="W2489" s="30"/>
      <c r="X2489" s="30"/>
      <c r="Y2489" s="30"/>
      <c r="Z2489" s="30"/>
      <c r="AA2489" s="30"/>
      <c r="AB2489" s="30"/>
      <c r="AC2489" s="30"/>
      <c r="AD2489" s="30"/>
      <c r="AE2489" s="30"/>
    </row>
    <row r="2490" spans="1:31" ht="13">
      <c r="A2490" s="30"/>
      <c r="B2490" s="30"/>
      <c r="C2490" s="30"/>
      <c r="D2490" s="30"/>
      <c r="E2490" s="30"/>
      <c r="F2490" s="48"/>
      <c r="G2490" s="49"/>
      <c r="H2490" s="49"/>
      <c r="I2490" s="49"/>
      <c r="J2490" s="71"/>
      <c r="K2490" s="71"/>
      <c r="L2490" s="50"/>
      <c r="M2490" s="30"/>
      <c r="N2490" s="30"/>
      <c r="O2490" s="30"/>
      <c r="P2490" s="30"/>
      <c r="Q2490" s="30"/>
      <c r="R2490" s="30"/>
      <c r="S2490" s="30"/>
      <c r="T2490" s="30"/>
      <c r="U2490" s="30"/>
      <c r="V2490" s="30"/>
      <c r="W2490" s="30"/>
      <c r="X2490" s="30"/>
      <c r="Y2490" s="30"/>
      <c r="Z2490" s="30"/>
      <c r="AA2490" s="30"/>
      <c r="AB2490" s="30"/>
      <c r="AC2490" s="30"/>
      <c r="AD2490" s="30"/>
      <c r="AE2490" s="30"/>
    </row>
    <row r="2491" spans="1:31" ht="13">
      <c r="A2491" s="30"/>
      <c r="B2491" s="30"/>
      <c r="C2491" s="30"/>
      <c r="D2491" s="30"/>
      <c r="E2491" s="30"/>
      <c r="F2491" s="48"/>
      <c r="G2491" s="49"/>
      <c r="H2491" s="49"/>
      <c r="I2491" s="49"/>
      <c r="J2491" s="71"/>
      <c r="K2491" s="71"/>
      <c r="L2491" s="50"/>
      <c r="M2491" s="30"/>
      <c r="N2491" s="30"/>
      <c r="O2491" s="30"/>
      <c r="P2491" s="30"/>
      <c r="Q2491" s="30"/>
      <c r="R2491" s="30"/>
      <c r="S2491" s="30"/>
      <c r="T2491" s="30"/>
      <c r="U2491" s="30"/>
      <c r="V2491" s="30"/>
      <c r="W2491" s="30"/>
      <c r="X2491" s="30"/>
      <c r="Y2491" s="30"/>
      <c r="Z2491" s="30"/>
      <c r="AA2491" s="30"/>
      <c r="AB2491" s="30"/>
      <c r="AC2491" s="30"/>
      <c r="AD2491" s="30"/>
      <c r="AE2491" s="30"/>
    </row>
    <row r="2492" spans="1:31" ht="13">
      <c r="A2492" s="30"/>
      <c r="B2492" s="30"/>
      <c r="C2492" s="30"/>
      <c r="D2492" s="30"/>
      <c r="E2492" s="30"/>
      <c r="F2492" s="48"/>
      <c r="G2492" s="49"/>
      <c r="H2492" s="49"/>
      <c r="I2492" s="49"/>
      <c r="J2492" s="71"/>
      <c r="K2492" s="71"/>
      <c r="L2492" s="50"/>
      <c r="M2492" s="30"/>
      <c r="N2492" s="30"/>
      <c r="O2492" s="30"/>
      <c r="P2492" s="30"/>
      <c r="Q2492" s="30"/>
      <c r="R2492" s="30"/>
      <c r="S2492" s="30"/>
      <c r="T2492" s="30"/>
      <c r="U2492" s="30"/>
      <c r="V2492" s="30"/>
      <c r="W2492" s="30"/>
      <c r="X2492" s="30"/>
      <c r="Y2492" s="30"/>
      <c r="Z2492" s="30"/>
      <c r="AA2492" s="30"/>
      <c r="AB2492" s="30"/>
      <c r="AC2492" s="30"/>
      <c r="AD2492" s="30"/>
      <c r="AE2492" s="30"/>
    </row>
    <row r="2493" spans="1:31" ht="13">
      <c r="A2493" s="30"/>
      <c r="B2493" s="30"/>
      <c r="C2493" s="30"/>
      <c r="D2493" s="30"/>
      <c r="E2493" s="30"/>
      <c r="F2493" s="48"/>
      <c r="G2493" s="49"/>
      <c r="H2493" s="49"/>
      <c r="I2493" s="49"/>
      <c r="J2493" s="71"/>
      <c r="K2493" s="71"/>
      <c r="L2493" s="50"/>
      <c r="M2493" s="30"/>
      <c r="N2493" s="30"/>
      <c r="O2493" s="30"/>
      <c r="P2493" s="30"/>
      <c r="Q2493" s="30"/>
      <c r="R2493" s="30"/>
      <c r="S2493" s="30"/>
      <c r="T2493" s="30"/>
      <c r="U2493" s="30"/>
      <c r="V2493" s="30"/>
      <c r="W2493" s="30"/>
      <c r="X2493" s="30"/>
      <c r="Y2493" s="30"/>
      <c r="Z2493" s="30"/>
      <c r="AA2493" s="30"/>
      <c r="AB2493" s="30"/>
      <c r="AC2493" s="30"/>
      <c r="AD2493" s="30"/>
      <c r="AE2493" s="30"/>
    </row>
    <row r="2494" spans="1:31" ht="13">
      <c r="A2494" s="30"/>
      <c r="B2494" s="30"/>
      <c r="C2494" s="30"/>
      <c r="D2494" s="30"/>
      <c r="E2494" s="30"/>
      <c r="F2494" s="48"/>
      <c r="G2494" s="49"/>
      <c r="H2494" s="49"/>
      <c r="I2494" s="49"/>
      <c r="J2494" s="71"/>
      <c r="K2494" s="71"/>
      <c r="L2494" s="50"/>
      <c r="M2494" s="30"/>
      <c r="N2494" s="30"/>
      <c r="O2494" s="30"/>
      <c r="P2494" s="30"/>
      <c r="Q2494" s="30"/>
      <c r="R2494" s="30"/>
      <c r="S2494" s="30"/>
      <c r="T2494" s="30"/>
      <c r="U2494" s="30"/>
      <c r="V2494" s="30"/>
      <c r="W2494" s="30"/>
      <c r="X2494" s="30"/>
      <c r="Y2494" s="30"/>
      <c r="Z2494" s="30"/>
      <c r="AA2494" s="30"/>
      <c r="AB2494" s="30"/>
      <c r="AC2494" s="30"/>
      <c r="AD2494" s="30"/>
      <c r="AE2494" s="30"/>
    </row>
    <row r="2495" spans="1:31" ht="13">
      <c r="A2495" s="30"/>
      <c r="B2495" s="30"/>
      <c r="C2495" s="30"/>
      <c r="D2495" s="30"/>
      <c r="E2495" s="30"/>
      <c r="F2495" s="48"/>
      <c r="G2495" s="49"/>
      <c r="H2495" s="49"/>
      <c r="I2495" s="49"/>
      <c r="J2495" s="71"/>
      <c r="K2495" s="71"/>
      <c r="L2495" s="50"/>
      <c r="M2495" s="30"/>
      <c r="N2495" s="30"/>
      <c r="O2495" s="30"/>
      <c r="P2495" s="30"/>
      <c r="Q2495" s="30"/>
      <c r="R2495" s="30"/>
      <c r="S2495" s="30"/>
      <c r="T2495" s="30"/>
      <c r="U2495" s="30"/>
      <c r="V2495" s="30"/>
      <c r="W2495" s="30"/>
      <c r="X2495" s="30"/>
      <c r="Y2495" s="30"/>
      <c r="Z2495" s="30"/>
      <c r="AA2495" s="30"/>
      <c r="AB2495" s="30"/>
      <c r="AC2495" s="30"/>
      <c r="AD2495" s="30"/>
      <c r="AE2495" s="30"/>
    </row>
    <row r="2496" spans="1:31" ht="13">
      <c r="A2496" s="30"/>
      <c r="B2496" s="30"/>
      <c r="C2496" s="30"/>
      <c r="D2496" s="30"/>
      <c r="E2496" s="30"/>
      <c r="F2496" s="48"/>
      <c r="G2496" s="49"/>
      <c r="H2496" s="49"/>
      <c r="I2496" s="49"/>
      <c r="J2496" s="71"/>
      <c r="K2496" s="71"/>
      <c r="L2496" s="50"/>
      <c r="M2496" s="30"/>
      <c r="N2496" s="30"/>
      <c r="O2496" s="30"/>
      <c r="P2496" s="30"/>
      <c r="Q2496" s="30"/>
      <c r="R2496" s="30"/>
      <c r="S2496" s="30"/>
      <c r="T2496" s="30"/>
      <c r="U2496" s="30"/>
      <c r="V2496" s="30"/>
      <c r="W2496" s="30"/>
      <c r="X2496" s="30"/>
      <c r="Y2496" s="30"/>
      <c r="Z2496" s="30"/>
      <c r="AA2496" s="30"/>
      <c r="AB2496" s="30"/>
      <c r="AC2496" s="30"/>
      <c r="AD2496" s="30"/>
      <c r="AE2496" s="30"/>
    </row>
    <row r="2497" spans="1:31" ht="13">
      <c r="A2497" s="30"/>
      <c r="B2497" s="30"/>
      <c r="C2497" s="30"/>
      <c r="D2497" s="30"/>
      <c r="E2497" s="30"/>
      <c r="F2497" s="48"/>
      <c r="G2497" s="49"/>
      <c r="H2497" s="49"/>
      <c r="I2497" s="49"/>
      <c r="J2497" s="71"/>
      <c r="K2497" s="71"/>
      <c r="L2497" s="50"/>
      <c r="M2497" s="30"/>
      <c r="N2497" s="30"/>
      <c r="O2497" s="30"/>
      <c r="P2497" s="30"/>
      <c r="Q2497" s="30"/>
      <c r="R2497" s="30"/>
      <c r="S2497" s="30"/>
      <c r="T2497" s="30"/>
      <c r="U2497" s="30"/>
      <c r="V2497" s="30"/>
      <c r="W2497" s="30"/>
      <c r="X2497" s="30"/>
      <c r="Y2497" s="30"/>
      <c r="Z2497" s="30"/>
      <c r="AA2497" s="30"/>
      <c r="AB2497" s="30"/>
      <c r="AC2497" s="30"/>
      <c r="AD2497" s="30"/>
      <c r="AE2497" s="30"/>
    </row>
    <row r="2498" spans="1:31" ht="13">
      <c r="A2498" s="30"/>
      <c r="B2498" s="30"/>
      <c r="C2498" s="30"/>
      <c r="D2498" s="30"/>
      <c r="E2498" s="30"/>
      <c r="F2498" s="48"/>
      <c r="G2498" s="49"/>
      <c r="H2498" s="49"/>
      <c r="I2498" s="49"/>
      <c r="J2498" s="71"/>
      <c r="K2498" s="71"/>
      <c r="L2498" s="50"/>
      <c r="M2498" s="30"/>
      <c r="N2498" s="30"/>
      <c r="O2498" s="30"/>
      <c r="P2498" s="30"/>
      <c r="Q2498" s="30"/>
      <c r="R2498" s="30"/>
      <c r="S2498" s="30"/>
      <c r="T2498" s="30"/>
      <c r="U2498" s="30"/>
      <c r="V2498" s="30"/>
      <c r="W2498" s="30"/>
      <c r="X2498" s="30"/>
      <c r="Y2498" s="30"/>
      <c r="Z2498" s="30"/>
      <c r="AA2498" s="30"/>
      <c r="AB2498" s="30"/>
      <c r="AC2498" s="30"/>
      <c r="AD2498" s="30"/>
      <c r="AE2498" s="30"/>
    </row>
    <row r="2499" spans="1:31" ht="13">
      <c r="A2499" s="30"/>
      <c r="B2499" s="30"/>
      <c r="C2499" s="30"/>
      <c r="D2499" s="30"/>
      <c r="E2499" s="30"/>
      <c r="F2499" s="48"/>
      <c r="G2499" s="49"/>
      <c r="H2499" s="49"/>
      <c r="I2499" s="49"/>
      <c r="J2499" s="71"/>
      <c r="K2499" s="71"/>
      <c r="L2499" s="50"/>
      <c r="M2499" s="30"/>
      <c r="N2499" s="30"/>
      <c r="O2499" s="30"/>
      <c r="P2499" s="30"/>
      <c r="Q2499" s="30"/>
      <c r="R2499" s="30"/>
      <c r="S2499" s="30"/>
      <c r="T2499" s="30"/>
      <c r="U2499" s="30"/>
      <c r="V2499" s="30"/>
      <c r="W2499" s="30"/>
      <c r="X2499" s="30"/>
      <c r="Y2499" s="30"/>
      <c r="Z2499" s="30"/>
      <c r="AA2499" s="30"/>
      <c r="AB2499" s="30"/>
      <c r="AC2499" s="30"/>
      <c r="AD2499" s="30"/>
      <c r="AE2499" s="30"/>
    </row>
    <row r="2500" spans="1:31" ht="13">
      <c r="A2500" s="30"/>
      <c r="B2500" s="30"/>
      <c r="C2500" s="30"/>
      <c r="D2500" s="30"/>
      <c r="E2500" s="30"/>
      <c r="F2500" s="48"/>
      <c r="G2500" s="49"/>
      <c r="H2500" s="49"/>
      <c r="I2500" s="49"/>
      <c r="J2500" s="71"/>
      <c r="K2500" s="71"/>
      <c r="L2500" s="50"/>
      <c r="M2500" s="30"/>
      <c r="N2500" s="30"/>
      <c r="O2500" s="30"/>
      <c r="P2500" s="30"/>
      <c r="Q2500" s="30"/>
      <c r="R2500" s="30"/>
      <c r="S2500" s="30"/>
      <c r="T2500" s="30"/>
      <c r="U2500" s="30"/>
      <c r="V2500" s="30"/>
      <c r="W2500" s="30"/>
      <c r="X2500" s="30"/>
      <c r="Y2500" s="30"/>
      <c r="Z2500" s="30"/>
      <c r="AA2500" s="30"/>
      <c r="AB2500" s="30"/>
      <c r="AC2500" s="30"/>
      <c r="AD2500" s="30"/>
      <c r="AE2500" s="30"/>
    </row>
    <row r="2501" spans="1:31" ht="13">
      <c r="A2501" s="30"/>
      <c r="B2501" s="30"/>
      <c r="C2501" s="30"/>
      <c r="D2501" s="30"/>
      <c r="E2501" s="30"/>
      <c r="F2501" s="48"/>
      <c r="G2501" s="49"/>
      <c r="H2501" s="49"/>
      <c r="I2501" s="49"/>
      <c r="J2501" s="71"/>
      <c r="K2501" s="71"/>
      <c r="L2501" s="50"/>
      <c r="M2501" s="30"/>
      <c r="N2501" s="30"/>
      <c r="O2501" s="30"/>
      <c r="P2501" s="30"/>
      <c r="Q2501" s="30"/>
      <c r="R2501" s="30"/>
      <c r="S2501" s="30"/>
      <c r="T2501" s="30"/>
      <c r="U2501" s="30"/>
      <c r="V2501" s="30"/>
      <c r="W2501" s="30"/>
      <c r="X2501" s="30"/>
      <c r="Y2501" s="30"/>
      <c r="Z2501" s="30"/>
      <c r="AA2501" s="30"/>
      <c r="AB2501" s="30"/>
      <c r="AC2501" s="30"/>
      <c r="AD2501" s="30"/>
      <c r="AE2501" s="30"/>
    </row>
    <row r="2502" spans="1:31" ht="13">
      <c r="A2502" s="30"/>
      <c r="B2502" s="30"/>
      <c r="C2502" s="30"/>
      <c r="D2502" s="30"/>
      <c r="E2502" s="30"/>
      <c r="F2502" s="48"/>
      <c r="G2502" s="49"/>
      <c r="H2502" s="49"/>
      <c r="I2502" s="49"/>
      <c r="J2502" s="71"/>
      <c r="K2502" s="71"/>
      <c r="L2502" s="50"/>
      <c r="M2502" s="30"/>
      <c r="N2502" s="30"/>
      <c r="O2502" s="30"/>
      <c r="P2502" s="30"/>
      <c r="Q2502" s="30"/>
      <c r="R2502" s="30"/>
      <c r="S2502" s="30"/>
      <c r="T2502" s="30"/>
      <c r="U2502" s="30"/>
      <c r="V2502" s="30"/>
      <c r="W2502" s="30"/>
      <c r="X2502" s="30"/>
      <c r="Y2502" s="30"/>
      <c r="Z2502" s="30"/>
      <c r="AA2502" s="30"/>
      <c r="AB2502" s="30"/>
      <c r="AC2502" s="30"/>
      <c r="AD2502" s="30"/>
      <c r="AE2502" s="30"/>
    </row>
    <row r="2503" spans="1:31" ht="13">
      <c r="A2503" s="30"/>
      <c r="B2503" s="30"/>
      <c r="C2503" s="30"/>
      <c r="D2503" s="30"/>
      <c r="E2503" s="30"/>
      <c r="F2503" s="48"/>
      <c r="G2503" s="49"/>
      <c r="H2503" s="49"/>
      <c r="I2503" s="49"/>
      <c r="J2503" s="71"/>
      <c r="K2503" s="71"/>
      <c r="L2503" s="50"/>
      <c r="M2503" s="30"/>
      <c r="N2503" s="30"/>
      <c r="O2503" s="30"/>
      <c r="P2503" s="30"/>
      <c r="Q2503" s="30"/>
      <c r="R2503" s="30"/>
      <c r="S2503" s="30"/>
      <c r="T2503" s="30"/>
      <c r="U2503" s="30"/>
      <c r="V2503" s="30"/>
      <c r="W2503" s="30"/>
      <c r="X2503" s="30"/>
      <c r="Y2503" s="30"/>
      <c r="Z2503" s="30"/>
      <c r="AA2503" s="30"/>
      <c r="AB2503" s="30"/>
      <c r="AC2503" s="30"/>
      <c r="AD2503" s="30"/>
      <c r="AE2503" s="30"/>
    </row>
    <row r="2504" spans="1:31" ht="13">
      <c r="A2504" s="30"/>
      <c r="B2504" s="30"/>
      <c r="C2504" s="30"/>
      <c r="D2504" s="30"/>
      <c r="E2504" s="30"/>
      <c r="F2504" s="48"/>
      <c r="G2504" s="49"/>
      <c r="H2504" s="49"/>
      <c r="I2504" s="49"/>
      <c r="J2504" s="71"/>
      <c r="K2504" s="71"/>
      <c r="L2504" s="50"/>
      <c r="M2504" s="30"/>
      <c r="N2504" s="30"/>
      <c r="O2504" s="30"/>
      <c r="P2504" s="30"/>
      <c r="Q2504" s="30"/>
      <c r="R2504" s="30"/>
      <c r="S2504" s="30"/>
      <c r="T2504" s="30"/>
      <c r="U2504" s="30"/>
      <c r="V2504" s="30"/>
      <c r="W2504" s="30"/>
      <c r="X2504" s="30"/>
      <c r="Y2504" s="30"/>
      <c r="Z2504" s="30"/>
      <c r="AA2504" s="30"/>
      <c r="AB2504" s="30"/>
      <c r="AC2504" s="30"/>
      <c r="AD2504" s="30"/>
      <c r="AE2504" s="30"/>
    </row>
    <row r="2505" spans="1:31" ht="13">
      <c r="A2505" s="30"/>
      <c r="B2505" s="30"/>
      <c r="C2505" s="30"/>
      <c r="D2505" s="30"/>
      <c r="E2505" s="30"/>
      <c r="F2505" s="48"/>
      <c r="G2505" s="49"/>
      <c r="H2505" s="49"/>
      <c r="I2505" s="49"/>
      <c r="J2505" s="71"/>
      <c r="K2505" s="71"/>
      <c r="L2505" s="50"/>
      <c r="M2505" s="30"/>
      <c r="N2505" s="30"/>
      <c r="O2505" s="30"/>
      <c r="P2505" s="30"/>
      <c r="Q2505" s="30"/>
      <c r="R2505" s="30"/>
      <c r="S2505" s="30"/>
      <c r="T2505" s="30"/>
      <c r="U2505" s="30"/>
      <c r="V2505" s="30"/>
      <c r="W2505" s="30"/>
      <c r="X2505" s="30"/>
      <c r="Y2505" s="30"/>
      <c r="Z2505" s="30"/>
      <c r="AA2505" s="30"/>
      <c r="AB2505" s="30"/>
      <c r="AC2505" s="30"/>
      <c r="AD2505" s="30"/>
      <c r="AE2505" s="30"/>
    </row>
    <row r="2506" spans="1:31" ht="13">
      <c r="A2506" s="30"/>
      <c r="B2506" s="30"/>
      <c r="C2506" s="30"/>
      <c r="D2506" s="30"/>
      <c r="E2506" s="30"/>
      <c r="F2506" s="48"/>
      <c r="G2506" s="49"/>
      <c r="H2506" s="49"/>
      <c r="I2506" s="49"/>
      <c r="J2506" s="71"/>
      <c r="K2506" s="71"/>
      <c r="L2506" s="50"/>
      <c r="M2506" s="30"/>
      <c r="N2506" s="30"/>
      <c r="O2506" s="30"/>
      <c r="P2506" s="30"/>
      <c r="Q2506" s="30"/>
      <c r="R2506" s="30"/>
      <c r="S2506" s="30"/>
      <c r="T2506" s="30"/>
      <c r="U2506" s="30"/>
      <c r="V2506" s="30"/>
      <c r="W2506" s="30"/>
      <c r="X2506" s="30"/>
      <c r="Y2506" s="30"/>
      <c r="Z2506" s="30"/>
      <c r="AA2506" s="30"/>
      <c r="AB2506" s="30"/>
      <c r="AC2506" s="30"/>
      <c r="AD2506" s="30"/>
      <c r="AE2506" s="30"/>
    </row>
    <row r="2507" spans="1:31" ht="13">
      <c r="A2507" s="30"/>
      <c r="B2507" s="30"/>
      <c r="C2507" s="30"/>
      <c r="D2507" s="30"/>
      <c r="E2507" s="30"/>
      <c r="F2507" s="48"/>
      <c r="G2507" s="49"/>
      <c r="H2507" s="49"/>
      <c r="I2507" s="49"/>
      <c r="J2507" s="71"/>
      <c r="K2507" s="71"/>
      <c r="L2507" s="50"/>
      <c r="M2507" s="30"/>
      <c r="N2507" s="30"/>
      <c r="O2507" s="30"/>
      <c r="P2507" s="30"/>
      <c r="Q2507" s="30"/>
      <c r="R2507" s="30"/>
      <c r="S2507" s="30"/>
      <c r="T2507" s="30"/>
      <c r="U2507" s="30"/>
      <c r="V2507" s="30"/>
      <c r="W2507" s="30"/>
      <c r="X2507" s="30"/>
      <c r="Y2507" s="30"/>
      <c r="Z2507" s="30"/>
      <c r="AA2507" s="30"/>
      <c r="AB2507" s="30"/>
      <c r="AC2507" s="30"/>
      <c r="AD2507" s="30"/>
      <c r="AE2507" s="30"/>
    </row>
    <row r="2508" spans="1:31" ht="13">
      <c r="A2508" s="30"/>
      <c r="B2508" s="30"/>
      <c r="C2508" s="30"/>
      <c r="D2508" s="30"/>
      <c r="E2508" s="30"/>
      <c r="F2508" s="48"/>
      <c r="G2508" s="49"/>
      <c r="H2508" s="49"/>
      <c r="I2508" s="49"/>
      <c r="J2508" s="71"/>
      <c r="K2508" s="71"/>
      <c r="L2508" s="50"/>
      <c r="M2508" s="30"/>
      <c r="N2508" s="30"/>
      <c r="O2508" s="30"/>
      <c r="P2508" s="30"/>
      <c r="Q2508" s="30"/>
      <c r="R2508" s="30"/>
      <c r="S2508" s="30"/>
      <c r="T2508" s="30"/>
      <c r="U2508" s="30"/>
      <c r="V2508" s="30"/>
      <c r="W2508" s="30"/>
      <c r="X2508" s="30"/>
      <c r="Y2508" s="30"/>
      <c r="Z2508" s="30"/>
      <c r="AA2508" s="30"/>
      <c r="AB2508" s="30"/>
      <c r="AC2508" s="30"/>
      <c r="AD2508" s="30"/>
      <c r="AE2508" s="30"/>
    </row>
    <row r="2509" spans="1:31" ht="13">
      <c r="A2509" s="30"/>
      <c r="B2509" s="30"/>
      <c r="C2509" s="30"/>
      <c r="D2509" s="30"/>
      <c r="E2509" s="30"/>
      <c r="F2509" s="48"/>
      <c r="G2509" s="49"/>
      <c r="H2509" s="49"/>
      <c r="I2509" s="49"/>
      <c r="J2509" s="71"/>
      <c r="K2509" s="71"/>
      <c r="L2509" s="50"/>
      <c r="M2509" s="30"/>
      <c r="N2509" s="30"/>
      <c r="O2509" s="30"/>
      <c r="P2509" s="30"/>
      <c r="Q2509" s="30"/>
      <c r="R2509" s="30"/>
      <c r="S2509" s="30"/>
      <c r="T2509" s="30"/>
      <c r="U2509" s="30"/>
      <c r="V2509" s="30"/>
      <c r="W2509" s="30"/>
      <c r="X2509" s="30"/>
      <c r="Y2509" s="30"/>
      <c r="Z2509" s="30"/>
      <c r="AA2509" s="30"/>
      <c r="AB2509" s="30"/>
      <c r="AC2509" s="30"/>
      <c r="AD2509" s="30"/>
      <c r="AE2509" s="30"/>
    </row>
    <row r="2510" spans="1:31" ht="13">
      <c r="A2510" s="30"/>
      <c r="B2510" s="30"/>
      <c r="C2510" s="30"/>
      <c r="D2510" s="30"/>
      <c r="E2510" s="30"/>
      <c r="F2510" s="48"/>
      <c r="G2510" s="49"/>
      <c r="H2510" s="49"/>
      <c r="I2510" s="49"/>
      <c r="J2510" s="71"/>
      <c r="K2510" s="71"/>
      <c r="L2510" s="50"/>
      <c r="M2510" s="30"/>
      <c r="N2510" s="30"/>
      <c r="O2510" s="30"/>
      <c r="P2510" s="30"/>
      <c r="Q2510" s="30"/>
      <c r="R2510" s="30"/>
      <c r="S2510" s="30"/>
      <c r="T2510" s="30"/>
      <c r="U2510" s="30"/>
      <c r="V2510" s="30"/>
      <c r="W2510" s="30"/>
      <c r="X2510" s="30"/>
      <c r="Y2510" s="30"/>
      <c r="Z2510" s="30"/>
      <c r="AA2510" s="30"/>
      <c r="AB2510" s="30"/>
      <c r="AC2510" s="30"/>
      <c r="AD2510" s="30"/>
      <c r="AE2510" s="30"/>
    </row>
    <row r="2511" spans="1:31" ht="13">
      <c r="A2511" s="30"/>
      <c r="B2511" s="30"/>
      <c r="C2511" s="30"/>
      <c r="D2511" s="30"/>
      <c r="E2511" s="30"/>
      <c r="F2511" s="48"/>
      <c r="G2511" s="49"/>
      <c r="H2511" s="49"/>
      <c r="I2511" s="49"/>
      <c r="J2511" s="71"/>
      <c r="K2511" s="71"/>
      <c r="L2511" s="50"/>
      <c r="M2511" s="30"/>
      <c r="N2511" s="30"/>
      <c r="O2511" s="30"/>
      <c r="P2511" s="30"/>
      <c r="Q2511" s="30"/>
      <c r="R2511" s="30"/>
      <c r="S2511" s="30"/>
      <c r="T2511" s="30"/>
      <c r="U2511" s="30"/>
      <c r="V2511" s="30"/>
      <c r="W2511" s="30"/>
      <c r="X2511" s="30"/>
      <c r="Y2511" s="30"/>
      <c r="Z2511" s="30"/>
      <c r="AA2511" s="30"/>
      <c r="AB2511" s="30"/>
      <c r="AC2511" s="30"/>
      <c r="AD2511" s="30"/>
      <c r="AE2511" s="30"/>
    </row>
    <row r="2512" spans="1:31" ht="13">
      <c r="A2512" s="30"/>
      <c r="B2512" s="30"/>
      <c r="C2512" s="30"/>
      <c r="D2512" s="30"/>
      <c r="E2512" s="30"/>
      <c r="F2512" s="48"/>
      <c r="G2512" s="49"/>
      <c r="H2512" s="49"/>
      <c r="I2512" s="49"/>
      <c r="J2512" s="71"/>
      <c r="K2512" s="71"/>
      <c r="L2512" s="50"/>
      <c r="M2512" s="30"/>
      <c r="N2512" s="30"/>
      <c r="O2512" s="30"/>
      <c r="P2512" s="30"/>
      <c r="Q2512" s="30"/>
      <c r="R2512" s="30"/>
      <c r="S2512" s="30"/>
      <c r="T2512" s="30"/>
      <c r="U2512" s="30"/>
      <c r="V2512" s="30"/>
      <c r="W2512" s="30"/>
      <c r="X2512" s="30"/>
      <c r="Y2512" s="30"/>
      <c r="Z2512" s="30"/>
      <c r="AA2512" s="30"/>
      <c r="AB2512" s="30"/>
      <c r="AC2512" s="30"/>
      <c r="AD2512" s="30"/>
      <c r="AE2512" s="30"/>
    </row>
    <row r="2513" spans="1:31" ht="13">
      <c r="A2513" s="30"/>
      <c r="B2513" s="30"/>
      <c r="C2513" s="30"/>
      <c r="D2513" s="30"/>
      <c r="E2513" s="30"/>
      <c r="F2513" s="48"/>
      <c r="G2513" s="49"/>
      <c r="H2513" s="49"/>
      <c r="I2513" s="49"/>
      <c r="J2513" s="71"/>
      <c r="K2513" s="71"/>
      <c r="L2513" s="50"/>
      <c r="M2513" s="30"/>
      <c r="N2513" s="30"/>
      <c r="O2513" s="30"/>
      <c r="P2513" s="30"/>
      <c r="Q2513" s="30"/>
      <c r="R2513" s="30"/>
      <c r="S2513" s="30"/>
      <c r="T2513" s="30"/>
      <c r="U2513" s="30"/>
      <c r="V2513" s="30"/>
      <c r="W2513" s="30"/>
      <c r="X2513" s="30"/>
      <c r="Y2513" s="30"/>
      <c r="Z2513" s="30"/>
      <c r="AA2513" s="30"/>
      <c r="AB2513" s="30"/>
      <c r="AC2513" s="30"/>
      <c r="AD2513" s="30"/>
      <c r="AE2513" s="30"/>
    </row>
    <row r="2514" spans="1:31" ht="13">
      <c r="A2514" s="30"/>
      <c r="B2514" s="30"/>
      <c r="C2514" s="30"/>
      <c r="D2514" s="30"/>
      <c r="E2514" s="30"/>
      <c r="F2514" s="48"/>
      <c r="G2514" s="49"/>
      <c r="H2514" s="49"/>
      <c r="I2514" s="49"/>
      <c r="J2514" s="71"/>
      <c r="K2514" s="71"/>
      <c r="L2514" s="50"/>
      <c r="M2514" s="30"/>
      <c r="N2514" s="30"/>
      <c r="O2514" s="30"/>
      <c r="P2514" s="30"/>
      <c r="Q2514" s="30"/>
      <c r="R2514" s="30"/>
      <c r="S2514" s="30"/>
      <c r="T2514" s="30"/>
      <c r="U2514" s="30"/>
      <c r="V2514" s="30"/>
      <c r="W2514" s="30"/>
      <c r="X2514" s="30"/>
      <c r="Y2514" s="30"/>
      <c r="Z2514" s="30"/>
      <c r="AA2514" s="30"/>
      <c r="AB2514" s="30"/>
      <c r="AC2514" s="30"/>
      <c r="AD2514" s="30"/>
      <c r="AE2514" s="30"/>
    </row>
    <row r="2515" spans="1:31" ht="13">
      <c r="A2515" s="30"/>
      <c r="B2515" s="30"/>
      <c r="C2515" s="30"/>
      <c r="D2515" s="30"/>
      <c r="E2515" s="30"/>
      <c r="F2515" s="48"/>
      <c r="G2515" s="49"/>
      <c r="H2515" s="49"/>
      <c r="I2515" s="49"/>
      <c r="J2515" s="71"/>
      <c r="K2515" s="71"/>
      <c r="L2515" s="50"/>
      <c r="M2515" s="30"/>
      <c r="N2515" s="30"/>
      <c r="O2515" s="30"/>
      <c r="P2515" s="30"/>
      <c r="Q2515" s="30"/>
      <c r="R2515" s="30"/>
      <c r="S2515" s="30"/>
      <c r="T2515" s="30"/>
      <c r="U2515" s="30"/>
      <c r="V2515" s="30"/>
      <c r="W2515" s="30"/>
      <c r="X2515" s="30"/>
      <c r="Y2515" s="30"/>
      <c r="Z2515" s="30"/>
      <c r="AA2515" s="30"/>
      <c r="AB2515" s="30"/>
      <c r="AC2515" s="30"/>
      <c r="AD2515" s="30"/>
      <c r="AE2515" s="30"/>
    </row>
    <row r="2516" spans="1:31" ht="13">
      <c r="A2516" s="30"/>
      <c r="B2516" s="30"/>
      <c r="C2516" s="30"/>
      <c r="D2516" s="30"/>
      <c r="E2516" s="30"/>
      <c r="F2516" s="48"/>
      <c r="G2516" s="49"/>
      <c r="H2516" s="49"/>
      <c r="I2516" s="49"/>
      <c r="J2516" s="71"/>
      <c r="K2516" s="71"/>
      <c r="L2516" s="50"/>
      <c r="M2516" s="30"/>
      <c r="N2516" s="30"/>
      <c r="O2516" s="30"/>
      <c r="P2516" s="30"/>
      <c r="Q2516" s="30"/>
      <c r="R2516" s="30"/>
      <c r="S2516" s="30"/>
      <c r="T2516" s="30"/>
      <c r="U2516" s="30"/>
      <c r="V2516" s="30"/>
      <c r="W2516" s="30"/>
      <c r="X2516" s="30"/>
      <c r="Y2516" s="30"/>
      <c r="Z2516" s="30"/>
      <c r="AA2516" s="30"/>
      <c r="AB2516" s="30"/>
      <c r="AC2516" s="30"/>
      <c r="AD2516" s="30"/>
      <c r="AE2516" s="30"/>
    </row>
    <row r="2517" spans="1:31" ht="13">
      <c r="A2517" s="30"/>
      <c r="B2517" s="30"/>
      <c r="C2517" s="30"/>
      <c r="D2517" s="30"/>
      <c r="E2517" s="30"/>
      <c r="F2517" s="48"/>
      <c r="G2517" s="49"/>
      <c r="H2517" s="49"/>
      <c r="I2517" s="49"/>
      <c r="J2517" s="71"/>
      <c r="K2517" s="71"/>
      <c r="L2517" s="50"/>
      <c r="M2517" s="30"/>
      <c r="N2517" s="30"/>
      <c r="O2517" s="30"/>
      <c r="P2517" s="30"/>
      <c r="Q2517" s="30"/>
      <c r="R2517" s="30"/>
      <c r="S2517" s="30"/>
      <c r="T2517" s="30"/>
      <c r="U2517" s="30"/>
      <c r="V2517" s="30"/>
      <c r="W2517" s="30"/>
      <c r="X2517" s="30"/>
      <c r="Y2517" s="30"/>
      <c r="Z2517" s="30"/>
      <c r="AA2517" s="30"/>
      <c r="AB2517" s="30"/>
      <c r="AC2517" s="30"/>
      <c r="AD2517" s="30"/>
      <c r="AE2517" s="30"/>
    </row>
    <row r="2518" spans="1:31" ht="13">
      <c r="A2518" s="30"/>
      <c r="B2518" s="30"/>
      <c r="C2518" s="30"/>
      <c r="D2518" s="30"/>
      <c r="E2518" s="30"/>
      <c r="F2518" s="48"/>
      <c r="G2518" s="49"/>
      <c r="H2518" s="49"/>
      <c r="I2518" s="49"/>
      <c r="J2518" s="71"/>
      <c r="K2518" s="71"/>
      <c r="L2518" s="50"/>
      <c r="M2518" s="30"/>
      <c r="N2518" s="30"/>
      <c r="O2518" s="30"/>
      <c r="P2518" s="30"/>
      <c r="Q2518" s="30"/>
      <c r="R2518" s="30"/>
      <c r="S2518" s="30"/>
      <c r="T2518" s="30"/>
      <c r="U2518" s="30"/>
      <c r="V2518" s="30"/>
      <c r="W2518" s="30"/>
      <c r="X2518" s="30"/>
      <c r="Y2518" s="30"/>
      <c r="Z2518" s="30"/>
      <c r="AA2518" s="30"/>
      <c r="AB2518" s="30"/>
      <c r="AC2518" s="30"/>
      <c r="AD2518" s="30"/>
      <c r="AE2518" s="30"/>
    </row>
    <row r="2519" spans="1:31" ht="13">
      <c r="A2519" s="30"/>
      <c r="B2519" s="30"/>
      <c r="C2519" s="30"/>
      <c r="D2519" s="30"/>
      <c r="E2519" s="30"/>
      <c r="F2519" s="48"/>
      <c r="G2519" s="49"/>
      <c r="H2519" s="49"/>
      <c r="I2519" s="49"/>
      <c r="J2519" s="71"/>
      <c r="K2519" s="71"/>
      <c r="L2519" s="50"/>
      <c r="M2519" s="30"/>
      <c r="N2519" s="30"/>
      <c r="O2519" s="30"/>
      <c r="P2519" s="30"/>
      <c r="Q2519" s="30"/>
      <c r="R2519" s="30"/>
      <c r="S2519" s="30"/>
      <c r="T2519" s="30"/>
      <c r="U2519" s="30"/>
      <c r="V2519" s="30"/>
      <c r="W2519" s="30"/>
      <c r="X2519" s="30"/>
      <c r="Y2519" s="30"/>
      <c r="Z2519" s="30"/>
      <c r="AA2519" s="30"/>
      <c r="AB2519" s="30"/>
      <c r="AC2519" s="30"/>
      <c r="AD2519" s="30"/>
      <c r="AE2519" s="30"/>
    </row>
    <row r="2520" spans="1:31" ht="13">
      <c r="A2520" s="30"/>
      <c r="B2520" s="30"/>
      <c r="C2520" s="30"/>
      <c r="D2520" s="30"/>
      <c r="E2520" s="30"/>
      <c r="F2520" s="48"/>
      <c r="G2520" s="49"/>
      <c r="H2520" s="49"/>
      <c r="I2520" s="49"/>
      <c r="J2520" s="71"/>
      <c r="K2520" s="71"/>
      <c r="L2520" s="50"/>
      <c r="M2520" s="30"/>
      <c r="N2520" s="30"/>
      <c r="O2520" s="30"/>
      <c r="P2520" s="30"/>
      <c r="Q2520" s="30"/>
      <c r="R2520" s="30"/>
      <c r="S2520" s="30"/>
      <c r="T2520" s="30"/>
      <c r="U2520" s="30"/>
      <c r="V2520" s="30"/>
      <c r="W2520" s="30"/>
      <c r="X2520" s="30"/>
      <c r="Y2520" s="30"/>
      <c r="Z2520" s="30"/>
      <c r="AA2520" s="30"/>
      <c r="AB2520" s="30"/>
      <c r="AC2520" s="30"/>
      <c r="AD2520" s="30"/>
      <c r="AE2520" s="30"/>
    </row>
    <row r="2521" spans="1:31" ht="13">
      <c r="A2521" s="30"/>
      <c r="B2521" s="30"/>
      <c r="C2521" s="30"/>
      <c r="D2521" s="30"/>
      <c r="E2521" s="30"/>
      <c r="F2521" s="48"/>
      <c r="G2521" s="49"/>
      <c r="H2521" s="49"/>
      <c r="I2521" s="49"/>
      <c r="J2521" s="71"/>
      <c r="K2521" s="71"/>
      <c r="L2521" s="50"/>
      <c r="M2521" s="30"/>
      <c r="N2521" s="30"/>
      <c r="O2521" s="30"/>
      <c r="P2521" s="30"/>
      <c r="Q2521" s="30"/>
      <c r="R2521" s="30"/>
      <c r="S2521" s="30"/>
      <c r="T2521" s="30"/>
      <c r="U2521" s="30"/>
      <c r="V2521" s="30"/>
      <c r="W2521" s="30"/>
      <c r="X2521" s="30"/>
      <c r="Y2521" s="30"/>
      <c r="Z2521" s="30"/>
      <c r="AA2521" s="30"/>
      <c r="AB2521" s="30"/>
      <c r="AC2521" s="30"/>
      <c r="AD2521" s="30"/>
      <c r="AE2521" s="30"/>
    </row>
    <row r="2522" spans="1:31" ht="13">
      <c r="A2522" s="30"/>
      <c r="B2522" s="30"/>
      <c r="C2522" s="30"/>
      <c r="D2522" s="30"/>
      <c r="E2522" s="30"/>
      <c r="F2522" s="48"/>
      <c r="G2522" s="49"/>
      <c r="H2522" s="49"/>
      <c r="I2522" s="49"/>
      <c r="J2522" s="71"/>
      <c r="K2522" s="71"/>
      <c r="L2522" s="50"/>
      <c r="M2522" s="30"/>
      <c r="N2522" s="30"/>
      <c r="O2522" s="30"/>
      <c r="P2522" s="30"/>
      <c r="Q2522" s="30"/>
      <c r="R2522" s="30"/>
      <c r="S2522" s="30"/>
      <c r="T2522" s="30"/>
      <c r="U2522" s="30"/>
      <c r="V2522" s="30"/>
      <c r="W2522" s="30"/>
      <c r="X2522" s="30"/>
      <c r="Y2522" s="30"/>
      <c r="Z2522" s="30"/>
      <c r="AA2522" s="30"/>
      <c r="AB2522" s="30"/>
      <c r="AC2522" s="30"/>
      <c r="AD2522" s="30"/>
      <c r="AE2522" s="30"/>
    </row>
    <row r="2523" spans="1:31" ht="13">
      <c r="A2523" s="30"/>
      <c r="B2523" s="30"/>
      <c r="C2523" s="30"/>
      <c r="D2523" s="30"/>
      <c r="E2523" s="30"/>
      <c r="F2523" s="48"/>
      <c r="G2523" s="49"/>
      <c r="H2523" s="49"/>
      <c r="I2523" s="49"/>
      <c r="J2523" s="71"/>
      <c r="K2523" s="71"/>
      <c r="L2523" s="50"/>
      <c r="M2523" s="30"/>
      <c r="N2523" s="30"/>
      <c r="O2523" s="30"/>
      <c r="P2523" s="30"/>
      <c r="Q2523" s="30"/>
      <c r="R2523" s="30"/>
      <c r="S2523" s="30"/>
      <c r="T2523" s="30"/>
      <c r="U2523" s="30"/>
      <c r="V2523" s="30"/>
      <c r="W2523" s="30"/>
      <c r="X2523" s="30"/>
      <c r="Y2523" s="30"/>
      <c r="Z2523" s="30"/>
      <c r="AA2523" s="30"/>
      <c r="AB2523" s="30"/>
      <c r="AC2523" s="30"/>
      <c r="AD2523" s="30"/>
      <c r="AE2523" s="30"/>
    </row>
    <row r="2524" spans="1:31" ht="13">
      <c r="A2524" s="30"/>
      <c r="B2524" s="30"/>
      <c r="C2524" s="30"/>
      <c r="D2524" s="30"/>
      <c r="E2524" s="30"/>
      <c r="F2524" s="48"/>
      <c r="G2524" s="49"/>
      <c r="H2524" s="49"/>
      <c r="I2524" s="49"/>
      <c r="J2524" s="71"/>
      <c r="K2524" s="71"/>
      <c r="L2524" s="50"/>
      <c r="M2524" s="30"/>
      <c r="N2524" s="30"/>
      <c r="O2524" s="30"/>
      <c r="P2524" s="30"/>
      <c r="Q2524" s="30"/>
      <c r="R2524" s="30"/>
      <c r="S2524" s="30"/>
      <c r="T2524" s="30"/>
      <c r="U2524" s="30"/>
      <c r="V2524" s="30"/>
      <c r="W2524" s="30"/>
      <c r="X2524" s="30"/>
      <c r="Y2524" s="30"/>
      <c r="Z2524" s="30"/>
      <c r="AA2524" s="30"/>
      <c r="AB2524" s="30"/>
      <c r="AC2524" s="30"/>
      <c r="AD2524" s="30"/>
      <c r="AE2524" s="30"/>
    </row>
    <row r="2525" spans="1:31" ht="13">
      <c r="A2525" s="30"/>
      <c r="B2525" s="30"/>
      <c r="C2525" s="30"/>
      <c r="D2525" s="30"/>
      <c r="E2525" s="30"/>
      <c r="F2525" s="48"/>
      <c r="G2525" s="49"/>
      <c r="H2525" s="49"/>
      <c r="I2525" s="49"/>
      <c r="J2525" s="71"/>
      <c r="K2525" s="71"/>
      <c r="L2525" s="50"/>
      <c r="M2525" s="30"/>
      <c r="N2525" s="30"/>
      <c r="O2525" s="30"/>
      <c r="P2525" s="30"/>
      <c r="Q2525" s="30"/>
      <c r="R2525" s="30"/>
      <c r="S2525" s="30"/>
      <c r="T2525" s="30"/>
      <c r="U2525" s="30"/>
      <c r="V2525" s="30"/>
      <c r="W2525" s="30"/>
      <c r="X2525" s="30"/>
      <c r="Y2525" s="30"/>
      <c r="Z2525" s="30"/>
      <c r="AA2525" s="30"/>
      <c r="AB2525" s="30"/>
      <c r="AC2525" s="30"/>
      <c r="AD2525" s="30"/>
      <c r="AE2525" s="30"/>
    </row>
    <row r="2526" spans="1:31" ht="13">
      <c r="A2526" s="30"/>
      <c r="B2526" s="30"/>
      <c r="C2526" s="30"/>
      <c r="D2526" s="30"/>
      <c r="E2526" s="30"/>
      <c r="F2526" s="48"/>
      <c r="G2526" s="49"/>
      <c r="H2526" s="49"/>
      <c r="I2526" s="49"/>
      <c r="J2526" s="71"/>
      <c r="K2526" s="71"/>
      <c r="L2526" s="50"/>
      <c r="M2526" s="30"/>
      <c r="N2526" s="30"/>
      <c r="O2526" s="30"/>
      <c r="P2526" s="30"/>
      <c r="Q2526" s="30"/>
      <c r="R2526" s="30"/>
      <c r="S2526" s="30"/>
      <c r="T2526" s="30"/>
      <c r="U2526" s="30"/>
      <c r="V2526" s="30"/>
      <c r="W2526" s="30"/>
      <c r="X2526" s="30"/>
      <c r="Y2526" s="30"/>
      <c r="Z2526" s="30"/>
      <c r="AA2526" s="30"/>
      <c r="AB2526" s="30"/>
      <c r="AC2526" s="30"/>
      <c r="AD2526" s="30"/>
      <c r="AE2526" s="30"/>
    </row>
    <row r="2527" spans="1:31" ht="13">
      <c r="A2527" s="30"/>
      <c r="B2527" s="30"/>
      <c r="C2527" s="30"/>
      <c r="D2527" s="30"/>
      <c r="E2527" s="30"/>
      <c r="F2527" s="48"/>
      <c r="G2527" s="49"/>
      <c r="H2527" s="49"/>
      <c r="I2527" s="49"/>
      <c r="J2527" s="71"/>
      <c r="K2527" s="71"/>
      <c r="L2527" s="50"/>
      <c r="M2527" s="30"/>
      <c r="N2527" s="30"/>
      <c r="O2527" s="30"/>
      <c r="P2527" s="30"/>
      <c r="Q2527" s="30"/>
      <c r="R2527" s="30"/>
      <c r="S2527" s="30"/>
      <c r="T2527" s="30"/>
      <c r="U2527" s="30"/>
      <c r="V2527" s="30"/>
      <c r="W2527" s="30"/>
      <c r="X2527" s="30"/>
      <c r="Y2527" s="30"/>
      <c r="Z2527" s="30"/>
      <c r="AA2527" s="30"/>
      <c r="AB2527" s="30"/>
      <c r="AC2527" s="30"/>
      <c r="AD2527" s="30"/>
      <c r="AE2527" s="30"/>
    </row>
    <row r="2528" spans="1:31" ht="13">
      <c r="A2528" s="30"/>
      <c r="B2528" s="30"/>
      <c r="C2528" s="30"/>
      <c r="D2528" s="30"/>
      <c r="E2528" s="30"/>
      <c r="F2528" s="48"/>
      <c r="G2528" s="49"/>
      <c r="H2528" s="49"/>
      <c r="I2528" s="49"/>
      <c r="J2528" s="71"/>
      <c r="K2528" s="71"/>
      <c r="L2528" s="50"/>
      <c r="M2528" s="30"/>
      <c r="N2528" s="30"/>
      <c r="O2528" s="30"/>
      <c r="P2528" s="30"/>
      <c r="Q2528" s="30"/>
      <c r="R2528" s="30"/>
      <c r="S2528" s="30"/>
      <c r="T2528" s="30"/>
      <c r="U2528" s="30"/>
      <c r="V2528" s="30"/>
      <c r="W2528" s="30"/>
      <c r="X2528" s="30"/>
      <c r="Y2528" s="30"/>
      <c r="Z2528" s="30"/>
      <c r="AA2528" s="30"/>
      <c r="AB2528" s="30"/>
      <c r="AC2528" s="30"/>
      <c r="AD2528" s="30"/>
      <c r="AE2528" s="30"/>
    </row>
    <row r="2529" spans="1:31" ht="13">
      <c r="A2529" s="30"/>
      <c r="B2529" s="30"/>
      <c r="C2529" s="30"/>
      <c r="D2529" s="30"/>
      <c r="E2529" s="30"/>
      <c r="F2529" s="48"/>
      <c r="G2529" s="49"/>
      <c r="H2529" s="49"/>
      <c r="I2529" s="49"/>
      <c r="J2529" s="71"/>
      <c r="K2529" s="71"/>
      <c r="L2529" s="50"/>
      <c r="M2529" s="30"/>
      <c r="N2529" s="30"/>
      <c r="O2529" s="30"/>
      <c r="P2529" s="30"/>
      <c r="Q2529" s="30"/>
      <c r="R2529" s="30"/>
      <c r="S2529" s="30"/>
      <c r="T2529" s="30"/>
      <c r="U2529" s="30"/>
      <c r="V2529" s="30"/>
      <c r="W2529" s="30"/>
      <c r="X2529" s="30"/>
      <c r="Y2529" s="30"/>
      <c r="Z2529" s="30"/>
      <c r="AA2529" s="30"/>
      <c r="AB2529" s="30"/>
      <c r="AC2529" s="30"/>
      <c r="AD2529" s="30"/>
      <c r="AE2529" s="30"/>
    </row>
    <row r="2530" spans="1:31" ht="13">
      <c r="A2530" s="30"/>
      <c r="B2530" s="30"/>
      <c r="C2530" s="30"/>
      <c r="D2530" s="30"/>
      <c r="E2530" s="30"/>
      <c r="F2530" s="48"/>
      <c r="G2530" s="49"/>
      <c r="H2530" s="49"/>
      <c r="I2530" s="49"/>
      <c r="J2530" s="71"/>
      <c r="K2530" s="71"/>
      <c r="L2530" s="50"/>
      <c r="M2530" s="30"/>
      <c r="N2530" s="30"/>
      <c r="O2530" s="30"/>
      <c r="P2530" s="30"/>
      <c r="Q2530" s="30"/>
      <c r="R2530" s="30"/>
      <c r="S2530" s="30"/>
      <c r="T2530" s="30"/>
      <c r="U2530" s="30"/>
      <c r="V2530" s="30"/>
      <c r="W2530" s="30"/>
      <c r="X2530" s="30"/>
      <c r="Y2530" s="30"/>
      <c r="Z2530" s="30"/>
      <c r="AA2530" s="30"/>
      <c r="AB2530" s="30"/>
      <c r="AC2530" s="30"/>
      <c r="AD2530" s="30"/>
      <c r="AE2530" s="30"/>
    </row>
    <row r="2531" spans="1:31" ht="13">
      <c r="A2531" s="30"/>
      <c r="B2531" s="30"/>
      <c r="C2531" s="30"/>
      <c r="D2531" s="30"/>
      <c r="E2531" s="30"/>
      <c r="F2531" s="48"/>
      <c r="G2531" s="49"/>
      <c r="H2531" s="49"/>
      <c r="I2531" s="49"/>
      <c r="J2531" s="71"/>
      <c r="K2531" s="71"/>
      <c r="L2531" s="50"/>
      <c r="M2531" s="30"/>
      <c r="N2531" s="30"/>
      <c r="O2531" s="30"/>
      <c r="P2531" s="30"/>
      <c r="Q2531" s="30"/>
      <c r="R2531" s="30"/>
      <c r="S2531" s="30"/>
      <c r="T2531" s="30"/>
      <c r="U2531" s="30"/>
      <c r="V2531" s="30"/>
      <c r="W2531" s="30"/>
      <c r="X2531" s="30"/>
      <c r="Y2531" s="30"/>
      <c r="Z2531" s="30"/>
      <c r="AA2531" s="30"/>
      <c r="AB2531" s="30"/>
      <c r="AC2531" s="30"/>
      <c r="AD2531" s="30"/>
      <c r="AE2531" s="30"/>
    </row>
    <row r="2532" spans="1:31" ht="13">
      <c r="A2532" s="30"/>
      <c r="B2532" s="30"/>
      <c r="C2532" s="30"/>
      <c r="D2532" s="30"/>
      <c r="E2532" s="30"/>
      <c r="F2532" s="48"/>
      <c r="G2532" s="49"/>
      <c r="H2532" s="49"/>
      <c r="I2532" s="49"/>
      <c r="J2532" s="71"/>
      <c r="K2532" s="71"/>
      <c r="L2532" s="50"/>
      <c r="M2532" s="30"/>
      <c r="N2532" s="30"/>
      <c r="O2532" s="30"/>
      <c r="P2532" s="30"/>
      <c r="Q2532" s="30"/>
      <c r="R2532" s="30"/>
      <c r="S2532" s="30"/>
      <c r="T2532" s="30"/>
      <c r="U2532" s="30"/>
      <c r="V2532" s="30"/>
      <c r="W2532" s="30"/>
      <c r="X2532" s="30"/>
      <c r="Y2532" s="30"/>
      <c r="Z2532" s="30"/>
      <c r="AA2532" s="30"/>
      <c r="AB2532" s="30"/>
      <c r="AC2532" s="30"/>
      <c r="AD2532" s="30"/>
      <c r="AE2532" s="30"/>
    </row>
    <row r="2533" spans="1:31" ht="13">
      <c r="A2533" s="30"/>
      <c r="B2533" s="30"/>
      <c r="C2533" s="30"/>
      <c r="D2533" s="30"/>
      <c r="E2533" s="30"/>
      <c r="F2533" s="48"/>
      <c r="G2533" s="49"/>
      <c r="H2533" s="49"/>
      <c r="I2533" s="49"/>
      <c r="J2533" s="71"/>
      <c r="K2533" s="71"/>
      <c r="L2533" s="50"/>
      <c r="M2533" s="30"/>
      <c r="N2533" s="30"/>
      <c r="O2533" s="30"/>
      <c r="P2533" s="30"/>
      <c r="Q2533" s="30"/>
      <c r="R2533" s="30"/>
      <c r="S2533" s="30"/>
      <c r="T2533" s="30"/>
      <c r="U2533" s="30"/>
      <c r="V2533" s="30"/>
      <c r="W2533" s="30"/>
      <c r="X2533" s="30"/>
      <c r="Y2533" s="30"/>
      <c r="Z2533" s="30"/>
      <c r="AA2533" s="30"/>
      <c r="AB2533" s="30"/>
      <c r="AC2533" s="30"/>
      <c r="AD2533" s="30"/>
      <c r="AE2533" s="30"/>
    </row>
    <row r="2534" spans="1:31" ht="13">
      <c r="A2534" s="30"/>
      <c r="B2534" s="30"/>
      <c r="C2534" s="30"/>
      <c r="D2534" s="30"/>
      <c r="E2534" s="30"/>
      <c r="F2534" s="48"/>
      <c r="G2534" s="49"/>
      <c r="H2534" s="49"/>
      <c r="I2534" s="49"/>
      <c r="J2534" s="71"/>
      <c r="K2534" s="71"/>
      <c r="L2534" s="50"/>
      <c r="M2534" s="30"/>
      <c r="N2534" s="30"/>
      <c r="O2534" s="30"/>
      <c r="P2534" s="30"/>
      <c r="Q2534" s="30"/>
      <c r="R2534" s="30"/>
      <c r="S2534" s="30"/>
      <c r="T2534" s="30"/>
      <c r="U2534" s="30"/>
      <c r="V2534" s="30"/>
      <c r="W2534" s="30"/>
      <c r="X2534" s="30"/>
      <c r="Y2534" s="30"/>
      <c r="Z2534" s="30"/>
      <c r="AA2534" s="30"/>
      <c r="AB2534" s="30"/>
      <c r="AC2534" s="30"/>
      <c r="AD2534" s="30"/>
      <c r="AE2534" s="30"/>
    </row>
    <row r="2535" spans="1:31" ht="13">
      <c r="A2535" s="30"/>
      <c r="B2535" s="30"/>
      <c r="C2535" s="30"/>
      <c r="D2535" s="30"/>
      <c r="E2535" s="30"/>
      <c r="F2535" s="48"/>
      <c r="G2535" s="49"/>
      <c r="H2535" s="49"/>
      <c r="I2535" s="49"/>
      <c r="J2535" s="71"/>
      <c r="K2535" s="71"/>
      <c r="L2535" s="50"/>
      <c r="M2535" s="30"/>
      <c r="N2535" s="30"/>
      <c r="O2535" s="30"/>
      <c r="P2535" s="30"/>
      <c r="Q2535" s="30"/>
      <c r="R2535" s="30"/>
      <c r="S2535" s="30"/>
      <c r="T2535" s="30"/>
      <c r="U2535" s="30"/>
      <c r="V2535" s="30"/>
      <c r="W2535" s="30"/>
      <c r="X2535" s="30"/>
      <c r="Y2535" s="30"/>
      <c r="Z2535" s="30"/>
      <c r="AA2535" s="30"/>
      <c r="AB2535" s="30"/>
      <c r="AC2535" s="30"/>
      <c r="AD2535" s="30"/>
      <c r="AE2535" s="30"/>
    </row>
    <row r="2536" spans="1:31" ht="13">
      <c r="A2536" s="30"/>
      <c r="B2536" s="30"/>
      <c r="C2536" s="30"/>
      <c r="D2536" s="30"/>
      <c r="E2536" s="30"/>
      <c r="F2536" s="48"/>
      <c r="G2536" s="49"/>
      <c r="H2536" s="49"/>
      <c r="I2536" s="49"/>
      <c r="J2536" s="71"/>
      <c r="K2536" s="71"/>
      <c r="L2536" s="50"/>
      <c r="M2536" s="30"/>
      <c r="N2536" s="30"/>
      <c r="O2536" s="30"/>
      <c r="P2536" s="30"/>
      <c r="Q2536" s="30"/>
      <c r="R2536" s="30"/>
      <c r="S2536" s="30"/>
      <c r="T2536" s="30"/>
      <c r="U2536" s="30"/>
      <c r="V2536" s="30"/>
      <c r="W2536" s="30"/>
      <c r="X2536" s="30"/>
      <c r="Y2536" s="30"/>
      <c r="Z2536" s="30"/>
      <c r="AA2536" s="30"/>
      <c r="AB2536" s="30"/>
      <c r="AC2536" s="30"/>
      <c r="AD2536" s="30"/>
      <c r="AE2536" s="30"/>
    </row>
    <row r="2537" spans="1:31" ht="13">
      <c r="A2537" s="30"/>
      <c r="B2537" s="30"/>
      <c r="C2537" s="30"/>
      <c r="D2537" s="30"/>
      <c r="E2537" s="30"/>
      <c r="F2537" s="48"/>
      <c r="G2537" s="49"/>
      <c r="H2537" s="49"/>
      <c r="I2537" s="49"/>
      <c r="J2537" s="71"/>
      <c r="K2537" s="71"/>
      <c r="L2537" s="50"/>
      <c r="M2537" s="30"/>
      <c r="N2537" s="30"/>
      <c r="O2537" s="30"/>
      <c r="P2537" s="30"/>
      <c r="Q2537" s="30"/>
      <c r="R2537" s="30"/>
      <c r="S2537" s="30"/>
      <c r="T2537" s="30"/>
      <c r="U2537" s="30"/>
      <c r="V2537" s="30"/>
      <c r="W2537" s="30"/>
      <c r="X2537" s="30"/>
      <c r="Y2537" s="30"/>
      <c r="Z2537" s="30"/>
      <c r="AA2537" s="30"/>
      <c r="AB2537" s="30"/>
      <c r="AC2537" s="30"/>
      <c r="AD2537" s="30"/>
      <c r="AE2537" s="30"/>
    </row>
    <row r="2538" spans="1:31" ht="13">
      <c r="A2538" s="30"/>
      <c r="B2538" s="30"/>
      <c r="C2538" s="30"/>
      <c r="D2538" s="30"/>
      <c r="E2538" s="30"/>
      <c r="F2538" s="48"/>
      <c r="G2538" s="49"/>
      <c r="H2538" s="49"/>
      <c r="I2538" s="49"/>
      <c r="J2538" s="71"/>
      <c r="K2538" s="71"/>
      <c r="L2538" s="50"/>
      <c r="M2538" s="30"/>
      <c r="N2538" s="30"/>
      <c r="O2538" s="30"/>
      <c r="P2538" s="30"/>
      <c r="Q2538" s="30"/>
      <c r="R2538" s="30"/>
      <c r="S2538" s="30"/>
      <c r="T2538" s="30"/>
      <c r="U2538" s="30"/>
      <c r="V2538" s="30"/>
      <c r="W2538" s="30"/>
      <c r="X2538" s="30"/>
      <c r="Y2538" s="30"/>
      <c r="Z2538" s="30"/>
      <c r="AA2538" s="30"/>
      <c r="AB2538" s="30"/>
      <c r="AC2538" s="30"/>
      <c r="AD2538" s="30"/>
      <c r="AE2538" s="30"/>
    </row>
    <row r="2539" spans="1:31" ht="13">
      <c r="A2539" s="30"/>
      <c r="B2539" s="30"/>
      <c r="C2539" s="30"/>
      <c r="D2539" s="30"/>
      <c r="E2539" s="30"/>
      <c r="F2539" s="48"/>
      <c r="G2539" s="49"/>
      <c r="H2539" s="49"/>
      <c r="I2539" s="49"/>
      <c r="J2539" s="71"/>
      <c r="K2539" s="71"/>
      <c r="L2539" s="50"/>
      <c r="M2539" s="30"/>
      <c r="N2539" s="30"/>
      <c r="O2539" s="30"/>
      <c r="P2539" s="30"/>
      <c r="Q2539" s="30"/>
      <c r="R2539" s="30"/>
      <c r="S2539" s="30"/>
      <c r="T2539" s="30"/>
      <c r="U2539" s="30"/>
      <c r="V2539" s="30"/>
      <c r="W2539" s="30"/>
      <c r="X2539" s="30"/>
      <c r="Y2539" s="30"/>
      <c r="Z2539" s="30"/>
      <c r="AA2539" s="30"/>
      <c r="AB2539" s="30"/>
      <c r="AC2539" s="30"/>
      <c r="AD2539" s="30"/>
      <c r="AE2539" s="30"/>
    </row>
    <row r="2540" spans="1:31" ht="13">
      <c r="A2540" s="30"/>
      <c r="B2540" s="30"/>
      <c r="C2540" s="30"/>
      <c r="D2540" s="30"/>
      <c r="E2540" s="30"/>
      <c r="F2540" s="48"/>
      <c r="G2540" s="49"/>
      <c r="H2540" s="49"/>
      <c r="I2540" s="49"/>
      <c r="J2540" s="71"/>
      <c r="K2540" s="71"/>
      <c r="L2540" s="50"/>
      <c r="M2540" s="30"/>
      <c r="N2540" s="30"/>
      <c r="O2540" s="30"/>
      <c r="P2540" s="30"/>
      <c r="Q2540" s="30"/>
      <c r="R2540" s="30"/>
      <c r="S2540" s="30"/>
      <c r="T2540" s="30"/>
      <c r="U2540" s="30"/>
      <c r="V2540" s="30"/>
      <c r="W2540" s="30"/>
      <c r="X2540" s="30"/>
      <c r="Y2540" s="30"/>
      <c r="Z2540" s="30"/>
      <c r="AA2540" s="30"/>
      <c r="AB2540" s="30"/>
      <c r="AC2540" s="30"/>
      <c r="AD2540" s="30"/>
      <c r="AE2540" s="30"/>
    </row>
    <row r="2541" spans="1:31" ht="13">
      <c r="A2541" s="30"/>
      <c r="B2541" s="30"/>
      <c r="C2541" s="30"/>
      <c r="D2541" s="30"/>
      <c r="E2541" s="30"/>
      <c r="F2541" s="48"/>
      <c r="G2541" s="49"/>
      <c r="H2541" s="49"/>
      <c r="I2541" s="49"/>
      <c r="J2541" s="71"/>
      <c r="K2541" s="71"/>
      <c r="L2541" s="50"/>
      <c r="M2541" s="30"/>
      <c r="N2541" s="30"/>
      <c r="O2541" s="30"/>
      <c r="P2541" s="30"/>
      <c r="Q2541" s="30"/>
      <c r="R2541" s="30"/>
      <c r="S2541" s="30"/>
      <c r="T2541" s="30"/>
      <c r="U2541" s="30"/>
      <c r="V2541" s="30"/>
      <c r="W2541" s="30"/>
      <c r="X2541" s="30"/>
      <c r="Y2541" s="30"/>
      <c r="Z2541" s="30"/>
      <c r="AA2541" s="30"/>
      <c r="AB2541" s="30"/>
      <c r="AC2541" s="30"/>
      <c r="AD2541" s="30"/>
      <c r="AE2541" s="30"/>
    </row>
    <row r="2542" spans="1:31" ht="13">
      <c r="A2542" s="30"/>
      <c r="B2542" s="30"/>
      <c r="C2542" s="30"/>
      <c r="D2542" s="30"/>
      <c r="E2542" s="30"/>
      <c r="F2542" s="48"/>
      <c r="G2542" s="49"/>
      <c r="H2542" s="49"/>
      <c r="I2542" s="49"/>
      <c r="J2542" s="71"/>
      <c r="K2542" s="71"/>
      <c r="L2542" s="50"/>
      <c r="M2542" s="30"/>
      <c r="N2542" s="30"/>
      <c r="O2542" s="30"/>
      <c r="P2542" s="30"/>
      <c r="Q2542" s="30"/>
      <c r="R2542" s="30"/>
      <c r="S2542" s="30"/>
      <c r="T2542" s="30"/>
      <c r="U2542" s="30"/>
      <c r="V2542" s="30"/>
      <c r="W2542" s="30"/>
      <c r="X2542" s="30"/>
      <c r="Y2542" s="30"/>
      <c r="Z2542" s="30"/>
      <c r="AA2542" s="30"/>
      <c r="AB2542" s="30"/>
      <c r="AC2542" s="30"/>
      <c r="AD2542" s="30"/>
      <c r="AE2542" s="30"/>
    </row>
    <row r="2543" spans="1:31" ht="13">
      <c r="A2543" s="30"/>
      <c r="B2543" s="30"/>
      <c r="C2543" s="30"/>
      <c r="D2543" s="30"/>
      <c r="E2543" s="30"/>
      <c r="F2543" s="48"/>
      <c r="G2543" s="49"/>
      <c r="H2543" s="49"/>
      <c r="I2543" s="49"/>
      <c r="J2543" s="71"/>
      <c r="K2543" s="71"/>
      <c r="L2543" s="50"/>
      <c r="M2543" s="30"/>
      <c r="N2543" s="30"/>
      <c r="O2543" s="30"/>
      <c r="P2543" s="30"/>
      <c r="Q2543" s="30"/>
      <c r="R2543" s="30"/>
      <c r="S2543" s="30"/>
      <c r="T2543" s="30"/>
      <c r="U2543" s="30"/>
      <c r="V2543" s="30"/>
      <c r="W2543" s="30"/>
      <c r="X2543" s="30"/>
      <c r="Y2543" s="30"/>
      <c r="Z2543" s="30"/>
      <c r="AA2543" s="30"/>
      <c r="AB2543" s="30"/>
      <c r="AC2543" s="30"/>
      <c r="AD2543" s="30"/>
      <c r="AE2543" s="30"/>
    </row>
    <row r="2544" spans="1:31" ht="13">
      <c r="A2544" s="30"/>
      <c r="B2544" s="30"/>
      <c r="C2544" s="30"/>
      <c r="D2544" s="30"/>
      <c r="E2544" s="30"/>
      <c r="F2544" s="48"/>
      <c r="G2544" s="49"/>
      <c r="H2544" s="49"/>
      <c r="I2544" s="49"/>
      <c r="J2544" s="71"/>
      <c r="K2544" s="71"/>
      <c r="L2544" s="50"/>
      <c r="M2544" s="30"/>
      <c r="N2544" s="30"/>
      <c r="O2544" s="30"/>
      <c r="P2544" s="30"/>
      <c r="Q2544" s="30"/>
      <c r="R2544" s="30"/>
      <c r="S2544" s="30"/>
      <c r="T2544" s="30"/>
      <c r="U2544" s="30"/>
      <c r="V2544" s="30"/>
      <c r="W2544" s="30"/>
      <c r="X2544" s="30"/>
      <c r="Y2544" s="30"/>
      <c r="Z2544" s="30"/>
      <c r="AA2544" s="30"/>
      <c r="AB2544" s="30"/>
      <c r="AC2544" s="30"/>
      <c r="AD2544" s="30"/>
      <c r="AE2544" s="30"/>
    </row>
    <row r="2545" spans="1:31" ht="13">
      <c r="A2545" s="30"/>
      <c r="B2545" s="30"/>
      <c r="C2545" s="30"/>
      <c r="D2545" s="30"/>
      <c r="E2545" s="30"/>
      <c r="F2545" s="48"/>
      <c r="G2545" s="49"/>
      <c r="H2545" s="49"/>
      <c r="I2545" s="49"/>
      <c r="J2545" s="71"/>
      <c r="K2545" s="71"/>
      <c r="L2545" s="50"/>
      <c r="M2545" s="30"/>
      <c r="N2545" s="30"/>
      <c r="O2545" s="30"/>
      <c r="P2545" s="30"/>
      <c r="Q2545" s="30"/>
      <c r="R2545" s="30"/>
      <c r="S2545" s="30"/>
      <c r="T2545" s="30"/>
      <c r="U2545" s="30"/>
      <c r="V2545" s="30"/>
      <c r="W2545" s="30"/>
      <c r="X2545" s="30"/>
      <c r="Y2545" s="30"/>
      <c r="Z2545" s="30"/>
      <c r="AA2545" s="30"/>
      <c r="AB2545" s="30"/>
      <c r="AC2545" s="30"/>
      <c r="AD2545" s="30"/>
      <c r="AE2545" s="30"/>
    </row>
    <row r="2546" spans="1:31" ht="13">
      <c r="A2546" s="30"/>
      <c r="B2546" s="30"/>
      <c r="C2546" s="30"/>
      <c r="D2546" s="30"/>
      <c r="E2546" s="30"/>
      <c r="F2546" s="48"/>
      <c r="G2546" s="49"/>
      <c r="H2546" s="49"/>
      <c r="I2546" s="49"/>
      <c r="J2546" s="71"/>
      <c r="K2546" s="71"/>
      <c r="L2546" s="50"/>
      <c r="M2546" s="30"/>
      <c r="N2546" s="30"/>
      <c r="O2546" s="30"/>
      <c r="P2546" s="30"/>
      <c r="Q2546" s="30"/>
      <c r="R2546" s="30"/>
      <c r="S2546" s="30"/>
      <c r="T2546" s="30"/>
      <c r="U2546" s="30"/>
      <c r="V2546" s="30"/>
      <c r="W2546" s="30"/>
      <c r="X2546" s="30"/>
      <c r="Y2546" s="30"/>
      <c r="Z2546" s="30"/>
      <c r="AA2546" s="30"/>
      <c r="AB2546" s="30"/>
      <c r="AC2546" s="30"/>
      <c r="AD2546" s="30"/>
      <c r="AE2546" s="30"/>
    </row>
    <row r="2547" spans="1:31" ht="13">
      <c r="A2547" s="30"/>
      <c r="B2547" s="30"/>
      <c r="C2547" s="30"/>
      <c r="D2547" s="30"/>
      <c r="E2547" s="30"/>
      <c r="F2547" s="48"/>
      <c r="G2547" s="49"/>
      <c r="H2547" s="49"/>
      <c r="I2547" s="49"/>
      <c r="J2547" s="71"/>
      <c r="K2547" s="71"/>
      <c r="L2547" s="50"/>
      <c r="M2547" s="30"/>
      <c r="N2547" s="30"/>
      <c r="O2547" s="30"/>
      <c r="P2547" s="30"/>
      <c r="Q2547" s="30"/>
      <c r="R2547" s="30"/>
      <c r="S2547" s="30"/>
      <c r="T2547" s="30"/>
      <c r="U2547" s="30"/>
      <c r="V2547" s="30"/>
      <c r="W2547" s="30"/>
      <c r="X2547" s="30"/>
      <c r="Y2547" s="30"/>
      <c r="Z2547" s="30"/>
      <c r="AA2547" s="30"/>
      <c r="AB2547" s="30"/>
      <c r="AC2547" s="30"/>
      <c r="AD2547" s="30"/>
      <c r="AE2547" s="30"/>
    </row>
    <row r="2548" spans="1:31" ht="13">
      <c r="A2548" s="30"/>
      <c r="B2548" s="30"/>
      <c r="C2548" s="30"/>
      <c r="D2548" s="30"/>
      <c r="E2548" s="30"/>
      <c r="F2548" s="48"/>
      <c r="G2548" s="49"/>
      <c r="H2548" s="49"/>
      <c r="I2548" s="49"/>
      <c r="J2548" s="71"/>
      <c r="K2548" s="71"/>
      <c r="L2548" s="50"/>
      <c r="M2548" s="30"/>
      <c r="N2548" s="30"/>
      <c r="O2548" s="30"/>
      <c r="P2548" s="30"/>
      <c r="Q2548" s="30"/>
      <c r="R2548" s="30"/>
      <c r="S2548" s="30"/>
      <c r="T2548" s="30"/>
      <c r="U2548" s="30"/>
      <c r="V2548" s="30"/>
      <c r="W2548" s="30"/>
      <c r="X2548" s="30"/>
      <c r="Y2548" s="30"/>
      <c r="Z2548" s="30"/>
      <c r="AA2548" s="30"/>
      <c r="AB2548" s="30"/>
      <c r="AC2548" s="30"/>
      <c r="AD2548" s="30"/>
      <c r="AE2548" s="30"/>
    </row>
    <row r="2549" spans="1:31" ht="13">
      <c r="A2549" s="30"/>
      <c r="B2549" s="30"/>
      <c r="C2549" s="30"/>
      <c r="D2549" s="30"/>
      <c r="E2549" s="30"/>
      <c r="F2549" s="48"/>
      <c r="G2549" s="49"/>
      <c r="H2549" s="49"/>
      <c r="I2549" s="49"/>
      <c r="J2549" s="71"/>
      <c r="K2549" s="71"/>
      <c r="L2549" s="50"/>
      <c r="M2549" s="30"/>
      <c r="N2549" s="30"/>
      <c r="O2549" s="30"/>
      <c r="P2549" s="30"/>
      <c r="Q2549" s="30"/>
      <c r="R2549" s="30"/>
      <c r="S2549" s="30"/>
      <c r="T2549" s="30"/>
      <c r="U2549" s="30"/>
      <c r="V2549" s="30"/>
      <c r="W2549" s="30"/>
      <c r="X2549" s="30"/>
      <c r="Y2549" s="30"/>
      <c r="Z2549" s="30"/>
      <c r="AA2549" s="30"/>
      <c r="AB2549" s="30"/>
      <c r="AC2549" s="30"/>
      <c r="AD2549" s="30"/>
      <c r="AE2549" s="30"/>
    </row>
    <row r="2550" spans="1:31" ht="13">
      <c r="A2550" s="30"/>
      <c r="B2550" s="30"/>
      <c r="C2550" s="30"/>
      <c r="D2550" s="30"/>
      <c r="E2550" s="30"/>
      <c r="F2550" s="48"/>
      <c r="G2550" s="49"/>
      <c r="H2550" s="49"/>
      <c r="I2550" s="49"/>
      <c r="J2550" s="71"/>
      <c r="K2550" s="71"/>
      <c r="L2550" s="50"/>
      <c r="M2550" s="30"/>
      <c r="N2550" s="30"/>
      <c r="O2550" s="30"/>
      <c r="P2550" s="30"/>
      <c r="Q2550" s="30"/>
      <c r="R2550" s="30"/>
      <c r="S2550" s="30"/>
      <c r="T2550" s="30"/>
      <c r="U2550" s="30"/>
      <c r="V2550" s="30"/>
      <c r="W2550" s="30"/>
      <c r="X2550" s="30"/>
      <c r="Y2550" s="30"/>
      <c r="Z2550" s="30"/>
      <c r="AA2550" s="30"/>
      <c r="AB2550" s="30"/>
      <c r="AC2550" s="30"/>
      <c r="AD2550" s="30"/>
      <c r="AE2550" s="30"/>
    </row>
    <row r="2551" spans="1:31" ht="13">
      <c r="A2551" s="30"/>
      <c r="B2551" s="30"/>
      <c r="C2551" s="30"/>
      <c r="D2551" s="30"/>
      <c r="E2551" s="30"/>
      <c r="F2551" s="48"/>
      <c r="G2551" s="49"/>
      <c r="H2551" s="49"/>
      <c r="I2551" s="49"/>
      <c r="J2551" s="71"/>
      <c r="K2551" s="71"/>
      <c r="L2551" s="50"/>
      <c r="M2551" s="30"/>
      <c r="N2551" s="30"/>
      <c r="O2551" s="30"/>
      <c r="P2551" s="30"/>
      <c r="Q2551" s="30"/>
      <c r="R2551" s="30"/>
      <c r="S2551" s="30"/>
      <c r="T2551" s="30"/>
      <c r="U2551" s="30"/>
      <c r="V2551" s="30"/>
      <c r="W2551" s="30"/>
      <c r="X2551" s="30"/>
      <c r="Y2551" s="30"/>
      <c r="Z2551" s="30"/>
      <c r="AA2551" s="30"/>
      <c r="AB2551" s="30"/>
      <c r="AC2551" s="30"/>
      <c r="AD2551" s="30"/>
      <c r="AE2551" s="30"/>
    </row>
    <row r="2552" spans="1:31" ht="13">
      <c r="A2552" s="30"/>
      <c r="B2552" s="30"/>
      <c r="C2552" s="30"/>
      <c r="D2552" s="30"/>
      <c r="E2552" s="30"/>
      <c r="F2552" s="48"/>
      <c r="G2552" s="49"/>
      <c r="H2552" s="49"/>
      <c r="I2552" s="49"/>
      <c r="J2552" s="71"/>
      <c r="K2552" s="71"/>
      <c r="L2552" s="50"/>
      <c r="M2552" s="30"/>
      <c r="N2552" s="30"/>
      <c r="O2552" s="30"/>
      <c r="P2552" s="30"/>
      <c r="Q2552" s="30"/>
      <c r="R2552" s="30"/>
      <c r="S2552" s="30"/>
      <c r="T2552" s="30"/>
      <c r="U2552" s="30"/>
      <c r="V2552" s="30"/>
      <c r="W2552" s="30"/>
      <c r="X2552" s="30"/>
      <c r="Y2552" s="30"/>
      <c r="Z2552" s="30"/>
      <c r="AA2552" s="30"/>
      <c r="AB2552" s="30"/>
      <c r="AC2552" s="30"/>
      <c r="AD2552" s="30"/>
      <c r="AE2552" s="30"/>
    </row>
    <row r="2553" spans="1:31" ht="13">
      <c r="A2553" s="30"/>
      <c r="B2553" s="30"/>
      <c r="C2553" s="30"/>
      <c r="D2553" s="30"/>
      <c r="E2553" s="30"/>
      <c r="F2553" s="48"/>
      <c r="G2553" s="49"/>
      <c r="H2553" s="49"/>
      <c r="I2553" s="49"/>
      <c r="J2553" s="71"/>
      <c r="K2553" s="71"/>
      <c r="L2553" s="50"/>
      <c r="M2553" s="30"/>
      <c r="N2553" s="30"/>
      <c r="O2553" s="30"/>
      <c r="P2553" s="30"/>
      <c r="Q2553" s="30"/>
      <c r="R2553" s="30"/>
      <c r="S2553" s="30"/>
      <c r="T2553" s="30"/>
      <c r="U2553" s="30"/>
      <c r="V2553" s="30"/>
      <c r="W2553" s="30"/>
      <c r="X2553" s="30"/>
      <c r="Y2553" s="30"/>
      <c r="Z2553" s="30"/>
      <c r="AA2553" s="30"/>
      <c r="AB2553" s="30"/>
      <c r="AC2553" s="30"/>
      <c r="AD2553" s="30"/>
      <c r="AE2553" s="30"/>
    </row>
    <row r="2554" spans="1:31" ht="13">
      <c r="A2554" s="30"/>
      <c r="B2554" s="30"/>
      <c r="C2554" s="30"/>
      <c r="D2554" s="30"/>
      <c r="E2554" s="30"/>
      <c r="F2554" s="48"/>
      <c r="G2554" s="49"/>
      <c r="H2554" s="49"/>
      <c r="I2554" s="49"/>
      <c r="J2554" s="71"/>
      <c r="K2554" s="71"/>
      <c r="L2554" s="50"/>
      <c r="M2554" s="30"/>
      <c r="N2554" s="30"/>
      <c r="O2554" s="30"/>
      <c r="P2554" s="30"/>
      <c r="Q2554" s="30"/>
      <c r="R2554" s="30"/>
      <c r="S2554" s="30"/>
      <c r="T2554" s="30"/>
      <c r="U2554" s="30"/>
      <c r="V2554" s="30"/>
      <c r="W2554" s="30"/>
      <c r="X2554" s="30"/>
      <c r="Y2554" s="30"/>
      <c r="Z2554" s="30"/>
      <c r="AA2554" s="30"/>
      <c r="AB2554" s="30"/>
      <c r="AC2554" s="30"/>
      <c r="AD2554" s="30"/>
      <c r="AE2554" s="30"/>
    </row>
    <row r="2555" spans="1:31" ht="13">
      <c r="A2555" s="30"/>
      <c r="B2555" s="30"/>
      <c r="C2555" s="30"/>
      <c r="D2555" s="30"/>
      <c r="E2555" s="30"/>
      <c r="F2555" s="48"/>
      <c r="G2555" s="49"/>
      <c r="H2555" s="49"/>
      <c r="I2555" s="49"/>
      <c r="J2555" s="71"/>
      <c r="K2555" s="71"/>
      <c r="L2555" s="50"/>
      <c r="M2555" s="30"/>
      <c r="N2555" s="30"/>
      <c r="O2555" s="30"/>
      <c r="P2555" s="30"/>
      <c r="Q2555" s="30"/>
      <c r="R2555" s="30"/>
      <c r="S2555" s="30"/>
      <c r="T2555" s="30"/>
      <c r="U2555" s="30"/>
      <c r="V2555" s="30"/>
      <c r="W2555" s="30"/>
      <c r="X2555" s="30"/>
      <c r="Y2555" s="30"/>
      <c r="Z2555" s="30"/>
      <c r="AA2555" s="30"/>
      <c r="AB2555" s="30"/>
      <c r="AC2555" s="30"/>
      <c r="AD2555" s="30"/>
      <c r="AE2555" s="30"/>
    </row>
    <row r="2556" spans="1:31" ht="13">
      <c r="A2556" s="30"/>
      <c r="B2556" s="30"/>
      <c r="C2556" s="30"/>
      <c r="D2556" s="30"/>
      <c r="E2556" s="30"/>
      <c r="F2556" s="48"/>
      <c r="G2556" s="49"/>
      <c r="H2556" s="49"/>
      <c r="I2556" s="49"/>
      <c r="J2556" s="71"/>
      <c r="K2556" s="71"/>
      <c r="L2556" s="50"/>
      <c r="M2556" s="30"/>
      <c r="N2556" s="30"/>
      <c r="O2556" s="30"/>
      <c r="P2556" s="30"/>
      <c r="Q2556" s="30"/>
      <c r="R2556" s="30"/>
      <c r="S2556" s="30"/>
      <c r="T2556" s="30"/>
      <c r="U2556" s="30"/>
      <c r="V2556" s="30"/>
      <c r="W2556" s="30"/>
      <c r="X2556" s="30"/>
      <c r="Y2556" s="30"/>
      <c r="Z2556" s="30"/>
      <c r="AA2556" s="30"/>
      <c r="AB2556" s="30"/>
      <c r="AC2556" s="30"/>
      <c r="AD2556" s="30"/>
      <c r="AE2556" s="30"/>
    </row>
    <row r="2557" spans="1:31" ht="13">
      <c r="A2557" s="30"/>
      <c r="B2557" s="30"/>
      <c r="C2557" s="30"/>
      <c r="D2557" s="30"/>
      <c r="E2557" s="30"/>
      <c r="F2557" s="48"/>
      <c r="G2557" s="49"/>
      <c r="H2557" s="49"/>
      <c r="I2557" s="49"/>
      <c r="J2557" s="71"/>
      <c r="K2557" s="71"/>
      <c r="L2557" s="50"/>
      <c r="M2557" s="30"/>
      <c r="N2557" s="30"/>
      <c r="O2557" s="30"/>
      <c r="P2557" s="30"/>
      <c r="Q2557" s="30"/>
      <c r="R2557" s="30"/>
      <c r="S2557" s="30"/>
      <c r="T2557" s="30"/>
      <c r="U2557" s="30"/>
      <c r="V2557" s="30"/>
      <c r="W2557" s="30"/>
      <c r="X2557" s="30"/>
      <c r="Y2557" s="30"/>
      <c r="Z2557" s="30"/>
      <c r="AA2557" s="30"/>
      <c r="AB2557" s="30"/>
      <c r="AC2557" s="30"/>
      <c r="AD2557" s="30"/>
      <c r="AE2557" s="30"/>
    </row>
    <row r="2558" spans="1:31" ht="13">
      <c r="A2558" s="30"/>
      <c r="B2558" s="30"/>
      <c r="C2558" s="30"/>
      <c r="D2558" s="30"/>
      <c r="E2558" s="30"/>
      <c r="F2558" s="48"/>
      <c r="G2558" s="49"/>
      <c r="H2558" s="49"/>
      <c r="I2558" s="49"/>
      <c r="J2558" s="71"/>
      <c r="K2558" s="71"/>
      <c r="L2558" s="50"/>
      <c r="M2558" s="30"/>
      <c r="N2558" s="30"/>
      <c r="O2558" s="30"/>
      <c r="P2558" s="30"/>
      <c r="Q2558" s="30"/>
      <c r="R2558" s="30"/>
      <c r="S2558" s="30"/>
      <c r="T2558" s="30"/>
      <c r="U2558" s="30"/>
      <c r="V2558" s="30"/>
      <c r="W2558" s="30"/>
      <c r="X2558" s="30"/>
      <c r="Y2558" s="30"/>
      <c r="Z2558" s="30"/>
      <c r="AA2558" s="30"/>
      <c r="AB2558" s="30"/>
      <c r="AC2558" s="30"/>
      <c r="AD2558" s="30"/>
      <c r="AE2558" s="30"/>
    </row>
    <row r="2559" spans="1:31" ht="13">
      <c r="A2559" s="30"/>
      <c r="B2559" s="30"/>
      <c r="C2559" s="30"/>
      <c r="D2559" s="30"/>
      <c r="E2559" s="30"/>
      <c r="F2559" s="48"/>
      <c r="G2559" s="49"/>
      <c r="H2559" s="49"/>
      <c r="I2559" s="49"/>
      <c r="J2559" s="71"/>
      <c r="K2559" s="71"/>
      <c r="L2559" s="50"/>
      <c r="M2559" s="30"/>
      <c r="N2559" s="30"/>
      <c r="O2559" s="30"/>
      <c r="P2559" s="30"/>
      <c r="Q2559" s="30"/>
      <c r="R2559" s="30"/>
      <c r="S2559" s="30"/>
      <c r="T2559" s="30"/>
      <c r="U2559" s="30"/>
      <c r="V2559" s="30"/>
      <c r="W2559" s="30"/>
      <c r="X2559" s="30"/>
      <c r="Y2559" s="30"/>
      <c r="Z2559" s="30"/>
      <c r="AA2559" s="30"/>
      <c r="AB2559" s="30"/>
      <c r="AC2559" s="30"/>
      <c r="AD2559" s="30"/>
      <c r="AE2559" s="30"/>
    </row>
    <row r="2560" spans="1:31" ht="13">
      <c r="A2560" s="30"/>
      <c r="B2560" s="30"/>
      <c r="C2560" s="30"/>
      <c r="D2560" s="30"/>
      <c r="E2560" s="30"/>
      <c r="F2560" s="48"/>
      <c r="G2560" s="49"/>
      <c r="H2560" s="49"/>
      <c r="I2560" s="49"/>
      <c r="J2560" s="71"/>
      <c r="K2560" s="71"/>
      <c r="L2560" s="50"/>
      <c r="M2560" s="30"/>
      <c r="N2560" s="30"/>
      <c r="O2560" s="30"/>
      <c r="P2560" s="30"/>
      <c r="Q2560" s="30"/>
      <c r="R2560" s="30"/>
      <c r="S2560" s="30"/>
      <c r="T2560" s="30"/>
      <c r="U2560" s="30"/>
      <c r="V2560" s="30"/>
      <c r="W2560" s="30"/>
      <c r="X2560" s="30"/>
      <c r="Y2560" s="30"/>
      <c r="Z2560" s="30"/>
      <c r="AA2560" s="30"/>
      <c r="AB2560" s="30"/>
      <c r="AC2560" s="30"/>
      <c r="AD2560" s="30"/>
      <c r="AE2560" s="30"/>
    </row>
    <row r="2561" spans="1:31" ht="13">
      <c r="A2561" s="30"/>
      <c r="B2561" s="30"/>
      <c r="C2561" s="30"/>
      <c r="D2561" s="30"/>
      <c r="E2561" s="30"/>
      <c r="F2561" s="48"/>
      <c r="G2561" s="49"/>
      <c r="H2561" s="49"/>
      <c r="I2561" s="49"/>
      <c r="J2561" s="71"/>
      <c r="K2561" s="71"/>
      <c r="L2561" s="50"/>
      <c r="M2561" s="30"/>
      <c r="N2561" s="30"/>
      <c r="O2561" s="30"/>
      <c r="P2561" s="30"/>
      <c r="Q2561" s="30"/>
      <c r="R2561" s="30"/>
      <c r="S2561" s="30"/>
      <c r="T2561" s="30"/>
      <c r="U2561" s="30"/>
      <c r="V2561" s="30"/>
      <c r="W2561" s="30"/>
      <c r="X2561" s="30"/>
      <c r="Y2561" s="30"/>
      <c r="Z2561" s="30"/>
      <c r="AA2561" s="30"/>
      <c r="AB2561" s="30"/>
      <c r="AC2561" s="30"/>
      <c r="AD2561" s="30"/>
      <c r="AE2561" s="30"/>
    </row>
    <row r="2562" spans="1:31" ht="13">
      <c r="A2562" s="30"/>
      <c r="B2562" s="30"/>
      <c r="C2562" s="30"/>
      <c r="D2562" s="30"/>
      <c r="E2562" s="30"/>
      <c r="F2562" s="48"/>
      <c r="G2562" s="49"/>
      <c r="H2562" s="49"/>
      <c r="I2562" s="49"/>
      <c r="J2562" s="71"/>
      <c r="K2562" s="71"/>
      <c r="L2562" s="50"/>
      <c r="M2562" s="30"/>
      <c r="N2562" s="30"/>
      <c r="O2562" s="30"/>
      <c r="P2562" s="30"/>
      <c r="Q2562" s="30"/>
      <c r="R2562" s="30"/>
      <c r="S2562" s="30"/>
      <c r="T2562" s="30"/>
      <c r="U2562" s="30"/>
      <c r="V2562" s="30"/>
      <c r="W2562" s="30"/>
      <c r="X2562" s="30"/>
      <c r="Y2562" s="30"/>
      <c r="Z2562" s="30"/>
      <c r="AA2562" s="30"/>
      <c r="AB2562" s="30"/>
      <c r="AC2562" s="30"/>
      <c r="AD2562" s="30"/>
      <c r="AE2562" s="30"/>
    </row>
    <row r="2563" spans="1:31" ht="13">
      <c r="A2563" s="30"/>
      <c r="B2563" s="30"/>
      <c r="C2563" s="30"/>
      <c r="D2563" s="30"/>
      <c r="E2563" s="30"/>
      <c r="F2563" s="48"/>
      <c r="G2563" s="49"/>
      <c r="H2563" s="49"/>
      <c r="I2563" s="49"/>
      <c r="J2563" s="71"/>
      <c r="K2563" s="71"/>
      <c r="L2563" s="50"/>
      <c r="M2563" s="30"/>
      <c r="N2563" s="30"/>
      <c r="O2563" s="30"/>
      <c r="P2563" s="30"/>
      <c r="Q2563" s="30"/>
      <c r="R2563" s="30"/>
      <c r="S2563" s="30"/>
      <c r="T2563" s="30"/>
      <c r="U2563" s="30"/>
      <c r="V2563" s="30"/>
      <c r="W2563" s="30"/>
      <c r="X2563" s="30"/>
      <c r="Y2563" s="30"/>
      <c r="Z2563" s="30"/>
      <c r="AA2563" s="30"/>
      <c r="AB2563" s="30"/>
      <c r="AC2563" s="30"/>
      <c r="AD2563" s="30"/>
      <c r="AE2563" s="30"/>
    </row>
    <row r="2564" spans="1:31" ht="13">
      <c r="A2564" s="30"/>
      <c r="B2564" s="30"/>
      <c r="C2564" s="30"/>
      <c r="D2564" s="30"/>
      <c r="E2564" s="30"/>
      <c r="F2564" s="48"/>
      <c r="G2564" s="49"/>
      <c r="H2564" s="49"/>
      <c r="I2564" s="49"/>
      <c r="J2564" s="71"/>
      <c r="K2564" s="71"/>
      <c r="L2564" s="50"/>
      <c r="M2564" s="30"/>
      <c r="N2564" s="30"/>
      <c r="O2564" s="30"/>
      <c r="P2564" s="30"/>
      <c r="Q2564" s="30"/>
      <c r="R2564" s="30"/>
      <c r="S2564" s="30"/>
      <c r="T2564" s="30"/>
      <c r="U2564" s="30"/>
      <c r="V2564" s="30"/>
      <c r="W2564" s="30"/>
      <c r="X2564" s="30"/>
      <c r="Y2564" s="30"/>
      <c r="Z2564" s="30"/>
      <c r="AA2564" s="30"/>
      <c r="AB2564" s="30"/>
      <c r="AC2564" s="30"/>
      <c r="AD2564" s="30"/>
      <c r="AE2564" s="30"/>
    </row>
    <row r="2565" spans="1:31" ht="13">
      <c r="A2565" s="30"/>
      <c r="B2565" s="30"/>
      <c r="C2565" s="30"/>
      <c r="D2565" s="30"/>
      <c r="E2565" s="30"/>
      <c r="F2565" s="48"/>
      <c r="G2565" s="49"/>
      <c r="H2565" s="49"/>
      <c r="I2565" s="49"/>
      <c r="J2565" s="71"/>
      <c r="K2565" s="71"/>
      <c r="L2565" s="50"/>
      <c r="M2565" s="30"/>
      <c r="N2565" s="30"/>
      <c r="O2565" s="30"/>
      <c r="P2565" s="30"/>
      <c r="Q2565" s="30"/>
      <c r="R2565" s="30"/>
      <c r="S2565" s="30"/>
      <c r="T2565" s="30"/>
      <c r="U2565" s="30"/>
      <c r="V2565" s="30"/>
      <c r="W2565" s="30"/>
      <c r="X2565" s="30"/>
      <c r="Y2565" s="30"/>
      <c r="Z2565" s="30"/>
      <c r="AA2565" s="30"/>
      <c r="AB2565" s="30"/>
      <c r="AC2565" s="30"/>
      <c r="AD2565" s="30"/>
      <c r="AE2565" s="30"/>
    </row>
    <row r="2566" spans="1:31" ht="13">
      <c r="A2566" s="30"/>
      <c r="B2566" s="30"/>
      <c r="C2566" s="30"/>
      <c r="D2566" s="30"/>
      <c r="E2566" s="30"/>
      <c r="F2566" s="48"/>
      <c r="G2566" s="49"/>
      <c r="H2566" s="49"/>
      <c r="I2566" s="49"/>
      <c r="J2566" s="71"/>
      <c r="K2566" s="71"/>
      <c r="L2566" s="50"/>
      <c r="M2566" s="30"/>
      <c r="N2566" s="30"/>
      <c r="O2566" s="30"/>
      <c r="P2566" s="30"/>
      <c r="Q2566" s="30"/>
      <c r="R2566" s="30"/>
      <c r="S2566" s="30"/>
      <c r="T2566" s="30"/>
      <c r="U2566" s="30"/>
      <c r="V2566" s="30"/>
      <c r="W2566" s="30"/>
      <c r="X2566" s="30"/>
      <c r="Y2566" s="30"/>
      <c r="Z2566" s="30"/>
      <c r="AA2566" s="30"/>
      <c r="AB2566" s="30"/>
      <c r="AC2566" s="30"/>
      <c r="AD2566" s="30"/>
      <c r="AE2566" s="30"/>
    </row>
    <row r="2567" spans="1:31" ht="13">
      <c r="A2567" s="30"/>
      <c r="B2567" s="30"/>
      <c r="C2567" s="30"/>
      <c r="D2567" s="30"/>
      <c r="E2567" s="30"/>
      <c r="F2567" s="48"/>
      <c r="G2567" s="49"/>
      <c r="H2567" s="49"/>
      <c r="I2567" s="49"/>
      <c r="J2567" s="71"/>
      <c r="K2567" s="71"/>
      <c r="L2567" s="50"/>
      <c r="M2567" s="30"/>
      <c r="N2567" s="30"/>
      <c r="O2567" s="30"/>
      <c r="P2567" s="30"/>
      <c r="Q2567" s="30"/>
      <c r="R2567" s="30"/>
      <c r="S2567" s="30"/>
      <c r="T2567" s="30"/>
      <c r="U2567" s="30"/>
      <c r="V2567" s="30"/>
      <c r="W2567" s="30"/>
      <c r="X2567" s="30"/>
      <c r="Y2567" s="30"/>
      <c r="Z2567" s="30"/>
      <c r="AA2567" s="30"/>
      <c r="AB2567" s="30"/>
      <c r="AC2567" s="30"/>
      <c r="AD2567" s="30"/>
      <c r="AE2567" s="30"/>
    </row>
    <row r="2568" spans="1:31" ht="13">
      <c r="A2568" s="30"/>
      <c r="B2568" s="30"/>
      <c r="C2568" s="30"/>
      <c r="D2568" s="30"/>
      <c r="E2568" s="30"/>
      <c r="F2568" s="48"/>
      <c r="G2568" s="49"/>
      <c r="H2568" s="49"/>
      <c r="I2568" s="49"/>
      <c r="J2568" s="71"/>
      <c r="K2568" s="71"/>
      <c r="L2568" s="50"/>
      <c r="M2568" s="30"/>
      <c r="N2568" s="30"/>
      <c r="O2568" s="30"/>
      <c r="P2568" s="30"/>
      <c r="Q2568" s="30"/>
      <c r="R2568" s="30"/>
      <c r="S2568" s="30"/>
      <c r="T2568" s="30"/>
      <c r="U2568" s="30"/>
      <c r="V2568" s="30"/>
      <c r="W2568" s="30"/>
      <c r="X2568" s="30"/>
      <c r="Y2568" s="30"/>
      <c r="Z2568" s="30"/>
      <c r="AA2568" s="30"/>
      <c r="AB2568" s="30"/>
      <c r="AC2568" s="30"/>
      <c r="AD2568" s="30"/>
      <c r="AE2568" s="30"/>
    </row>
    <row r="2569" spans="1:31" ht="13">
      <c r="A2569" s="30"/>
      <c r="B2569" s="30"/>
      <c r="C2569" s="30"/>
      <c r="D2569" s="30"/>
      <c r="E2569" s="30"/>
      <c r="F2569" s="48"/>
      <c r="G2569" s="49"/>
      <c r="H2569" s="49"/>
      <c r="I2569" s="49"/>
      <c r="J2569" s="71"/>
      <c r="K2569" s="71"/>
      <c r="L2569" s="50"/>
      <c r="M2569" s="30"/>
      <c r="N2569" s="30"/>
      <c r="O2569" s="30"/>
      <c r="P2569" s="30"/>
      <c r="Q2569" s="30"/>
      <c r="R2569" s="30"/>
      <c r="S2569" s="30"/>
      <c r="T2569" s="30"/>
      <c r="U2569" s="30"/>
      <c r="V2569" s="30"/>
      <c r="W2569" s="30"/>
      <c r="X2569" s="30"/>
      <c r="Y2569" s="30"/>
      <c r="Z2569" s="30"/>
      <c r="AA2569" s="30"/>
      <c r="AB2569" s="30"/>
      <c r="AC2569" s="30"/>
      <c r="AD2569" s="30"/>
      <c r="AE2569" s="30"/>
    </row>
    <row r="2570" spans="1:31" ht="13">
      <c r="A2570" s="30"/>
      <c r="B2570" s="30"/>
      <c r="C2570" s="30"/>
      <c r="D2570" s="30"/>
      <c r="E2570" s="30"/>
      <c r="F2570" s="48"/>
      <c r="G2570" s="49"/>
      <c r="H2570" s="49"/>
      <c r="I2570" s="49"/>
      <c r="J2570" s="71"/>
      <c r="K2570" s="71"/>
      <c r="L2570" s="50"/>
      <c r="M2570" s="30"/>
      <c r="N2570" s="30"/>
      <c r="O2570" s="30"/>
      <c r="P2570" s="30"/>
      <c r="Q2570" s="30"/>
      <c r="R2570" s="30"/>
      <c r="S2570" s="30"/>
      <c r="T2570" s="30"/>
      <c r="U2570" s="30"/>
      <c r="V2570" s="30"/>
      <c r="W2570" s="30"/>
      <c r="X2570" s="30"/>
      <c r="Y2570" s="30"/>
      <c r="Z2570" s="30"/>
      <c r="AA2570" s="30"/>
      <c r="AB2570" s="30"/>
      <c r="AC2570" s="30"/>
      <c r="AD2570" s="30"/>
      <c r="AE2570" s="30"/>
    </row>
    <row r="2571" spans="1:31" ht="13">
      <c r="A2571" s="30"/>
      <c r="B2571" s="30"/>
      <c r="C2571" s="30"/>
      <c r="D2571" s="30"/>
      <c r="E2571" s="30"/>
      <c r="F2571" s="48"/>
      <c r="G2571" s="49"/>
      <c r="H2571" s="49"/>
      <c r="I2571" s="49"/>
      <c r="J2571" s="71"/>
      <c r="K2571" s="71"/>
      <c r="L2571" s="50"/>
      <c r="M2571" s="30"/>
      <c r="N2571" s="30"/>
      <c r="O2571" s="30"/>
      <c r="P2571" s="30"/>
      <c r="Q2571" s="30"/>
      <c r="R2571" s="30"/>
      <c r="S2571" s="30"/>
      <c r="T2571" s="30"/>
      <c r="U2571" s="30"/>
      <c r="V2571" s="30"/>
      <c r="W2571" s="30"/>
      <c r="X2571" s="30"/>
      <c r="Y2571" s="30"/>
      <c r="Z2571" s="30"/>
      <c r="AA2571" s="30"/>
      <c r="AB2571" s="30"/>
      <c r="AC2571" s="30"/>
      <c r="AD2571" s="30"/>
      <c r="AE2571" s="30"/>
    </row>
    <row r="2572" spans="1:31" ht="13">
      <c r="A2572" s="30"/>
      <c r="B2572" s="30"/>
      <c r="C2572" s="30"/>
      <c r="D2572" s="30"/>
      <c r="E2572" s="30"/>
      <c r="F2572" s="48"/>
      <c r="G2572" s="49"/>
      <c r="H2572" s="49"/>
      <c r="I2572" s="49"/>
      <c r="J2572" s="71"/>
      <c r="K2572" s="71"/>
      <c r="L2572" s="50"/>
      <c r="M2572" s="30"/>
      <c r="N2572" s="30"/>
      <c r="O2572" s="30"/>
      <c r="P2572" s="30"/>
      <c r="Q2572" s="30"/>
      <c r="R2572" s="30"/>
      <c r="S2572" s="30"/>
      <c r="T2572" s="30"/>
      <c r="U2572" s="30"/>
      <c r="V2572" s="30"/>
      <c r="W2572" s="30"/>
      <c r="X2572" s="30"/>
      <c r="Y2572" s="30"/>
      <c r="Z2572" s="30"/>
      <c r="AA2572" s="30"/>
      <c r="AB2572" s="30"/>
      <c r="AC2572" s="30"/>
      <c r="AD2572" s="30"/>
      <c r="AE2572" s="30"/>
    </row>
    <row r="2573" spans="1:31" ht="13">
      <c r="A2573" s="30"/>
      <c r="B2573" s="30"/>
      <c r="C2573" s="30"/>
      <c r="D2573" s="30"/>
      <c r="E2573" s="30"/>
      <c r="F2573" s="48"/>
      <c r="G2573" s="49"/>
      <c r="H2573" s="49"/>
      <c r="I2573" s="49"/>
      <c r="J2573" s="71"/>
      <c r="K2573" s="71"/>
      <c r="L2573" s="50"/>
      <c r="M2573" s="30"/>
      <c r="N2573" s="30"/>
      <c r="O2573" s="30"/>
      <c r="P2573" s="30"/>
      <c r="Q2573" s="30"/>
      <c r="R2573" s="30"/>
      <c r="S2573" s="30"/>
      <c r="T2573" s="30"/>
      <c r="U2573" s="30"/>
      <c r="V2573" s="30"/>
      <c r="W2573" s="30"/>
      <c r="X2573" s="30"/>
      <c r="Y2573" s="30"/>
      <c r="Z2573" s="30"/>
      <c r="AA2573" s="30"/>
      <c r="AB2573" s="30"/>
      <c r="AC2573" s="30"/>
      <c r="AD2573" s="30"/>
      <c r="AE2573" s="30"/>
    </row>
    <row r="2574" spans="1:31" ht="13">
      <c r="A2574" s="30"/>
      <c r="B2574" s="30"/>
      <c r="C2574" s="30"/>
      <c r="D2574" s="30"/>
      <c r="E2574" s="30"/>
      <c r="F2574" s="48"/>
      <c r="G2574" s="49"/>
      <c r="H2574" s="49"/>
      <c r="I2574" s="49"/>
      <c r="J2574" s="71"/>
      <c r="K2574" s="71"/>
      <c r="L2574" s="50"/>
      <c r="M2574" s="30"/>
      <c r="N2574" s="30"/>
      <c r="O2574" s="30"/>
      <c r="P2574" s="30"/>
      <c r="Q2574" s="30"/>
      <c r="R2574" s="30"/>
      <c r="S2574" s="30"/>
      <c r="T2574" s="30"/>
      <c r="U2574" s="30"/>
      <c r="V2574" s="30"/>
      <c r="W2574" s="30"/>
      <c r="X2574" s="30"/>
      <c r="Y2574" s="30"/>
      <c r="Z2574" s="30"/>
      <c r="AA2574" s="30"/>
      <c r="AB2574" s="30"/>
      <c r="AC2574" s="30"/>
      <c r="AD2574" s="30"/>
      <c r="AE2574" s="30"/>
    </row>
    <row r="2575" spans="1:31" ht="13">
      <c r="A2575" s="30"/>
      <c r="B2575" s="30"/>
      <c r="C2575" s="30"/>
      <c r="D2575" s="30"/>
      <c r="E2575" s="30"/>
      <c r="F2575" s="48"/>
      <c r="G2575" s="49"/>
      <c r="H2575" s="49"/>
      <c r="I2575" s="49"/>
      <c r="J2575" s="71"/>
      <c r="K2575" s="71"/>
      <c r="L2575" s="50"/>
      <c r="M2575" s="30"/>
      <c r="N2575" s="30"/>
      <c r="O2575" s="30"/>
      <c r="P2575" s="30"/>
      <c r="Q2575" s="30"/>
      <c r="R2575" s="30"/>
      <c r="S2575" s="30"/>
      <c r="T2575" s="30"/>
      <c r="U2575" s="30"/>
      <c r="V2575" s="30"/>
      <c r="W2575" s="30"/>
      <c r="X2575" s="30"/>
      <c r="Y2575" s="30"/>
      <c r="Z2575" s="30"/>
      <c r="AA2575" s="30"/>
      <c r="AB2575" s="30"/>
      <c r="AC2575" s="30"/>
      <c r="AD2575" s="30"/>
      <c r="AE2575" s="30"/>
    </row>
    <row r="2576" spans="1:31" ht="13">
      <c r="A2576" s="30"/>
      <c r="B2576" s="30"/>
      <c r="C2576" s="30"/>
      <c r="D2576" s="30"/>
      <c r="E2576" s="30"/>
      <c r="F2576" s="48"/>
      <c r="G2576" s="49"/>
      <c r="H2576" s="49"/>
      <c r="I2576" s="49"/>
      <c r="J2576" s="71"/>
      <c r="K2576" s="71"/>
      <c r="L2576" s="50"/>
      <c r="M2576" s="30"/>
      <c r="N2576" s="30"/>
      <c r="O2576" s="30"/>
      <c r="P2576" s="30"/>
      <c r="Q2576" s="30"/>
      <c r="R2576" s="30"/>
      <c r="S2576" s="30"/>
      <c r="T2576" s="30"/>
      <c r="U2576" s="30"/>
      <c r="V2576" s="30"/>
      <c r="W2576" s="30"/>
      <c r="X2576" s="30"/>
      <c r="Y2576" s="30"/>
      <c r="Z2576" s="30"/>
      <c r="AA2576" s="30"/>
      <c r="AB2576" s="30"/>
      <c r="AC2576" s="30"/>
      <c r="AD2576" s="30"/>
      <c r="AE2576" s="30"/>
    </row>
    <row r="2577" spans="1:31" ht="13">
      <c r="A2577" s="30"/>
      <c r="B2577" s="30"/>
      <c r="C2577" s="30"/>
      <c r="D2577" s="30"/>
      <c r="E2577" s="30"/>
      <c r="F2577" s="48"/>
      <c r="G2577" s="49"/>
      <c r="H2577" s="49"/>
      <c r="I2577" s="49"/>
      <c r="J2577" s="71"/>
      <c r="K2577" s="71"/>
      <c r="L2577" s="50"/>
      <c r="M2577" s="30"/>
      <c r="N2577" s="30"/>
      <c r="O2577" s="30"/>
      <c r="P2577" s="30"/>
      <c r="Q2577" s="30"/>
      <c r="R2577" s="30"/>
      <c r="S2577" s="30"/>
      <c r="T2577" s="30"/>
      <c r="U2577" s="30"/>
      <c r="V2577" s="30"/>
      <c r="W2577" s="30"/>
      <c r="X2577" s="30"/>
      <c r="Y2577" s="30"/>
      <c r="Z2577" s="30"/>
      <c r="AA2577" s="30"/>
      <c r="AB2577" s="30"/>
      <c r="AC2577" s="30"/>
      <c r="AD2577" s="30"/>
      <c r="AE2577" s="30"/>
    </row>
    <row r="2578" spans="1:31" ht="13">
      <c r="A2578" s="30"/>
      <c r="B2578" s="30"/>
      <c r="C2578" s="30"/>
      <c r="D2578" s="30"/>
      <c r="E2578" s="30"/>
      <c r="F2578" s="48"/>
      <c r="G2578" s="49"/>
      <c r="H2578" s="49"/>
      <c r="I2578" s="49"/>
      <c r="J2578" s="71"/>
      <c r="K2578" s="71"/>
      <c r="L2578" s="50"/>
      <c r="M2578" s="30"/>
      <c r="N2578" s="30"/>
      <c r="O2578" s="30"/>
      <c r="P2578" s="30"/>
      <c r="Q2578" s="30"/>
      <c r="R2578" s="30"/>
      <c r="S2578" s="30"/>
      <c r="T2578" s="30"/>
      <c r="U2578" s="30"/>
      <c r="V2578" s="30"/>
      <c r="W2578" s="30"/>
      <c r="X2578" s="30"/>
      <c r="Y2578" s="30"/>
      <c r="Z2578" s="30"/>
      <c r="AA2578" s="30"/>
      <c r="AB2578" s="30"/>
      <c r="AC2578" s="30"/>
      <c r="AD2578" s="30"/>
      <c r="AE2578" s="30"/>
    </row>
    <row r="2579" spans="1:31" ht="13">
      <c r="A2579" s="30"/>
      <c r="B2579" s="30"/>
      <c r="C2579" s="30"/>
      <c r="D2579" s="30"/>
      <c r="E2579" s="30"/>
      <c r="F2579" s="48"/>
      <c r="G2579" s="49"/>
      <c r="H2579" s="49"/>
      <c r="I2579" s="49"/>
      <c r="J2579" s="71"/>
      <c r="K2579" s="71"/>
      <c r="L2579" s="50"/>
      <c r="M2579" s="30"/>
      <c r="N2579" s="30"/>
      <c r="O2579" s="30"/>
      <c r="P2579" s="30"/>
      <c r="Q2579" s="30"/>
      <c r="R2579" s="30"/>
      <c r="S2579" s="30"/>
      <c r="T2579" s="30"/>
      <c r="U2579" s="30"/>
      <c r="V2579" s="30"/>
      <c r="W2579" s="30"/>
      <c r="X2579" s="30"/>
      <c r="Y2579" s="30"/>
      <c r="Z2579" s="30"/>
      <c r="AA2579" s="30"/>
      <c r="AB2579" s="30"/>
      <c r="AC2579" s="30"/>
      <c r="AD2579" s="30"/>
      <c r="AE2579" s="30"/>
    </row>
    <row r="2580" spans="1:31" ht="13">
      <c r="A2580" s="30"/>
      <c r="B2580" s="30"/>
      <c r="C2580" s="30"/>
      <c r="D2580" s="30"/>
      <c r="E2580" s="30"/>
      <c r="F2580" s="48"/>
      <c r="G2580" s="49"/>
      <c r="H2580" s="49"/>
      <c r="I2580" s="49"/>
      <c r="J2580" s="71"/>
      <c r="K2580" s="71"/>
      <c r="L2580" s="50"/>
      <c r="M2580" s="30"/>
      <c r="N2580" s="30"/>
      <c r="O2580" s="30"/>
      <c r="P2580" s="30"/>
      <c r="Q2580" s="30"/>
      <c r="R2580" s="30"/>
      <c r="S2580" s="30"/>
      <c r="T2580" s="30"/>
      <c r="U2580" s="30"/>
      <c r="V2580" s="30"/>
      <c r="W2580" s="30"/>
      <c r="X2580" s="30"/>
      <c r="Y2580" s="30"/>
      <c r="Z2580" s="30"/>
      <c r="AA2580" s="30"/>
      <c r="AB2580" s="30"/>
      <c r="AC2580" s="30"/>
      <c r="AD2580" s="30"/>
      <c r="AE2580" s="30"/>
    </row>
    <row r="2581" spans="1:31" ht="13">
      <c r="A2581" s="30"/>
      <c r="B2581" s="30"/>
      <c r="C2581" s="30"/>
      <c r="D2581" s="30"/>
      <c r="E2581" s="30"/>
      <c r="F2581" s="48"/>
      <c r="G2581" s="49"/>
      <c r="H2581" s="49"/>
      <c r="I2581" s="49"/>
      <c r="J2581" s="71"/>
      <c r="K2581" s="71"/>
      <c r="L2581" s="50"/>
      <c r="M2581" s="30"/>
      <c r="N2581" s="30"/>
      <c r="O2581" s="30"/>
      <c r="P2581" s="30"/>
      <c r="Q2581" s="30"/>
      <c r="R2581" s="30"/>
      <c r="S2581" s="30"/>
      <c r="T2581" s="30"/>
      <c r="U2581" s="30"/>
      <c r="V2581" s="30"/>
      <c r="W2581" s="30"/>
      <c r="X2581" s="30"/>
      <c r="Y2581" s="30"/>
      <c r="Z2581" s="30"/>
      <c r="AA2581" s="30"/>
      <c r="AB2581" s="30"/>
      <c r="AC2581" s="30"/>
      <c r="AD2581" s="30"/>
      <c r="AE2581" s="30"/>
    </row>
    <row r="2582" spans="1:31" ht="13">
      <c r="A2582" s="30"/>
      <c r="B2582" s="30"/>
      <c r="C2582" s="30"/>
      <c r="D2582" s="30"/>
      <c r="E2582" s="30"/>
      <c r="F2582" s="48"/>
      <c r="G2582" s="49"/>
      <c r="H2582" s="49"/>
      <c r="I2582" s="49"/>
      <c r="J2582" s="71"/>
      <c r="K2582" s="71"/>
      <c r="L2582" s="50"/>
      <c r="M2582" s="30"/>
      <c r="N2582" s="30"/>
      <c r="O2582" s="30"/>
      <c r="P2582" s="30"/>
      <c r="Q2582" s="30"/>
      <c r="R2582" s="30"/>
      <c r="S2582" s="30"/>
      <c r="T2582" s="30"/>
      <c r="U2582" s="30"/>
      <c r="V2582" s="30"/>
      <c r="W2582" s="30"/>
      <c r="X2582" s="30"/>
      <c r="Y2582" s="30"/>
      <c r="Z2582" s="30"/>
      <c r="AA2582" s="30"/>
      <c r="AB2582" s="30"/>
      <c r="AC2582" s="30"/>
      <c r="AD2582" s="30"/>
      <c r="AE2582" s="30"/>
    </row>
    <row r="2583" spans="1:31" ht="13">
      <c r="A2583" s="30"/>
      <c r="B2583" s="30"/>
      <c r="C2583" s="30"/>
      <c r="D2583" s="30"/>
      <c r="E2583" s="30"/>
      <c r="F2583" s="48"/>
      <c r="G2583" s="49"/>
      <c r="H2583" s="49"/>
      <c r="I2583" s="49"/>
      <c r="J2583" s="71"/>
      <c r="K2583" s="71"/>
      <c r="L2583" s="50"/>
      <c r="M2583" s="30"/>
      <c r="N2583" s="30"/>
      <c r="O2583" s="30"/>
      <c r="P2583" s="30"/>
      <c r="Q2583" s="30"/>
      <c r="R2583" s="30"/>
      <c r="S2583" s="30"/>
      <c r="T2583" s="30"/>
      <c r="U2583" s="30"/>
      <c r="V2583" s="30"/>
      <c r="W2583" s="30"/>
      <c r="X2583" s="30"/>
      <c r="Y2583" s="30"/>
      <c r="Z2583" s="30"/>
      <c r="AA2583" s="30"/>
      <c r="AB2583" s="30"/>
      <c r="AC2583" s="30"/>
      <c r="AD2583" s="30"/>
      <c r="AE2583" s="30"/>
    </row>
    <row r="2584" spans="1:31" ht="13">
      <c r="A2584" s="30"/>
      <c r="B2584" s="30"/>
      <c r="C2584" s="30"/>
      <c r="D2584" s="30"/>
      <c r="E2584" s="30"/>
      <c r="F2584" s="48"/>
      <c r="G2584" s="49"/>
      <c r="H2584" s="49"/>
      <c r="I2584" s="49"/>
      <c r="J2584" s="71"/>
      <c r="K2584" s="71"/>
      <c r="L2584" s="50"/>
      <c r="M2584" s="30"/>
      <c r="N2584" s="30"/>
      <c r="O2584" s="30"/>
      <c r="P2584" s="30"/>
      <c r="Q2584" s="30"/>
      <c r="R2584" s="30"/>
      <c r="S2584" s="30"/>
      <c r="T2584" s="30"/>
      <c r="U2584" s="30"/>
      <c r="V2584" s="30"/>
      <c r="W2584" s="30"/>
      <c r="X2584" s="30"/>
      <c r="Y2584" s="30"/>
      <c r="Z2584" s="30"/>
      <c r="AA2584" s="30"/>
      <c r="AB2584" s="30"/>
      <c r="AC2584" s="30"/>
      <c r="AD2584" s="30"/>
      <c r="AE2584" s="30"/>
    </row>
    <row r="2585" spans="1:31" ht="13">
      <c r="A2585" s="30"/>
      <c r="B2585" s="30"/>
      <c r="C2585" s="30"/>
      <c r="D2585" s="30"/>
      <c r="E2585" s="30"/>
      <c r="F2585" s="48"/>
      <c r="G2585" s="49"/>
      <c r="H2585" s="49"/>
      <c r="I2585" s="49"/>
      <c r="J2585" s="71"/>
      <c r="K2585" s="71"/>
      <c r="L2585" s="50"/>
      <c r="M2585" s="30"/>
      <c r="N2585" s="30"/>
      <c r="O2585" s="30"/>
      <c r="P2585" s="30"/>
      <c r="Q2585" s="30"/>
      <c r="R2585" s="30"/>
      <c r="S2585" s="30"/>
      <c r="T2585" s="30"/>
      <c r="U2585" s="30"/>
      <c r="V2585" s="30"/>
      <c r="W2585" s="30"/>
      <c r="X2585" s="30"/>
      <c r="Y2585" s="30"/>
      <c r="Z2585" s="30"/>
      <c r="AA2585" s="30"/>
      <c r="AB2585" s="30"/>
      <c r="AC2585" s="30"/>
      <c r="AD2585" s="30"/>
      <c r="AE2585" s="30"/>
    </row>
    <row r="2586" spans="1:31" ht="13">
      <c r="A2586" s="30"/>
      <c r="B2586" s="30"/>
      <c r="C2586" s="30"/>
      <c r="D2586" s="30"/>
      <c r="E2586" s="30"/>
      <c r="F2586" s="48"/>
      <c r="G2586" s="49"/>
      <c r="H2586" s="49"/>
      <c r="I2586" s="49"/>
      <c r="J2586" s="71"/>
      <c r="K2586" s="71"/>
      <c r="L2586" s="50"/>
      <c r="M2586" s="30"/>
      <c r="N2586" s="30"/>
      <c r="O2586" s="30"/>
      <c r="P2586" s="30"/>
      <c r="Q2586" s="30"/>
      <c r="R2586" s="30"/>
      <c r="S2586" s="30"/>
      <c r="T2586" s="30"/>
      <c r="U2586" s="30"/>
      <c r="V2586" s="30"/>
      <c r="W2586" s="30"/>
      <c r="X2586" s="30"/>
      <c r="Y2586" s="30"/>
      <c r="Z2586" s="30"/>
      <c r="AA2586" s="30"/>
      <c r="AB2586" s="30"/>
      <c r="AC2586" s="30"/>
      <c r="AD2586" s="30"/>
      <c r="AE2586" s="30"/>
    </row>
    <row r="2587" spans="1:31" ht="13">
      <c r="A2587" s="30"/>
      <c r="B2587" s="30"/>
      <c r="C2587" s="30"/>
      <c r="D2587" s="30"/>
      <c r="E2587" s="30"/>
      <c r="F2587" s="48"/>
      <c r="G2587" s="49"/>
      <c r="H2587" s="49"/>
      <c r="I2587" s="49"/>
      <c r="J2587" s="71"/>
      <c r="K2587" s="71"/>
      <c r="L2587" s="50"/>
      <c r="M2587" s="30"/>
      <c r="N2587" s="30"/>
      <c r="O2587" s="30"/>
      <c r="P2587" s="30"/>
      <c r="Q2587" s="30"/>
      <c r="R2587" s="30"/>
      <c r="S2587" s="30"/>
      <c r="T2587" s="30"/>
      <c r="U2587" s="30"/>
      <c r="V2587" s="30"/>
      <c r="W2587" s="30"/>
      <c r="X2587" s="30"/>
      <c r="Y2587" s="30"/>
      <c r="Z2587" s="30"/>
      <c r="AA2587" s="30"/>
      <c r="AB2587" s="30"/>
      <c r="AC2587" s="30"/>
      <c r="AD2587" s="30"/>
      <c r="AE2587" s="30"/>
    </row>
    <row r="2588" spans="1:31" ht="13">
      <c r="A2588" s="30"/>
      <c r="B2588" s="30"/>
      <c r="C2588" s="30"/>
      <c r="D2588" s="30"/>
      <c r="E2588" s="30"/>
      <c r="F2588" s="48"/>
      <c r="G2588" s="49"/>
      <c r="H2588" s="49"/>
      <c r="I2588" s="49"/>
      <c r="J2588" s="71"/>
      <c r="K2588" s="71"/>
      <c r="L2588" s="50"/>
      <c r="M2588" s="30"/>
      <c r="N2588" s="30"/>
      <c r="O2588" s="30"/>
      <c r="P2588" s="30"/>
      <c r="Q2588" s="30"/>
      <c r="R2588" s="30"/>
      <c r="S2588" s="30"/>
      <c r="T2588" s="30"/>
      <c r="U2588" s="30"/>
      <c r="V2588" s="30"/>
      <c r="W2588" s="30"/>
      <c r="X2588" s="30"/>
      <c r="Y2588" s="30"/>
      <c r="Z2588" s="30"/>
      <c r="AA2588" s="30"/>
      <c r="AB2588" s="30"/>
      <c r="AC2588" s="30"/>
      <c r="AD2588" s="30"/>
      <c r="AE2588" s="30"/>
    </row>
    <row r="2589" spans="1:31" ht="13">
      <c r="A2589" s="30"/>
      <c r="B2589" s="30"/>
      <c r="C2589" s="30"/>
      <c r="D2589" s="30"/>
      <c r="E2589" s="30"/>
      <c r="F2589" s="48"/>
      <c r="G2589" s="49"/>
      <c r="H2589" s="49"/>
      <c r="I2589" s="49"/>
      <c r="J2589" s="71"/>
      <c r="K2589" s="71"/>
      <c r="L2589" s="50"/>
      <c r="M2589" s="30"/>
      <c r="N2589" s="30"/>
      <c r="O2589" s="30"/>
      <c r="P2589" s="30"/>
      <c r="Q2589" s="30"/>
      <c r="R2589" s="30"/>
      <c r="S2589" s="30"/>
      <c r="T2589" s="30"/>
      <c r="U2589" s="30"/>
      <c r="V2589" s="30"/>
      <c r="W2589" s="30"/>
      <c r="X2589" s="30"/>
      <c r="Y2589" s="30"/>
      <c r="Z2589" s="30"/>
      <c r="AA2589" s="30"/>
      <c r="AB2589" s="30"/>
      <c r="AC2589" s="30"/>
      <c r="AD2589" s="30"/>
      <c r="AE2589" s="30"/>
    </row>
    <row r="2590" spans="1:31" ht="13">
      <c r="A2590" s="30"/>
      <c r="B2590" s="30"/>
      <c r="C2590" s="30"/>
      <c r="D2590" s="30"/>
      <c r="E2590" s="30"/>
      <c r="F2590" s="48"/>
      <c r="G2590" s="49"/>
      <c r="H2590" s="49"/>
      <c r="I2590" s="49"/>
      <c r="J2590" s="71"/>
      <c r="K2590" s="71"/>
      <c r="L2590" s="50"/>
      <c r="M2590" s="30"/>
      <c r="N2590" s="30"/>
      <c r="O2590" s="30"/>
      <c r="P2590" s="30"/>
      <c r="Q2590" s="30"/>
      <c r="R2590" s="30"/>
      <c r="S2590" s="30"/>
      <c r="T2590" s="30"/>
      <c r="U2590" s="30"/>
      <c r="V2590" s="30"/>
      <c r="W2590" s="30"/>
      <c r="X2590" s="30"/>
      <c r="Y2590" s="30"/>
      <c r="Z2590" s="30"/>
      <c r="AA2590" s="30"/>
      <c r="AB2590" s="30"/>
      <c r="AC2590" s="30"/>
      <c r="AD2590" s="30"/>
      <c r="AE2590" s="30"/>
    </row>
    <row r="2591" spans="1:31" ht="13">
      <c r="A2591" s="30"/>
      <c r="B2591" s="30"/>
      <c r="C2591" s="30"/>
      <c r="D2591" s="30"/>
      <c r="E2591" s="30"/>
      <c r="F2591" s="48"/>
      <c r="G2591" s="49"/>
      <c r="H2591" s="49"/>
      <c r="I2591" s="49"/>
      <c r="J2591" s="71"/>
      <c r="K2591" s="71"/>
      <c r="L2591" s="50"/>
      <c r="M2591" s="30"/>
      <c r="N2591" s="30"/>
      <c r="O2591" s="30"/>
      <c r="P2591" s="30"/>
      <c r="Q2591" s="30"/>
      <c r="R2591" s="30"/>
      <c r="S2591" s="30"/>
      <c r="T2591" s="30"/>
      <c r="U2591" s="30"/>
      <c r="V2591" s="30"/>
      <c r="W2591" s="30"/>
      <c r="X2591" s="30"/>
      <c r="Y2591" s="30"/>
      <c r="Z2591" s="30"/>
      <c r="AA2591" s="30"/>
      <c r="AB2591" s="30"/>
      <c r="AC2591" s="30"/>
      <c r="AD2591" s="30"/>
      <c r="AE2591" s="30"/>
    </row>
    <row r="2592" spans="1:31" ht="13">
      <c r="A2592" s="30"/>
      <c r="B2592" s="30"/>
      <c r="C2592" s="30"/>
      <c r="D2592" s="30"/>
      <c r="E2592" s="30"/>
      <c r="F2592" s="48"/>
      <c r="G2592" s="49"/>
      <c r="H2592" s="49"/>
      <c r="I2592" s="49"/>
      <c r="J2592" s="71"/>
      <c r="K2592" s="71"/>
      <c r="L2592" s="50"/>
      <c r="M2592" s="30"/>
      <c r="N2592" s="30"/>
      <c r="O2592" s="30"/>
      <c r="P2592" s="30"/>
      <c r="Q2592" s="30"/>
      <c r="R2592" s="30"/>
      <c r="S2592" s="30"/>
      <c r="T2592" s="30"/>
      <c r="U2592" s="30"/>
      <c r="V2592" s="30"/>
      <c r="W2592" s="30"/>
      <c r="X2592" s="30"/>
      <c r="Y2592" s="30"/>
      <c r="Z2592" s="30"/>
      <c r="AA2592" s="30"/>
      <c r="AB2592" s="30"/>
      <c r="AC2592" s="30"/>
      <c r="AD2592" s="30"/>
      <c r="AE2592" s="30"/>
    </row>
    <row r="2593" spans="1:31" ht="13">
      <c r="A2593" s="30"/>
      <c r="B2593" s="30"/>
      <c r="C2593" s="30"/>
      <c r="D2593" s="30"/>
      <c r="E2593" s="30"/>
      <c r="F2593" s="48"/>
      <c r="G2593" s="49"/>
      <c r="H2593" s="49"/>
      <c r="I2593" s="49"/>
      <c r="J2593" s="71"/>
      <c r="K2593" s="71"/>
      <c r="L2593" s="50"/>
      <c r="M2593" s="30"/>
      <c r="N2593" s="30"/>
      <c r="O2593" s="30"/>
      <c r="P2593" s="30"/>
      <c r="Q2593" s="30"/>
      <c r="R2593" s="30"/>
      <c r="S2593" s="30"/>
      <c r="T2593" s="30"/>
      <c r="U2593" s="30"/>
      <c r="V2593" s="30"/>
      <c r="W2593" s="30"/>
      <c r="X2593" s="30"/>
      <c r="Y2593" s="30"/>
      <c r="Z2593" s="30"/>
      <c r="AA2593" s="30"/>
      <c r="AB2593" s="30"/>
      <c r="AC2593" s="30"/>
      <c r="AD2593" s="30"/>
      <c r="AE2593" s="30"/>
    </row>
    <row r="2594" spans="1:31" ht="13">
      <c r="A2594" s="30"/>
      <c r="B2594" s="30"/>
      <c r="C2594" s="30"/>
      <c r="D2594" s="30"/>
      <c r="E2594" s="30"/>
      <c r="F2594" s="48"/>
      <c r="G2594" s="49"/>
      <c r="H2594" s="49"/>
      <c r="I2594" s="49"/>
      <c r="J2594" s="71"/>
      <c r="K2594" s="71"/>
      <c r="L2594" s="50"/>
      <c r="M2594" s="30"/>
      <c r="N2594" s="30"/>
      <c r="O2594" s="30"/>
      <c r="P2594" s="30"/>
      <c r="Q2594" s="30"/>
      <c r="R2594" s="30"/>
      <c r="S2594" s="30"/>
      <c r="T2594" s="30"/>
      <c r="U2594" s="30"/>
      <c r="V2594" s="30"/>
      <c r="W2594" s="30"/>
      <c r="X2594" s="30"/>
      <c r="Y2594" s="30"/>
      <c r="Z2594" s="30"/>
      <c r="AA2594" s="30"/>
      <c r="AB2594" s="30"/>
      <c r="AC2594" s="30"/>
      <c r="AD2594" s="30"/>
      <c r="AE2594" s="30"/>
    </row>
    <row r="2595" spans="1:31" ht="13">
      <c r="A2595" s="30"/>
      <c r="B2595" s="30"/>
      <c r="C2595" s="30"/>
      <c r="D2595" s="30"/>
      <c r="E2595" s="30"/>
      <c r="F2595" s="48"/>
      <c r="G2595" s="49"/>
      <c r="H2595" s="49"/>
      <c r="I2595" s="49"/>
      <c r="J2595" s="71"/>
      <c r="K2595" s="71"/>
      <c r="L2595" s="50"/>
      <c r="M2595" s="30"/>
      <c r="N2595" s="30"/>
      <c r="O2595" s="30"/>
      <c r="P2595" s="30"/>
      <c r="Q2595" s="30"/>
      <c r="R2595" s="30"/>
      <c r="S2595" s="30"/>
      <c r="T2595" s="30"/>
      <c r="U2595" s="30"/>
      <c r="V2595" s="30"/>
      <c r="W2595" s="30"/>
      <c r="X2595" s="30"/>
      <c r="Y2595" s="30"/>
      <c r="Z2595" s="30"/>
      <c r="AA2595" s="30"/>
      <c r="AB2595" s="30"/>
      <c r="AC2595" s="30"/>
      <c r="AD2595" s="30"/>
      <c r="AE2595" s="30"/>
    </row>
    <row r="2596" spans="1:31" ht="13">
      <c r="A2596" s="30"/>
      <c r="B2596" s="30"/>
      <c r="C2596" s="30"/>
      <c r="D2596" s="30"/>
      <c r="E2596" s="30"/>
      <c r="F2596" s="48"/>
      <c r="G2596" s="49"/>
      <c r="H2596" s="49"/>
      <c r="I2596" s="49"/>
      <c r="J2596" s="71"/>
      <c r="K2596" s="71"/>
      <c r="L2596" s="50"/>
      <c r="M2596" s="30"/>
      <c r="N2596" s="30"/>
      <c r="O2596" s="30"/>
      <c r="P2596" s="30"/>
      <c r="Q2596" s="30"/>
      <c r="R2596" s="30"/>
      <c r="S2596" s="30"/>
      <c r="T2596" s="30"/>
      <c r="U2596" s="30"/>
      <c r="V2596" s="30"/>
      <c r="W2596" s="30"/>
      <c r="X2596" s="30"/>
      <c r="Y2596" s="30"/>
      <c r="Z2596" s="30"/>
      <c r="AA2596" s="30"/>
      <c r="AB2596" s="30"/>
      <c r="AC2596" s="30"/>
      <c r="AD2596" s="30"/>
      <c r="AE2596" s="30"/>
    </row>
    <row r="2597" spans="1:31" ht="13">
      <c r="A2597" s="30"/>
      <c r="B2597" s="30"/>
      <c r="C2597" s="30"/>
      <c r="D2597" s="30"/>
      <c r="E2597" s="30"/>
      <c r="F2597" s="48"/>
      <c r="G2597" s="49"/>
      <c r="H2597" s="49"/>
      <c r="I2597" s="49"/>
      <c r="J2597" s="71"/>
      <c r="K2597" s="71"/>
      <c r="L2597" s="50"/>
      <c r="M2597" s="30"/>
      <c r="N2597" s="30"/>
      <c r="O2597" s="30"/>
      <c r="P2597" s="30"/>
      <c r="Q2597" s="30"/>
      <c r="R2597" s="30"/>
      <c r="S2597" s="30"/>
      <c r="T2597" s="30"/>
      <c r="U2597" s="30"/>
      <c r="V2597" s="30"/>
      <c r="W2597" s="30"/>
      <c r="X2597" s="30"/>
      <c r="Y2597" s="30"/>
      <c r="Z2597" s="30"/>
      <c r="AA2597" s="30"/>
      <c r="AB2597" s="30"/>
      <c r="AC2597" s="30"/>
      <c r="AD2597" s="30"/>
      <c r="AE2597" s="30"/>
    </row>
    <row r="2598" spans="1:31" ht="13">
      <c r="A2598" s="30"/>
      <c r="B2598" s="30"/>
      <c r="C2598" s="30"/>
      <c r="D2598" s="30"/>
      <c r="E2598" s="30"/>
      <c r="F2598" s="48"/>
      <c r="G2598" s="49"/>
      <c r="H2598" s="49"/>
      <c r="I2598" s="49"/>
      <c r="J2598" s="71"/>
      <c r="K2598" s="71"/>
      <c r="L2598" s="50"/>
      <c r="M2598" s="30"/>
      <c r="N2598" s="30"/>
      <c r="O2598" s="30"/>
      <c r="P2598" s="30"/>
      <c r="Q2598" s="30"/>
      <c r="R2598" s="30"/>
      <c r="S2598" s="30"/>
      <c r="T2598" s="30"/>
      <c r="U2598" s="30"/>
      <c r="V2598" s="30"/>
      <c r="W2598" s="30"/>
      <c r="X2598" s="30"/>
      <c r="Y2598" s="30"/>
      <c r="Z2598" s="30"/>
      <c r="AA2598" s="30"/>
      <c r="AB2598" s="30"/>
      <c r="AC2598" s="30"/>
      <c r="AD2598" s="30"/>
      <c r="AE2598" s="30"/>
    </row>
    <row r="2599" spans="1:31" ht="13">
      <c r="A2599" s="30"/>
      <c r="B2599" s="30"/>
      <c r="C2599" s="30"/>
      <c r="D2599" s="30"/>
      <c r="E2599" s="30"/>
      <c r="F2599" s="48"/>
      <c r="G2599" s="49"/>
      <c r="H2599" s="49"/>
      <c r="I2599" s="49"/>
      <c r="J2599" s="71"/>
      <c r="K2599" s="71"/>
      <c r="L2599" s="50"/>
      <c r="M2599" s="30"/>
      <c r="N2599" s="30"/>
      <c r="O2599" s="30"/>
      <c r="P2599" s="30"/>
      <c r="Q2599" s="30"/>
      <c r="R2599" s="30"/>
      <c r="S2599" s="30"/>
      <c r="T2599" s="30"/>
      <c r="U2599" s="30"/>
      <c r="V2599" s="30"/>
      <c r="W2599" s="30"/>
      <c r="X2599" s="30"/>
      <c r="Y2599" s="30"/>
      <c r="Z2599" s="30"/>
      <c r="AA2599" s="30"/>
      <c r="AB2599" s="30"/>
      <c r="AC2599" s="30"/>
      <c r="AD2599" s="30"/>
      <c r="AE2599" s="30"/>
    </row>
    <row r="2600" spans="1:31" ht="13">
      <c r="A2600" s="30"/>
      <c r="B2600" s="30"/>
      <c r="C2600" s="30"/>
      <c r="D2600" s="30"/>
      <c r="E2600" s="30"/>
      <c r="F2600" s="48"/>
      <c r="G2600" s="49"/>
      <c r="H2600" s="49"/>
      <c r="I2600" s="49"/>
      <c r="J2600" s="71"/>
      <c r="K2600" s="71"/>
      <c r="L2600" s="50"/>
      <c r="M2600" s="30"/>
      <c r="N2600" s="30"/>
      <c r="O2600" s="30"/>
      <c r="P2600" s="30"/>
      <c r="Q2600" s="30"/>
      <c r="R2600" s="30"/>
      <c r="S2600" s="30"/>
      <c r="T2600" s="30"/>
      <c r="U2600" s="30"/>
      <c r="V2600" s="30"/>
      <c r="W2600" s="30"/>
      <c r="X2600" s="30"/>
      <c r="Y2600" s="30"/>
      <c r="Z2600" s="30"/>
      <c r="AA2600" s="30"/>
      <c r="AB2600" s="30"/>
      <c r="AC2600" s="30"/>
      <c r="AD2600" s="30"/>
      <c r="AE2600" s="30"/>
    </row>
    <row r="2601" spans="1:31" ht="13">
      <c r="A2601" s="30"/>
      <c r="B2601" s="30"/>
      <c r="C2601" s="30"/>
      <c r="D2601" s="30"/>
      <c r="E2601" s="30"/>
      <c r="F2601" s="48"/>
      <c r="G2601" s="49"/>
      <c r="H2601" s="49"/>
      <c r="I2601" s="49"/>
      <c r="J2601" s="71"/>
      <c r="K2601" s="71"/>
      <c r="L2601" s="50"/>
      <c r="M2601" s="30"/>
      <c r="N2601" s="30"/>
      <c r="O2601" s="30"/>
      <c r="P2601" s="30"/>
      <c r="Q2601" s="30"/>
      <c r="R2601" s="30"/>
      <c r="S2601" s="30"/>
      <c r="T2601" s="30"/>
      <c r="U2601" s="30"/>
      <c r="V2601" s="30"/>
      <c r="W2601" s="30"/>
      <c r="X2601" s="30"/>
      <c r="Y2601" s="30"/>
      <c r="Z2601" s="30"/>
      <c r="AA2601" s="30"/>
      <c r="AB2601" s="30"/>
      <c r="AC2601" s="30"/>
      <c r="AD2601" s="30"/>
      <c r="AE2601" s="30"/>
    </row>
    <row r="2602" spans="1:31" ht="13">
      <c r="A2602" s="30"/>
      <c r="B2602" s="30"/>
      <c r="C2602" s="30"/>
      <c r="D2602" s="30"/>
      <c r="E2602" s="30"/>
      <c r="F2602" s="48"/>
      <c r="G2602" s="49"/>
      <c r="H2602" s="49"/>
      <c r="I2602" s="49"/>
      <c r="J2602" s="71"/>
      <c r="K2602" s="71"/>
      <c r="L2602" s="50"/>
      <c r="M2602" s="30"/>
      <c r="N2602" s="30"/>
      <c r="O2602" s="30"/>
      <c r="P2602" s="30"/>
      <c r="Q2602" s="30"/>
      <c r="R2602" s="30"/>
      <c r="S2602" s="30"/>
      <c r="T2602" s="30"/>
      <c r="U2602" s="30"/>
      <c r="V2602" s="30"/>
      <c r="W2602" s="30"/>
      <c r="X2602" s="30"/>
      <c r="Y2602" s="30"/>
      <c r="Z2602" s="30"/>
      <c r="AA2602" s="30"/>
      <c r="AB2602" s="30"/>
      <c r="AC2602" s="30"/>
      <c r="AD2602" s="30"/>
      <c r="AE2602" s="30"/>
    </row>
    <row r="2603" spans="1:31" ht="13">
      <c r="A2603" s="30"/>
      <c r="B2603" s="30"/>
      <c r="C2603" s="30"/>
      <c r="D2603" s="30"/>
      <c r="E2603" s="30"/>
      <c r="F2603" s="48"/>
      <c r="G2603" s="49"/>
      <c r="H2603" s="49"/>
      <c r="I2603" s="49"/>
      <c r="J2603" s="71"/>
      <c r="K2603" s="71"/>
      <c r="L2603" s="50"/>
      <c r="M2603" s="30"/>
      <c r="N2603" s="30"/>
      <c r="O2603" s="30"/>
      <c r="P2603" s="30"/>
      <c r="Q2603" s="30"/>
      <c r="R2603" s="30"/>
      <c r="S2603" s="30"/>
      <c r="T2603" s="30"/>
      <c r="U2603" s="30"/>
      <c r="V2603" s="30"/>
      <c r="W2603" s="30"/>
      <c r="X2603" s="30"/>
      <c r="Y2603" s="30"/>
      <c r="Z2603" s="30"/>
      <c r="AA2603" s="30"/>
      <c r="AB2603" s="30"/>
      <c r="AC2603" s="30"/>
      <c r="AD2603" s="30"/>
      <c r="AE2603" s="30"/>
    </row>
    <row r="2604" spans="1:31" ht="13">
      <c r="A2604" s="30"/>
      <c r="B2604" s="30"/>
      <c r="C2604" s="30"/>
      <c r="D2604" s="30"/>
      <c r="E2604" s="30"/>
      <c r="F2604" s="48"/>
      <c r="G2604" s="49"/>
      <c r="H2604" s="49"/>
      <c r="I2604" s="49"/>
      <c r="J2604" s="71"/>
      <c r="K2604" s="71"/>
      <c r="L2604" s="50"/>
      <c r="M2604" s="30"/>
      <c r="N2604" s="30"/>
      <c r="O2604" s="30"/>
      <c r="P2604" s="30"/>
      <c r="Q2604" s="30"/>
      <c r="R2604" s="30"/>
      <c r="S2604" s="30"/>
      <c r="T2604" s="30"/>
      <c r="U2604" s="30"/>
      <c r="V2604" s="30"/>
      <c r="W2604" s="30"/>
      <c r="X2604" s="30"/>
      <c r="Y2604" s="30"/>
      <c r="Z2604" s="30"/>
      <c r="AA2604" s="30"/>
      <c r="AB2604" s="30"/>
      <c r="AC2604" s="30"/>
      <c r="AD2604" s="30"/>
      <c r="AE2604" s="30"/>
    </row>
    <row r="2605" spans="1:31" ht="13">
      <c r="A2605" s="30"/>
      <c r="B2605" s="30"/>
      <c r="C2605" s="30"/>
      <c r="D2605" s="30"/>
      <c r="E2605" s="30"/>
      <c r="F2605" s="48"/>
      <c r="G2605" s="49"/>
      <c r="H2605" s="49"/>
      <c r="I2605" s="49"/>
      <c r="J2605" s="71"/>
      <c r="K2605" s="71"/>
      <c r="L2605" s="50"/>
      <c r="M2605" s="30"/>
      <c r="N2605" s="30"/>
      <c r="O2605" s="30"/>
      <c r="P2605" s="30"/>
      <c r="Q2605" s="30"/>
      <c r="R2605" s="30"/>
      <c r="S2605" s="30"/>
      <c r="T2605" s="30"/>
      <c r="U2605" s="30"/>
      <c r="V2605" s="30"/>
      <c r="W2605" s="30"/>
      <c r="X2605" s="30"/>
      <c r="Y2605" s="30"/>
      <c r="Z2605" s="30"/>
      <c r="AA2605" s="30"/>
      <c r="AB2605" s="30"/>
      <c r="AC2605" s="30"/>
      <c r="AD2605" s="30"/>
      <c r="AE2605" s="30"/>
    </row>
    <row r="2606" spans="1:31" ht="13">
      <c r="A2606" s="30"/>
      <c r="B2606" s="30"/>
      <c r="C2606" s="30"/>
      <c r="D2606" s="30"/>
      <c r="E2606" s="30"/>
      <c r="F2606" s="48"/>
      <c r="G2606" s="49"/>
      <c r="H2606" s="49"/>
      <c r="I2606" s="49"/>
      <c r="J2606" s="71"/>
      <c r="K2606" s="71"/>
      <c r="L2606" s="50"/>
      <c r="M2606" s="30"/>
      <c r="N2606" s="30"/>
      <c r="O2606" s="30"/>
      <c r="P2606" s="30"/>
      <c r="Q2606" s="30"/>
      <c r="R2606" s="30"/>
      <c r="S2606" s="30"/>
      <c r="T2606" s="30"/>
      <c r="U2606" s="30"/>
      <c r="V2606" s="30"/>
      <c r="W2606" s="30"/>
      <c r="X2606" s="30"/>
      <c r="Y2606" s="30"/>
      <c r="Z2606" s="30"/>
      <c r="AA2606" s="30"/>
      <c r="AB2606" s="30"/>
      <c r="AC2606" s="30"/>
      <c r="AD2606" s="30"/>
      <c r="AE2606" s="30"/>
    </row>
    <row r="2607" spans="1:31" ht="13">
      <c r="A2607" s="30"/>
      <c r="B2607" s="30"/>
      <c r="C2607" s="30"/>
      <c r="D2607" s="30"/>
      <c r="E2607" s="30"/>
      <c r="F2607" s="48"/>
      <c r="G2607" s="49"/>
      <c r="H2607" s="49"/>
      <c r="I2607" s="49"/>
      <c r="J2607" s="71"/>
      <c r="K2607" s="71"/>
      <c r="L2607" s="50"/>
      <c r="M2607" s="30"/>
      <c r="N2607" s="30"/>
      <c r="O2607" s="30"/>
      <c r="P2607" s="30"/>
      <c r="Q2607" s="30"/>
      <c r="R2607" s="30"/>
      <c r="S2607" s="30"/>
      <c r="T2607" s="30"/>
      <c r="U2607" s="30"/>
      <c r="V2607" s="30"/>
      <c r="W2607" s="30"/>
      <c r="X2607" s="30"/>
      <c r="Y2607" s="30"/>
      <c r="Z2607" s="30"/>
      <c r="AA2607" s="30"/>
      <c r="AB2607" s="30"/>
      <c r="AC2607" s="30"/>
      <c r="AD2607" s="30"/>
      <c r="AE2607" s="30"/>
    </row>
    <row r="2608" spans="1:31" ht="13">
      <c r="A2608" s="30"/>
      <c r="B2608" s="30"/>
      <c r="C2608" s="30"/>
      <c r="D2608" s="30"/>
      <c r="E2608" s="30"/>
      <c r="F2608" s="48"/>
      <c r="G2608" s="49"/>
      <c r="H2608" s="49"/>
      <c r="I2608" s="49"/>
      <c r="J2608" s="71"/>
      <c r="K2608" s="71"/>
      <c r="L2608" s="50"/>
      <c r="M2608" s="30"/>
      <c r="N2608" s="30"/>
      <c r="O2608" s="30"/>
      <c r="P2608" s="30"/>
      <c r="Q2608" s="30"/>
      <c r="R2608" s="30"/>
      <c r="S2608" s="30"/>
      <c r="T2608" s="30"/>
      <c r="U2608" s="30"/>
      <c r="V2608" s="30"/>
      <c r="W2608" s="30"/>
      <c r="X2608" s="30"/>
      <c r="Y2608" s="30"/>
      <c r="Z2608" s="30"/>
      <c r="AA2608" s="30"/>
      <c r="AB2608" s="30"/>
      <c r="AC2608" s="30"/>
      <c r="AD2608" s="30"/>
      <c r="AE2608" s="30"/>
    </row>
    <row r="2609" spans="1:31" ht="13">
      <c r="A2609" s="30"/>
      <c r="B2609" s="30"/>
      <c r="C2609" s="30"/>
      <c r="D2609" s="30"/>
      <c r="E2609" s="30"/>
      <c r="F2609" s="48"/>
      <c r="G2609" s="49"/>
      <c r="H2609" s="49"/>
      <c r="I2609" s="49"/>
      <c r="J2609" s="71"/>
      <c r="K2609" s="71"/>
      <c r="L2609" s="50"/>
      <c r="M2609" s="30"/>
      <c r="N2609" s="30"/>
      <c r="O2609" s="30"/>
      <c r="P2609" s="30"/>
      <c r="Q2609" s="30"/>
      <c r="R2609" s="30"/>
      <c r="S2609" s="30"/>
      <c r="T2609" s="30"/>
      <c r="U2609" s="30"/>
      <c r="V2609" s="30"/>
      <c r="W2609" s="30"/>
      <c r="X2609" s="30"/>
      <c r="Y2609" s="30"/>
      <c r="Z2609" s="30"/>
      <c r="AA2609" s="30"/>
      <c r="AB2609" s="30"/>
      <c r="AC2609" s="30"/>
      <c r="AD2609" s="30"/>
      <c r="AE2609" s="30"/>
    </row>
    <row r="2610" spans="1:31" ht="13">
      <c r="A2610" s="30"/>
      <c r="B2610" s="30"/>
      <c r="C2610" s="30"/>
      <c r="D2610" s="30"/>
      <c r="E2610" s="30"/>
      <c r="F2610" s="48"/>
      <c r="G2610" s="49"/>
      <c r="H2610" s="49"/>
      <c r="I2610" s="49"/>
      <c r="J2610" s="71"/>
      <c r="K2610" s="71"/>
      <c r="L2610" s="50"/>
      <c r="M2610" s="30"/>
      <c r="N2610" s="30"/>
      <c r="O2610" s="30"/>
      <c r="P2610" s="30"/>
      <c r="Q2610" s="30"/>
      <c r="R2610" s="30"/>
      <c r="S2610" s="30"/>
      <c r="T2610" s="30"/>
      <c r="U2610" s="30"/>
      <c r="V2610" s="30"/>
      <c r="W2610" s="30"/>
      <c r="X2610" s="30"/>
      <c r="Y2610" s="30"/>
      <c r="Z2610" s="30"/>
      <c r="AA2610" s="30"/>
      <c r="AB2610" s="30"/>
      <c r="AC2610" s="30"/>
      <c r="AD2610" s="30"/>
      <c r="AE2610" s="30"/>
    </row>
    <row r="2611" spans="1:31" ht="13">
      <c r="A2611" s="30"/>
      <c r="B2611" s="30"/>
      <c r="C2611" s="30"/>
      <c r="D2611" s="30"/>
      <c r="E2611" s="30"/>
      <c r="F2611" s="48"/>
      <c r="G2611" s="49"/>
      <c r="H2611" s="49"/>
      <c r="I2611" s="49"/>
      <c r="J2611" s="71"/>
      <c r="K2611" s="71"/>
      <c r="L2611" s="50"/>
      <c r="M2611" s="30"/>
      <c r="N2611" s="30"/>
      <c r="O2611" s="30"/>
      <c r="P2611" s="30"/>
      <c r="Q2611" s="30"/>
      <c r="R2611" s="30"/>
      <c r="S2611" s="30"/>
      <c r="T2611" s="30"/>
      <c r="U2611" s="30"/>
      <c r="V2611" s="30"/>
      <c r="W2611" s="30"/>
      <c r="X2611" s="30"/>
      <c r="Y2611" s="30"/>
      <c r="Z2611" s="30"/>
      <c r="AA2611" s="30"/>
      <c r="AB2611" s="30"/>
      <c r="AC2611" s="30"/>
      <c r="AD2611" s="30"/>
      <c r="AE2611" s="30"/>
    </row>
    <row r="2612" spans="1:31" ht="13">
      <c r="A2612" s="30"/>
      <c r="B2612" s="30"/>
      <c r="C2612" s="30"/>
      <c r="D2612" s="30"/>
      <c r="E2612" s="30"/>
      <c r="F2612" s="48"/>
      <c r="G2612" s="49"/>
      <c r="H2612" s="49"/>
      <c r="I2612" s="49"/>
      <c r="J2612" s="71"/>
      <c r="K2612" s="71"/>
      <c r="L2612" s="50"/>
      <c r="M2612" s="30"/>
      <c r="N2612" s="30"/>
      <c r="O2612" s="30"/>
      <c r="P2612" s="30"/>
      <c r="Q2612" s="30"/>
      <c r="R2612" s="30"/>
      <c r="S2612" s="30"/>
      <c r="T2612" s="30"/>
      <c r="U2612" s="30"/>
      <c r="V2612" s="30"/>
      <c r="W2612" s="30"/>
      <c r="X2612" s="30"/>
      <c r="Y2612" s="30"/>
      <c r="Z2612" s="30"/>
      <c r="AA2612" s="30"/>
      <c r="AB2612" s="30"/>
      <c r="AC2612" s="30"/>
      <c r="AD2612" s="30"/>
      <c r="AE2612" s="30"/>
    </row>
    <row r="2613" spans="1:31" ht="13">
      <c r="A2613" s="30"/>
      <c r="B2613" s="30"/>
      <c r="C2613" s="30"/>
      <c r="D2613" s="30"/>
      <c r="E2613" s="30"/>
      <c r="F2613" s="48"/>
      <c r="G2613" s="49"/>
      <c r="H2613" s="49"/>
      <c r="I2613" s="49"/>
      <c r="J2613" s="71"/>
      <c r="K2613" s="71"/>
      <c r="L2613" s="50"/>
      <c r="M2613" s="30"/>
      <c r="N2613" s="30"/>
      <c r="O2613" s="30"/>
      <c r="P2613" s="30"/>
      <c r="Q2613" s="30"/>
      <c r="R2613" s="30"/>
      <c r="S2613" s="30"/>
      <c r="T2613" s="30"/>
      <c r="U2613" s="30"/>
      <c r="V2613" s="30"/>
      <c r="W2613" s="30"/>
      <c r="X2613" s="30"/>
      <c r="Y2613" s="30"/>
      <c r="Z2613" s="30"/>
      <c r="AA2613" s="30"/>
      <c r="AB2613" s="30"/>
      <c r="AC2613" s="30"/>
      <c r="AD2613" s="30"/>
      <c r="AE2613" s="30"/>
    </row>
    <row r="2614" spans="1:31" ht="13">
      <c r="A2614" s="30"/>
      <c r="B2614" s="30"/>
      <c r="C2614" s="30"/>
      <c r="D2614" s="30"/>
      <c r="E2614" s="30"/>
      <c r="F2614" s="48"/>
      <c r="G2614" s="49"/>
      <c r="H2614" s="49"/>
      <c r="I2614" s="49"/>
      <c r="J2614" s="71"/>
      <c r="K2614" s="71"/>
      <c r="L2614" s="50"/>
      <c r="M2614" s="30"/>
      <c r="N2614" s="30"/>
      <c r="O2614" s="30"/>
      <c r="P2614" s="30"/>
      <c r="Q2614" s="30"/>
      <c r="R2614" s="30"/>
      <c r="S2614" s="30"/>
      <c r="T2614" s="30"/>
      <c r="U2614" s="30"/>
      <c r="V2614" s="30"/>
      <c r="W2614" s="30"/>
      <c r="X2614" s="30"/>
      <c r="Y2614" s="30"/>
      <c r="Z2614" s="30"/>
      <c r="AA2614" s="30"/>
      <c r="AB2614" s="30"/>
      <c r="AC2614" s="30"/>
      <c r="AD2614" s="30"/>
      <c r="AE2614" s="30"/>
    </row>
    <row r="2615" spans="1:31" ht="13">
      <c r="A2615" s="30"/>
      <c r="B2615" s="30"/>
      <c r="C2615" s="30"/>
      <c r="D2615" s="30"/>
      <c r="E2615" s="30"/>
      <c r="F2615" s="48"/>
      <c r="G2615" s="49"/>
      <c r="H2615" s="49"/>
      <c r="I2615" s="49"/>
      <c r="J2615" s="71"/>
      <c r="K2615" s="71"/>
      <c r="L2615" s="50"/>
      <c r="M2615" s="30"/>
      <c r="N2615" s="30"/>
      <c r="O2615" s="30"/>
      <c r="P2615" s="30"/>
      <c r="Q2615" s="30"/>
      <c r="R2615" s="30"/>
      <c r="S2615" s="30"/>
      <c r="T2615" s="30"/>
      <c r="U2615" s="30"/>
      <c r="V2615" s="30"/>
      <c r="W2615" s="30"/>
      <c r="X2615" s="30"/>
      <c r="Y2615" s="30"/>
      <c r="Z2615" s="30"/>
      <c r="AA2615" s="30"/>
      <c r="AB2615" s="30"/>
      <c r="AC2615" s="30"/>
      <c r="AD2615" s="30"/>
      <c r="AE2615" s="30"/>
    </row>
    <row r="2616" spans="1:31" ht="13">
      <c r="A2616" s="30"/>
      <c r="B2616" s="30"/>
      <c r="C2616" s="30"/>
      <c r="D2616" s="30"/>
      <c r="E2616" s="30"/>
      <c r="F2616" s="48"/>
      <c r="G2616" s="49"/>
      <c r="H2616" s="49"/>
      <c r="I2616" s="49"/>
      <c r="J2616" s="71"/>
      <c r="K2616" s="71"/>
      <c r="L2616" s="50"/>
      <c r="M2616" s="30"/>
      <c r="N2616" s="30"/>
      <c r="O2616" s="30"/>
      <c r="P2616" s="30"/>
      <c r="Q2616" s="30"/>
      <c r="R2616" s="30"/>
      <c r="S2616" s="30"/>
      <c r="T2616" s="30"/>
      <c r="U2616" s="30"/>
      <c r="V2616" s="30"/>
      <c r="W2616" s="30"/>
      <c r="X2616" s="30"/>
      <c r="Y2616" s="30"/>
      <c r="Z2616" s="30"/>
      <c r="AA2616" s="30"/>
      <c r="AB2616" s="30"/>
      <c r="AC2616" s="30"/>
      <c r="AD2616" s="30"/>
      <c r="AE2616" s="30"/>
    </row>
    <row r="2617" spans="1:31" ht="13">
      <c r="A2617" s="30"/>
      <c r="B2617" s="30"/>
      <c r="C2617" s="30"/>
      <c r="D2617" s="30"/>
      <c r="E2617" s="30"/>
      <c r="F2617" s="48"/>
      <c r="G2617" s="49"/>
      <c r="H2617" s="49"/>
      <c r="I2617" s="49"/>
      <c r="J2617" s="71"/>
      <c r="K2617" s="71"/>
      <c r="L2617" s="50"/>
      <c r="M2617" s="30"/>
      <c r="N2617" s="30"/>
      <c r="O2617" s="30"/>
      <c r="P2617" s="30"/>
      <c r="Q2617" s="30"/>
      <c r="R2617" s="30"/>
      <c r="S2617" s="30"/>
      <c r="T2617" s="30"/>
      <c r="U2617" s="30"/>
      <c r="V2617" s="30"/>
      <c r="W2617" s="30"/>
      <c r="X2617" s="30"/>
      <c r="Y2617" s="30"/>
      <c r="Z2617" s="30"/>
      <c r="AA2617" s="30"/>
      <c r="AB2617" s="30"/>
      <c r="AC2617" s="30"/>
      <c r="AD2617" s="30"/>
      <c r="AE2617" s="30"/>
    </row>
    <row r="2618" spans="1:31" ht="13">
      <c r="A2618" s="30"/>
      <c r="B2618" s="30"/>
      <c r="C2618" s="30"/>
      <c r="D2618" s="30"/>
      <c r="E2618" s="30"/>
      <c r="F2618" s="48"/>
      <c r="G2618" s="49"/>
      <c r="H2618" s="49"/>
      <c r="I2618" s="49"/>
      <c r="J2618" s="71"/>
      <c r="K2618" s="71"/>
      <c r="L2618" s="50"/>
      <c r="M2618" s="30"/>
      <c r="N2618" s="30"/>
      <c r="O2618" s="30"/>
      <c r="P2618" s="30"/>
      <c r="Q2618" s="30"/>
      <c r="R2618" s="30"/>
      <c r="S2618" s="30"/>
      <c r="T2618" s="30"/>
      <c r="U2618" s="30"/>
      <c r="V2618" s="30"/>
      <c r="W2618" s="30"/>
      <c r="X2618" s="30"/>
      <c r="Y2618" s="30"/>
      <c r="Z2618" s="30"/>
      <c r="AA2618" s="30"/>
      <c r="AB2618" s="30"/>
      <c r="AC2618" s="30"/>
      <c r="AD2618" s="30"/>
      <c r="AE2618" s="30"/>
    </row>
    <row r="2619" spans="1:31" ht="13">
      <c r="A2619" s="30"/>
      <c r="B2619" s="30"/>
      <c r="C2619" s="30"/>
      <c r="D2619" s="30"/>
      <c r="E2619" s="30"/>
      <c r="F2619" s="48"/>
      <c r="G2619" s="49"/>
      <c r="H2619" s="49"/>
      <c r="I2619" s="49"/>
      <c r="J2619" s="71"/>
      <c r="K2619" s="71"/>
      <c r="L2619" s="50"/>
      <c r="M2619" s="30"/>
      <c r="N2619" s="30"/>
      <c r="O2619" s="30"/>
      <c r="P2619" s="30"/>
      <c r="Q2619" s="30"/>
      <c r="R2619" s="30"/>
      <c r="S2619" s="30"/>
      <c r="T2619" s="30"/>
      <c r="U2619" s="30"/>
      <c r="V2619" s="30"/>
      <c r="W2619" s="30"/>
      <c r="X2619" s="30"/>
      <c r="Y2619" s="30"/>
      <c r="Z2619" s="30"/>
      <c r="AA2619" s="30"/>
      <c r="AB2619" s="30"/>
      <c r="AC2619" s="30"/>
      <c r="AD2619" s="30"/>
      <c r="AE2619" s="30"/>
    </row>
    <row r="2620" spans="1:31" ht="13">
      <c r="A2620" s="30"/>
      <c r="B2620" s="30"/>
      <c r="C2620" s="30"/>
      <c r="D2620" s="30"/>
      <c r="E2620" s="30"/>
      <c r="F2620" s="48"/>
      <c r="G2620" s="49"/>
      <c r="H2620" s="49"/>
      <c r="I2620" s="49"/>
      <c r="J2620" s="71"/>
      <c r="K2620" s="71"/>
      <c r="L2620" s="50"/>
      <c r="M2620" s="30"/>
      <c r="N2620" s="30"/>
      <c r="O2620" s="30"/>
      <c r="P2620" s="30"/>
      <c r="Q2620" s="30"/>
      <c r="R2620" s="30"/>
      <c r="S2620" s="30"/>
      <c r="T2620" s="30"/>
      <c r="U2620" s="30"/>
      <c r="V2620" s="30"/>
      <c r="W2620" s="30"/>
      <c r="X2620" s="30"/>
      <c r="Y2620" s="30"/>
      <c r="Z2620" s="30"/>
      <c r="AA2620" s="30"/>
      <c r="AB2620" s="30"/>
      <c r="AC2620" s="30"/>
      <c r="AD2620" s="30"/>
      <c r="AE2620" s="30"/>
    </row>
    <row r="2621" spans="1:31" ht="13">
      <c r="A2621" s="30"/>
      <c r="B2621" s="30"/>
      <c r="C2621" s="30"/>
      <c r="D2621" s="30"/>
      <c r="E2621" s="30"/>
      <c r="F2621" s="48"/>
      <c r="G2621" s="49"/>
      <c r="H2621" s="49"/>
      <c r="I2621" s="49"/>
      <c r="J2621" s="71"/>
      <c r="K2621" s="71"/>
      <c r="L2621" s="50"/>
      <c r="M2621" s="30"/>
      <c r="N2621" s="30"/>
      <c r="O2621" s="30"/>
      <c r="P2621" s="30"/>
      <c r="Q2621" s="30"/>
      <c r="R2621" s="30"/>
      <c r="S2621" s="30"/>
      <c r="T2621" s="30"/>
      <c r="U2621" s="30"/>
      <c r="V2621" s="30"/>
      <c r="W2621" s="30"/>
      <c r="X2621" s="30"/>
      <c r="Y2621" s="30"/>
      <c r="Z2621" s="30"/>
      <c r="AA2621" s="30"/>
      <c r="AB2621" s="30"/>
      <c r="AC2621" s="30"/>
      <c r="AD2621" s="30"/>
      <c r="AE2621" s="30"/>
    </row>
    <row r="2622" spans="1:31" ht="13">
      <c r="A2622" s="30"/>
      <c r="B2622" s="30"/>
      <c r="C2622" s="30"/>
      <c r="D2622" s="30"/>
      <c r="E2622" s="30"/>
      <c r="F2622" s="48"/>
      <c r="G2622" s="49"/>
      <c r="H2622" s="49"/>
      <c r="I2622" s="49"/>
      <c r="J2622" s="71"/>
      <c r="K2622" s="71"/>
      <c r="L2622" s="50"/>
      <c r="M2622" s="30"/>
      <c r="N2622" s="30"/>
      <c r="O2622" s="30"/>
      <c r="P2622" s="30"/>
      <c r="Q2622" s="30"/>
      <c r="R2622" s="30"/>
      <c r="S2622" s="30"/>
      <c r="T2622" s="30"/>
      <c r="U2622" s="30"/>
      <c r="V2622" s="30"/>
      <c r="W2622" s="30"/>
      <c r="X2622" s="30"/>
      <c r="Y2622" s="30"/>
      <c r="Z2622" s="30"/>
      <c r="AA2622" s="30"/>
      <c r="AB2622" s="30"/>
      <c r="AC2622" s="30"/>
      <c r="AD2622" s="30"/>
      <c r="AE2622" s="30"/>
    </row>
    <row r="2623" spans="1:31" ht="13">
      <c r="A2623" s="30"/>
      <c r="B2623" s="30"/>
      <c r="C2623" s="30"/>
      <c r="D2623" s="30"/>
      <c r="E2623" s="30"/>
      <c r="F2623" s="48"/>
      <c r="G2623" s="49"/>
      <c r="H2623" s="49"/>
      <c r="I2623" s="49"/>
      <c r="J2623" s="71"/>
      <c r="K2623" s="71"/>
      <c r="L2623" s="50"/>
      <c r="M2623" s="30"/>
      <c r="N2623" s="30"/>
      <c r="O2623" s="30"/>
      <c r="P2623" s="30"/>
      <c r="Q2623" s="30"/>
      <c r="R2623" s="30"/>
      <c r="S2623" s="30"/>
      <c r="T2623" s="30"/>
      <c r="U2623" s="30"/>
      <c r="V2623" s="30"/>
      <c r="W2623" s="30"/>
      <c r="X2623" s="30"/>
      <c r="Y2623" s="30"/>
      <c r="Z2623" s="30"/>
      <c r="AA2623" s="30"/>
      <c r="AB2623" s="30"/>
      <c r="AC2623" s="30"/>
      <c r="AD2623" s="30"/>
      <c r="AE2623" s="30"/>
    </row>
    <row r="2624" spans="1:31" ht="13">
      <c r="A2624" s="30"/>
      <c r="B2624" s="30"/>
      <c r="C2624" s="30"/>
      <c r="D2624" s="30"/>
      <c r="E2624" s="30"/>
      <c r="F2624" s="48"/>
      <c r="G2624" s="49"/>
      <c r="H2624" s="49"/>
      <c r="I2624" s="49"/>
      <c r="J2624" s="71"/>
      <c r="K2624" s="71"/>
      <c r="L2624" s="50"/>
      <c r="M2624" s="30"/>
      <c r="N2624" s="30"/>
      <c r="O2624" s="30"/>
      <c r="P2624" s="30"/>
      <c r="Q2624" s="30"/>
      <c r="R2624" s="30"/>
      <c r="S2624" s="30"/>
      <c r="T2624" s="30"/>
      <c r="U2624" s="30"/>
      <c r="V2624" s="30"/>
      <c r="W2624" s="30"/>
      <c r="X2624" s="30"/>
      <c r="Y2624" s="30"/>
      <c r="Z2624" s="30"/>
      <c r="AA2624" s="30"/>
      <c r="AB2624" s="30"/>
      <c r="AC2624" s="30"/>
      <c r="AD2624" s="30"/>
      <c r="AE2624" s="30"/>
    </row>
    <row r="2625" spans="1:31" ht="13">
      <c r="A2625" s="30"/>
      <c r="B2625" s="30"/>
      <c r="C2625" s="30"/>
      <c r="D2625" s="30"/>
      <c r="E2625" s="30"/>
      <c r="F2625" s="48"/>
      <c r="G2625" s="49"/>
      <c r="H2625" s="49"/>
      <c r="I2625" s="49"/>
      <c r="J2625" s="71"/>
      <c r="K2625" s="71"/>
      <c r="L2625" s="50"/>
      <c r="M2625" s="30"/>
      <c r="N2625" s="30"/>
      <c r="O2625" s="30"/>
      <c r="P2625" s="30"/>
      <c r="Q2625" s="30"/>
      <c r="R2625" s="30"/>
      <c r="S2625" s="30"/>
      <c r="T2625" s="30"/>
      <c r="U2625" s="30"/>
      <c r="V2625" s="30"/>
      <c r="W2625" s="30"/>
      <c r="X2625" s="30"/>
      <c r="Y2625" s="30"/>
      <c r="Z2625" s="30"/>
      <c r="AA2625" s="30"/>
      <c r="AB2625" s="30"/>
      <c r="AC2625" s="30"/>
      <c r="AD2625" s="30"/>
      <c r="AE2625" s="30"/>
    </row>
    <row r="2626" spans="1:31" ht="13">
      <c r="A2626" s="30"/>
      <c r="B2626" s="30"/>
      <c r="C2626" s="30"/>
      <c r="D2626" s="30"/>
      <c r="E2626" s="30"/>
      <c r="F2626" s="48"/>
      <c r="G2626" s="49"/>
      <c r="H2626" s="49"/>
      <c r="I2626" s="49"/>
      <c r="J2626" s="71"/>
      <c r="K2626" s="71"/>
      <c r="L2626" s="50"/>
      <c r="M2626" s="30"/>
      <c r="N2626" s="30"/>
      <c r="O2626" s="30"/>
      <c r="P2626" s="30"/>
      <c r="Q2626" s="30"/>
      <c r="R2626" s="30"/>
      <c r="S2626" s="30"/>
      <c r="T2626" s="30"/>
      <c r="U2626" s="30"/>
      <c r="V2626" s="30"/>
      <c r="W2626" s="30"/>
      <c r="X2626" s="30"/>
      <c r="Y2626" s="30"/>
      <c r="Z2626" s="30"/>
      <c r="AA2626" s="30"/>
      <c r="AB2626" s="30"/>
      <c r="AC2626" s="30"/>
      <c r="AD2626" s="30"/>
      <c r="AE2626" s="30"/>
    </row>
    <row r="2627" spans="1:31" ht="13">
      <c r="A2627" s="30"/>
      <c r="B2627" s="30"/>
      <c r="C2627" s="30"/>
      <c r="D2627" s="30"/>
      <c r="E2627" s="30"/>
      <c r="F2627" s="48"/>
      <c r="G2627" s="49"/>
      <c r="H2627" s="49"/>
      <c r="I2627" s="49"/>
      <c r="J2627" s="71"/>
      <c r="K2627" s="71"/>
      <c r="L2627" s="50"/>
      <c r="M2627" s="30"/>
      <c r="N2627" s="30"/>
      <c r="O2627" s="30"/>
      <c r="P2627" s="30"/>
      <c r="Q2627" s="30"/>
      <c r="R2627" s="30"/>
      <c r="S2627" s="30"/>
      <c r="T2627" s="30"/>
      <c r="U2627" s="30"/>
      <c r="V2627" s="30"/>
      <c r="W2627" s="30"/>
      <c r="X2627" s="30"/>
      <c r="Y2627" s="30"/>
      <c r="Z2627" s="30"/>
      <c r="AA2627" s="30"/>
      <c r="AB2627" s="30"/>
      <c r="AC2627" s="30"/>
      <c r="AD2627" s="30"/>
      <c r="AE2627" s="30"/>
    </row>
    <row r="2628" spans="1:31" ht="13">
      <c r="A2628" s="30"/>
      <c r="B2628" s="30"/>
      <c r="C2628" s="30"/>
      <c r="D2628" s="30"/>
      <c r="E2628" s="30"/>
      <c r="F2628" s="48"/>
      <c r="G2628" s="49"/>
      <c r="H2628" s="49"/>
      <c r="I2628" s="49"/>
      <c r="J2628" s="71"/>
      <c r="K2628" s="71"/>
      <c r="L2628" s="50"/>
      <c r="M2628" s="30"/>
      <c r="N2628" s="30"/>
      <c r="O2628" s="30"/>
      <c r="P2628" s="30"/>
      <c r="Q2628" s="30"/>
      <c r="R2628" s="30"/>
      <c r="S2628" s="30"/>
      <c r="T2628" s="30"/>
      <c r="U2628" s="30"/>
      <c r="V2628" s="30"/>
      <c r="W2628" s="30"/>
      <c r="X2628" s="30"/>
      <c r="Y2628" s="30"/>
      <c r="Z2628" s="30"/>
      <c r="AA2628" s="30"/>
      <c r="AB2628" s="30"/>
      <c r="AC2628" s="30"/>
      <c r="AD2628" s="30"/>
      <c r="AE2628" s="30"/>
    </row>
    <row r="2629" spans="1:31" ht="13">
      <c r="A2629" s="30"/>
      <c r="B2629" s="30"/>
      <c r="C2629" s="30"/>
      <c r="D2629" s="30"/>
      <c r="E2629" s="30"/>
      <c r="F2629" s="48"/>
      <c r="G2629" s="49"/>
      <c r="H2629" s="49"/>
      <c r="I2629" s="49"/>
      <c r="J2629" s="71"/>
      <c r="K2629" s="71"/>
      <c r="L2629" s="50"/>
      <c r="M2629" s="30"/>
      <c r="N2629" s="30"/>
      <c r="O2629" s="30"/>
      <c r="P2629" s="30"/>
      <c r="Q2629" s="30"/>
      <c r="R2629" s="30"/>
      <c r="S2629" s="30"/>
      <c r="T2629" s="30"/>
      <c r="U2629" s="30"/>
      <c r="V2629" s="30"/>
      <c r="W2629" s="30"/>
      <c r="X2629" s="30"/>
      <c r="Y2629" s="30"/>
      <c r="Z2629" s="30"/>
      <c r="AA2629" s="30"/>
      <c r="AB2629" s="30"/>
      <c r="AC2629" s="30"/>
      <c r="AD2629" s="30"/>
      <c r="AE2629" s="30"/>
    </row>
    <row r="2630" spans="1:31" ht="13">
      <c r="A2630" s="30"/>
      <c r="B2630" s="30"/>
      <c r="C2630" s="30"/>
      <c r="D2630" s="30"/>
      <c r="E2630" s="30"/>
      <c r="F2630" s="48"/>
      <c r="G2630" s="49"/>
      <c r="H2630" s="49"/>
      <c r="I2630" s="49"/>
      <c r="J2630" s="71"/>
      <c r="K2630" s="71"/>
      <c r="L2630" s="50"/>
      <c r="M2630" s="30"/>
      <c r="N2630" s="30"/>
      <c r="O2630" s="30"/>
      <c r="P2630" s="30"/>
      <c r="Q2630" s="30"/>
      <c r="R2630" s="30"/>
      <c r="S2630" s="30"/>
      <c r="T2630" s="30"/>
      <c r="U2630" s="30"/>
      <c r="V2630" s="30"/>
      <c r="W2630" s="30"/>
      <c r="X2630" s="30"/>
      <c r="Y2630" s="30"/>
      <c r="Z2630" s="30"/>
      <c r="AA2630" s="30"/>
      <c r="AB2630" s="30"/>
      <c r="AC2630" s="30"/>
      <c r="AD2630" s="30"/>
      <c r="AE2630" s="30"/>
    </row>
    <row r="2631" spans="1:31" ht="13">
      <c r="A2631" s="30"/>
      <c r="B2631" s="30"/>
      <c r="C2631" s="30"/>
      <c r="D2631" s="30"/>
      <c r="E2631" s="30"/>
      <c r="F2631" s="48"/>
      <c r="G2631" s="49"/>
      <c r="H2631" s="49"/>
      <c r="I2631" s="49"/>
      <c r="J2631" s="71"/>
      <c r="K2631" s="71"/>
      <c r="L2631" s="50"/>
      <c r="M2631" s="30"/>
      <c r="N2631" s="30"/>
      <c r="O2631" s="30"/>
      <c r="P2631" s="30"/>
      <c r="Q2631" s="30"/>
      <c r="R2631" s="30"/>
      <c r="S2631" s="30"/>
      <c r="T2631" s="30"/>
      <c r="U2631" s="30"/>
      <c r="V2631" s="30"/>
      <c r="W2631" s="30"/>
      <c r="X2631" s="30"/>
      <c r="Y2631" s="30"/>
      <c r="Z2631" s="30"/>
      <c r="AA2631" s="30"/>
      <c r="AB2631" s="30"/>
      <c r="AC2631" s="30"/>
      <c r="AD2631" s="30"/>
      <c r="AE2631" s="30"/>
    </row>
    <row r="2632" spans="1:31" ht="13">
      <c r="A2632" s="30"/>
      <c r="B2632" s="30"/>
      <c r="C2632" s="30"/>
      <c r="D2632" s="30"/>
      <c r="E2632" s="30"/>
      <c r="F2632" s="48"/>
      <c r="G2632" s="49"/>
      <c r="H2632" s="49"/>
      <c r="I2632" s="49"/>
      <c r="J2632" s="71"/>
      <c r="K2632" s="71"/>
      <c r="L2632" s="50"/>
      <c r="M2632" s="30"/>
      <c r="N2632" s="30"/>
      <c r="O2632" s="30"/>
      <c r="P2632" s="30"/>
      <c r="Q2632" s="30"/>
      <c r="R2632" s="30"/>
      <c r="S2632" s="30"/>
      <c r="T2632" s="30"/>
      <c r="U2632" s="30"/>
      <c r="V2632" s="30"/>
      <c r="W2632" s="30"/>
      <c r="X2632" s="30"/>
      <c r="Y2632" s="30"/>
      <c r="Z2632" s="30"/>
      <c r="AA2632" s="30"/>
      <c r="AB2632" s="30"/>
      <c r="AC2632" s="30"/>
      <c r="AD2632" s="30"/>
      <c r="AE2632" s="30"/>
    </row>
    <row r="2633" spans="1:31" ht="13">
      <c r="A2633" s="30"/>
      <c r="B2633" s="30"/>
      <c r="C2633" s="30"/>
      <c r="D2633" s="30"/>
      <c r="E2633" s="30"/>
      <c r="F2633" s="48"/>
      <c r="G2633" s="49"/>
      <c r="H2633" s="49"/>
      <c r="I2633" s="49"/>
      <c r="J2633" s="71"/>
      <c r="K2633" s="71"/>
      <c r="L2633" s="50"/>
      <c r="M2633" s="30"/>
      <c r="N2633" s="30"/>
      <c r="O2633" s="30"/>
      <c r="P2633" s="30"/>
      <c r="Q2633" s="30"/>
      <c r="R2633" s="30"/>
      <c r="S2633" s="30"/>
      <c r="T2633" s="30"/>
      <c r="U2633" s="30"/>
      <c r="V2633" s="30"/>
      <c r="W2633" s="30"/>
      <c r="X2633" s="30"/>
      <c r="Y2633" s="30"/>
      <c r="Z2633" s="30"/>
      <c r="AA2633" s="30"/>
      <c r="AB2633" s="30"/>
      <c r="AC2633" s="30"/>
      <c r="AD2633" s="30"/>
      <c r="AE2633" s="30"/>
    </row>
    <row r="2634" spans="1:31" ht="13">
      <c r="A2634" s="30"/>
      <c r="B2634" s="30"/>
      <c r="C2634" s="30"/>
      <c r="D2634" s="30"/>
      <c r="E2634" s="30"/>
      <c r="F2634" s="48"/>
      <c r="G2634" s="49"/>
      <c r="H2634" s="49"/>
      <c r="I2634" s="49"/>
      <c r="J2634" s="71"/>
      <c r="K2634" s="71"/>
      <c r="L2634" s="50"/>
      <c r="M2634" s="30"/>
      <c r="N2634" s="30"/>
      <c r="O2634" s="30"/>
      <c r="P2634" s="30"/>
      <c r="Q2634" s="30"/>
      <c r="R2634" s="30"/>
      <c r="S2634" s="30"/>
      <c r="T2634" s="30"/>
      <c r="U2634" s="30"/>
      <c r="V2634" s="30"/>
      <c r="W2634" s="30"/>
      <c r="X2634" s="30"/>
      <c r="Y2634" s="30"/>
      <c r="Z2634" s="30"/>
      <c r="AA2634" s="30"/>
      <c r="AB2634" s="30"/>
      <c r="AC2634" s="30"/>
      <c r="AD2634" s="30"/>
      <c r="AE2634" s="30"/>
    </row>
    <row r="2635" spans="1:31" ht="13">
      <c r="A2635" s="30"/>
      <c r="B2635" s="30"/>
      <c r="C2635" s="30"/>
      <c r="D2635" s="30"/>
      <c r="E2635" s="30"/>
      <c r="F2635" s="48"/>
      <c r="G2635" s="49"/>
      <c r="H2635" s="49"/>
      <c r="I2635" s="49"/>
      <c r="J2635" s="71"/>
      <c r="K2635" s="71"/>
      <c r="L2635" s="50"/>
      <c r="M2635" s="30"/>
      <c r="N2635" s="30"/>
      <c r="O2635" s="30"/>
      <c r="P2635" s="30"/>
      <c r="Q2635" s="30"/>
      <c r="R2635" s="30"/>
      <c r="S2635" s="30"/>
      <c r="T2635" s="30"/>
      <c r="U2635" s="30"/>
      <c r="V2635" s="30"/>
      <c r="W2635" s="30"/>
      <c r="X2635" s="30"/>
      <c r="Y2635" s="30"/>
      <c r="Z2635" s="30"/>
      <c r="AA2635" s="30"/>
      <c r="AB2635" s="30"/>
      <c r="AC2635" s="30"/>
      <c r="AD2635" s="30"/>
      <c r="AE2635" s="30"/>
    </row>
    <row r="2636" spans="1:31" ht="13">
      <c r="A2636" s="30"/>
      <c r="B2636" s="30"/>
      <c r="C2636" s="30"/>
      <c r="D2636" s="30"/>
      <c r="E2636" s="30"/>
      <c r="F2636" s="48"/>
      <c r="G2636" s="49"/>
      <c r="H2636" s="49"/>
      <c r="I2636" s="49"/>
      <c r="J2636" s="71"/>
      <c r="K2636" s="71"/>
      <c r="L2636" s="50"/>
      <c r="M2636" s="30"/>
      <c r="N2636" s="30"/>
      <c r="O2636" s="30"/>
      <c r="P2636" s="30"/>
      <c r="Q2636" s="30"/>
      <c r="R2636" s="30"/>
      <c r="S2636" s="30"/>
      <c r="T2636" s="30"/>
      <c r="U2636" s="30"/>
      <c r="V2636" s="30"/>
      <c r="W2636" s="30"/>
      <c r="X2636" s="30"/>
      <c r="Y2636" s="30"/>
      <c r="Z2636" s="30"/>
      <c r="AA2636" s="30"/>
      <c r="AB2636" s="30"/>
      <c r="AC2636" s="30"/>
      <c r="AD2636" s="30"/>
      <c r="AE2636" s="30"/>
    </row>
    <row r="2637" spans="1:31" ht="13">
      <c r="A2637" s="30"/>
      <c r="B2637" s="30"/>
      <c r="C2637" s="30"/>
      <c r="D2637" s="30"/>
      <c r="E2637" s="30"/>
      <c r="F2637" s="48"/>
      <c r="G2637" s="49"/>
      <c r="H2637" s="49"/>
      <c r="I2637" s="49"/>
      <c r="J2637" s="71"/>
      <c r="K2637" s="71"/>
      <c r="L2637" s="50"/>
      <c r="M2637" s="30"/>
      <c r="N2637" s="30"/>
      <c r="O2637" s="30"/>
      <c r="P2637" s="30"/>
      <c r="Q2637" s="30"/>
      <c r="R2637" s="30"/>
      <c r="S2637" s="30"/>
      <c r="T2637" s="30"/>
      <c r="U2637" s="30"/>
      <c r="V2637" s="30"/>
      <c r="W2637" s="30"/>
      <c r="X2637" s="30"/>
      <c r="Y2637" s="30"/>
      <c r="Z2637" s="30"/>
      <c r="AA2637" s="30"/>
      <c r="AB2637" s="30"/>
      <c r="AC2637" s="30"/>
      <c r="AD2637" s="30"/>
      <c r="AE2637" s="30"/>
    </row>
    <row r="2638" spans="1:31" ht="13">
      <c r="A2638" s="30"/>
      <c r="B2638" s="30"/>
      <c r="C2638" s="30"/>
      <c r="D2638" s="30"/>
      <c r="E2638" s="30"/>
      <c r="F2638" s="48"/>
      <c r="G2638" s="49"/>
      <c r="H2638" s="49"/>
      <c r="I2638" s="49"/>
      <c r="J2638" s="71"/>
      <c r="K2638" s="71"/>
      <c r="L2638" s="50"/>
      <c r="M2638" s="30"/>
      <c r="N2638" s="30"/>
      <c r="O2638" s="30"/>
      <c r="P2638" s="30"/>
      <c r="Q2638" s="30"/>
      <c r="R2638" s="30"/>
      <c r="S2638" s="30"/>
      <c r="T2638" s="30"/>
      <c r="U2638" s="30"/>
      <c r="V2638" s="30"/>
      <c r="W2638" s="30"/>
      <c r="X2638" s="30"/>
      <c r="Y2638" s="30"/>
      <c r="Z2638" s="30"/>
      <c r="AA2638" s="30"/>
      <c r="AB2638" s="30"/>
      <c r="AC2638" s="30"/>
      <c r="AD2638" s="30"/>
      <c r="AE2638" s="30"/>
    </row>
    <row r="2639" spans="1:31" ht="13">
      <c r="A2639" s="30"/>
      <c r="B2639" s="30"/>
      <c r="C2639" s="30"/>
      <c r="D2639" s="30"/>
      <c r="E2639" s="30"/>
      <c r="F2639" s="48"/>
      <c r="G2639" s="49"/>
      <c r="H2639" s="49"/>
      <c r="I2639" s="49"/>
      <c r="J2639" s="71"/>
      <c r="K2639" s="71"/>
      <c r="L2639" s="50"/>
      <c r="M2639" s="30"/>
      <c r="N2639" s="30"/>
      <c r="O2639" s="30"/>
      <c r="P2639" s="30"/>
      <c r="Q2639" s="30"/>
      <c r="R2639" s="30"/>
      <c r="S2639" s="30"/>
      <c r="T2639" s="30"/>
      <c r="U2639" s="30"/>
      <c r="V2639" s="30"/>
      <c r="W2639" s="30"/>
      <c r="X2639" s="30"/>
      <c r="Y2639" s="30"/>
      <c r="Z2639" s="30"/>
      <c r="AA2639" s="30"/>
      <c r="AB2639" s="30"/>
      <c r="AC2639" s="30"/>
      <c r="AD2639" s="30"/>
      <c r="AE2639" s="30"/>
    </row>
    <row r="2640" spans="1:31" ht="13">
      <c r="A2640" s="30"/>
      <c r="B2640" s="30"/>
      <c r="C2640" s="30"/>
      <c r="D2640" s="30"/>
      <c r="E2640" s="30"/>
      <c r="F2640" s="48"/>
      <c r="G2640" s="49"/>
      <c r="H2640" s="49"/>
      <c r="I2640" s="49"/>
      <c r="J2640" s="71"/>
      <c r="K2640" s="71"/>
      <c r="L2640" s="50"/>
      <c r="M2640" s="30"/>
      <c r="N2640" s="30"/>
      <c r="O2640" s="30"/>
      <c r="P2640" s="30"/>
      <c r="Q2640" s="30"/>
      <c r="R2640" s="30"/>
      <c r="S2640" s="30"/>
      <c r="T2640" s="30"/>
      <c r="U2640" s="30"/>
      <c r="V2640" s="30"/>
      <c r="W2640" s="30"/>
      <c r="X2640" s="30"/>
      <c r="Y2640" s="30"/>
      <c r="Z2640" s="30"/>
      <c r="AA2640" s="30"/>
      <c r="AB2640" s="30"/>
      <c r="AC2640" s="30"/>
      <c r="AD2640" s="30"/>
      <c r="AE2640" s="30"/>
    </row>
    <row r="2641" spans="1:31" ht="13">
      <c r="A2641" s="30"/>
      <c r="B2641" s="30"/>
      <c r="C2641" s="30"/>
      <c r="D2641" s="30"/>
      <c r="E2641" s="30"/>
      <c r="F2641" s="48"/>
      <c r="G2641" s="49"/>
      <c r="H2641" s="49"/>
      <c r="I2641" s="49"/>
      <c r="J2641" s="71"/>
      <c r="K2641" s="71"/>
      <c r="L2641" s="50"/>
      <c r="M2641" s="30"/>
      <c r="N2641" s="30"/>
      <c r="O2641" s="30"/>
      <c r="P2641" s="30"/>
      <c r="Q2641" s="30"/>
      <c r="R2641" s="30"/>
      <c r="S2641" s="30"/>
      <c r="T2641" s="30"/>
      <c r="U2641" s="30"/>
      <c r="V2641" s="30"/>
      <c r="W2641" s="30"/>
      <c r="X2641" s="30"/>
      <c r="Y2641" s="30"/>
      <c r="Z2641" s="30"/>
      <c r="AA2641" s="30"/>
      <c r="AB2641" s="30"/>
      <c r="AC2641" s="30"/>
      <c r="AD2641" s="30"/>
      <c r="AE2641" s="30"/>
    </row>
    <row r="2642" spans="1:31" ht="13">
      <c r="A2642" s="30"/>
      <c r="B2642" s="30"/>
      <c r="C2642" s="30"/>
      <c r="D2642" s="30"/>
      <c r="E2642" s="30"/>
      <c r="F2642" s="48"/>
      <c r="G2642" s="49"/>
      <c r="H2642" s="49"/>
      <c r="I2642" s="49"/>
      <c r="J2642" s="71"/>
      <c r="K2642" s="71"/>
      <c r="L2642" s="50"/>
      <c r="M2642" s="30"/>
      <c r="N2642" s="30"/>
      <c r="O2642" s="30"/>
      <c r="P2642" s="30"/>
      <c r="Q2642" s="30"/>
      <c r="R2642" s="30"/>
      <c r="S2642" s="30"/>
      <c r="T2642" s="30"/>
      <c r="U2642" s="30"/>
      <c r="V2642" s="30"/>
      <c r="W2642" s="30"/>
      <c r="X2642" s="30"/>
      <c r="Y2642" s="30"/>
      <c r="Z2642" s="30"/>
      <c r="AA2642" s="30"/>
      <c r="AB2642" s="30"/>
      <c r="AC2642" s="30"/>
      <c r="AD2642" s="30"/>
      <c r="AE2642" s="30"/>
    </row>
    <row r="2643" spans="1:31" ht="13">
      <c r="A2643" s="30"/>
      <c r="B2643" s="30"/>
      <c r="C2643" s="30"/>
      <c r="D2643" s="30"/>
      <c r="E2643" s="30"/>
      <c r="F2643" s="48"/>
      <c r="G2643" s="49"/>
      <c r="H2643" s="49"/>
      <c r="I2643" s="49"/>
      <c r="J2643" s="71"/>
      <c r="K2643" s="71"/>
      <c r="L2643" s="50"/>
      <c r="M2643" s="30"/>
      <c r="N2643" s="30"/>
      <c r="O2643" s="30"/>
      <c r="P2643" s="30"/>
      <c r="Q2643" s="30"/>
      <c r="R2643" s="30"/>
      <c r="S2643" s="30"/>
      <c r="T2643" s="30"/>
      <c r="U2643" s="30"/>
      <c r="V2643" s="30"/>
      <c r="W2643" s="30"/>
      <c r="X2643" s="30"/>
      <c r="Y2643" s="30"/>
      <c r="Z2643" s="30"/>
      <c r="AA2643" s="30"/>
      <c r="AB2643" s="30"/>
      <c r="AC2643" s="30"/>
      <c r="AD2643" s="30"/>
      <c r="AE2643" s="30"/>
    </row>
    <row r="2644" spans="1:31" ht="13">
      <c r="A2644" s="30"/>
      <c r="B2644" s="30"/>
      <c r="C2644" s="30"/>
      <c r="D2644" s="30"/>
      <c r="E2644" s="30"/>
      <c r="F2644" s="48"/>
      <c r="G2644" s="49"/>
      <c r="H2644" s="49"/>
      <c r="I2644" s="49"/>
      <c r="J2644" s="71"/>
      <c r="K2644" s="71"/>
      <c r="L2644" s="50"/>
      <c r="M2644" s="30"/>
      <c r="N2644" s="30"/>
      <c r="O2644" s="30"/>
      <c r="P2644" s="30"/>
      <c r="Q2644" s="30"/>
      <c r="R2644" s="30"/>
      <c r="S2644" s="30"/>
      <c r="T2644" s="30"/>
      <c r="U2644" s="30"/>
      <c r="V2644" s="30"/>
      <c r="W2644" s="30"/>
      <c r="X2644" s="30"/>
      <c r="Y2644" s="30"/>
      <c r="Z2644" s="30"/>
      <c r="AA2644" s="30"/>
      <c r="AB2644" s="30"/>
      <c r="AC2644" s="30"/>
      <c r="AD2644" s="30"/>
      <c r="AE2644" s="30"/>
    </row>
    <row r="2645" spans="1:31" ht="13">
      <c r="A2645" s="30"/>
      <c r="B2645" s="30"/>
      <c r="C2645" s="30"/>
      <c r="D2645" s="30"/>
      <c r="E2645" s="30"/>
      <c r="F2645" s="48"/>
      <c r="G2645" s="49"/>
      <c r="H2645" s="49"/>
      <c r="I2645" s="49"/>
      <c r="J2645" s="71"/>
      <c r="K2645" s="71"/>
      <c r="L2645" s="50"/>
      <c r="M2645" s="30"/>
      <c r="N2645" s="30"/>
      <c r="O2645" s="30"/>
      <c r="P2645" s="30"/>
      <c r="Q2645" s="30"/>
      <c r="R2645" s="30"/>
      <c r="S2645" s="30"/>
      <c r="T2645" s="30"/>
      <c r="U2645" s="30"/>
      <c r="V2645" s="30"/>
      <c r="W2645" s="30"/>
      <c r="X2645" s="30"/>
      <c r="Y2645" s="30"/>
      <c r="Z2645" s="30"/>
      <c r="AA2645" s="30"/>
      <c r="AB2645" s="30"/>
      <c r="AC2645" s="30"/>
      <c r="AD2645" s="30"/>
      <c r="AE2645" s="30"/>
    </row>
    <row r="2646" spans="1:31" ht="13">
      <c r="A2646" s="30"/>
      <c r="B2646" s="30"/>
      <c r="C2646" s="30"/>
      <c r="D2646" s="30"/>
      <c r="E2646" s="30"/>
      <c r="F2646" s="48"/>
      <c r="G2646" s="49"/>
      <c r="H2646" s="49"/>
      <c r="I2646" s="49"/>
      <c r="J2646" s="71"/>
      <c r="K2646" s="71"/>
      <c r="L2646" s="50"/>
      <c r="M2646" s="30"/>
      <c r="N2646" s="30"/>
      <c r="O2646" s="30"/>
      <c r="P2646" s="30"/>
      <c r="Q2646" s="30"/>
      <c r="R2646" s="30"/>
      <c r="S2646" s="30"/>
      <c r="T2646" s="30"/>
      <c r="U2646" s="30"/>
      <c r="V2646" s="30"/>
      <c r="W2646" s="30"/>
      <c r="X2646" s="30"/>
      <c r="Y2646" s="30"/>
      <c r="Z2646" s="30"/>
      <c r="AA2646" s="30"/>
      <c r="AB2646" s="30"/>
      <c r="AC2646" s="30"/>
      <c r="AD2646" s="30"/>
      <c r="AE2646" s="30"/>
    </row>
    <row r="2647" spans="1:31" ht="13">
      <c r="A2647" s="30"/>
      <c r="B2647" s="30"/>
      <c r="C2647" s="30"/>
      <c r="D2647" s="30"/>
      <c r="E2647" s="30"/>
      <c r="F2647" s="48"/>
      <c r="G2647" s="49"/>
      <c r="H2647" s="49"/>
      <c r="I2647" s="49"/>
      <c r="J2647" s="71"/>
      <c r="K2647" s="71"/>
      <c r="L2647" s="50"/>
      <c r="M2647" s="30"/>
      <c r="N2647" s="30"/>
      <c r="O2647" s="30"/>
      <c r="P2647" s="30"/>
      <c r="Q2647" s="30"/>
      <c r="R2647" s="30"/>
      <c r="S2647" s="30"/>
      <c r="T2647" s="30"/>
      <c r="U2647" s="30"/>
      <c r="V2647" s="30"/>
      <c r="W2647" s="30"/>
      <c r="X2647" s="30"/>
      <c r="Y2647" s="30"/>
      <c r="Z2647" s="30"/>
      <c r="AA2647" s="30"/>
      <c r="AB2647" s="30"/>
      <c r="AC2647" s="30"/>
      <c r="AD2647" s="30"/>
      <c r="AE2647" s="30"/>
    </row>
    <row r="2648" spans="1:31" ht="13">
      <c r="A2648" s="30"/>
      <c r="B2648" s="30"/>
      <c r="C2648" s="30"/>
      <c r="D2648" s="30"/>
      <c r="E2648" s="30"/>
      <c r="F2648" s="48"/>
      <c r="G2648" s="49"/>
      <c r="H2648" s="49"/>
      <c r="I2648" s="49"/>
      <c r="J2648" s="71"/>
      <c r="K2648" s="71"/>
      <c r="L2648" s="50"/>
      <c r="M2648" s="30"/>
      <c r="N2648" s="30"/>
      <c r="O2648" s="30"/>
      <c r="P2648" s="30"/>
      <c r="Q2648" s="30"/>
      <c r="R2648" s="30"/>
      <c r="S2648" s="30"/>
      <c r="T2648" s="30"/>
      <c r="U2648" s="30"/>
      <c r="V2648" s="30"/>
      <c r="W2648" s="30"/>
      <c r="X2648" s="30"/>
      <c r="Y2648" s="30"/>
      <c r="Z2648" s="30"/>
      <c r="AA2648" s="30"/>
      <c r="AB2648" s="30"/>
      <c r="AC2648" s="30"/>
      <c r="AD2648" s="30"/>
      <c r="AE2648" s="30"/>
    </row>
    <row r="2649" spans="1:31" ht="13">
      <c r="A2649" s="30"/>
      <c r="B2649" s="30"/>
      <c r="C2649" s="30"/>
      <c r="D2649" s="30"/>
      <c r="E2649" s="30"/>
      <c r="F2649" s="48"/>
      <c r="G2649" s="49"/>
      <c r="H2649" s="49"/>
      <c r="I2649" s="49"/>
      <c r="J2649" s="71"/>
      <c r="K2649" s="71"/>
      <c r="L2649" s="50"/>
      <c r="M2649" s="30"/>
      <c r="N2649" s="30"/>
      <c r="O2649" s="30"/>
      <c r="P2649" s="30"/>
      <c r="Q2649" s="30"/>
      <c r="R2649" s="30"/>
      <c r="S2649" s="30"/>
      <c r="T2649" s="30"/>
      <c r="U2649" s="30"/>
      <c r="V2649" s="30"/>
      <c r="W2649" s="30"/>
      <c r="X2649" s="30"/>
      <c r="Y2649" s="30"/>
      <c r="Z2649" s="30"/>
      <c r="AA2649" s="30"/>
      <c r="AB2649" s="30"/>
      <c r="AC2649" s="30"/>
      <c r="AD2649" s="30"/>
      <c r="AE2649" s="30"/>
    </row>
    <row r="2650" spans="1:31" ht="13">
      <c r="A2650" s="30"/>
      <c r="B2650" s="30"/>
      <c r="C2650" s="30"/>
      <c r="D2650" s="30"/>
      <c r="E2650" s="30"/>
      <c r="F2650" s="48"/>
      <c r="G2650" s="49"/>
      <c r="H2650" s="49"/>
      <c r="I2650" s="49"/>
      <c r="J2650" s="71"/>
      <c r="K2650" s="71"/>
      <c r="L2650" s="50"/>
      <c r="M2650" s="30"/>
      <c r="N2650" s="30"/>
      <c r="O2650" s="30"/>
      <c r="P2650" s="30"/>
      <c r="Q2650" s="30"/>
      <c r="R2650" s="30"/>
      <c r="S2650" s="30"/>
      <c r="T2650" s="30"/>
      <c r="U2650" s="30"/>
      <c r="V2650" s="30"/>
      <c r="W2650" s="30"/>
      <c r="X2650" s="30"/>
      <c r="Y2650" s="30"/>
      <c r="Z2650" s="30"/>
      <c r="AA2650" s="30"/>
      <c r="AB2650" s="30"/>
      <c r="AC2650" s="30"/>
      <c r="AD2650" s="30"/>
      <c r="AE2650" s="30"/>
    </row>
    <row r="2651" spans="1:31" ht="13">
      <c r="A2651" s="30"/>
      <c r="B2651" s="30"/>
      <c r="C2651" s="30"/>
      <c r="D2651" s="30"/>
      <c r="E2651" s="30"/>
      <c r="F2651" s="48"/>
      <c r="G2651" s="49"/>
      <c r="H2651" s="49"/>
      <c r="I2651" s="49"/>
      <c r="J2651" s="71"/>
      <c r="K2651" s="71"/>
      <c r="L2651" s="50"/>
      <c r="M2651" s="30"/>
      <c r="N2651" s="30"/>
      <c r="O2651" s="30"/>
      <c r="P2651" s="30"/>
      <c r="Q2651" s="30"/>
      <c r="R2651" s="30"/>
      <c r="S2651" s="30"/>
      <c r="T2651" s="30"/>
      <c r="U2651" s="30"/>
      <c r="V2651" s="30"/>
      <c r="W2651" s="30"/>
      <c r="X2651" s="30"/>
      <c r="Y2651" s="30"/>
      <c r="Z2651" s="30"/>
      <c r="AA2651" s="30"/>
      <c r="AB2651" s="30"/>
      <c r="AC2651" s="30"/>
      <c r="AD2651" s="30"/>
      <c r="AE2651" s="30"/>
    </row>
    <row r="2652" spans="1:31" ht="13">
      <c r="A2652" s="30"/>
      <c r="B2652" s="30"/>
      <c r="C2652" s="30"/>
      <c r="D2652" s="30"/>
      <c r="E2652" s="30"/>
      <c r="F2652" s="48"/>
      <c r="G2652" s="49"/>
      <c r="H2652" s="49"/>
      <c r="I2652" s="49"/>
      <c r="J2652" s="71"/>
      <c r="K2652" s="71"/>
      <c r="L2652" s="50"/>
      <c r="M2652" s="30"/>
      <c r="N2652" s="30"/>
      <c r="O2652" s="30"/>
      <c r="P2652" s="30"/>
      <c r="Q2652" s="30"/>
      <c r="R2652" s="30"/>
      <c r="S2652" s="30"/>
      <c r="T2652" s="30"/>
      <c r="U2652" s="30"/>
      <c r="V2652" s="30"/>
      <c r="W2652" s="30"/>
      <c r="X2652" s="30"/>
      <c r="Y2652" s="30"/>
      <c r="Z2652" s="30"/>
      <c r="AA2652" s="30"/>
      <c r="AB2652" s="30"/>
      <c r="AC2652" s="30"/>
      <c r="AD2652" s="30"/>
      <c r="AE2652" s="30"/>
    </row>
    <row r="2653" spans="1:31" ht="13">
      <c r="A2653" s="30"/>
      <c r="B2653" s="30"/>
      <c r="C2653" s="30"/>
      <c r="D2653" s="30"/>
      <c r="E2653" s="30"/>
      <c r="F2653" s="48"/>
      <c r="G2653" s="49"/>
      <c r="H2653" s="49"/>
      <c r="I2653" s="49"/>
      <c r="J2653" s="71"/>
      <c r="K2653" s="71"/>
      <c r="L2653" s="50"/>
      <c r="M2653" s="30"/>
      <c r="N2653" s="30"/>
      <c r="O2653" s="30"/>
      <c r="P2653" s="30"/>
      <c r="Q2653" s="30"/>
      <c r="R2653" s="30"/>
      <c r="S2653" s="30"/>
      <c r="T2653" s="30"/>
      <c r="U2653" s="30"/>
      <c r="V2653" s="30"/>
      <c r="W2653" s="30"/>
      <c r="X2653" s="30"/>
      <c r="Y2653" s="30"/>
      <c r="Z2653" s="30"/>
      <c r="AA2653" s="30"/>
      <c r="AB2653" s="30"/>
      <c r="AC2653" s="30"/>
      <c r="AD2653" s="30"/>
      <c r="AE2653" s="30"/>
    </row>
    <row r="2654" spans="1:31" ht="13">
      <c r="A2654" s="30"/>
      <c r="B2654" s="30"/>
      <c r="C2654" s="30"/>
      <c r="D2654" s="30"/>
      <c r="E2654" s="30"/>
      <c r="F2654" s="48"/>
      <c r="G2654" s="49"/>
      <c r="H2654" s="49"/>
      <c r="I2654" s="49"/>
      <c r="J2654" s="71"/>
      <c r="K2654" s="71"/>
      <c r="L2654" s="50"/>
      <c r="M2654" s="30"/>
      <c r="N2654" s="30"/>
      <c r="O2654" s="30"/>
      <c r="P2654" s="30"/>
      <c r="Q2654" s="30"/>
      <c r="R2654" s="30"/>
      <c r="S2654" s="30"/>
      <c r="T2654" s="30"/>
      <c r="U2654" s="30"/>
      <c r="V2654" s="30"/>
      <c r="W2654" s="30"/>
      <c r="X2654" s="30"/>
      <c r="Y2654" s="30"/>
      <c r="Z2654" s="30"/>
      <c r="AA2654" s="30"/>
      <c r="AB2654" s="30"/>
      <c r="AC2654" s="30"/>
      <c r="AD2654" s="30"/>
      <c r="AE2654" s="30"/>
    </row>
    <row r="2655" spans="1:31" ht="13">
      <c r="A2655" s="30"/>
      <c r="B2655" s="30"/>
      <c r="C2655" s="30"/>
      <c r="D2655" s="30"/>
      <c r="E2655" s="30"/>
      <c r="F2655" s="48"/>
      <c r="G2655" s="49"/>
      <c r="H2655" s="49"/>
      <c r="I2655" s="49"/>
      <c r="J2655" s="71"/>
      <c r="K2655" s="71"/>
      <c r="L2655" s="50"/>
      <c r="M2655" s="30"/>
      <c r="N2655" s="30"/>
      <c r="O2655" s="30"/>
      <c r="P2655" s="30"/>
      <c r="Q2655" s="30"/>
      <c r="R2655" s="30"/>
      <c r="S2655" s="30"/>
      <c r="T2655" s="30"/>
      <c r="U2655" s="30"/>
      <c r="V2655" s="30"/>
      <c r="W2655" s="30"/>
      <c r="X2655" s="30"/>
      <c r="Y2655" s="30"/>
      <c r="Z2655" s="30"/>
      <c r="AA2655" s="30"/>
      <c r="AB2655" s="30"/>
      <c r="AC2655" s="30"/>
      <c r="AD2655" s="30"/>
      <c r="AE2655" s="30"/>
    </row>
    <row r="2656" spans="1:31" ht="13">
      <c r="A2656" s="30"/>
      <c r="B2656" s="30"/>
      <c r="C2656" s="30"/>
      <c r="D2656" s="30"/>
      <c r="E2656" s="30"/>
      <c r="F2656" s="48"/>
      <c r="G2656" s="49"/>
      <c r="H2656" s="49"/>
      <c r="I2656" s="49"/>
      <c r="J2656" s="71"/>
      <c r="K2656" s="71"/>
      <c r="L2656" s="50"/>
      <c r="M2656" s="30"/>
      <c r="N2656" s="30"/>
      <c r="O2656" s="30"/>
      <c r="P2656" s="30"/>
      <c r="Q2656" s="30"/>
      <c r="R2656" s="30"/>
      <c r="S2656" s="30"/>
      <c r="T2656" s="30"/>
      <c r="U2656" s="30"/>
      <c r="V2656" s="30"/>
      <c r="W2656" s="30"/>
      <c r="X2656" s="30"/>
      <c r="Y2656" s="30"/>
      <c r="Z2656" s="30"/>
      <c r="AA2656" s="30"/>
      <c r="AB2656" s="30"/>
      <c r="AC2656" s="30"/>
      <c r="AD2656" s="30"/>
      <c r="AE2656" s="30"/>
    </row>
    <row r="2657" spans="1:31" ht="13">
      <c r="A2657" s="30"/>
      <c r="B2657" s="30"/>
      <c r="C2657" s="30"/>
      <c r="D2657" s="30"/>
      <c r="E2657" s="30"/>
      <c r="F2657" s="48"/>
      <c r="G2657" s="49"/>
      <c r="H2657" s="49"/>
      <c r="I2657" s="49"/>
      <c r="J2657" s="71"/>
      <c r="K2657" s="71"/>
      <c r="L2657" s="50"/>
      <c r="M2657" s="30"/>
      <c r="N2657" s="30"/>
      <c r="O2657" s="30"/>
      <c r="P2657" s="30"/>
      <c r="Q2657" s="30"/>
      <c r="R2657" s="30"/>
      <c r="S2657" s="30"/>
      <c r="T2657" s="30"/>
      <c r="U2657" s="30"/>
      <c r="V2657" s="30"/>
      <c r="W2657" s="30"/>
      <c r="X2657" s="30"/>
      <c r="Y2657" s="30"/>
      <c r="Z2657" s="30"/>
      <c r="AA2657" s="30"/>
      <c r="AB2657" s="30"/>
      <c r="AC2657" s="30"/>
      <c r="AD2657" s="30"/>
      <c r="AE2657" s="30"/>
    </row>
    <row r="2658" spans="1:31" ht="13">
      <c r="A2658" s="30"/>
      <c r="B2658" s="30"/>
      <c r="C2658" s="30"/>
      <c r="D2658" s="30"/>
      <c r="E2658" s="30"/>
      <c r="F2658" s="48"/>
      <c r="G2658" s="49"/>
      <c r="H2658" s="49"/>
      <c r="I2658" s="49"/>
      <c r="J2658" s="71"/>
      <c r="K2658" s="71"/>
      <c r="L2658" s="50"/>
      <c r="M2658" s="30"/>
      <c r="N2658" s="30"/>
      <c r="O2658" s="30"/>
      <c r="P2658" s="30"/>
      <c r="Q2658" s="30"/>
      <c r="R2658" s="30"/>
      <c r="S2658" s="30"/>
      <c r="T2658" s="30"/>
      <c r="U2658" s="30"/>
      <c r="V2658" s="30"/>
      <c r="W2658" s="30"/>
      <c r="X2658" s="30"/>
      <c r="Y2658" s="30"/>
      <c r="Z2658" s="30"/>
      <c r="AA2658" s="30"/>
      <c r="AB2658" s="30"/>
      <c r="AC2658" s="30"/>
      <c r="AD2658" s="30"/>
      <c r="AE2658" s="30"/>
    </row>
    <row r="2659" spans="1:31" ht="13">
      <c r="A2659" s="30"/>
      <c r="B2659" s="30"/>
      <c r="C2659" s="30"/>
      <c r="D2659" s="30"/>
      <c r="E2659" s="30"/>
      <c r="F2659" s="48"/>
      <c r="G2659" s="49"/>
      <c r="H2659" s="49"/>
      <c r="I2659" s="49"/>
      <c r="J2659" s="71"/>
      <c r="K2659" s="71"/>
      <c r="L2659" s="50"/>
      <c r="M2659" s="30"/>
      <c r="N2659" s="30"/>
      <c r="O2659" s="30"/>
      <c r="P2659" s="30"/>
      <c r="Q2659" s="30"/>
      <c r="R2659" s="30"/>
      <c r="S2659" s="30"/>
      <c r="T2659" s="30"/>
      <c r="U2659" s="30"/>
      <c r="V2659" s="30"/>
      <c r="W2659" s="30"/>
      <c r="X2659" s="30"/>
      <c r="Y2659" s="30"/>
      <c r="Z2659" s="30"/>
      <c r="AA2659" s="30"/>
      <c r="AB2659" s="30"/>
      <c r="AC2659" s="30"/>
      <c r="AD2659" s="30"/>
      <c r="AE2659" s="30"/>
    </row>
    <row r="2660" spans="1:31" ht="13">
      <c r="A2660" s="30"/>
      <c r="B2660" s="30"/>
      <c r="C2660" s="30"/>
      <c r="D2660" s="30"/>
      <c r="E2660" s="30"/>
      <c r="F2660" s="48"/>
      <c r="G2660" s="49"/>
      <c r="H2660" s="49"/>
      <c r="I2660" s="49"/>
      <c r="J2660" s="71"/>
      <c r="K2660" s="71"/>
      <c r="L2660" s="50"/>
      <c r="M2660" s="30"/>
      <c r="N2660" s="30"/>
      <c r="O2660" s="30"/>
      <c r="P2660" s="30"/>
      <c r="Q2660" s="30"/>
      <c r="R2660" s="30"/>
      <c r="S2660" s="30"/>
      <c r="T2660" s="30"/>
      <c r="U2660" s="30"/>
      <c r="V2660" s="30"/>
      <c r="W2660" s="30"/>
      <c r="X2660" s="30"/>
      <c r="Y2660" s="30"/>
      <c r="Z2660" s="30"/>
      <c r="AA2660" s="30"/>
      <c r="AB2660" s="30"/>
      <c r="AC2660" s="30"/>
      <c r="AD2660" s="30"/>
      <c r="AE2660" s="30"/>
    </row>
    <row r="2661" spans="1:31" ht="13">
      <c r="A2661" s="30"/>
      <c r="B2661" s="30"/>
      <c r="C2661" s="30"/>
      <c r="D2661" s="30"/>
      <c r="E2661" s="30"/>
      <c r="F2661" s="48"/>
      <c r="G2661" s="49"/>
      <c r="H2661" s="49"/>
      <c r="I2661" s="49"/>
      <c r="J2661" s="71"/>
      <c r="K2661" s="71"/>
      <c r="L2661" s="50"/>
      <c r="M2661" s="30"/>
      <c r="N2661" s="30"/>
      <c r="O2661" s="30"/>
      <c r="P2661" s="30"/>
      <c r="Q2661" s="30"/>
      <c r="R2661" s="30"/>
      <c r="S2661" s="30"/>
      <c r="T2661" s="30"/>
      <c r="U2661" s="30"/>
      <c r="V2661" s="30"/>
      <c r="W2661" s="30"/>
      <c r="X2661" s="30"/>
      <c r="Y2661" s="30"/>
      <c r="Z2661" s="30"/>
      <c r="AA2661" s="30"/>
      <c r="AB2661" s="30"/>
      <c r="AC2661" s="30"/>
      <c r="AD2661" s="30"/>
      <c r="AE2661" s="30"/>
    </row>
    <row r="2662" spans="1:31" ht="13">
      <c r="A2662" s="30"/>
      <c r="B2662" s="30"/>
      <c r="C2662" s="30"/>
      <c r="D2662" s="30"/>
      <c r="E2662" s="30"/>
      <c r="F2662" s="48"/>
      <c r="G2662" s="49"/>
      <c r="H2662" s="49"/>
      <c r="I2662" s="49"/>
      <c r="J2662" s="71"/>
      <c r="K2662" s="71"/>
      <c r="L2662" s="50"/>
      <c r="M2662" s="30"/>
      <c r="N2662" s="30"/>
      <c r="O2662" s="30"/>
      <c r="P2662" s="30"/>
      <c r="Q2662" s="30"/>
      <c r="R2662" s="30"/>
      <c r="S2662" s="30"/>
      <c r="T2662" s="30"/>
      <c r="U2662" s="30"/>
      <c r="V2662" s="30"/>
      <c r="W2662" s="30"/>
      <c r="X2662" s="30"/>
      <c r="Y2662" s="30"/>
      <c r="Z2662" s="30"/>
      <c r="AA2662" s="30"/>
      <c r="AB2662" s="30"/>
      <c r="AC2662" s="30"/>
      <c r="AD2662" s="30"/>
      <c r="AE2662" s="30"/>
    </row>
    <row r="2663" spans="1:31" ht="13">
      <c r="A2663" s="30"/>
      <c r="B2663" s="30"/>
      <c r="C2663" s="30"/>
      <c r="D2663" s="30"/>
      <c r="E2663" s="30"/>
      <c r="F2663" s="48"/>
      <c r="G2663" s="49"/>
      <c r="H2663" s="49"/>
      <c r="I2663" s="49"/>
      <c r="J2663" s="71"/>
      <c r="K2663" s="71"/>
      <c r="L2663" s="50"/>
      <c r="M2663" s="30"/>
      <c r="N2663" s="30"/>
      <c r="O2663" s="30"/>
      <c r="P2663" s="30"/>
      <c r="Q2663" s="30"/>
      <c r="R2663" s="30"/>
      <c r="S2663" s="30"/>
      <c r="T2663" s="30"/>
      <c r="U2663" s="30"/>
      <c r="V2663" s="30"/>
      <c r="W2663" s="30"/>
      <c r="X2663" s="30"/>
      <c r="Y2663" s="30"/>
      <c r="Z2663" s="30"/>
      <c r="AA2663" s="30"/>
      <c r="AB2663" s="30"/>
      <c r="AC2663" s="30"/>
      <c r="AD2663" s="30"/>
      <c r="AE2663" s="30"/>
    </row>
    <row r="2664" spans="1:31" ht="13">
      <c r="A2664" s="30"/>
      <c r="B2664" s="30"/>
      <c r="C2664" s="30"/>
      <c r="D2664" s="30"/>
      <c r="E2664" s="30"/>
      <c r="F2664" s="48"/>
      <c r="G2664" s="49"/>
      <c r="H2664" s="49"/>
      <c r="I2664" s="49"/>
      <c r="J2664" s="71"/>
      <c r="K2664" s="71"/>
      <c r="L2664" s="50"/>
      <c r="M2664" s="30"/>
      <c r="N2664" s="30"/>
      <c r="O2664" s="30"/>
      <c r="P2664" s="30"/>
      <c r="Q2664" s="30"/>
      <c r="R2664" s="30"/>
      <c r="S2664" s="30"/>
      <c r="T2664" s="30"/>
      <c r="U2664" s="30"/>
      <c r="V2664" s="30"/>
      <c r="W2664" s="30"/>
      <c r="X2664" s="30"/>
      <c r="Y2664" s="30"/>
      <c r="Z2664" s="30"/>
      <c r="AA2664" s="30"/>
      <c r="AB2664" s="30"/>
      <c r="AC2664" s="30"/>
      <c r="AD2664" s="30"/>
      <c r="AE2664" s="30"/>
    </row>
    <row r="2665" spans="1:31" ht="13">
      <c r="A2665" s="30"/>
      <c r="B2665" s="30"/>
      <c r="C2665" s="30"/>
      <c r="D2665" s="30"/>
      <c r="E2665" s="30"/>
      <c r="F2665" s="48"/>
      <c r="G2665" s="49"/>
      <c r="H2665" s="49"/>
      <c r="I2665" s="49"/>
      <c r="J2665" s="71"/>
      <c r="K2665" s="71"/>
      <c r="L2665" s="50"/>
      <c r="M2665" s="30"/>
      <c r="N2665" s="30"/>
      <c r="O2665" s="30"/>
      <c r="P2665" s="30"/>
      <c r="Q2665" s="30"/>
      <c r="R2665" s="30"/>
      <c r="S2665" s="30"/>
      <c r="T2665" s="30"/>
      <c r="U2665" s="30"/>
      <c r="V2665" s="30"/>
      <c r="W2665" s="30"/>
      <c r="X2665" s="30"/>
      <c r="Y2665" s="30"/>
      <c r="Z2665" s="30"/>
      <c r="AA2665" s="30"/>
      <c r="AB2665" s="30"/>
      <c r="AC2665" s="30"/>
      <c r="AD2665" s="30"/>
      <c r="AE2665" s="30"/>
    </row>
    <row r="2666" spans="1:31" ht="13">
      <c r="A2666" s="30"/>
      <c r="B2666" s="30"/>
      <c r="C2666" s="30"/>
      <c r="D2666" s="30"/>
      <c r="E2666" s="30"/>
      <c r="F2666" s="48"/>
      <c r="G2666" s="49"/>
      <c r="H2666" s="49"/>
      <c r="I2666" s="49"/>
      <c r="J2666" s="71"/>
      <c r="K2666" s="71"/>
      <c r="L2666" s="50"/>
      <c r="M2666" s="30"/>
      <c r="N2666" s="30"/>
      <c r="O2666" s="30"/>
      <c r="P2666" s="30"/>
      <c r="Q2666" s="30"/>
      <c r="R2666" s="30"/>
      <c r="S2666" s="30"/>
      <c r="T2666" s="30"/>
      <c r="U2666" s="30"/>
      <c r="V2666" s="30"/>
      <c r="W2666" s="30"/>
      <c r="X2666" s="30"/>
      <c r="Y2666" s="30"/>
      <c r="Z2666" s="30"/>
      <c r="AA2666" s="30"/>
      <c r="AB2666" s="30"/>
      <c r="AC2666" s="30"/>
      <c r="AD2666" s="30"/>
      <c r="AE2666" s="30"/>
    </row>
    <row r="2667" spans="1:31" ht="13">
      <c r="A2667" s="30"/>
      <c r="B2667" s="30"/>
      <c r="C2667" s="30"/>
      <c r="D2667" s="30"/>
      <c r="E2667" s="30"/>
      <c r="F2667" s="48"/>
      <c r="G2667" s="49"/>
      <c r="H2667" s="49"/>
      <c r="I2667" s="49"/>
      <c r="J2667" s="71"/>
      <c r="K2667" s="71"/>
      <c r="L2667" s="50"/>
      <c r="M2667" s="30"/>
      <c r="N2667" s="30"/>
      <c r="O2667" s="30"/>
      <c r="P2667" s="30"/>
      <c r="Q2667" s="30"/>
      <c r="R2667" s="30"/>
      <c r="S2667" s="30"/>
      <c r="T2667" s="30"/>
      <c r="U2667" s="30"/>
      <c r="V2667" s="30"/>
      <c r="W2667" s="30"/>
      <c r="X2667" s="30"/>
      <c r="Y2667" s="30"/>
      <c r="Z2667" s="30"/>
      <c r="AA2667" s="30"/>
      <c r="AB2667" s="30"/>
      <c r="AC2667" s="30"/>
      <c r="AD2667" s="30"/>
      <c r="AE2667" s="30"/>
    </row>
    <row r="2668" spans="1:31" ht="13">
      <c r="A2668" s="30"/>
      <c r="B2668" s="30"/>
      <c r="C2668" s="30"/>
      <c r="D2668" s="30"/>
      <c r="E2668" s="30"/>
      <c r="F2668" s="48"/>
      <c r="G2668" s="49"/>
      <c r="H2668" s="49"/>
      <c r="I2668" s="49"/>
      <c r="J2668" s="71"/>
      <c r="K2668" s="71"/>
      <c r="L2668" s="50"/>
      <c r="M2668" s="30"/>
      <c r="N2668" s="30"/>
      <c r="O2668" s="30"/>
      <c r="P2668" s="30"/>
      <c r="Q2668" s="30"/>
      <c r="R2668" s="30"/>
      <c r="S2668" s="30"/>
      <c r="T2668" s="30"/>
      <c r="U2668" s="30"/>
      <c r="V2668" s="30"/>
      <c r="W2668" s="30"/>
      <c r="X2668" s="30"/>
      <c r="Y2668" s="30"/>
      <c r="Z2668" s="30"/>
      <c r="AA2668" s="30"/>
      <c r="AB2668" s="30"/>
      <c r="AC2668" s="30"/>
      <c r="AD2668" s="30"/>
      <c r="AE2668" s="30"/>
    </row>
    <row r="2669" spans="1:31" ht="13">
      <c r="A2669" s="30"/>
      <c r="B2669" s="30"/>
      <c r="C2669" s="30"/>
      <c r="D2669" s="30"/>
      <c r="E2669" s="30"/>
      <c r="F2669" s="48"/>
      <c r="G2669" s="49"/>
      <c r="H2669" s="49"/>
      <c r="I2669" s="49"/>
      <c r="J2669" s="71"/>
      <c r="K2669" s="71"/>
      <c r="L2669" s="50"/>
      <c r="M2669" s="30"/>
      <c r="N2669" s="30"/>
      <c r="O2669" s="30"/>
      <c r="P2669" s="30"/>
      <c r="Q2669" s="30"/>
      <c r="R2669" s="30"/>
      <c r="S2669" s="30"/>
      <c r="T2669" s="30"/>
      <c r="U2669" s="30"/>
      <c r="V2669" s="30"/>
      <c r="W2669" s="30"/>
      <c r="X2669" s="30"/>
      <c r="Y2669" s="30"/>
      <c r="Z2669" s="30"/>
      <c r="AA2669" s="30"/>
      <c r="AB2669" s="30"/>
      <c r="AC2669" s="30"/>
      <c r="AD2669" s="30"/>
      <c r="AE2669" s="30"/>
    </row>
    <row r="2670" spans="1:31" ht="13">
      <c r="A2670" s="30"/>
      <c r="B2670" s="30"/>
      <c r="C2670" s="30"/>
      <c r="D2670" s="30"/>
      <c r="E2670" s="30"/>
      <c r="F2670" s="48"/>
      <c r="G2670" s="49"/>
      <c r="H2670" s="49"/>
      <c r="I2670" s="49"/>
      <c r="J2670" s="71"/>
      <c r="K2670" s="71"/>
      <c r="L2670" s="50"/>
      <c r="M2670" s="30"/>
      <c r="N2670" s="30"/>
      <c r="O2670" s="30"/>
      <c r="P2670" s="30"/>
      <c r="Q2670" s="30"/>
      <c r="R2670" s="30"/>
      <c r="S2670" s="30"/>
      <c r="T2670" s="30"/>
      <c r="U2670" s="30"/>
      <c r="V2670" s="30"/>
      <c r="W2670" s="30"/>
      <c r="X2670" s="30"/>
      <c r="Y2670" s="30"/>
      <c r="Z2670" s="30"/>
      <c r="AA2670" s="30"/>
      <c r="AB2670" s="30"/>
      <c r="AC2670" s="30"/>
      <c r="AD2670" s="30"/>
      <c r="AE2670" s="30"/>
    </row>
    <row r="2671" spans="1:31" ht="13">
      <c r="A2671" s="30"/>
      <c r="B2671" s="30"/>
      <c r="C2671" s="30"/>
      <c r="D2671" s="30"/>
      <c r="E2671" s="30"/>
      <c r="F2671" s="48"/>
      <c r="G2671" s="49"/>
      <c r="H2671" s="49"/>
      <c r="I2671" s="49"/>
      <c r="J2671" s="71"/>
      <c r="K2671" s="71"/>
      <c r="L2671" s="50"/>
      <c r="M2671" s="30"/>
      <c r="N2671" s="30"/>
      <c r="O2671" s="30"/>
      <c r="P2671" s="30"/>
      <c r="Q2671" s="30"/>
      <c r="R2671" s="30"/>
      <c r="S2671" s="30"/>
      <c r="T2671" s="30"/>
      <c r="U2671" s="30"/>
      <c r="V2671" s="30"/>
      <c r="W2671" s="30"/>
      <c r="X2671" s="30"/>
      <c r="Y2671" s="30"/>
      <c r="Z2671" s="30"/>
      <c r="AA2671" s="30"/>
      <c r="AB2671" s="30"/>
      <c r="AC2671" s="30"/>
      <c r="AD2671" s="30"/>
      <c r="AE2671" s="30"/>
    </row>
    <row r="2672" spans="1:31" ht="13">
      <c r="A2672" s="30"/>
      <c r="B2672" s="30"/>
      <c r="C2672" s="30"/>
      <c r="D2672" s="30"/>
      <c r="E2672" s="30"/>
      <c r="F2672" s="48"/>
      <c r="G2672" s="49"/>
      <c r="H2672" s="49"/>
      <c r="I2672" s="49"/>
      <c r="J2672" s="71"/>
      <c r="K2672" s="71"/>
      <c r="L2672" s="50"/>
      <c r="M2672" s="30"/>
      <c r="N2672" s="30"/>
      <c r="O2672" s="30"/>
      <c r="P2672" s="30"/>
      <c r="Q2672" s="30"/>
      <c r="R2672" s="30"/>
      <c r="S2672" s="30"/>
      <c r="T2672" s="30"/>
      <c r="U2672" s="30"/>
      <c r="V2672" s="30"/>
      <c r="W2672" s="30"/>
      <c r="X2672" s="30"/>
      <c r="Y2672" s="30"/>
      <c r="Z2672" s="30"/>
      <c r="AA2672" s="30"/>
      <c r="AB2672" s="30"/>
      <c r="AC2672" s="30"/>
      <c r="AD2672" s="30"/>
      <c r="AE2672" s="30"/>
    </row>
    <row r="2673" spans="1:31" ht="13">
      <c r="A2673" s="30"/>
      <c r="B2673" s="30"/>
      <c r="C2673" s="30"/>
      <c r="D2673" s="30"/>
      <c r="E2673" s="30"/>
      <c r="F2673" s="48"/>
      <c r="G2673" s="49"/>
      <c r="H2673" s="49"/>
      <c r="I2673" s="49"/>
      <c r="J2673" s="71"/>
      <c r="K2673" s="71"/>
      <c r="L2673" s="50"/>
      <c r="M2673" s="30"/>
      <c r="N2673" s="30"/>
      <c r="O2673" s="30"/>
      <c r="P2673" s="30"/>
      <c r="Q2673" s="30"/>
      <c r="R2673" s="30"/>
      <c r="S2673" s="30"/>
      <c r="T2673" s="30"/>
      <c r="U2673" s="30"/>
      <c r="V2673" s="30"/>
      <c r="W2673" s="30"/>
      <c r="X2673" s="30"/>
      <c r="Y2673" s="30"/>
      <c r="Z2673" s="30"/>
      <c r="AA2673" s="30"/>
      <c r="AB2673" s="30"/>
      <c r="AC2673" s="30"/>
      <c r="AD2673" s="30"/>
      <c r="AE2673" s="30"/>
    </row>
    <row r="2674" spans="1:31" ht="13">
      <c r="A2674" s="30"/>
      <c r="B2674" s="30"/>
      <c r="C2674" s="30"/>
      <c r="D2674" s="30"/>
      <c r="E2674" s="30"/>
      <c r="F2674" s="48"/>
      <c r="G2674" s="49"/>
      <c r="H2674" s="49"/>
      <c r="I2674" s="49"/>
      <c r="J2674" s="71"/>
      <c r="K2674" s="71"/>
      <c r="L2674" s="50"/>
      <c r="M2674" s="30"/>
      <c r="N2674" s="30"/>
      <c r="O2674" s="30"/>
      <c r="P2674" s="30"/>
      <c r="Q2674" s="30"/>
      <c r="R2674" s="30"/>
      <c r="S2674" s="30"/>
      <c r="T2674" s="30"/>
      <c r="U2674" s="30"/>
      <c r="V2674" s="30"/>
      <c r="W2674" s="30"/>
      <c r="X2674" s="30"/>
      <c r="Y2674" s="30"/>
      <c r="Z2674" s="30"/>
      <c r="AA2674" s="30"/>
      <c r="AB2674" s="30"/>
      <c r="AC2674" s="30"/>
      <c r="AD2674" s="30"/>
      <c r="AE2674" s="30"/>
    </row>
    <row r="2675" spans="1:31" ht="13">
      <c r="A2675" s="30"/>
      <c r="B2675" s="30"/>
      <c r="C2675" s="30"/>
      <c r="D2675" s="30"/>
      <c r="E2675" s="30"/>
      <c r="F2675" s="48"/>
      <c r="G2675" s="49"/>
      <c r="H2675" s="49"/>
      <c r="I2675" s="49"/>
      <c r="J2675" s="71"/>
      <c r="K2675" s="71"/>
      <c r="L2675" s="50"/>
      <c r="M2675" s="30"/>
      <c r="N2675" s="30"/>
      <c r="O2675" s="30"/>
      <c r="P2675" s="30"/>
      <c r="Q2675" s="30"/>
      <c r="R2675" s="30"/>
      <c r="S2675" s="30"/>
      <c r="T2675" s="30"/>
      <c r="U2675" s="30"/>
      <c r="V2675" s="30"/>
      <c r="W2675" s="30"/>
      <c r="X2675" s="30"/>
      <c r="Y2675" s="30"/>
      <c r="Z2675" s="30"/>
      <c r="AA2675" s="30"/>
      <c r="AB2675" s="30"/>
      <c r="AC2675" s="30"/>
      <c r="AD2675" s="30"/>
      <c r="AE2675" s="30"/>
    </row>
    <row r="2676" spans="1:31" ht="13">
      <c r="A2676" s="30"/>
      <c r="B2676" s="30"/>
      <c r="C2676" s="30"/>
      <c r="D2676" s="30"/>
      <c r="E2676" s="30"/>
      <c r="F2676" s="48"/>
      <c r="G2676" s="49"/>
      <c r="H2676" s="49"/>
      <c r="I2676" s="49"/>
      <c r="J2676" s="71"/>
      <c r="K2676" s="71"/>
      <c r="L2676" s="50"/>
      <c r="M2676" s="30"/>
      <c r="N2676" s="30"/>
      <c r="O2676" s="30"/>
      <c r="P2676" s="30"/>
      <c r="Q2676" s="30"/>
      <c r="R2676" s="30"/>
      <c r="S2676" s="30"/>
      <c r="T2676" s="30"/>
      <c r="U2676" s="30"/>
      <c r="V2676" s="30"/>
      <c r="W2676" s="30"/>
      <c r="X2676" s="30"/>
      <c r="Y2676" s="30"/>
      <c r="Z2676" s="30"/>
      <c r="AA2676" s="30"/>
      <c r="AB2676" s="30"/>
      <c r="AC2676" s="30"/>
      <c r="AD2676" s="30"/>
      <c r="AE2676" s="30"/>
    </row>
    <row r="2677" spans="1:31" ht="13">
      <c r="A2677" s="30"/>
      <c r="B2677" s="30"/>
      <c r="C2677" s="30"/>
      <c r="D2677" s="30"/>
      <c r="E2677" s="30"/>
      <c r="F2677" s="48"/>
      <c r="G2677" s="49"/>
      <c r="H2677" s="49"/>
      <c r="I2677" s="49"/>
      <c r="J2677" s="71"/>
      <c r="K2677" s="71"/>
      <c r="L2677" s="50"/>
      <c r="M2677" s="30"/>
      <c r="N2677" s="30"/>
      <c r="O2677" s="30"/>
      <c r="P2677" s="30"/>
      <c r="Q2677" s="30"/>
      <c r="R2677" s="30"/>
      <c r="S2677" s="30"/>
      <c r="T2677" s="30"/>
      <c r="U2677" s="30"/>
      <c r="V2677" s="30"/>
      <c r="W2677" s="30"/>
      <c r="X2677" s="30"/>
      <c r="Y2677" s="30"/>
      <c r="Z2677" s="30"/>
      <c r="AA2677" s="30"/>
      <c r="AB2677" s="30"/>
      <c r="AC2677" s="30"/>
      <c r="AD2677" s="30"/>
      <c r="AE2677" s="30"/>
    </row>
    <row r="2678" spans="1:31" ht="13">
      <c r="A2678" s="30"/>
      <c r="B2678" s="30"/>
      <c r="C2678" s="30"/>
      <c r="D2678" s="30"/>
      <c r="E2678" s="30"/>
      <c r="F2678" s="48"/>
      <c r="G2678" s="49"/>
      <c r="H2678" s="49"/>
      <c r="I2678" s="49"/>
      <c r="J2678" s="71"/>
      <c r="K2678" s="71"/>
      <c r="L2678" s="50"/>
      <c r="M2678" s="30"/>
      <c r="N2678" s="30"/>
      <c r="O2678" s="30"/>
      <c r="P2678" s="30"/>
      <c r="Q2678" s="30"/>
      <c r="R2678" s="30"/>
      <c r="S2678" s="30"/>
      <c r="T2678" s="30"/>
      <c r="U2678" s="30"/>
      <c r="V2678" s="30"/>
      <c r="W2678" s="30"/>
      <c r="X2678" s="30"/>
      <c r="Y2678" s="30"/>
      <c r="Z2678" s="30"/>
      <c r="AA2678" s="30"/>
      <c r="AB2678" s="30"/>
      <c r="AC2678" s="30"/>
      <c r="AD2678" s="30"/>
      <c r="AE2678" s="30"/>
    </row>
    <row r="2679" spans="1:31" ht="13">
      <c r="A2679" s="30"/>
      <c r="B2679" s="30"/>
      <c r="C2679" s="30"/>
      <c r="D2679" s="30"/>
      <c r="E2679" s="30"/>
      <c r="F2679" s="48"/>
      <c r="G2679" s="49"/>
      <c r="H2679" s="49"/>
      <c r="I2679" s="49"/>
      <c r="J2679" s="71"/>
      <c r="K2679" s="71"/>
      <c r="L2679" s="50"/>
      <c r="M2679" s="30"/>
      <c r="N2679" s="30"/>
      <c r="O2679" s="30"/>
      <c r="P2679" s="30"/>
      <c r="Q2679" s="30"/>
      <c r="R2679" s="30"/>
      <c r="S2679" s="30"/>
      <c r="T2679" s="30"/>
      <c r="U2679" s="30"/>
      <c r="V2679" s="30"/>
      <c r="W2679" s="30"/>
      <c r="X2679" s="30"/>
      <c r="Y2679" s="30"/>
      <c r="Z2679" s="30"/>
      <c r="AA2679" s="30"/>
      <c r="AB2679" s="30"/>
      <c r="AC2679" s="30"/>
      <c r="AD2679" s="30"/>
      <c r="AE2679" s="30"/>
    </row>
    <row r="2680" spans="1:31" ht="13">
      <c r="A2680" s="30"/>
      <c r="B2680" s="30"/>
      <c r="C2680" s="30"/>
      <c r="D2680" s="30"/>
      <c r="E2680" s="30"/>
      <c r="F2680" s="48"/>
      <c r="G2680" s="49"/>
      <c r="H2680" s="49"/>
      <c r="I2680" s="49"/>
      <c r="J2680" s="71"/>
      <c r="K2680" s="71"/>
      <c r="L2680" s="50"/>
      <c r="M2680" s="30"/>
      <c r="N2680" s="30"/>
      <c r="O2680" s="30"/>
      <c r="P2680" s="30"/>
      <c r="Q2680" s="30"/>
      <c r="R2680" s="30"/>
      <c r="S2680" s="30"/>
      <c r="T2680" s="30"/>
      <c r="U2680" s="30"/>
      <c r="V2680" s="30"/>
      <c r="W2680" s="30"/>
      <c r="X2680" s="30"/>
      <c r="Y2680" s="30"/>
      <c r="Z2680" s="30"/>
      <c r="AA2680" s="30"/>
      <c r="AB2680" s="30"/>
      <c r="AC2680" s="30"/>
      <c r="AD2680" s="30"/>
      <c r="AE2680" s="30"/>
    </row>
    <row r="2681" spans="1:31" ht="13">
      <c r="A2681" s="30"/>
      <c r="B2681" s="30"/>
      <c r="C2681" s="30"/>
      <c r="D2681" s="30"/>
      <c r="E2681" s="30"/>
      <c r="F2681" s="48"/>
      <c r="G2681" s="49"/>
      <c r="H2681" s="49"/>
      <c r="I2681" s="49"/>
      <c r="J2681" s="71"/>
      <c r="K2681" s="71"/>
      <c r="L2681" s="50"/>
      <c r="M2681" s="30"/>
      <c r="N2681" s="30"/>
      <c r="O2681" s="30"/>
      <c r="P2681" s="30"/>
      <c r="Q2681" s="30"/>
      <c r="R2681" s="30"/>
      <c r="S2681" s="30"/>
      <c r="T2681" s="30"/>
      <c r="U2681" s="30"/>
      <c r="V2681" s="30"/>
      <c r="W2681" s="30"/>
      <c r="X2681" s="30"/>
      <c r="Y2681" s="30"/>
      <c r="Z2681" s="30"/>
      <c r="AA2681" s="30"/>
      <c r="AB2681" s="30"/>
      <c r="AC2681" s="30"/>
      <c r="AD2681" s="30"/>
      <c r="AE2681" s="30"/>
    </row>
    <row r="2682" spans="1:31" ht="13">
      <c r="A2682" s="30"/>
      <c r="B2682" s="30"/>
      <c r="C2682" s="30"/>
      <c r="D2682" s="30"/>
      <c r="E2682" s="30"/>
      <c r="F2682" s="48"/>
      <c r="G2682" s="49"/>
      <c r="H2682" s="49"/>
      <c r="I2682" s="49"/>
      <c r="J2682" s="71"/>
      <c r="K2682" s="71"/>
      <c r="L2682" s="50"/>
      <c r="M2682" s="30"/>
      <c r="N2682" s="30"/>
      <c r="O2682" s="30"/>
      <c r="P2682" s="30"/>
      <c r="Q2682" s="30"/>
      <c r="R2682" s="30"/>
      <c r="S2682" s="30"/>
      <c r="T2682" s="30"/>
      <c r="U2682" s="30"/>
      <c r="V2682" s="30"/>
      <c r="W2682" s="30"/>
      <c r="X2682" s="30"/>
      <c r="Y2682" s="30"/>
      <c r="Z2682" s="30"/>
      <c r="AA2682" s="30"/>
      <c r="AB2682" s="30"/>
      <c r="AC2682" s="30"/>
      <c r="AD2682" s="30"/>
      <c r="AE2682" s="30"/>
    </row>
    <row r="2683" spans="1:31" ht="13">
      <c r="A2683" s="30"/>
      <c r="B2683" s="30"/>
      <c r="C2683" s="30"/>
      <c r="D2683" s="30"/>
      <c r="E2683" s="30"/>
      <c r="F2683" s="48"/>
      <c r="G2683" s="49"/>
      <c r="H2683" s="49"/>
      <c r="I2683" s="49"/>
      <c r="J2683" s="71"/>
      <c r="K2683" s="71"/>
      <c r="L2683" s="50"/>
      <c r="M2683" s="30"/>
      <c r="N2683" s="30"/>
      <c r="O2683" s="30"/>
      <c r="P2683" s="30"/>
      <c r="Q2683" s="30"/>
      <c r="R2683" s="30"/>
      <c r="S2683" s="30"/>
      <c r="T2683" s="30"/>
      <c r="U2683" s="30"/>
      <c r="V2683" s="30"/>
      <c r="W2683" s="30"/>
      <c r="X2683" s="30"/>
      <c r="Y2683" s="30"/>
      <c r="Z2683" s="30"/>
      <c r="AA2683" s="30"/>
      <c r="AB2683" s="30"/>
      <c r="AC2683" s="30"/>
      <c r="AD2683" s="30"/>
      <c r="AE2683" s="30"/>
    </row>
    <row r="2684" spans="1:31" ht="13">
      <c r="A2684" s="30"/>
      <c r="B2684" s="30"/>
      <c r="C2684" s="30"/>
      <c r="D2684" s="30"/>
      <c r="E2684" s="30"/>
      <c r="F2684" s="48"/>
      <c r="G2684" s="49"/>
      <c r="H2684" s="49"/>
      <c r="I2684" s="49"/>
      <c r="J2684" s="71"/>
      <c r="K2684" s="71"/>
      <c r="L2684" s="50"/>
      <c r="M2684" s="30"/>
      <c r="N2684" s="30"/>
      <c r="O2684" s="30"/>
      <c r="P2684" s="30"/>
      <c r="Q2684" s="30"/>
      <c r="R2684" s="30"/>
      <c r="S2684" s="30"/>
      <c r="T2684" s="30"/>
      <c r="U2684" s="30"/>
      <c r="V2684" s="30"/>
      <c r="W2684" s="30"/>
      <c r="X2684" s="30"/>
      <c r="Y2684" s="30"/>
      <c r="Z2684" s="30"/>
      <c r="AA2684" s="30"/>
      <c r="AB2684" s="30"/>
      <c r="AC2684" s="30"/>
      <c r="AD2684" s="30"/>
      <c r="AE2684" s="30"/>
    </row>
    <row r="2685" spans="1:31" ht="13">
      <c r="A2685" s="30"/>
      <c r="B2685" s="30"/>
      <c r="C2685" s="30"/>
      <c r="D2685" s="30"/>
      <c r="E2685" s="30"/>
      <c r="F2685" s="48"/>
      <c r="G2685" s="49"/>
      <c r="H2685" s="49"/>
      <c r="I2685" s="49"/>
      <c r="J2685" s="71"/>
      <c r="K2685" s="71"/>
      <c r="L2685" s="50"/>
      <c r="M2685" s="30"/>
      <c r="N2685" s="30"/>
      <c r="O2685" s="30"/>
      <c r="P2685" s="30"/>
      <c r="Q2685" s="30"/>
      <c r="R2685" s="30"/>
      <c r="S2685" s="30"/>
      <c r="T2685" s="30"/>
      <c r="U2685" s="30"/>
      <c r="V2685" s="30"/>
      <c r="W2685" s="30"/>
      <c r="X2685" s="30"/>
      <c r="Y2685" s="30"/>
      <c r="Z2685" s="30"/>
      <c r="AA2685" s="30"/>
      <c r="AB2685" s="30"/>
      <c r="AC2685" s="30"/>
      <c r="AD2685" s="30"/>
      <c r="AE2685" s="30"/>
    </row>
    <row r="2686" spans="1:31" ht="13">
      <c r="A2686" s="30"/>
      <c r="B2686" s="30"/>
      <c r="C2686" s="30"/>
      <c r="D2686" s="30"/>
      <c r="E2686" s="30"/>
      <c r="F2686" s="48"/>
      <c r="G2686" s="49"/>
      <c r="H2686" s="49"/>
      <c r="I2686" s="49"/>
      <c r="J2686" s="71"/>
      <c r="K2686" s="71"/>
      <c r="L2686" s="50"/>
      <c r="M2686" s="30"/>
      <c r="N2686" s="30"/>
      <c r="O2686" s="30"/>
      <c r="P2686" s="30"/>
      <c r="Q2686" s="30"/>
      <c r="R2686" s="30"/>
      <c r="S2686" s="30"/>
      <c r="T2686" s="30"/>
      <c r="U2686" s="30"/>
      <c r="V2686" s="30"/>
      <c r="W2686" s="30"/>
      <c r="X2686" s="30"/>
      <c r="Y2686" s="30"/>
      <c r="Z2686" s="30"/>
      <c r="AA2686" s="30"/>
      <c r="AB2686" s="30"/>
      <c r="AC2686" s="30"/>
      <c r="AD2686" s="30"/>
      <c r="AE2686" s="30"/>
    </row>
    <row r="2687" spans="1:31" ht="13">
      <c r="A2687" s="30"/>
      <c r="B2687" s="30"/>
      <c r="C2687" s="30"/>
      <c r="D2687" s="30"/>
      <c r="E2687" s="30"/>
      <c r="F2687" s="48"/>
      <c r="G2687" s="49"/>
      <c r="H2687" s="49"/>
      <c r="I2687" s="49"/>
      <c r="J2687" s="71"/>
      <c r="K2687" s="71"/>
      <c r="L2687" s="50"/>
      <c r="M2687" s="30"/>
      <c r="N2687" s="30"/>
      <c r="O2687" s="30"/>
      <c r="P2687" s="30"/>
      <c r="Q2687" s="30"/>
      <c r="R2687" s="30"/>
      <c r="S2687" s="30"/>
      <c r="T2687" s="30"/>
      <c r="U2687" s="30"/>
      <c r="V2687" s="30"/>
      <c r="W2687" s="30"/>
      <c r="X2687" s="30"/>
      <c r="Y2687" s="30"/>
      <c r="Z2687" s="30"/>
      <c r="AA2687" s="30"/>
      <c r="AB2687" s="30"/>
      <c r="AC2687" s="30"/>
      <c r="AD2687" s="30"/>
      <c r="AE2687" s="30"/>
    </row>
    <row r="2688" spans="1:31" ht="13">
      <c r="A2688" s="30"/>
      <c r="B2688" s="30"/>
      <c r="C2688" s="30"/>
      <c r="D2688" s="30"/>
      <c r="E2688" s="30"/>
      <c r="F2688" s="48"/>
      <c r="G2688" s="49"/>
      <c r="H2688" s="49"/>
      <c r="I2688" s="49"/>
      <c r="J2688" s="71"/>
      <c r="K2688" s="71"/>
      <c r="L2688" s="50"/>
      <c r="M2688" s="30"/>
      <c r="N2688" s="30"/>
      <c r="O2688" s="30"/>
      <c r="P2688" s="30"/>
      <c r="Q2688" s="30"/>
      <c r="R2688" s="30"/>
      <c r="S2688" s="30"/>
      <c r="T2688" s="30"/>
      <c r="U2688" s="30"/>
      <c r="V2688" s="30"/>
      <c r="W2688" s="30"/>
      <c r="X2688" s="30"/>
      <c r="Y2688" s="30"/>
      <c r="Z2688" s="30"/>
      <c r="AA2688" s="30"/>
      <c r="AB2688" s="30"/>
      <c r="AC2688" s="30"/>
      <c r="AD2688" s="30"/>
      <c r="AE2688" s="30"/>
    </row>
    <row r="2689" spans="1:31" ht="13">
      <c r="A2689" s="30"/>
      <c r="B2689" s="30"/>
      <c r="C2689" s="30"/>
      <c r="D2689" s="30"/>
      <c r="E2689" s="30"/>
      <c r="F2689" s="48"/>
      <c r="G2689" s="49"/>
      <c r="H2689" s="49"/>
      <c r="I2689" s="49"/>
      <c r="J2689" s="71"/>
      <c r="K2689" s="71"/>
      <c r="L2689" s="50"/>
      <c r="M2689" s="30"/>
      <c r="N2689" s="30"/>
      <c r="O2689" s="30"/>
      <c r="P2689" s="30"/>
      <c r="Q2689" s="30"/>
      <c r="R2689" s="30"/>
      <c r="S2689" s="30"/>
      <c r="T2689" s="30"/>
      <c r="U2689" s="30"/>
      <c r="V2689" s="30"/>
      <c r="W2689" s="30"/>
      <c r="X2689" s="30"/>
      <c r="Y2689" s="30"/>
      <c r="Z2689" s="30"/>
      <c r="AA2689" s="30"/>
      <c r="AB2689" s="30"/>
      <c r="AC2689" s="30"/>
      <c r="AD2689" s="30"/>
      <c r="AE2689" s="30"/>
    </row>
    <row r="2690" spans="1:31" ht="13">
      <c r="A2690" s="30"/>
      <c r="B2690" s="30"/>
      <c r="C2690" s="30"/>
      <c r="D2690" s="30"/>
      <c r="E2690" s="30"/>
      <c r="F2690" s="48"/>
      <c r="G2690" s="49"/>
      <c r="H2690" s="49"/>
      <c r="I2690" s="49"/>
      <c r="J2690" s="71"/>
      <c r="K2690" s="71"/>
      <c r="L2690" s="50"/>
      <c r="M2690" s="30"/>
      <c r="N2690" s="30"/>
      <c r="O2690" s="30"/>
      <c r="P2690" s="30"/>
      <c r="Q2690" s="30"/>
      <c r="R2690" s="30"/>
      <c r="S2690" s="30"/>
      <c r="T2690" s="30"/>
      <c r="U2690" s="30"/>
      <c r="V2690" s="30"/>
      <c r="W2690" s="30"/>
      <c r="X2690" s="30"/>
      <c r="Y2690" s="30"/>
      <c r="Z2690" s="30"/>
      <c r="AA2690" s="30"/>
      <c r="AB2690" s="30"/>
      <c r="AC2690" s="30"/>
      <c r="AD2690" s="30"/>
      <c r="AE2690" s="30"/>
    </row>
    <row r="2691" spans="1:31" ht="13">
      <c r="A2691" s="30"/>
      <c r="B2691" s="30"/>
      <c r="C2691" s="30"/>
      <c r="D2691" s="30"/>
      <c r="E2691" s="30"/>
      <c r="F2691" s="48"/>
      <c r="G2691" s="49"/>
      <c r="H2691" s="49"/>
      <c r="I2691" s="49"/>
      <c r="J2691" s="71"/>
      <c r="K2691" s="71"/>
      <c r="L2691" s="50"/>
      <c r="M2691" s="30"/>
      <c r="N2691" s="30"/>
      <c r="O2691" s="30"/>
      <c r="P2691" s="30"/>
      <c r="Q2691" s="30"/>
      <c r="R2691" s="30"/>
      <c r="S2691" s="30"/>
      <c r="T2691" s="30"/>
      <c r="U2691" s="30"/>
      <c r="V2691" s="30"/>
      <c r="W2691" s="30"/>
      <c r="X2691" s="30"/>
      <c r="Y2691" s="30"/>
      <c r="Z2691" s="30"/>
      <c r="AA2691" s="30"/>
      <c r="AB2691" s="30"/>
      <c r="AC2691" s="30"/>
      <c r="AD2691" s="30"/>
      <c r="AE2691" s="30"/>
    </row>
    <row r="2692" spans="1:31" ht="13">
      <c r="A2692" s="30"/>
      <c r="B2692" s="30"/>
      <c r="C2692" s="30"/>
      <c r="D2692" s="30"/>
      <c r="E2692" s="30"/>
      <c r="F2692" s="48"/>
      <c r="G2692" s="49"/>
      <c r="H2692" s="49"/>
      <c r="I2692" s="49"/>
      <c r="J2692" s="71"/>
      <c r="K2692" s="71"/>
      <c r="L2692" s="50"/>
      <c r="M2692" s="30"/>
      <c r="N2692" s="30"/>
      <c r="O2692" s="30"/>
      <c r="P2692" s="30"/>
      <c r="Q2692" s="30"/>
      <c r="R2692" s="30"/>
      <c r="S2692" s="30"/>
      <c r="T2692" s="30"/>
      <c r="U2692" s="30"/>
      <c r="V2692" s="30"/>
      <c r="W2692" s="30"/>
      <c r="X2692" s="30"/>
      <c r="Y2692" s="30"/>
      <c r="Z2692" s="30"/>
      <c r="AA2692" s="30"/>
      <c r="AB2692" s="30"/>
      <c r="AC2692" s="30"/>
      <c r="AD2692" s="30"/>
      <c r="AE2692" s="30"/>
    </row>
    <row r="2693" spans="1:31" ht="13">
      <c r="A2693" s="30"/>
      <c r="B2693" s="30"/>
      <c r="C2693" s="30"/>
      <c r="D2693" s="30"/>
      <c r="E2693" s="30"/>
      <c r="F2693" s="48"/>
      <c r="G2693" s="49"/>
      <c r="H2693" s="49"/>
      <c r="I2693" s="49"/>
      <c r="J2693" s="71"/>
      <c r="K2693" s="71"/>
      <c r="L2693" s="50"/>
      <c r="M2693" s="30"/>
      <c r="N2693" s="30"/>
      <c r="O2693" s="30"/>
      <c r="P2693" s="30"/>
      <c r="Q2693" s="30"/>
      <c r="R2693" s="30"/>
      <c r="S2693" s="30"/>
      <c r="T2693" s="30"/>
      <c r="U2693" s="30"/>
      <c r="V2693" s="30"/>
      <c r="W2693" s="30"/>
      <c r="X2693" s="30"/>
      <c r="Y2693" s="30"/>
      <c r="Z2693" s="30"/>
      <c r="AA2693" s="30"/>
      <c r="AB2693" s="30"/>
      <c r="AC2693" s="30"/>
      <c r="AD2693" s="30"/>
      <c r="AE2693" s="30"/>
    </row>
    <row r="2694" spans="1:31" ht="13">
      <c r="A2694" s="30"/>
      <c r="B2694" s="30"/>
      <c r="C2694" s="30"/>
      <c r="D2694" s="30"/>
      <c r="E2694" s="30"/>
      <c r="F2694" s="48"/>
      <c r="G2694" s="49"/>
      <c r="H2694" s="49"/>
      <c r="I2694" s="49"/>
      <c r="J2694" s="71"/>
      <c r="K2694" s="71"/>
      <c r="L2694" s="50"/>
      <c r="M2694" s="30"/>
      <c r="N2694" s="30"/>
      <c r="O2694" s="30"/>
      <c r="P2694" s="30"/>
      <c r="Q2694" s="30"/>
      <c r="R2694" s="30"/>
      <c r="S2694" s="30"/>
      <c r="T2694" s="30"/>
      <c r="U2694" s="30"/>
      <c r="V2694" s="30"/>
      <c r="W2694" s="30"/>
      <c r="X2694" s="30"/>
      <c r="Y2694" s="30"/>
      <c r="Z2694" s="30"/>
      <c r="AA2694" s="30"/>
      <c r="AB2694" s="30"/>
      <c r="AC2694" s="30"/>
      <c r="AD2694" s="30"/>
      <c r="AE2694" s="30"/>
    </row>
    <row r="2695" spans="1:31" ht="13">
      <c r="A2695" s="30"/>
      <c r="B2695" s="30"/>
      <c r="C2695" s="30"/>
      <c r="D2695" s="30"/>
      <c r="E2695" s="30"/>
      <c r="F2695" s="48"/>
      <c r="G2695" s="49"/>
      <c r="H2695" s="49"/>
      <c r="I2695" s="49"/>
      <c r="J2695" s="71"/>
      <c r="K2695" s="71"/>
      <c r="L2695" s="50"/>
      <c r="M2695" s="30"/>
      <c r="N2695" s="30"/>
      <c r="O2695" s="30"/>
      <c r="P2695" s="30"/>
      <c r="Q2695" s="30"/>
      <c r="R2695" s="30"/>
      <c r="S2695" s="30"/>
      <c r="T2695" s="30"/>
      <c r="U2695" s="30"/>
      <c r="V2695" s="30"/>
      <c r="W2695" s="30"/>
      <c r="X2695" s="30"/>
      <c r="Y2695" s="30"/>
      <c r="Z2695" s="30"/>
      <c r="AA2695" s="30"/>
      <c r="AB2695" s="30"/>
      <c r="AC2695" s="30"/>
      <c r="AD2695" s="30"/>
      <c r="AE2695" s="30"/>
    </row>
    <row r="2696" spans="1:31" ht="13">
      <c r="A2696" s="30"/>
      <c r="B2696" s="30"/>
      <c r="C2696" s="30"/>
      <c r="D2696" s="30"/>
      <c r="E2696" s="30"/>
      <c r="F2696" s="48"/>
      <c r="G2696" s="49"/>
      <c r="H2696" s="49"/>
      <c r="I2696" s="49"/>
      <c r="J2696" s="71"/>
      <c r="K2696" s="71"/>
      <c r="L2696" s="50"/>
      <c r="M2696" s="30"/>
      <c r="N2696" s="30"/>
      <c r="O2696" s="30"/>
      <c r="P2696" s="30"/>
      <c r="Q2696" s="30"/>
      <c r="R2696" s="30"/>
      <c r="S2696" s="30"/>
      <c r="T2696" s="30"/>
      <c r="U2696" s="30"/>
      <c r="V2696" s="30"/>
      <c r="W2696" s="30"/>
      <c r="X2696" s="30"/>
      <c r="Y2696" s="30"/>
      <c r="Z2696" s="30"/>
      <c r="AA2696" s="30"/>
      <c r="AB2696" s="30"/>
      <c r="AC2696" s="30"/>
      <c r="AD2696" s="30"/>
      <c r="AE2696" s="30"/>
    </row>
    <row r="2697" spans="1:31" ht="13">
      <c r="A2697" s="30"/>
      <c r="B2697" s="30"/>
      <c r="C2697" s="30"/>
      <c r="D2697" s="30"/>
      <c r="E2697" s="30"/>
      <c r="F2697" s="48"/>
      <c r="G2697" s="49"/>
      <c r="H2697" s="49"/>
      <c r="I2697" s="49"/>
      <c r="J2697" s="71"/>
      <c r="K2697" s="71"/>
      <c r="L2697" s="50"/>
      <c r="M2697" s="30"/>
      <c r="N2697" s="30"/>
      <c r="O2697" s="30"/>
      <c r="P2697" s="30"/>
      <c r="Q2697" s="30"/>
      <c r="R2697" s="30"/>
      <c r="S2697" s="30"/>
      <c r="T2697" s="30"/>
      <c r="U2697" s="30"/>
      <c r="V2697" s="30"/>
      <c r="W2697" s="30"/>
      <c r="X2697" s="30"/>
      <c r="Y2697" s="30"/>
      <c r="Z2697" s="30"/>
      <c r="AA2697" s="30"/>
      <c r="AB2697" s="30"/>
      <c r="AC2697" s="30"/>
      <c r="AD2697" s="30"/>
      <c r="AE2697" s="30"/>
    </row>
    <row r="2698" spans="1:31" ht="13">
      <c r="A2698" s="30"/>
      <c r="B2698" s="30"/>
      <c r="C2698" s="30"/>
      <c r="D2698" s="30"/>
      <c r="E2698" s="30"/>
      <c r="F2698" s="48"/>
      <c r="G2698" s="49"/>
      <c r="H2698" s="49"/>
      <c r="I2698" s="49"/>
      <c r="J2698" s="71"/>
      <c r="K2698" s="71"/>
      <c r="L2698" s="50"/>
      <c r="M2698" s="30"/>
      <c r="N2698" s="30"/>
      <c r="O2698" s="30"/>
      <c r="P2698" s="30"/>
      <c r="Q2698" s="30"/>
      <c r="R2698" s="30"/>
      <c r="S2698" s="30"/>
      <c r="T2698" s="30"/>
      <c r="U2698" s="30"/>
      <c r="V2698" s="30"/>
      <c r="W2698" s="30"/>
      <c r="X2698" s="30"/>
      <c r="Y2698" s="30"/>
      <c r="Z2698" s="30"/>
      <c r="AA2698" s="30"/>
      <c r="AB2698" s="30"/>
      <c r="AC2698" s="30"/>
      <c r="AD2698" s="30"/>
      <c r="AE2698" s="30"/>
    </row>
    <row r="2699" spans="1:31" ht="13">
      <c r="A2699" s="30"/>
      <c r="B2699" s="30"/>
      <c r="C2699" s="30"/>
      <c r="D2699" s="30"/>
      <c r="E2699" s="30"/>
      <c r="F2699" s="48"/>
      <c r="G2699" s="49"/>
      <c r="H2699" s="49"/>
      <c r="I2699" s="49"/>
      <c r="J2699" s="71"/>
      <c r="K2699" s="71"/>
      <c r="L2699" s="50"/>
      <c r="M2699" s="30"/>
      <c r="N2699" s="30"/>
      <c r="O2699" s="30"/>
      <c r="P2699" s="30"/>
      <c r="Q2699" s="30"/>
      <c r="R2699" s="30"/>
      <c r="S2699" s="30"/>
      <c r="T2699" s="30"/>
      <c r="U2699" s="30"/>
      <c r="V2699" s="30"/>
      <c r="W2699" s="30"/>
      <c r="X2699" s="30"/>
      <c r="Y2699" s="30"/>
      <c r="Z2699" s="30"/>
      <c r="AA2699" s="30"/>
      <c r="AB2699" s="30"/>
      <c r="AC2699" s="30"/>
      <c r="AD2699" s="30"/>
      <c r="AE2699" s="30"/>
    </row>
    <row r="2700" spans="1:31" ht="13">
      <c r="A2700" s="30"/>
      <c r="B2700" s="30"/>
      <c r="C2700" s="30"/>
      <c r="D2700" s="30"/>
      <c r="E2700" s="30"/>
      <c r="F2700" s="48"/>
      <c r="G2700" s="49"/>
      <c r="H2700" s="49"/>
      <c r="I2700" s="49"/>
      <c r="J2700" s="71"/>
      <c r="K2700" s="71"/>
      <c r="L2700" s="50"/>
      <c r="M2700" s="30"/>
      <c r="N2700" s="30"/>
      <c r="O2700" s="30"/>
      <c r="P2700" s="30"/>
      <c r="Q2700" s="30"/>
      <c r="R2700" s="30"/>
      <c r="S2700" s="30"/>
      <c r="T2700" s="30"/>
      <c r="U2700" s="30"/>
      <c r="V2700" s="30"/>
      <c r="W2700" s="30"/>
      <c r="X2700" s="30"/>
      <c r="Y2700" s="30"/>
      <c r="Z2700" s="30"/>
      <c r="AA2700" s="30"/>
      <c r="AB2700" s="30"/>
      <c r="AC2700" s="30"/>
      <c r="AD2700" s="30"/>
      <c r="AE2700" s="30"/>
    </row>
    <row r="2701" spans="1:31" ht="13">
      <c r="A2701" s="30"/>
      <c r="B2701" s="30"/>
      <c r="C2701" s="30"/>
      <c r="D2701" s="30"/>
      <c r="E2701" s="30"/>
      <c r="F2701" s="48"/>
      <c r="G2701" s="49"/>
      <c r="H2701" s="49"/>
      <c r="I2701" s="49"/>
      <c r="J2701" s="71"/>
      <c r="K2701" s="71"/>
      <c r="L2701" s="50"/>
      <c r="M2701" s="30"/>
      <c r="N2701" s="30"/>
      <c r="O2701" s="30"/>
      <c r="P2701" s="30"/>
      <c r="Q2701" s="30"/>
      <c r="R2701" s="30"/>
      <c r="S2701" s="30"/>
      <c r="T2701" s="30"/>
      <c r="U2701" s="30"/>
      <c r="V2701" s="30"/>
      <c r="W2701" s="30"/>
      <c r="X2701" s="30"/>
      <c r="Y2701" s="30"/>
      <c r="Z2701" s="30"/>
      <c r="AA2701" s="30"/>
      <c r="AB2701" s="30"/>
      <c r="AC2701" s="30"/>
      <c r="AD2701" s="30"/>
      <c r="AE2701" s="30"/>
    </row>
    <row r="2702" spans="1:31" ht="13">
      <c r="A2702" s="30"/>
      <c r="B2702" s="30"/>
      <c r="C2702" s="30"/>
      <c r="D2702" s="30"/>
      <c r="E2702" s="30"/>
      <c r="F2702" s="48"/>
      <c r="G2702" s="49"/>
      <c r="H2702" s="49"/>
      <c r="I2702" s="49"/>
      <c r="J2702" s="71"/>
      <c r="K2702" s="71"/>
      <c r="L2702" s="50"/>
      <c r="M2702" s="30"/>
      <c r="N2702" s="30"/>
      <c r="O2702" s="30"/>
      <c r="P2702" s="30"/>
      <c r="Q2702" s="30"/>
      <c r="R2702" s="30"/>
      <c r="S2702" s="30"/>
      <c r="T2702" s="30"/>
      <c r="U2702" s="30"/>
      <c r="V2702" s="30"/>
      <c r="W2702" s="30"/>
      <c r="X2702" s="30"/>
      <c r="Y2702" s="30"/>
      <c r="Z2702" s="30"/>
      <c r="AA2702" s="30"/>
      <c r="AB2702" s="30"/>
      <c r="AC2702" s="30"/>
      <c r="AD2702" s="30"/>
      <c r="AE2702" s="30"/>
    </row>
    <row r="2703" spans="1:31" ht="13">
      <c r="A2703" s="30"/>
      <c r="B2703" s="30"/>
      <c r="C2703" s="30"/>
      <c r="D2703" s="30"/>
      <c r="E2703" s="30"/>
      <c r="F2703" s="48"/>
      <c r="G2703" s="49"/>
      <c r="H2703" s="49"/>
      <c r="I2703" s="49"/>
      <c r="J2703" s="71"/>
      <c r="K2703" s="71"/>
      <c r="L2703" s="50"/>
      <c r="M2703" s="30"/>
      <c r="N2703" s="30"/>
      <c r="O2703" s="30"/>
      <c r="P2703" s="30"/>
      <c r="Q2703" s="30"/>
      <c r="R2703" s="30"/>
      <c r="S2703" s="30"/>
      <c r="T2703" s="30"/>
      <c r="U2703" s="30"/>
      <c r="V2703" s="30"/>
      <c r="W2703" s="30"/>
      <c r="X2703" s="30"/>
      <c r="Y2703" s="30"/>
      <c r="Z2703" s="30"/>
      <c r="AA2703" s="30"/>
      <c r="AB2703" s="30"/>
      <c r="AC2703" s="30"/>
      <c r="AD2703" s="30"/>
      <c r="AE2703" s="30"/>
    </row>
    <row r="2704" spans="1:31" ht="13">
      <c r="A2704" s="30"/>
      <c r="B2704" s="30"/>
      <c r="C2704" s="30"/>
      <c r="D2704" s="30"/>
      <c r="E2704" s="30"/>
      <c r="F2704" s="48"/>
      <c r="G2704" s="49"/>
      <c r="H2704" s="49"/>
      <c r="I2704" s="49"/>
      <c r="J2704" s="71"/>
      <c r="K2704" s="71"/>
      <c r="L2704" s="50"/>
      <c r="M2704" s="30"/>
      <c r="N2704" s="30"/>
      <c r="O2704" s="30"/>
      <c r="P2704" s="30"/>
      <c r="Q2704" s="30"/>
      <c r="R2704" s="30"/>
      <c r="S2704" s="30"/>
      <c r="T2704" s="30"/>
      <c r="U2704" s="30"/>
      <c r="V2704" s="30"/>
      <c r="W2704" s="30"/>
      <c r="X2704" s="30"/>
      <c r="Y2704" s="30"/>
      <c r="Z2704" s="30"/>
      <c r="AA2704" s="30"/>
      <c r="AB2704" s="30"/>
      <c r="AC2704" s="30"/>
      <c r="AD2704" s="30"/>
      <c r="AE2704" s="30"/>
    </row>
    <row r="2705" spans="1:31" ht="13">
      <c r="A2705" s="30"/>
      <c r="B2705" s="30"/>
      <c r="C2705" s="30"/>
      <c r="D2705" s="30"/>
      <c r="E2705" s="30"/>
      <c r="F2705" s="48"/>
      <c r="G2705" s="49"/>
      <c r="H2705" s="49"/>
      <c r="I2705" s="49"/>
      <c r="J2705" s="71"/>
      <c r="K2705" s="71"/>
      <c r="L2705" s="50"/>
      <c r="M2705" s="30"/>
      <c r="N2705" s="30"/>
      <c r="O2705" s="30"/>
      <c r="P2705" s="30"/>
      <c r="Q2705" s="30"/>
      <c r="R2705" s="30"/>
      <c r="S2705" s="30"/>
      <c r="T2705" s="30"/>
      <c r="U2705" s="30"/>
      <c r="V2705" s="30"/>
      <c r="W2705" s="30"/>
      <c r="X2705" s="30"/>
      <c r="Y2705" s="30"/>
      <c r="Z2705" s="30"/>
      <c r="AA2705" s="30"/>
      <c r="AB2705" s="30"/>
      <c r="AC2705" s="30"/>
      <c r="AD2705" s="30"/>
      <c r="AE2705" s="30"/>
    </row>
    <row r="2706" spans="1:31" ht="13">
      <c r="A2706" s="30"/>
      <c r="B2706" s="30"/>
      <c r="C2706" s="30"/>
      <c r="D2706" s="30"/>
      <c r="E2706" s="30"/>
      <c r="F2706" s="48"/>
      <c r="G2706" s="49"/>
      <c r="H2706" s="49"/>
      <c r="I2706" s="49"/>
      <c r="J2706" s="71"/>
      <c r="K2706" s="71"/>
      <c r="L2706" s="50"/>
      <c r="M2706" s="30"/>
      <c r="N2706" s="30"/>
      <c r="O2706" s="30"/>
      <c r="P2706" s="30"/>
      <c r="Q2706" s="30"/>
      <c r="R2706" s="30"/>
      <c r="S2706" s="30"/>
      <c r="T2706" s="30"/>
      <c r="U2706" s="30"/>
      <c r="V2706" s="30"/>
      <c r="W2706" s="30"/>
      <c r="X2706" s="30"/>
      <c r="Y2706" s="30"/>
      <c r="Z2706" s="30"/>
      <c r="AA2706" s="30"/>
      <c r="AB2706" s="30"/>
      <c r="AC2706" s="30"/>
      <c r="AD2706" s="30"/>
      <c r="AE2706" s="30"/>
    </row>
    <row r="2707" spans="1:31" ht="13">
      <c r="A2707" s="30"/>
      <c r="B2707" s="30"/>
      <c r="C2707" s="30"/>
      <c r="D2707" s="30"/>
      <c r="E2707" s="30"/>
      <c r="F2707" s="48"/>
      <c r="G2707" s="49"/>
      <c r="H2707" s="49"/>
      <c r="I2707" s="49"/>
      <c r="J2707" s="71"/>
      <c r="K2707" s="71"/>
      <c r="L2707" s="50"/>
      <c r="M2707" s="30"/>
      <c r="N2707" s="30"/>
      <c r="O2707" s="30"/>
      <c r="P2707" s="30"/>
      <c r="Q2707" s="30"/>
      <c r="R2707" s="30"/>
      <c r="S2707" s="30"/>
      <c r="T2707" s="30"/>
      <c r="U2707" s="30"/>
      <c r="V2707" s="30"/>
      <c r="W2707" s="30"/>
      <c r="X2707" s="30"/>
      <c r="Y2707" s="30"/>
      <c r="Z2707" s="30"/>
      <c r="AA2707" s="30"/>
      <c r="AB2707" s="30"/>
      <c r="AC2707" s="30"/>
      <c r="AD2707" s="30"/>
      <c r="AE2707" s="30"/>
    </row>
    <row r="2708" spans="1:31" ht="13">
      <c r="A2708" s="30"/>
      <c r="B2708" s="30"/>
      <c r="C2708" s="30"/>
      <c r="D2708" s="30"/>
      <c r="E2708" s="30"/>
      <c r="F2708" s="48"/>
      <c r="G2708" s="49"/>
      <c r="H2708" s="49"/>
      <c r="I2708" s="49"/>
      <c r="J2708" s="71"/>
      <c r="K2708" s="71"/>
      <c r="L2708" s="50"/>
      <c r="M2708" s="30"/>
      <c r="N2708" s="30"/>
      <c r="O2708" s="30"/>
      <c r="P2708" s="30"/>
      <c r="Q2708" s="30"/>
      <c r="R2708" s="30"/>
      <c r="S2708" s="30"/>
      <c r="T2708" s="30"/>
      <c r="U2708" s="30"/>
      <c r="V2708" s="30"/>
      <c r="W2708" s="30"/>
      <c r="X2708" s="30"/>
      <c r="Y2708" s="30"/>
      <c r="Z2708" s="30"/>
      <c r="AA2708" s="30"/>
      <c r="AB2708" s="30"/>
      <c r="AC2708" s="30"/>
      <c r="AD2708" s="30"/>
      <c r="AE2708" s="30"/>
    </row>
    <row r="2709" spans="1:31" ht="13">
      <c r="A2709" s="30"/>
      <c r="B2709" s="30"/>
      <c r="C2709" s="30"/>
      <c r="D2709" s="30"/>
      <c r="E2709" s="30"/>
      <c r="F2709" s="48"/>
      <c r="G2709" s="49"/>
      <c r="H2709" s="49"/>
      <c r="I2709" s="49"/>
      <c r="J2709" s="71"/>
      <c r="K2709" s="71"/>
      <c r="L2709" s="50"/>
      <c r="M2709" s="30"/>
      <c r="N2709" s="30"/>
      <c r="O2709" s="30"/>
      <c r="P2709" s="30"/>
      <c r="Q2709" s="30"/>
      <c r="R2709" s="30"/>
      <c r="S2709" s="30"/>
      <c r="T2709" s="30"/>
      <c r="U2709" s="30"/>
      <c r="V2709" s="30"/>
      <c r="W2709" s="30"/>
      <c r="X2709" s="30"/>
      <c r="Y2709" s="30"/>
      <c r="Z2709" s="30"/>
      <c r="AA2709" s="30"/>
      <c r="AB2709" s="30"/>
      <c r="AC2709" s="30"/>
      <c r="AD2709" s="30"/>
      <c r="AE2709" s="30"/>
    </row>
    <row r="2710" spans="1:31" ht="13">
      <c r="A2710" s="30"/>
      <c r="B2710" s="30"/>
      <c r="C2710" s="30"/>
      <c r="D2710" s="30"/>
      <c r="E2710" s="30"/>
      <c r="F2710" s="48"/>
      <c r="G2710" s="49"/>
      <c r="H2710" s="49"/>
      <c r="I2710" s="49"/>
      <c r="J2710" s="71"/>
      <c r="K2710" s="71"/>
      <c r="L2710" s="50"/>
      <c r="M2710" s="30"/>
      <c r="N2710" s="30"/>
      <c r="O2710" s="30"/>
      <c r="P2710" s="30"/>
      <c r="Q2710" s="30"/>
      <c r="R2710" s="30"/>
      <c r="S2710" s="30"/>
      <c r="T2710" s="30"/>
      <c r="U2710" s="30"/>
      <c r="V2710" s="30"/>
      <c r="W2710" s="30"/>
      <c r="X2710" s="30"/>
      <c r="Y2710" s="30"/>
      <c r="Z2710" s="30"/>
      <c r="AA2710" s="30"/>
      <c r="AB2710" s="30"/>
      <c r="AC2710" s="30"/>
      <c r="AD2710" s="30"/>
      <c r="AE2710" s="30"/>
    </row>
    <row r="2711" spans="1:31" ht="13">
      <c r="A2711" s="30"/>
      <c r="B2711" s="30"/>
      <c r="C2711" s="30"/>
      <c r="D2711" s="30"/>
      <c r="E2711" s="30"/>
      <c r="F2711" s="48"/>
      <c r="G2711" s="49"/>
      <c r="H2711" s="49"/>
      <c r="I2711" s="49"/>
      <c r="J2711" s="71"/>
      <c r="K2711" s="71"/>
      <c r="L2711" s="50"/>
      <c r="M2711" s="30"/>
      <c r="N2711" s="30"/>
      <c r="O2711" s="30"/>
      <c r="P2711" s="30"/>
      <c r="Q2711" s="30"/>
      <c r="R2711" s="30"/>
      <c r="S2711" s="30"/>
      <c r="T2711" s="30"/>
      <c r="U2711" s="30"/>
      <c r="V2711" s="30"/>
      <c r="W2711" s="30"/>
      <c r="X2711" s="30"/>
      <c r="Y2711" s="30"/>
      <c r="Z2711" s="30"/>
      <c r="AA2711" s="30"/>
      <c r="AB2711" s="30"/>
      <c r="AC2711" s="30"/>
      <c r="AD2711" s="30"/>
      <c r="AE2711" s="30"/>
    </row>
    <row r="2712" spans="1:31" ht="13">
      <c r="A2712" s="30"/>
      <c r="B2712" s="30"/>
      <c r="C2712" s="30"/>
      <c r="D2712" s="30"/>
      <c r="E2712" s="30"/>
      <c r="F2712" s="48"/>
      <c r="G2712" s="49"/>
      <c r="H2712" s="49"/>
      <c r="I2712" s="49"/>
      <c r="J2712" s="71"/>
      <c r="K2712" s="71"/>
      <c r="L2712" s="50"/>
      <c r="M2712" s="30"/>
      <c r="N2712" s="30"/>
      <c r="O2712" s="30"/>
      <c r="P2712" s="30"/>
      <c r="Q2712" s="30"/>
      <c r="R2712" s="30"/>
      <c r="S2712" s="30"/>
      <c r="T2712" s="30"/>
      <c r="U2712" s="30"/>
      <c r="V2712" s="30"/>
      <c r="W2712" s="30"/>
      <c r="X2712" s="30"/>
      <c r="Y2712" s="30"/>
      <c r="Z2712" s="30"/>
      <c r="AA2712" s="30"/>
      <c r="AB2712" s="30"/>
      <c r="AC2712" s="30"/>
      <c r="AD2712" s="30"/>
      <c r="AE2712" s="30"/>
    </row>
    <row r="2713" spans="1:31" ht="13">
      <c r="A2713" s="30"/>
      <c r="B2713" s="30"/>
      <c r="C2713" s="30"/>
      <c r="D2713" s="30"/>
      <c r="E2713" s="30"/>
      <c r="F2713" s="48"/>
      <c r="G2713" s="49"/>
      <c r="H2713" s="49"/>
      <c r="I2713" s="49"/>
      <c r="J2713" s="71"/>
      <c r="K2713" s="71"/>
      <c r="L2713" s="50"/>
      <c r="M2713" s="30"/>
      <c r="N2713" s="30"/>
      <c r="O2713" s="30"/>
      <c r="P2713" s="30"/>
      <c r="Q2713" s="30"/>
      <c r="R2713" s="30"/>
      <c r="S2713" s="30"/>
      <c r="T2713" s="30"/>
      <c r="U2713" s="30"/>
      <c r="V2713" s="30"/>
      <c r="W2713" s="30"/>
      <c r="X2713" s="30"/>
      <c r="Y2713" s="30"/>
      <c r="Z2713" s="30"/>
      <c r="AA2713" s="30"/>
      <c r="AB2713" s="30"/>
      <c r="AC2713" s="30"/>
      <c r="AD2713" s="30"/>
      <c r="AE2713" s="30"/>
    </row>
    <row r="2714" spans="1:31" ht="13">
      <c r="A2714" s="30"/>
      <c r="B2714" s="30"/>
      <c r="C2714" s="30"/>
      <c r="D2714" s="30"/>
      <c r="E2714" s="30"/>
      <c r="F2714" s="48"/>
      <c r="G2714" s="49"/>
      <c r="H2714" s="49"/>
      <c r="I2714" s="49"/>
      <c r="J2714" s="71"/>
      <c r="K2714" s="71"/>
      <c r="L2714" s="50"/>
      <c r="M2714" s="30"/>
      <c r="N2714" s="30"/>
      <c r="O2714" s="30"/>
      <c r="P2714" s="30"/>
      <c r="Q2714" s="30"/>
      <c r="R2714" s="30"/>
      <c r="S2714" s="30"/>
      <c r="T2714" s="30"/>
      <c r="U2714" s="30"/>
      <c r="V2714" s="30"/>
      <c r="W2714" s="30"/>
      <c r="X2714" s="30"/>
      <c r="Y2714" s="30"/>
      <c r="Z2714" s="30"/>
      <c r="AA2714" s="30"/>
      <c r="AB2714" s="30"/>
      <c r="AC2714" s="30"/>
      <c r="AD2714" s="30"/>
      <c r="AE2714" s="30"/>
    </row>
    <row r="2715" spans="1:31" ht="13">
      <c r="A2715" s="30"/>
      <c r="B2715" s="30"/>
      <c r="C2715" s="30"/>
      <c r="D2715" s="30"/>
      <c r="E2715" s="30"/>
      <c r="F2715" s="48"/>
      <c r="G2715" s="49"/>
      <c r="H2715" s="49"/>
      <c r="I2715" s="49"/>
      <c r="J2715" s="71"/>
      <c r="K2715" s="71"/>
      <c r="L2715" s="50"/>
      <c r="M2715" s="30"/>
      <c r="N2715" s="30"/>
      <c r="O2715" s="30"/>
      <c r="P2715" s="30"/>
      <c r="Q2715" s="30"/>
      <c r="R2715" s="30"/>
      <c r="S2715" s="30"/>
      <c r="T2715" s="30"/>
      <c r="U2715" s="30"/>
      <c r="V2715" s="30"/>
      <c r="W2715" s="30"/>
      <c r="X2715" s="30"/>
      <c r="Y2715" s="30"/>
      <c r="Z2715" s="30"/>
      <c r="AA2715" s="30"/>
      <c r="AB2715" s="30"/>
      <c r="AC2715" s="30"/>
      <c r="AD2715" s="30"/>
      <c r="AE2715" s="30"/>
    </row>
    <row r="2716" spans="1:31" ht="13">
      <c r="A2716" s="30"/>
      <c r="B2716" s="30"/>
      <c r="C2716" s="30"/>
      <c r="D2716" s="30"/>
      <c r="E2716" s="30"/>
      <c r="F2716" s="48"/>
      <c r="G2716" s="49"/>
      <c r="H2716" s="49"/>
      <c r="I2716" s="49"/>
      <c r="J2716" s="71"/>
      <c r="K2716" s="71"/>
      <c r="L2716" s="50"/>
      <c r="M2716" s="30"/>
      <c r="N2716" s="30"/>
      <c r="O2716" s="30"/>
      <c r="P2716" s="30"/>
      <c r="Q2716" s="30"/>
      <c r="R2716" s="30"/>
      <c r="S2716" s="30"/>
      <c r="T2716" s="30"/>
      <c r="U2716" s="30"/>
      <c r="V2716" s="30"/>
      <c r="W2716" s="30"/>
      <c r="X2716" s="30"/>
      <c r="Y2716" s="30"/>
      <c r="Z2716" s="30"/>
      <c r="AA2716" s="30"/>
      <c r="AB2716" s="30"/>
      <c r="AC2716" s="30"/>
      <c r="AD2716" s="30"/>
      <c r="AE2716" s="30"/>
    </row>
    <row r="2717" spans="1:31" ht="13">
      <c r="A2717" s="30"/>
      <c r="B2717" s="30"/>
      <c r="C2717" s="30"/>
      <c r="D2717" s="30"/>
      <c r="E2717" s="30"/>
      <c r="F2717" s="48"/>
      <c r="G2717" s="49"/>
      <c r="H2717" s="49"/>
      <c r="I2717" s="49"/>
      <c r="J2717" s="71"/>
      <c r="K2717" s="71"/>
      <c r="L2717" s="50"/>
      <c r="M2717" s="30"/>
      <c r="N2717" s="30"/>
      <c r="O2717" s="30"/>
      <c r="P2717" s="30"/>
      <c r="Q2717" s="30"/>
      <c r="R2717" s="30"/>
      <c r="S2717" s="30"/>
      <c r="T2717" s="30"/>
      <c r="U2717" s="30"/>
      <c r="V2717" s="30"/>
      <c r="W2717" s="30"/>
      <c r="X2717" s="30"/>
      <c r="Y2717" s="30"/>
      <c r="Z2717" s="30"/>
      <c r="AA2717" s="30"/>
      <c r="AB2717" s="30"/>
      <c r="AC2717" s="30"/>
      <c r="AD2717" s="30"/>
      <c r="AE2717" s="30"/>
    </row>
    <row r="2718" spans="1:31" ht="13">
      <c r="A2718" s="30"/>
      <c r="B2718" s="30"/>
      <c r="C2718" s="30"/>
      <c r="D2718" s="30"/>
      <c r="E2718" s="30"/>
      <c r="F2718" s="48"/>
      <c r="G2718" s="49"/>
      <c r="H2718" s="49"/>
      <c r="I2718" s="49"/>
      <c r="J2718" s="71"/>
      <c r="K2718" s="71"/>
      <c r="L2718" s="50"/>
      <c r="M2718" s="30"/>
      <c r="N2718" s="30"/>
      <c r="O2718" s="30"/>
      <c r="P2718" s="30"/>
      <c r="Q2718" s="30"/>
      <c r="R2718" s="30"/>
      <c r="S2718" s="30"/>
      <c r="T2718" s="30"/>
      <c r="U2718" s="30"/>
      <c r="V2718" s="30"/>
      <c r="W2718" s="30"/>
      <c r="X2718" s="30"/>
      <c r="Y2718" s="30"/>
      <c r="Z2718" s="30"/>
      <c r="AA2718" s="30"/>
      <c r="AB2718" s="30"/>
      <c r="AC2718" s="30"/>
      <c r="AD2718" s="30"/>
      <c r="AE2718" s="30"/>
    </row>
    <row r="2719" spans="1:31" ht="13">
      <c r="A2719" s="30"/>
      <c r="B2719" s="30"/>
      <c r="C2719" s="30"/>
      <c r="D2719" s="30"/>
      <c r="E2719" s="30"/>
      <c r="F2719" s="48"/>
      <c r="G2719" s="49"/>
      <c r="H2719" s="49"/>
      <c r="I2719" s="49"/>
      <c r="J2719" s="71"/>
      <c r="K2719" s="71"/>
      <c r="L2719" s="50"/>
      <c r="M2719" s="30"/>
      <c r="N2719" s="30"/>
      <c r="O2719" s="30"/>
      <c r="P2719" s="30"/>
      <c r="Q2719" s="30"/>
      <c r="R2719" s="30"/>
      <c r="S2719" s="30"/>
      <c r="T2719" s="30"/>
      <c r="U2719" s="30"/>
      <c r="V2719" s="30"/>
      <c r="W2719" s="30"/>
      <c r="X2719" s="30"/>
      <c r="Y2719" s="30"/>
      <c r="Z2719" s="30"/>
      <c r="AA2719" s="30"/>
      <c r="AB2719" s="30"/>
      <c r="AC2719" s="30"/>
      <c r="AD2719" s="30"/>
      <c r="AE2719" s="30"/>
    </row>
    <row r="2720" spans="1:31" ht="13">
      <c r="A2720" s="30"/>
      <c r="B2720" s="30"/>
      <c r="C2720" s="30"/>
      <c r="D2720" s="30"/>
      <c r="E2720" s="30"/>
      <c r="F2720" s="48"/>
      <c r="G2720" s="49"/>
      <c r="H2720" s="49"/>
      <c r="I2720" s="49"/>
      <c r="J2720" s="71"/>
      <c r="K2720" s="71"/>
      <c r="L2720" s="50"/>
      <c r="M2720" s="30"/>
      <c r="N2720" s="30"/>
      <c r="O2720" s="30"/>
      <c r="P2720" s="30"/>
      <c r="Q2720" s="30"/>
      <c r="R2720" s="30"/>
      <c r="S2720" s="30"/>
      <c r="T2720" s="30"/>
      <c r="U2720" s="30"/>
      <c r="V2720" s="30"/>
      <c r="W2720" s="30"/>
      <c r="X2720" s="30"/>
      <c r="Y2720" s="30"/>
      <c r="Z2720" s="30"/>
      <c r="AA2720" s="30"/>
      <c r="AB2720" s="30"/>
      <c r="AC2720" s="30"/>
      <c r="AD2720" s="30"/>
      <c r="AE2720" s="30"/>
    </row>
    <row r="2721" spans="1:31" ht="13">
      <c r="A2721" s="30"/>
      <c r="B2721" s="30"/>
      <c r="C2721" s="30"/>
      <c r="D2721" s="30"/>
      <c r="E2721" s="30"/>
      <c r="F2721" s="48"/>
      <c r="G2721" s="49"/>
      <c r="H2721" s="49"/>
      <c r="I2721" s="49"/>
      <c r="J2721" s="71"/>
      <c r="K2721" s="71"/>
      <c r="L2721" s="50"/>
      <c r="M2721" s="30"/>
      <c r="N2721" s="30"/>
      <c r="O2721" s="30"/>
      <c r="P2721" s="30"/>
      <c r="Q2721" s="30"/>
      <c r="R2721" s="30"/>
      <c r="S2721" s="30"/>
      <c r="T2721" s="30"/>
      <c r="U2721" s="30"/>
      <c r="V2721" s="30"/>
      <c r="W2721" s="30"/>
      <c r="X2721" s="30"/>
      <c r="Y2721" s="30"/>
      <c r="Z2721" s="30"/>
      <c r="AA2721" s="30"/>
      <c r="AB2721" s="30"/>
      <c r="AC2721" s="30"/>
      <c r="AD2721" s="30"/>
      <c r="AE2721" s="30"/>
    </row>
    <row r="2722" spans="1:31" ht="13">
      <c r="A2722" s="30"/>
      <c r="B2722" s="30"/>
      <c r="C2722" s="30"/>
      <c r="D2722" s="30"/>
      <c r="E2722" s="30"/>
      <c r="F2722" s="48"/>
      <c r="G2722" s="49"/>
      <c r="H2722" s="49"/>
      <c r="I2722" s="49"/>
      <c r="J2722" s="71"/>
      <c r="K2722" s="71"/>
      <c r="L2722" s="50"/>
      <c r="M2722" s="30"/>
      <c r="N2722" s="30"/>
      <c r="O2722" s="30"/>
      <c r="P2722" s="30"/>
      <c r="Q2722" s="30"/>
      <c r="R2722" s="30"/>
      <c r="S2722" s="30"/>
      <c r="T2722" s="30"/>
      <c r="U2722" s="30"/>
      <c r="V2722" s="30"/>
      <c r="W2722" s="30"/>
      <c r="X2722" s="30"/>
      <c r="Y2722" s="30"/>
      <c r="Z2722" s="30"/>
      <c r="AA2722" s="30"/>
      <c r="AB2722" s="30"/>
      <c r="AC2722" s="30"/>
      <c r="AD2722" s="30"/>
      <c r="AE2722" s="3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73"/>
  <sheetViews>
    <sheetView workbookViewId="0">
      <pane ySplit="1" topLeftCell="A2" activePane="bottomLeft" state="frozen"/>
      <selection pane="bottomLeft" activeCell="B3" sqref="B3"/>
    </sheetView>
  </sheetViews>
  <sheetFormatPr baseColWidth="10" defaultColWidth="12.6640625" defaultRowHeight="15.75" customHeight="1"/>
  <cols>
    <col min="1" max="1" width="16.6640625" customWidth="1"/>
    <col min="2" max="2" width="20.6640625" customWidth="1"/>
    <col min="3" max="3" width="22.5" customWidth="1"/>
    <col min="4" max="4" width="22.1640625" customWidth="1"/>
    <col min="11" max="11" width="14.33203125" customWidth="1"/>
  </cols>
  <sheetData>
    <row r="1" spans="1:29" ht="13">
      <c r="A1" s="11" t="s">
        <v>252</v>
      </c>
      <c r="B1" s="11" t="s">
        <v>865</v>
      </c>
      <c r="C1" s="11" t="s">
        <v>866</v>
      </c>
      <c r="D1" s="11" t="s">
        <v>867</v>
      </c>
      <c r="E1" s="11" t="s">
        <v>603</v>
      </c>
      <c r="F1" s="11" t="s">
        <v>604</v>
      </c>
      <c r="G1" s="11" t="s">
        <v>868</v>
      </c>
      <c r="H1" s="11" t="s">
        <v>869</v>
      </c>
      <c r="I1" s="11" t="s">
        <v>607</v>
      </c>
      <c r="J1" s="11" t="s">
        <v>870</v>
      </c>
      <c r="K1" s="11" t="s">
        <v>248</v>
      </c>
      <c r="L1" s="11" t="s">
        <v>258</v>
      </c>
      <c r="M1" s="11"/>
      <c r="N1" s="11"/>
      <c r="O1" s="11"/>
      <c r="P1" s="11"/>
      <c r="Q1" s="11"/>
      <c r="R1" s="11"/>
      <c r="S1" s="11"/>
      <c r="T1" s="11"/>
      <c r="U1" s="11"/>
      <c r="V1" s="11"/>
      <c r="W1" s="11"/>
      <c r="X1" s="11"/>
      <c r="Y1" s="11"/>
      <c r="Z1" s="11"/>
      <c r="AA1" s="11"/>
      <c r="AB1" s="11"/>
      <c r="AC1" s="11"/>
    </row>
    <row r="2" spans="1:29" ht="13">
      <c r="A2" s="18" t="s">
        <v>292</v>
      </c>
      <c r="B2" s="18" t="s">
        <v>871</v>
      </c>
      <c r="C2" s="18" t="s">
        <v>872</v>
      </c>
      <c r="D2" s="18" t="s">
        <v>873</v>
      </c>
      <c r="E2" s="48">
        <v>1984</v>
      </c>
      <c r="F2" s="48">
        <v>955</v>
      </c>
      <c r="G2" s="18" t="s">
        <v>402</v>
      </c>
      <c r="H2" s="18" t="s">
        <v>402</v>
      </c>
      <c r="I2" s="18" t="s">
        <v>637</v>
      </c>
      <c r="J2" s="18" t="s">
        <v>611</v>
      </c>
      <c r="K2" s="24" t="s">
        <v>874</v>
      </c>
      <c r="L2" s="18" t="s">
        <v>875</v>
      </c>
    </row>
    <row r="3" spans="1:29" ht="13">
      <c r="A3" s="18" t="s">
        <v>292</v>
      </c>
      <c r="B3" s="18" t="s">
        <v>871</v>
      </c>
      <c r="C3" s="18" t="s">
        <v>872</v>
      </c>
      <c r="D3" s="18" t="s">
        <v>873</v>
      </c>
      <c r="E3" s="48">
        <v>1986</v>
      </c>
      <c r="F3" s="48">
        <v>1382</v>
      </c>
      <c r="G3" s="18" t="s">
        <v>402</v>
      </c>
      <c r="H3" s="18" t="s">
        <v>402</v>
      </c>
      <c r="I3" s="18" t="s">
        <v>637</v>
      </c>
      <c r="J3" s="18" t="s">
        <v>611</v>
      </c>
      <c r="K3" s="18" t="s">
        <v>876</v>
      </c>
      <c r="L3" s="18" t="s">
        <v>875</v>
      </c>
    </row>
    <row r="4" spans="1:29" ht="13">
      <c r="A4" s="18" t="s">
        <v>292</v>
      </c>
      <c r="B4" s="18" t="s">
        <v>871</v>
      </c>
      <c r="C4" s="18" t="s">
        <v>872</v>
      </c>
      <c r="D4" s="18" t="s">
        <v>873</v>
      </c>
      <c r="E4" s="48">
        <v>1988</v>
      </c>
      <c r="F4" s="48">
        <v>1665</v>
      </c>
      <c r="G4" s="18" t="s">
        <v>402</v>
      </c>
      <c r="H4" s="18" t="s">
        <v>402</v>
      </c>
      <c r="I4" s="18" t="s">
        <v>637</v>
      </c>
      <c r="J4" s="18" t="s">
        <v>611</v>
      </c>
      <c r="K4" s="18" t="s">
        <v>877</v>
      </c>
      <c r="L4" s="18" t="s">
        <v>875</v>
      </c>
    </row>
    <row r="5" spans="1:29" ht="16.5" customHeight="1">
      <c r="A5" s="18" t="s">
        <v>292</v>
      </c>
      <c r="B5" s="18" t="s">
        <v>871</v>
      </c>
      <c r="C5" s="18" t="s">
        <v>872</v>
      </c>
      <c r="D5" s="18" t="s">
        <v>873</v>
      </c>
      <c r="E5" s="48">
        <v>1991</v>
      </c>
      <c r="F5" s="48">
        <v>2234</v>
      </c>
      <c r="G5" s="18" t="s">
        <v>402</v>
      </c>
      <c r="H5" s="18" t="s">
        <v>402</v>
      </c>
      <c r="I5" s="18" t="s">
        <v>637</v>
      </c>
      <c r="J5" s="18" t="s">
        <v>611</v>
      </c>
      <c r="K5" s="18" t="s">
        <v>878</v>
      </c>
      <c r="L5" s="18" t="s">
        <v>875</v>
      </c>
    </row>
    <row r="6" spans="1:29" ht="13">
      <c r="A6" s="18" t="s">
        <v>292</v>
      </c>
      <c r="B6" s="18" t="s">
        <v>871</v>
      </c>
      <c r="C6" s="18" t="s">
        <v>872</v>
      </c>
      <c r="D6" s="18" t="s">
        <v>873</v>
      </c>
      <c r="E6" s="48">
        <v>1993</v>
      </c>
      <c r="F6" s="48">
        <v>2946</v>
      </c>
      <c r="G6" s="18" t="s">
        <v>402</v>
      </c>
      <c r="H6" s="18" t="s">
        <v>402</v>
      </c>
      <c r="I6" s="18" t="s">
        <v>637</v>
      </c>
      <c r="J6" s="18" t="s">
        <v>611</v>
      </c>
      <c r="K6" s="18" t="s">
        <v>879</v>
      </c>
      <c r="L6" s="18" t="s">
        <v>875</v>
      </c>
    </row>
    <row r="7" spans="1:29" ht="13">
      <c r="A7" s="18" t="s">
        <v>292</v>
      </c>
      <c r="B7" s="18" t="s">
        <v>871</v>
      </c>
      <c r="C7" s="18" t="s">
        <v>872</v>
      </c>
      <c r="D7" s="18" t="s">
        <v>873</v>
      </c>
      <c r="E7" s="48">
        <v>1995</v>
      </c>
      <c r="F7" s="48">
        <v>3515</v>
      </c>
      <c r="G7" s="18" t="s">
        <v>402</v>
      </c>
      <c r="H7" s="18" t="s">
        <v>402</v>
      </c>
      <c r="I7" s="18" t="s">
        <v>637</v>
      </c>
      <c r="J7" s="18" t="s">
        <v>611</v>
      </c>
      <c r="K7" s="18" t="s">
        <v>880</v>
      </c>
      <c r="L7" s="18" t="s">
        <v>875</v>
      </c>
    </row>
    <row r="8" spans="1:29" ht="13">
      <c r="A8" s="18" t="s">
        <v>292</v>
      </c>
      <c r="B8" s="18" t="s">
        <v>871</v>
      </c>
      <c r="C8" s="18" t="s">
        <v>872</v>
      </c>
      <c r="D8" s="18" t="s">
        <v>873</v>
      </c>
      <c r="E8" s="48">
        <v>1998</v>
      </c>
      <c r="F8" s="48">
        <v>4513</v>
      </c>
      <c r="G8" s="18" t="s">
        <v>402</v>
      </c>
      <c r="H8" s="18" t="s">
        <v>402</v>
      </c>
      <c r="I8" s="18" t="s">
        <v>637</v>
      </c>
      <c r="J8" s="18" t="s">
        <v>611</v>
      </c>
      <c r="K8" s="18" t="s">
        <v>881</v>
      </c>
      <c r="L8" s="18" t="s">
        <v>875</v>
      </c>
    </row>
    <row r="9" spans="1:29" ht="13">
      <c r="A9" s="18" t="s">
        <v>292</v>
      </c>
      <c r="B9" s="18" t="s">
        <v>871</v>
      </c>
      <c r="C9" s="18" t="s">
        <v>872</v>
      </c>
      <c r="D9" s="18" t="s">
        <v>873</v>
      </c>
      <c r="E9" s="48">
        <v>2001</v>
      </c>
      <c r="F9" s="48">
        <v>5795</v>
      </c>
      <c r="G9" s="18" t="s">
        <v>402</v>
      </c>
      <c r="H9" s="18" t="s">
        <v>402</v>
      </c>
      <c r="I9" s="18" t="s">
        <v>637</v>
      </c>
      <c r="J9" s="18" t="s">
        <v>611</v>
      </c>
      <c r="K9" s="18" t="s">
        <v>882</v>
      </c>
      <c r="L9" s="18" t="s">
        <v>875</v>
      </c>
    </row>
    <row r="10" spans="1:29" ht="13">
      <c r="A10" s="18" t="s">
        <v>292</v>
      </c>
      <c r="B10" s="18" t="s">
        <v>871</v>
      </c>
      <c r="C10" s="18" t="s">
        <v>872</v>
      </c>
      <c r="D10" s="18" t="s">
        <v>873</v>
      </c>
      <c r="E10" s="48">
        <v>2004</v>
      </c>
      <c r="F10" s="48">
        <v>7935</v>
      </c>
      <c r="G10" s="18" t="s">
        <v>402</v>
      </c>
      <c r="H10" s="18" t="s">
        <v>402</v>
      </c>
      <c r="I10" s="18" t="s">
        <v>637</v>
      </c>
      <c r="J10" s="18" t="s">
        <v>611</v>
      </c>
      <c r="K10" s="18" t="s">
        <v>883</v>
      </c>
      <c r="L10" s="18" t="s">
        <v>875</v>
      </c>
    </row>
    <row r="11" spans="1:29" ht="13">
      <c r="A11" s="18" t="s">
        <v>292</v>
      </c>
      <c r="B11" s="18" t="s">
        <v>871</v>
      </c>
      <c r="C11" s="18" t="s">
        <v>872</v>
      </c>
      <c r="D11" s="18" t="s">
        <v>873</v>
      </c>
      <c r="E11" s="48">
        <v>2007</v>
      </c>
      <c r="F11" s="48">
        <v>10646</v>
      </c>
      <c r="G11" s="18" t="s">
        <v>402</v>
      </c>
      <c r="H11" s="18" t="s">
        <v>402</v>
      </c>
      <c r="I11" s="18" t="s">
        <v>637</v>
      </c>
      <c r="J11" s="18" t="s">
        <v>611</v>
      </c>
      <c r="K11" s="18" t="s">
        <v>884</v>
      </c>
      <c r="L11" s="18" t="s">
        <v>875</v>
      </c>
    </row>
    <row r="12" spans="1:29" ht="13">
      <c r="A12" s="18" t="s">
        <v>292</v>
      </c>
      <c r="B12" s="18" t="s">
        <v>871</v>
      </c>
      <c r="C12" s="18" t="s">
        <v>872</v>
      </c>
      <c r="D12" s="18" t="s">
        <v>873</v>
      </c>
      <c r="E12" s="48">
        <v>2010</v>
      </c>
      <c r="F12" s="48">
        <v>14500</v>
      </c>
      <c r="G12" s="18" t="s">
        <v>402</v>
      </c>
      <c r="H12" s="18" t="s">
        <v>402</v>
      </c>
      <c r="I12" s="18" t="s">
        <v>637</v>
      </c>
      <c r="J12" s="18" t="s">
        <v>611</v>
      </c>
      <c r="K12" s="18" t="s">
        <v>885</v>
      </c>
      <c r="L12" s="18" t="s">
        <v>875</v>
      </c>
    </row>
    <row r="13" spans="1:29" ht="13">
      <c r="A13" s="18" t="s">
        <v>292</v>
      </c>
      <c r="B13" s="18" t="s">
        <v>871</v>
      </c>
      <c r="C13" s="18" t="s">
        <v>872</v>
      </c>
      <c r="D13" s="18" t="s">
        <v>873</v>
      </c>
      <c r="E13" s="48">
        <v>2015</v>
      </c>
      <c r="F13" s="48">
        <v>24495</v>
      </c>
      <c r="G13" s="18" t="s">
        <v>402</v>
      </c>
      <c r="H13" s="18" t="s">
        <v>402</v>
      </c>
      <c r="I13" s="18" t="s">
        <v>637</v>
      </c>
      <c r="J13" s="18" t="s">
        <v>611</v>
      </c>
      <c r="K13" s="18" t="s">
        <v>886</v>
      </c>
      <c r="L13" s="18" t="s">
        <v>875</v>
      </c>
    </row>
    <row r="14" spans="1:29" ht="13">
      <c r="A14" s="18" t="s">
        <v>504</v>
      </c>
      <c r="B14" s="18" t="s">
        <v>887</v>
      </c>
      <c r="C14" s="18" t="s">
        <v>888</v>
      </c>
      <c r="D14" s="18" t="s">
        <v>889</v>
      </c>
      <c r="E14" s="18">
        <v>1985</v>
      </c>
      <c r="F14" s="18">
        <v>2</v>
      </c>
      <c r="G14" s="18" t="s">
        <v>402</v>
      </c>
      <c r="H14" s="18">
        <v>10</v>
      </c>
      <c r="I14" s="18" t="s">
        <v>637</v>
      </c>
      <c r="J14" s="18" t="s">
        <v>890</v>
      </c>
      <c r="K14" s="18" t="s">
        <v>507</v>
      </c>
    </row>
    <row r="15" spans="1:29" ht="13">
      <c r="A15" s="18" t="s">
        <v>504</v>
      </c>
      <c r="B15" s="18" t="s">
        <v>887</v>
      </c>
      <c r="C15" s="18" t="s">
        <v>888</v>
      </c>
      <c r="D15" s="18" t="s">
        <v>889</v>
      </c>
      <c r="E15" s="18">
        <v>1986</v>
      </c>
      <c r="F15" s="18">
        <v>4</v>
      </c>
      <c r="G15" s="18">
        <v>1</v>
      </c>
      <c r="H15" s="18">
        <v>14</v>
      </c>
      <c r="I15" s="18" t="s">
        <v>637</v>
      </c>
      <c r="J15" s="18" t="s">
        <v>890</v>
      </c>
      <c r="K15" s="18" t="s">
        <v>891</v>
      </c>
    </row>
    <row r="16" spans="1:29" ht="13">
      <c r="A16" s="18" t="s">
        <v>504</v>
      </c>
      <c r="B16" s="18" t="s">
        <v>887</v>
      </c>
      <c r="C16" s="18" t="s">
        <v>888</v>
      </c>
      <c r="D16" s="18" t="s">
        <v>889</v>
      </c>
      <c r="E16" s="18">
        <v>1987</v>
      </c>
      <c r="F16" s="18">
        <v>5</v>
      </c>
      <c r="G16" s="18">
        <v>1</v>
      </c>
      <c r="H16" s="18">
        <v>17</v>
      </c>
      <c r="I16" s="18" t="s">
        <v>637</v>
      </c>
      <c r="J16" s="18" t="s">
        <v>890</v>
      </c>
      <c r="K16" s="18" t="s">
        <v>892</v>
      </c>
    </row>
    <row r="17" spans="1:11" ht="13">
      <c r="A17" s="18" t="s">
        <v>504</v>
      </c>
      <c r="B17" s="18" t="s">
        <v>887</v>
      </c>
      <c r="C17" s="18" t="s">
        <v>888</v>
      </c>
      <c r="D17" s="18" t="s">
        <v>889</v>
      </c>
      <c r="E17" s="18">
        <v>1988</v>
      </c>
      <c r="F17" s="18">
        <v>6</v>
      </c>
      <c r="G17" s="18">
        <v>2</v>
      </c>
      <c r="H17" s="18">
        <v>21</v>
      </c>
      <c r="I17" s="18" t="s">
        <v>637</v>
      </c>
      <c r="J17" s="18" t="s">
        <v>890</v>
      </c>
      <c r="K17" s="18" t="s">
        <v>893</v>
      </c>
    </row>
    <row r="18" spans="1:11" ht="13">
      <c r="A18" s="18" t="s">
        <v>504</v>
      </c>
      <c r="B18" s="18" t="s">
        <v>887</v>
      </c>
      <c r="C18" s="18" t="s">
        <v>888</v>
      </c>
      <c r="D18" s="18" t="s">
        <v>889</v>
      </c>
      <c r="E18" s="18">
        <v>1989</v>
      </c>
      <c r="F18" s="18">
        <v>8</v>
      </c>
      <c r="G18" s="18">
        <v>3</v>
      </c>
      <c r="H18" s="18">
        <v>25</v>
      </c>
      <c r="I18" s="18" t="s">
        <v>637</v>
      </c>
      <c r="J18" s="18" t="s">
        <v>890</v>
      </c>
      <c r="K18" s="18" t="s">
        <v>894</v>
      </c>
    </row>
    <row r="19" spans="1:11" ht="13">
      <c r="A19" s="18" t="s">
        <v>504</v>
      </c>
      <c r="B19" s="18" t="s">
        <v>887</v>
      </c>
      <c r="C19" s="18" t="s">
        <v>888</v>
      </c>
      <c r="D19" s="18" t="s">
        <v>889</v>
      </c>
      <c r="E19" s="18">
        <v>1990</v>
      </c>
      <c r="F19" s="18">
        <v>10</v>
      </c>
      <c r="G19" s="18">
        <v>4</v>
      </c>
      <c r="H19" s="18">
        <v>29</v>
      </c>
      <c r="I19" s="18" t="s">
        <v>637</v>
      </c>
      <c r="J19" s="18" t="s">
        <v>890</v>
      </c>
      <c r="K19" s="18" t="s">
        <v>895</v>
      </c>
    </row>
    <row r="20" spans="1:11" ht="13">
      <c r="A20" s="18" t="s">
        <v>504</v>
      </c>
      <c r="B20" s="18" t="s">
        <v>887</v>
      </c>
      <c r="C20" s="18" t="s">
        <v>888</v>
      </c>
      <c r="D20" s="18" t="s">
        <v>889</v>
      </c>
      <c r="E20" s="18">
        <v>1991</v>
      </c>
      <c r="F20" s="18">
        <v>11</v>
      </c>
      <c r="G20" s="18">
        <v>4</v>
      </c>
      <c r="H20" s="18">
        <v>33</v>
      </c>
      <c r="I20" s="18" t="s">
        <v>637</v>
      </c>
      <c r="J20" s="18" t="s">
        <v>890</v>
      </c>
      <c r="K20" s="18" t="s">
        <v>896</v>
      </c>
    </row>
    <row r="21" spans="1:11" ht="13">
      <c r="A21" s="18" t="s">
        <v>504</v>
      </c>
      <c r="B21" s="18" t="s">
        <v>887</v>
      </c>
      <c r="C21" s="18" t="s">
        <v>888</v>
      </c>
      <c r="D21" s="18" t="s">
        <v>889</v>
      </c>
      <c r="E21" s="18">
        <v>1992</v>
      </c>
      <c r="F21" s="18">
        <v>13</v>
      </c>
      <c r="G21" s="18">
        <v>5</v>
      </c>
      <c r="H21" s="18">
        <v>40</v>
      </c>
      <c r="I21" s="18" t="s">
        <v>637</v>
      </c>
      <c r="J21" s="18" t="s">
        <v>890</v>
      </c>
      <c r="K21" s="18" t="s">
        <v>897</v>
      </c>
    </row>
    <row r="22" spans="1:11" ht="13">
      <c r="A22" s="18" t="s">
        <v>504</v>
      </c>
      <c r="B22" s="18" t="s">
        <v>887</v>
      </c>
      <c r="C22" s="18" t="s">
        <v>888</v>
      </c>
      <c r="D22" s="18" t="s">
        <v>889</v>
      </c>
      <c r="E22" s="18">
        <v>1993</v>
      </c>
      <c r="F22" s="18">
        <v>17</v>
      </c>
      <c r="G22" s="18">
        <v>8</v>
      </c>
      <c r="H22" s="18">
        <v>46</v>
      </c>
      <c r="I22" s="18" t="s">
        <v>637</v>
      </c>
      <c r="J22" s="18" t="s">
        <v>890</v>
      </c>
      <c r="K22" s="18" t="s">
        <v>898</v>
      </c>
    </row>
    <row r="23" spans="1:11" ht="13">
      <c r="A23" s="18" t="s">
        <v>504</v>
      </c>
      <c r="B23" s="18" t="s">
        <v>887</v>
      </c>
      <c r="C23" s="18" t="s">
        <v>888</v>
      </c>
      <c r="D23" s="18" t="s">
        <v>889</v>
      </c>
      <c r="E23" s="18">
        <v>1994</v>
      </c>
      <c r="F23" s="18">
        <v>19</v>
      </c>
      <c r="G23" s="18">
        <v>9</v>
      </c>
      <c r="H23" s="18">
        <v>51</v>
      </c>
      <c r="I23" s="18" t="s">
        <v>637</v>
      </c>
      <c r="J23" s="18" t="s">
        <v>890</v>
      </c>
      <c r="K23" s="18" t="s">
        <v>899</v>
      </c>
    </row>
    <row r="24" spans="1:11" ht="13">
      <c r="A24" s="18" t="s">
        <v>504</v>
      </c>
      <c r="B24" s="18" t="s">
        <v>887</v>
      </c>
      <c r="C24" s="18" t="s">
        <v>888</v>
      </c>
      <c r="D24" s="18" t="s">
        <v>889</v>
      </c>
      <c r="E24" s="18">
        <v>1995</v>
      </c>
      <c r="F24" s="18">
        <v>22</v>
      </c>
      <c r="G24" s="18">
        <v>12</v>
      </c>
      <c r="H24" s="18">
        <v>57</v>
      </c>
      <c r="I24" s="18" t="s">
        <v>637</v>
      </c>
      <c r="J24" s="18" t="s">
        <v>890</v>
      </c>
      <c r="K24" s="18" t="s">
        <v>900</v>
      </c>
    </row>
    <row r="25" spans="1:11" ht="13">
      <c r="A25" s="18" t="s">
        <v>504</v>
      </c>
      <c r="B25" s="18" t="s">
        <v>887</v>
      </c>
      <c r="C25" s="18" t="s">
        <v>888</v>
      </c>
      <c r="D25" s="18" t="s">
        <v>889</v>
      </c>
      <c r="E25" s="18">
        <v>1996</v>
      </c>
      <c r="F25" s="18">
        <v>22</v>
      </c>
      <c r="G25" s="18">
        <v>12</v>
      </c>
      <c r="H25" s="18">
        <v>59</v>
      </c>
      <c r="I25" s="18" t="s">
        <v>637</v>
      </c>
      <c r="J25" s="18" t="s">
        <v>890</v>
      </c>
      <c r="K25" s="18" t="s">
        <v>901</v>
      </c>
    </row>
    <row r="26" spans="1:11" ht="13">
      <c r="A26" s="18" t="s">
        <v>504</v>
      </c>
      <c r="B26" s="18" t="s">
        <v>887</v>
      </c>
      <c r="C26" s="18" t="s">
        <v>888</v>
      </c>
      <c r="D26" s="18" t="s">
        <v>889</v>
      </c>
      <c r="E26" s="18">
        <v>1997</v>
      </c>
      <c r="F26" s="18">
        <v>23</v>
      </c>
      <c r="G26" s="18">
        <v>12</v>
      </c>
      <c r="H26" s="18">
        <v>62</v>
      </c>
      <c r="I26" s="18" t="s">
        <v>637</v>
      </c>
      <c r="J26" s="18" t="s">
        <v>890</v>
      </c>
      <c r="K26" s="18" t="s">
        <v>902</v>
      </c>
    </row>
    <row r="27" spans="1:11" ht="13">
      <c r="A27" s="18" t="s">
        <v>504</v>
      </c>
      <c r="B27" s="18" t="s">
        <v>887</v>
      </c>
      <c r="C27" s="18" t="s">
        <v>888</v>
      </c>
      <c r="D27" s="18" t="s">
        <v>889</v>
      </c>
      <c r="E27" s="18">
        <v>1998</v>
      </c>
      <c r="F27" s="18">
        <v>24</v>
      </c>
      <c r="G27" s="18">
        <v>12</v>
      </c>
      <c r="H27" s="18">
        <v>64</v>
      </c>
      <c r="I27" s="18" t="s">
        <v>637</v>
      </c>
      <c r="J27" s="18" t="s">
        <v>890</v>
      </c>
      <c r="K27" s="18" t="s">
        <v>903</v>
      </c>
    </row>
    <row r="28" spans="1:11" ht="13">
      <c r="A28" s="18" t="s">
        <v>504</v>
      </c>
      <c r="B28" s="18" t="s">
        <v>887</v>
      </c>
      <c r="C28" s="18" t="s">
        <v>888</v>
      </c>
      <c r="D28" s="18" t="s">
        <v>889</v>
      </c>
      <c r="E28" s="18">
        <v>1999</v>
      </c>
      <c r="F28" s="18">
        <v>25</v>
      </c>
      <c r="G28" s="18">
        <v>13</v>
      </c>
      <c r="H28" s="18">
        <v>70</v>
      </c>
      <c r="I28" s="18" t="s">
        <v>637</v>
      </c>
      <c r="J28" s="18" t="s">
        <v>890</v>
      </c>
      <c r="K28" s="18" t="s">
        <v>904</v>
      </c>
    </row>
    <row r="29" spans="1:11" ht="13">
      <c r="A29" s="18" t="s">
        <v>504</v>
      </c>
      <c r="B29" s="18" t="s">
        <v>887</v>
      </c>
      <c r="C29" s="18" t="s">
        <v>888</v>
      </c>
      <c r="D29" s="18" t="s">
        <v>889</v>
      </c>
      <c r="E29" s="18">
        <v>2000</v>
      </c>
      <c r="F29" s="18">
        <v>28</v>
      </c>
      <c r="G29" s="18">
        <v>14</v>
      </c>
      <c r="H29" s="18">
        <v>76</v>
      </c>
      <c r="I29" s="18" t="s">
        <v>637</v>
      </c>
      <c r="J29" s="18" t="s">
        <v>890</v>
      </c>
      <c r="K29" s="18" t="s">
        <v>905</v>
      </c>
    </row>
    <row r="30" spans="1:11" ht="13">
      <c r="A30" s="18" t="s">
        <v>504</v>
      </c>
      <c r="B30" s="18" t="s">
        <v>887</v>
      </c>
      <c r="C30" s="18" t="s">
        <v>888</v>
      </c>
      <c r="D30" s="18" t="s">
        <v>889</v>
      </c>
      <c r="E30" s="18">
        <v>2001</v>
      </c>
      <c r="F30" s="18">
        <v>30</v>
      </c>
      <c r="G30" s="18">
        <v>16</v>
      </c>
      <c r="H30" s="18">
        <v>82</v>
      </c>
      <c r="I30" s="18" t="s">
        <v>637</v>
      </c>
      <c r="J30" s="18" t="s">
        <v>890</v>
      </c>
      <c r="K30" s="18" t="s">
        <v>906</v>
      </c>
    </row>
    <row r="31" spans="1:11" ht="13">
      <c r="A31" s="18" t="s">
        <v>504</v>
      </c>
      <c r="B31" s="18" t="s">
        <v>887</v>
      </c>
      <c r="C31" s="18" t="s">
        <v>888</v>
      </c>
      <c r="D31" s="18" t="s">
        <v>889</v>
      </c>
      <c r="E31" s="18">
        <v>2002</v>
      </c>
      <c r="F31" s="18">
        <v>32</v>
      </c>
      <c r="G31" s="18">
        <v>17</v>
      </c>
      <c r="H31" s="18">
        <v>85</v>
      </c>
      <c r="I31" s="18" t="s">
        <v>637</v>
      </c>
      <c r="J31" s="18" t="s">
        <v>890</v>
      </c>
      <c r="K31" s="18" t="s">
        <v>907</v>
      </c>
    </row>
    <row r="32" spans="1:11" ht="13">
      <c r="A32" s="18" t="s">
        <v>504</v>
      </c>
      <c r="B32" s="18" t="s">
        <v>887</v>
      </c>
      <c r="C32" s="18" t="s">
        <v>888</v>
      </c>
      <c r="D32" s="18" t="s">
        <v>889</v>
      </c>
      <c r="E32" s="18">
        <v>2003</v>
      </c>
      <c r="F32" s="18">
        <v>33</v>
      </c>
      <c r="G32" s="18">
        <v>18</v>
      </c>
      <c r="H32" s="18">
        <v>87</v>
      </c>
      <c r="I32" s="18" t="s">
        <v>637</v>
      </c>
      <c r="J32" s="18" t="s">
        <v>890</v>
      </c>
      <c r="K32" s="18" t="s">
        <v>908</v>
      </c>
    </row>
    <row r="33" spans="1:12" ht="13">
      <c r="A33" s="18" t="s">
        <v>504</v>
      </c>
      <c r="B33" s="18" t="s">
        <v>887</v>
      </c>
      <c r="C33" s="18" t="s">
        <v>888</v>
      </c>
      <c r="D33" s="18" t="s">
        <v>889</v>
      </c>
      <c r="E33" s="18">
        <v>2004</v>
      </c>
      <c r="F33" s="18">
        <v>34</v>
      </c>
      <c r="G33" s="18">
        <v>18</v>
      </c>
      <c r="H33" s="18">
        <v>90</v>
      </c>
      <c r="I33" s="18" t="s">
        <v>637</v>
      </c>
      <c r="J33" s="18" t="s">
        <v>890</v>
      </c>
      <c r="K33" s="18" t="s">
        <v>909</v>
      </c>
    </row>
    <row r="34" spans="1:12" ht="13">
      <c r="A34" s="18" t="s">
        <v>504</v>
      </c>
      <c r="B34" s="18" t="s">
        <v>887</v>
      </c>
      <c r="C34" s="18" t="s">
        <v>888</v>
      </c>
      <c r="D34" s="18" t="s">
        <v>889</v>
      </c>
      <c r="E34" s="18">
        <v>2005</v>
      </c>
      <c r="F34" s="18">
        <v>36</v>
      </c>
      <c r="G34" s="18">
        <v>19</v>
      </c>
      <c r="H34" s="18">
        <v>95</v>
      </c>
      <c r="I34" s="18" t="s">
        <v>637</v>
      </c>
      <c r="J34" s="18" t="s">
        <v>890</v>
      </c>
      <c r="K34" s="18" t="s">
        <v>910</v>
      </c>
    </row>
    <row r="35" spans="1:12" ht="13">
      <c r="A35" s="18" t="s">
        <v>504</v>
      </c>
      <c r="B35" s="18" t="s">
        <v>887</v>
      </c>
      <c r="C35" s="18" t="s">
        <v>888</v>
      </c>
      <c r="D35" s="18" t="s">
        <v>889</v>
      </c>
      <c r="E35" s="18">
        <v>2006</v>
      </c>
      <c r="F35" s="18">
        <v>38</v>
      </c>
      <c r="G35" s="18">
        <v>19</v>
      </c>
      <c r="H35" s="18">
        <v>99</v>
      </c>
      <c r="I35" s="18" t="s">
        <v>637</v>
      </c>
      <c r="J35" s="18" t="s">
        <v>890</v>
      </c>
      <c r="K35" s="18" t="s">
        <v>911</v>
      </c>
    </row>
    <row r="36" spans="1:12" ht="13">
      <c r="A36" s="18" t="s">
        <v>504</v>
      </c>
      <c r="B36" s="18" t="s">
        <v>887</v>
      </c>
      <c r="C36" s="18" t="s">
        <v>888</v>
      </c>
      <c r="D36" s="18" t="s">
        <v>889</v>
      </c>
      <c r="E36" s="18">
        <v>2007</v>
      </c>
      <c r="F36" s="18">
        <v>41</v>
      </c>
      <c r="G36" s="18">
        <v>22</v>
      </c>
      <c r="H36" s="18">
        <v>106</v>
      </c>
      <c r="I36" s="18" t="s">
        <v>637</v>
      </c>
      <c r="J36" s="18" t="s">
        <v>890</v>
      </c>
      <c r="K36" s="18" t="s">
        <v>912</v>
      </c>
    </row>
    <row r="37" spans="1:12" ht="13">
      <c r="A37" s="18" t="s">
        <v>504</v>
      </c>
      <c r="B37" s="18" t="s">
        <v>887</v>
      </c>
      <c r="C37" s="18" t="s">
        <v>888</v>
      </c>
      <c r="D37" s="18" t="s">
        <v>889</v>
      </c>
      <c r="E37" s="18">
        <v>2008</v>
      </c>
      <c r="F37" s="18">
        <v>45</v>
      </c>
      <c r="G37" s="18">
        <v>24</v>
      </c>
      <c r="H37" s="18">
        <v>114</v>
      </c>
      <c r="I37" s="18" t="s">
        <v>637</v>
      </c>
      <c r="J37" s="18" t="s">
        <v>890</v>
      </c>
      <c r="K37" s="18" t="s">
        <v>913</v>
      </c>
    </row>
    <row r="38" spans="1:12" ht="13">
      <c r="A38" s="18" t="s">
        <v>504</v>
      </c>
      <c r="B38" s="18" t="s">
        <v>887</v>
      </c>
      <c r="C38" s="18" t="s">
        <v>888</v>
      </c>
      <c r="D38" s="18" t="s">
        <v>889</v>
      </c>
      <c r="E38" s="18">
        <v>2009</v>
      </c>
      <c r="F38" s="18">
        <v>51</v>
      </c>
      <c r="G38" s="18">
        <v>29</v>
      </c>
      <c r="H38" s="18">
        <v>125</v>
      </c>
      <c r="I38" s="18" t="s">
        <v>637</v>
      </c>
      <c r="J38" s="18" t="s">
        <v>890</v>
      </c>
      <c r="K38" s="18" t="s">
        <v>914</v>
      </c>
    </row>
    <row r="39" spans="1:12" ht="13">
      <c r="A39" s="18" t="s">
        <v>504</v>
      </c>
      <c r="B39" s="18" t="s">
        <v>887</v>
      </c>
      <c r="C39" s="18" t="s">
        <v>888</v>
      </c>
      <c r="D39" s="18" t="s">
        <v>889</v>
      </c>
      <c r="E39" s="18">
        <v>2010</v>
      </c>
      <c r="F39" s="18">
        <v>52</v>
      </c>
      <c r="G39" s="18">
        <v>30</v>
      </c>
      <c r="H39" s="18">
        <v>128</v>
      </c>
      <c r="I39" s="18" t="s">
        <v>637</v>
      </c>
      <c r="J39" s="18" t="s">
        <v>890</v>
      </c>
      <c r="K39" s="18" t="s">
        <v>915</v>
      </c>
    </row>
    <row r="40" spans="1:12" ht="13">
      <c r="A40" s="18" t="s">
        <v>504</v>
      </c>
      <c r="B40" s="18" t="s">
        <v>887</v>
      </c>
      <c r="C40" s="18" t="s">
        <v>888</v>
      </c>
      <c r="D40" s="18" t="s">
        <v>889</v>
      </c>
      <c r="E40" s="18">
        <v>2011</v>
      </c>
      <c r="F40" s="18">
        <v>54</v>
      </c>
      <c r="G40" s="18">
        <v>30</v>
      </c>
      <c r="H40" s="18">
        <v>133</v>
      </c>
      <c r="I40" s="18" t="s">
        <v>637</v>
      </c>
      <c r="J40" s="18" t="s">
        <v>890</v>
      </c>
      <c r="K40" s="18" t="s">
        <v>916</v>
      </c>
    </row>
    <row r="41" spans="1:12" ht="13">
      <c r="A41" s="18" t="s">
        <v>504</v>
      </c>
      <c r="B41" s="18" t="s">
        <v>887</v>
      </c>
      <c r="C41" s="18" t="s">
        <v>888</v>
      </c>
      <c r="D41" s="18" t="s">
        <v>889</v>
      </c>
      <c r="E41" s="18">
        <v>2012</v>
      </c>
      <c r="F41" s="18">
        <v>56</v>
      </c>
      <c r="G41" s="18">
        <v>31</v>
      </c>
      <c r="H41" s="18">
        <v>139</v>
      </c>
      <c r="I41" s="18" t="s">
        <v>637</v>
      </c>
      <c r="J41" s="18" t="s">
        <v>890</v>
      </c>
      <c r="K41" s="18" t="s">
        <v>917</v>
      </c>
    </row>
    <row r="42" spans="1:12" ht="13">
      <c r="A42" s="18" t="s">
        <v>504</v>
      </c>
      <c r="B42" s="18" t="s">
        <v>887</v>
      </c>
      <c r="C42" s="18" t="s">
        <v>888</v>
      </c>
      <c r="D42" s="18" t="s">
        <v>889</v>
      </c>
      <c r="E42" s="18">
        <v>2013</v>
      </c>
      <c r="F42" s="18">
        <v>62</v>
      </c>
      <c r="G42" s="18">
        <v>37</v>
      </c>
      <c r="H42" s="18">
        <v>149</v>
      </c>
      <c r="I42" s="18" t="s">
        <v>637</v>
      </c>
      <c r="J42" s="18" t="s">
        <v>890</v>
      </c>
      <c r="K42" s="18" t="s">
        <v>918</v>
      </c>
    </row>
    <row r="43" spans="1:12" ht="13">
      <c r="A43" s="18" t="s">
        <v>504</v>
      </c>
      <c r="B43" s="18" t="s">
        <v>887</v>
      </c>
      <c r="C43" s="18" t="s">
        <v>888</v>
      </c>
      <c r="D43" s="18" t="s">
        <v>889</v>
      </c>
      <c r="E43" s="18">
        <v>2014</v>
      </c>
      <c r="F43" s="18">
        <v>63</v>
      </c>
      <c r="G43" s="18">
        <v>38</v>
      </c>
      <c r="H43" s="18">
        <v>153</v>
      </c>
      <c r="I43" s="18" t="s">
        <v>637</v>
      </c>
      <c r="J43" s="18" t="s">
        <v>890</v>
      </c>
      <c r="K43" s="18" t="s">
        <v>919</v>
      </c>
    </row>
    <row r="44" spans="1:12" ht="13">
      <c r="A44" s="18" t="s">
        <v>504</v>
      </c>
      <c r="B44" s="18" t="s">
        <v>887</v>
      </c>
      <c r="C44" s="18" t="s">
        <v>888</v>
      </c>
      <c r="D44" s="18" t="s">
        <v>889</v>
      </c>
      <c r="E44" s="18">
        <v>2015</v>
      </c>
      <c r="F44" s="18">
        <v>63</v>
      </c>
      <c r="G44" s="18">
        <v>37</v>
      </c>
      <c r="H44" s="18">
        <v>154</v>
      </c>
      <c r="I44" s="18" t="s">
        <v>637</v>
      </c>
      <c r="J44" s="18" t="s">
        <v>890</v>
      </c>
      <c r="K44" s="18" t="s">
        <v>920</v>
      </c>
    </row>
    <row r="45" spans="1:12" ht="13">
      <c r="A45" s="18" t="s">
        <v>504</v>
      </c>
      <c r="B45" s="18" t="s">
        <v>887</v>
      </c>
      <c r="C45" s="18" t="s">
        <v>888</v>
      </c>
      <c r="D45" s="18" t="s">
        <v>889</v>
      </c>
      <c r="E45" s="18">
        <v>2016</v>
      </c>
      <c r="F45" s="18">
        <v>63</v>
      </c>
      <c r="G45" s="18">
        <v>36</v>
      </c>
      <c r="H45" s="18">
        <v>157</v>
      </c>
      <c r="I45" s="18" t="s">
        <v>637</v>
      </c>
      <c r="J45" s="18" t="s">
        <v>890</v>
      </c>
      <c r="K45" s="18" t="s">
        <v>921</v>
      </c>
    </row>
    <row r="46" spans="1:12" ht="13">
      <c r="A46" s="18" t="s">
        <v>504</v>
      </c>
      <c r="B46" s="18" t="s">
        <v>887</v>
      </c>
      <c r="C46" s="18" t="s">
        <v>888</v>
      </c>
      <c r="D46" s="18" t="s">
        <v>889</v>
      </c>
      <c r="E46" s="18">
        <v>2017</v>
      </c>
      <c r="F46" s="18">
        <v>65</v>
      </c>
      <c r="G46" s="18">
        <v>36</v>
      </c>
      <c r="H46" s="18">
        <v>161</v>
      </c>
      <c r="I46" s="18" t="s">
        <v>637</v>
      </c>
      <c r="J46" s="18" t="s">
        <v>890</v>
      </c>
      <c r="K46" s="18" t="s">
        <v>922</v>
      </c>
    </row>
    <row r="47" spans="1:12" ht="13">
      <c r="A47" s="18" t="s">
        <v>292</v>
      </c>
      <c r="B47" s="18" t="s">
        <v>923</v>
      </c>
      <c r="C47" s="18" t="s">
        <v>924</v>
      </c>
      <c r="D47" s="18" t="s">
        <v>925</v>
      </c>
      <c r="E47" s="18">
        <v>2000</v>
      </c>
      <c r="F47" s="18">
        <v>1793</v>
      </c>
      <c r="G47" s="18" t="s">
        <v>402</v>
      </c>
      <c r="H47" s="18" t="s">
        <v>402</v>
      </c>
      <c r="I47" s="18" t="s">
        <v>637</v>
      </c>
      <c r="J47" s="18" t="s">
        <v>611</v>
      </c>
      <c r="K47" s="18" t="s">
        <v>513</v>
      </c>
      <c r="L47" s="18" t="s">
        <v>926</v>
      </c>
    </row>
    <row r="48" spans="1:12" ht="13">
      <c r="A48" s="18" t="s">
        <v>292</v>
      </c>
      <c r="B48" s="18" t="s">
        <v>923</v>
      </c>
      <c r="C48" s="18" t="s">
        <v>924</v>
      </c>
      <c r="D48" s="18" t="s">
        <v>925</v>
      </c>
      <c r="E48" s="18">
        <v>2000</v>
      </c>
      <c r="F48" s="18">
        <v>2439</v>
      </c>
      <c r="G48" s="18" t="s">
        <v>402</v>
      </c>
      <c r="H48" s="18" t="s">
        <v>402</v>
      </c>
      <c r="I48" s="18" t="s">
        <v>637</v>
      </c>
      <c r="J48" s="18" t="s">
        <v>611</v>
      </c>
      <c r="K48" s="18" t="s">
        <v>927</v>
      </c>
    </row>
    <row r="49" spans="1:11" ht="13">
      <c r="A49" s="18" t="s">
        <v>292</v>
      </c>
      <c r="B49" s="18" t="s">
        <v>923</v>
      </c>
      <c r="C49" s="18" t="s">
        <v>924</v>
      </c>
      <c r="D49" s="18" t="s">
        <v>925</v>
      </c>
      <c r="E49" s="18">
        <v>2001</v>
      </c>
      <c r="F49" s="18">
        <v>2294</v>
      </c>
      <c r="G49" s="18" t="s">
        <v>402</v>
      </c>
      <c r="H49" s="18" t="s">
        <v>402</v>
      </c>
      <c r="I49" s="18" t="s">
        <v>637</v>
      </c>
      <c r="J49" s="18" t="s">
        <v>611</v>
      </c>
      <c r="K49" s="18" t="s">
        <v>928</v>
      </c>
    </row>
    <row r="50" spans="1:11" ht="13">
      <c r="A50" s="18" t="s">
        <v>292</v>
      </c>
      <c r="B50" s="18" t="s">
        <v>923</v>
      </c>
      <c r="C50" s="18" t="s">
        <v>924</v>
      </c>
      <c r="D50" s="18" t="s">
        <v>925</v>
      </c>
      <c r="E50" s="18">
        <v>2002</v>
      </c>
      <c r="F50" s="18">
        <v>2296</v>
      </c>
      <c r="G50" s="18" t="s">
        <v>402</v>
      </c>
      <c r="H50" s="18" t="s">
        <v>402</v>
      </c>
      <c r="I50" s="18" t="s">
        <v>637</v>
      </c>
      <c r="J50" s="18" t="s">
        <v>611</v>
      </c>
      <c r="K50" s="18" t="s">
        <v>929</v>
      </c>
    </row>
    <row r="51" spans="1:11" ht="13">
      <c r="A51" s="18" t="s">
        <v>292</v>
      </c>
      <c r="B51" s="18" t="s">
        <v>923</v>
      </c>
      <c r="C51" s="18" t="s">
        <v>924</v>
      </c>
      <c r="D51" s="18" t="s">
        <v>925</v>
      </c>
      <c r="E51" s="18">
        <v>2003</v>
      </c>
      <c r="F51" s="18">
        <v>2722</v>
      </c>
      <c r="G51" s="18" t="s">
        <v>402</v>
      </c>
      <c r="H51" s="18" t="s">
        <v>402</v>
      </c>
      <c r="I51" s="18" t="s">
        <v>637</v>
      </c>
      <c r="J51" s="18" t="s">
        <v>611</v>
      </c>
      <c r="K51" s="18" t="s">
        <v>930</v>
      </c>
    </row>
    <row r="52" spans="1:11" ht="13">
      <c r="A52" s="18" t="s">
        <v>292</v>
      </c>
      <c r="B52" s="18" t="s">
        <v>923</v>
      </c>
      <c r="C52" s="18" t="s">
        <v>872</v>
      </c>
      <c r="D52" s="18" t="s">
        <v>931</v>
      </c>
      <c r="E52" s="18">
        <v>1999</v>
      </c>
      <c r="F52" s="18">
        <v>1785</v>
      </c>
      <c r="G52" s="18">
        <v>1231</v>
      </c>
      <c r="H52" s="18">
        <v>2779</v>
      </c>
      <c r="I52" s="18" t="s">
        <v>637</v>
      </c>
      <c r="J52" s="18" t="s">
        <v>611</v>
      </c>
      <c r="K52" s="18" t="s">
        <v>932</v>
      </c>
    </row>
    <row r="53" spans="1:11" ht="13">
      <c r="A53" s="18" t="s">
        <v>292</v>
      </c>
      <c r="B53" s="18" t="s">
        <v>923</v>
      </c>
      <c r="C53" s="18" t="s">
        <v>872</v>
      </c>
      <c r="D53" s="18" t="s">
        <v>931</v>
      </c>
      <c r="E53" s="18">
        <v>2000</v>
      </c>
      <c r="F53" s="18">
        <v>2447</v>
      </c>
      <c r="G53" s="18">
        <v>1975</v>
      </c>
      <c r="H53" s="18">
        <v>2928</v>
      </c>
      <c r="I53" s="18" t="s">
        <v>637</v>
      </c>
      <c r="J53" s="18" t="s">
        <v>611</v>
      </c>
      <c r="K53" s="18" t="s">
        <v>527</v>
      </c>
    </row>
    <row r="54" spans="1:11" ht="13">
      <c r="A54" s="18" t="s">
        <v>292</v>
      </c>
      <c r="B54" s="18" t="s">
        <v>923</v>
      </c>
      <c r="C54" s="18" t="s">
        <v>872</v>
      </c>
      <c r="D54" s="18" t="s">
        <v>931</v>
      </c>
      <c r="E54" s="18">
        <v>2001</v>
      </c>
      <c r="F54" s="18">
        <v>2286</v>
      </c>
      <c r="G54" s="18">
        <v>1781</v>
      </c>
      <c r="H54" s="18">
        <v>2791</v>
      </c>
      <c r="I54" s="18" t="s">
        <v>637</v>
      </c>
      <c r="J54" s="18" t="s">
        <v>611</v>
      </c>
      <c r="K54" s="18" t="s">
        <v>933</v>
      </c>
    </row>
    <row r="55" spans="1:11" ht="13">
      <c r="A55" s="18" t="s">
        <v>292</v>
      </c>
      <c r="B55" s="18" t="s">
        <v>923</v>
      </c>
      <c r="C55" s="18" t="s">
        <v>872</v>
      </c>
      <c r="D55" s="18" t="s">
        <v>931</v>
      </c>
      <c r="E55" s="18">
        <v>2002</v>
      </c>
      <c r="F55" s="18">
        <v>2402</v>
      </c>
      <c r="G55" s="18">
        <v>1905</v>
      </c>
      <c r="H55" s="18">
        <v>2907</v>
      </c>
      <c r="I55" s="18" t="s">
        <v>637</v>
      </c>
      <c r="J55" s="18" t="s">
        <v>611</v>
      </c>
      <c r="K55" s="18" t="s">
        <v>934</v>
      </c>
    </row>
    <row r="56" spans="1:11" ht="13">
      <c r="A56" s="18" t="s">
        <v>292</v>
      </c>
      <c r="B56" s="18" t="s">
        <v>923</v>
      </c>
      <c r="C56" s="18" t="s">
        <v>872</v>
      </c>
      <c r="D56" s="18" t="s">
        <v>931</v>
      </c>
      <c r="E56" s="18">
        <v>2003</v>
      </c>
      <c r="F56" s="18">
        <v>2803</v>
      </c>
      <c r="G56" s="18">
        <v>2258</v>
      </c>
      <c r="H56" s="18">
        <v>3349</v>
      </c>
      <c r="I56" s="18" t="s">
        <v>637</v>
      </c>
      <c r="J56" s="18" t="s">
        <v>611</v>
      </c>
      <c r="K56" s="18" t="s">
        <v>935</v>
      </c>
    </row>
    <row r="57" spans="1:11" ht="13">
      <c r="A57" s="18" t="s">
        <v>292</v>
      </c>
      <c r="B57" s="18" t="s">
        <v>923</v>
      </c>
      <c r="C57" s="18" t="s">
        <v>872</v>
      </c>
      <c r="D57" s="18" t="s">
        <v>936</v>
      </c>
      <c r="E57" s="18">
        <v>1999</v>
      </c>
      <c r="F57" s="18">
        <v>946</v>
      </c>
      <c r="G57" s="18">
        <v>710</v>
      </c>
      <c r="H57" s="18">
        <v>1239</v>
      </c>
      <c r="I57" s="18" t="s">
        <v>637</v>
      </c>
      <c r="J57" s="18" t="s">
        <v>937</v>
      </c>
      <c r="K57" s="18" t="s">
        <v>938</v>
      </c>
    </row>
    <row r="58" spans="1:11" ht="13">
      <c r="A58" s="18" t="s">
        <v>292</v>
      </c>
      <c r="B58" s="18" t="s">
        <v>923</v>
      </c>
      <c r="C58" s="18" t="s">
        <v>872</v>
      </c>
      <c r="D58" s="18" t="s">
        <v>936</v>
      </c>
      <c r="E58" s="18">
        <v>2000</v>
      </c>
      <c r="F58" s="18">
        <v>1241</v>
      </c>
      <c r="G58" s="18">
        <v>981</v>
      </c>
      <c r="H58" s="18">
        <v>1535</v>
      </c>
      <c r="I58" s="18" t="s">
        <v>637</v>
      </c>
      <c r="J58" s="18" t="s">
        <v>937</v>
      </c>
      <c r="K58" s="18" t="s">
        <v>939</v>
      </c>
    </row>
    <row r="59" spans="1:11" ht="13">
      <c r="A59" s="18" t="s">
        <v>292</v>
      </c>
      <c r="B59" s="18" t="s">
        <v>923</v>
      </c>
      <c r="C59" s="18" t="s">
        <v>872</v>
      </c>
      <c r="D59" s="18" t="s">
        <v>936</v>
      </c>
      <c r="E59" s="18">
        <v>2001</v>
      </c>
      <c r="F59" s="18">
        <v>1423</v>
      </c>
      <c r="G59" s="18">
        <v>1186</v>
      </c>
      <c r="H59" s="18">
        <v>1716</v>
      </c>
      <c r="I59" s="18" t="s">
        <v>637</v>
      </c>
      <c r="J59" s="18" t="s">
        <v>937</v>
      </c>
      <c r="K59" s="18" t="s">
        <v>940</v>
      </c>
    </row>
    <row r="60" spans="1:11" ht="13">
      <c r="A60" s="18" t="s">
        <v>292</v>
      </c>
      <c r="B60" s="18" t="s">
        <v>923</v>
      </c>
      <c r="C60" s="18" t="s">
        <v>872</v>
      </c>
      <c r="D60" s="18" t="s">
        <v>936</v>
      </c>
      <c r="E60" s="18">
        <v>2002</v>
      </c>
      <c r="F60" s="18">
        <v>1628</v>
      </c>
      <c r="G60" s="18">
        <v>1335</v>
      </c>
      <c r="H60" s="18">
        <v>1946</v>
      </c>
      <c r="I60" s="18" t="s">
        <v>637</v>
      </c>
      <c r="J60" s="18" t="s">
        <v>937</v>
      </c>
      <c r="K60" s="18" t="s">
        <v>941</v>
      </c>
    </row>
    <row r="61" spans="1:11" ht="13">
      <c r="A61" s="18" t="s">
        <v>292</v>
      </c>
      <c r="B61" s="18" t="s">
        <v>923</v>
      </c>
      <c r="C61" s="18" t="s">
        <v>872</v>
      </c>
      <c r="D61" s="18" t="s">
        <v>936</v>
      </c>
      <c r="E61" s="18">
        <v>2003</v>
      </c>
      <c r="F61" s="18">
        <v>1850</v>
      </c>
      <c r="G61" s="18">
        <v>1492</v>
      </c>
      <c r="H61" s="18">
        <v>2233</v>
      </c>
      <c r="I61" s="18" t="s">
        <v>637</v>
      </c>
      <c r="J61" s="18" t="s">
        <v>937</v>
      </c>
      <c r="K61" s="18" t="s">
        <v>942</v>
      </c>
    </row>
    <row r="62" spans="1:11" ht="13">
      <c r="A62" s="18" t="s">
        <v>292</v>
      </c>
      <c r="B62" s="18" t="s">
        <v>923</v>
      </c>
      <c r="C62" s="18" t="s">
        <v>924</v>
      </c>
      <c r="D62" s="18" t="s">
        <v>943</v>
      </c>
      <c r="E62" s="18">
        <v>1999</v>
      </c>
      <c r="F62" s="18">
        <v>962</v>
      </c>
      <c r="G62" s="18" t="s">
        <v>402</v>
      </c>
      <c r="H62" s="18" t="s">
        <v>402</v>
      </c>
      <c r="I62" s="18" t="s">
        <v>637</v>
      </c>
      <c r="J62" s="18" t="s">
        <v>937</v>
      </c>
      <c r="K62" s="18" t="s">
        <v>944</v>
      </c>
    </row>
    <row r="63" spans="1:11" ht="13">
      <c r="A63" s="18" t="s">
        <v>292</v>
      </c>
      <c r="B63" s="18" t="s">
        <v>923</v>
      </c>
      <c r="C63" s="18" t="s">
        <v>924</v>
      </c>
      <c r="D63" s="18" t="s">
        <v>943</v>
      </c>
      <c r="E63" s="18">
        <v>2000</v>
      </c>
      <c r="F63" s="18">
        <v>1201</v>
      </c>
      <c r="G63" s="18" t="s">
        <v>402</v>
      </c>
      <c r="H63" s="18" t="s">
        <v>402</v>
      </c>
      <c r="I63" s="18" t="s">
        <v>637</v>
      </c>
      <c r="J63" s="18" t="s">
        <v>937</v>
      </c>
      <c r="K63" s="18" t="s">
        <v>945</v>
      </c>
    </row>
    <row r="64" spans="1:11" ht="13">
      <c r="A64" s="18" t="s">
        <v>292</v>
      </c>
      <c r="B64" s="18" t="s">
        <v>923</v>
      </c>
      <c r="C64" s="18" t="s">
        <v>924</v>
      </c>
      <c r="D64" s="18" t="s">
        <v>943</v>
      </c>
      <c r="E64" s="18">
        <v>2001</v>
      </c>
      <c r="F64" s="18">
        <v>1398</v>
      </c>
      <c r="G64" s="18" t="s">
        <v>402</v>
      </c>
      <c r="H64" s="18" t="s">
        <v>402</v>
      </c>
      <c r="I64" s="18" t="s">
        <v>637</v>
      </c>
      <c r="J64" s="18" t="s">
        <v>937</v>
      </c>
      <c r="K64" s="18" t="s">
        <v>946</v>
      </c>
    </row>
    <row r="65" spans="1:12" ht="13">
      <c r="A65" s="18" t="s">
        <v>292</v>
      </c>
      <c r="B65" s="18" t="s">
        <v>923</v>
      </c>
      <c r="C65" s="18" t="s">
        <v>924</v>
      </c>
      <c r="D65" s="18" t="s">
        <v>943</v>
      </c>
      <c r="E65" s="18">
        <v>2002</v>
      </c>
      <c r="F65" s="18">
        <v>1596</v>
      </c>
      <c r="G65" s="18" t="s">
        <v>402</v>
      </c>
      <c r="H65" s="18" t="s">
        <v>402</v>
      </c>
      <c r="I65" s="18" t="s">
        <v>637</v>
      </c>
      <c r="J65" s="18" t="s">
        <v>937</v>
      </c>
      <c r="K65" s="18" t="s">
        <v>947</v>
      </c>
    </row>
    <row r="66" spans="1:12" ht="13">
      <c r="A66" s="18" t="s">
        <v>292</v>
      </c>
      <c r="B66" s="18" t="s">
        <v>923</v>
      </c>
      <c r="C66" s="18" t="s">
        <v>924</v>
      </c>
      <c r="D66" s="18" t="s">
        <v>943</v>
      </c>
      <c r="E66" s="18">
        <v>2003</v>
      </c>
      <c r="F66" s="18">
        <v>1801</v>
      </c>
      <c r="G66" s="18" t="s">
        <v>402</v>
      </c>
      <c r="H66" s="18" t="s">
        <v>402</v>
      </c>
      <c r="I66" s="18" t="s">
        <v>637</v>
      </c>
      <c r="J66" s="18" t="s">
        <v>937</v>
      </c>
      <c r="K66" s="18" t="s">
        <v>948</v>
      </c>
    </row>
    <row r="67" spans="1:12" ht="13">
      <c r="A67" s="18" t="s">
        <v>292</v>
      </c>
      <c r="B67" s="18" t="s">
        <v>923</v>
      </c>
      <c r="C67" s="18" t="s">
        <v>924</v>
      </c>
      <c r="D67" s="18" t="s">
        <v>949</v>
      </c>
      <c r="E67" s="18">
        <v>1999</v>
      </c>
      <c r="F67" s="18">
        <v>840</v>
      </c>
      <c r="G67" s="18" t="s">
        <v>402</v>
      </c>
      <c r="H67" s="18" t="s">
        <v>402</v>
      </c>
      <c r="I67" s="18" t="s">
        <v>637</v>
      </c>
      <c r="J67" s="18" t="s">
        <v>950</v>
      </c>
      <c r="K67" s="18" t="s">
        <v>951</v>
      </c>
    </row>
    <row r="68" spans="1:12" ht="13">
      <c r="A68" s="18" t="s">
        <v>292</v>
      </c>
      <c r="B68" s="18" t="s">
        <v>923</v>
      </c>
      <c r="C68" s="18" t="s">
        <v>924</v>
      </c>
      <c r="D68" s="18" t="s">
        <v>949</v>
      </c>
      <c r="E68" s="18">
        <v>2000</v>
      </c>
      <c r="F68" s="18">
        <v>1127</v>
      </c>
      <c r="G68" s="18" t="s">
        <v>402</v>
      </c>
      <c r="H68" s="18" t="s">
        <v>402</v>
      </c>
      <c r="I68" s="18" t="s">
        <v>637</v>
      </c>
      <c r="J68" s="18" t="s">
        <v>950</v>
      </c>
      <c r="K68" s="18" t="s">
        <v>952</v>
      </c>
    </row>
    <row r="69" spans="1:12" ht="13">
      <c r="A69" s="18" t="s">
        <v>292</v>
      </c>
      <c r="B69" s="18" t="s">
        <v>923</v>
      </c>
      <c r="C69" s="18" t="s">
        <v>924</v>
      </c>
      <c r="D69" s="18" t="s">
        <v>949</v>
      </c>
      <c r="E69" s="18">
        <v>2001</v>
      </c>
      <c r="F69" s="18">
        <v>1317</v>
      </c>
      <c r="G69" s="18" t="s">
        <v>402</v>
      </c>
      <c r="H69" s="18" t="s">
        <v>402</v>
      </c>
      <c r="I69" s="18" t="s">
        <v>637</v>
      </c>
      <c r="J69" s="18" t="s">
        <v>950</v>
      </c>
      <c r="K69" s="18" t="s">
        <v>953</v>
      </c>
    </row>
    <row r="70" spans="1:12" ht="13">
      <c r="A70" s="18" t="s">
        <v>292</v>
      </c>
      <c r="B70" s="18" t="s">
        <v>923</v>
      </c>
      <c r="C70" s="18" t="s">
        <v>924</v>
      </c>
      <c r="D70" s="18" t="s">
        <v>949</v>
      </c>
      <c r="E70" s="18">
        <v>2002</v>
      </c>
      <c r="F70" s="18">
        <v>1482</v>
      </c>
      <c r="G70" s="18" t="s">
        <v>402</v>
      </c>
      <c r="H70" s="18" t="s">
        <v>402</v>
      </c>
      <c r="I70" s="18" t="s">
        <v>637</v>
      </c>
      <c r="J70" s="18" t="s">
        <v>950</v>
      </c>
      <c r="K70" s="18" t="s">
        <v>954</v>
      </c>
    </row>
    <row r="71" spans="1:12" ht="13">
      <c r="A71" s="18" t="s">
        <v>292</v>
      </c>
      <c r="B71" s="18" t="s">
        <v>923</v>
      </c>
      <c r="C71" s="18" t="s">
        <v>924</v>
      </c>
      <c r="D71" s="18" t="s">
        <v>955</v>
      </c>
      <c r="E71" s="18">
        <v>1999</v>
      </c>
      <c r="F71" s="18">
        <v>1598</v>
      </c>
      <c r="G71" s="18">
        <v>1296</v>
      </c>
      <c r="H71" s="18">
        <v>1907</v>
      </c>
      <c r="I71" s="18" t="s">
        <v>637</v>
      </c>
      <c r="J71" s="18" t="s">
        <v>956</v>
      </c>
      <c r="K71" s="18" t="s">
        <v>954</v>
      </c>
    </row>
    <row r="72" spans="1:12" ht="13">
      <c r="A72" s="18" t="s">
        <v>292</v>
      </c>
      <c r="B72" s="18" t="s">
        <v>923</v>
      </c>
      <c r="C72" s="18" t="s">
        <v>924</v>
      </c>
      <c r="D72" s="18" t="s">
        <v>955</v>
      </c>
      <c r="E72" s="18">
        <v>2000</v>
      </c>
      <c r="F72" s="18">
        <v>1567</v>
      </c>
      <c r="G72" s="18">
        <v>1307</v>
      </c>
      <c r="H72" s="18">
        <v>1877</v>
      </c>
      <c r="I72" s="18" t="s">
        <v>637</v>
      </c>
      <c r="J72" s="18" t="s">
        <v>956</v>
      </c>
      <c r="K72" s="18" t="s">
        <v>957</v>
      </c>
    </row>
    <row r="73" spans="1:12" ht="13">
      <c r="A73" s="18" t="s">
        <v>292</v>
      </c>
      <c r="B73" s="18" t="s">
        <v>923</v>
      </c>
      <c r="C73" s="18" t="s">
        <v>924</v>
      </c>
      <c r="D73" s="18" t="s">
        <v>955</v>
      </c>
      <c r="E73" s="18">
        <v>2001</v>
      </c>
      <c r="F73" s="18">
        <v>1748</v>
      </c>
      <c r="G73" s="18">
        <v>1496</v>
      </c>
      <c r="H73" s="18">
        <v>1993</v>
      </c>
      <c r="I73" s="18" t="s">
        <v>637</v>
      </c>
      <c r="J73" s="18" t="s">
        <v>956</v>
      </c>
      <c r="K73" s="18" t="s">
        <v>958</v>
      </c>
    </row>
    <row r="74" spans="1:12" ht="13">
      <c r="A74" s="18" t="s">
        <v>292</v>
      </c>
      <c r="B74" s="18" t="s">
        <v>923</v>
      </c>
      <c r="C74" s="18" t="s">
        <v>924</v>
      </c>
      <c r="D74" s="18" t="s">
        <v>955</v>
      </c>
      <c r="E74" s="18">
        <v>2003</v>
      </c>
      <c r="F74" s="18">
        <v>1718</v>
      </c>
      <c r="G74" s="18" t="s">
        <v>402</v>
      </c>
      <c r="H74" s="18">
        <v>1970</v>
      </c>
      <c r="I74" s="18" t="s">
        <v>637</v>
      </c>
      <c r="J74" s="18" t="s">
        <v>956</v>
      </c>
      <c r="K74" s="18" t="s">
        <v>959</v>
      </c>
    </row>
    <row r="75" spans="1:12" ht="13">
      <c r="A75" s="18" t="s">
        <v>516</v>
      </c>
      <c r="B75" s="18" t="s">
        <v>960</v>
      </c>
      <c r="C75" s="18" t="s">
        <v>961</v>
      </c>
      <c r="D75" s="18" t="s">
        <v>962</v>
      </c>
      <c r="E75" s="48">
        <v>2007</v>
      </c>
      <c r="F75" s="48">
        <v>192</v>
      </c>
      <c r="G75" s="30" t="s">
        <v>402</v>
      </c>
      <c r="H75" s="30" t="s">
        <v>402</v>
      </c>
      <c r="I75" s="18" t="s">
        <v>637</v>
      </c>
      <c r="J75" s="18" t="s">
        <v>690</v>
      </c>
      <c r="K75" s="18" t="s">
        <v>521</v>
      </c>
      <c r="L75" s="18" t="s">
        <v>963</v>
      </c>
    </row>
    <row r="76" spans="1:12" ht="13">
      <c r="A76" s="18" t="s">
        <v>516</v>
      </c>
      <c r="B76" s="18" t="s">
        <v>960</v>
      </c>
      <c r="C76" s="18" t="s">
        <v>961</v>
      </c>
      <c r="D76" s="18" t="s">
        <v>962</v>
      </c>
      <c r="E76" s="48">
        <v>2008</v>
      </c>
      <c r="F76" s="48">
        <v>159</v>
      </c>
      <c r="G76" s="30" t="s">
        <v>402</v>
      </c>
      <c r="H76" s="30" t="s">
        <v>402</v>
      </c>
      <c r="I76" s="18" t="s">
        <v>637</v>
      </c>
      <c r="J76" s="18" t="s">
        <v>690</v>
      </c>
      <c r="K76" s="18" t="s">
        <v>521</v>
      </c>
    </row>
    <row r="77" spans="1:12" ht="13">
      <c r="A77" s="18" t="s">
        <v>516</v>
      </c>
      <c r="B77" s="18" t="s">
        <v>960</v>
      </c>
      <c r="C77" s="18" t="s">
        <v>961</v>
      </c>
      <c r="D77" s="18" t="s">
        <v>962</v>
      </c>
      <c r="E77" s="48">
        <v>2011</v>
      </c>
      <c r="F77" s="48">
        <v>184</v>
      </c>
      <c r="G77" s="30" t="s">
        <v>402</v>
      </c>
      <c r="H77" s="30" t="s">
        <v>402</v>
      </c>
      <c r="I77" s="18" t="s">
        <v>637</v>
      </c>
      <c r="J77" s="18" t="s">
        <v>690</v>
      </c>
      <c r="K77" s="18" t="s">
        <v>521</v>
      </c>
    </row>
    <row r="78" spans="1:12" ht="13">
      <c r="A78" s="18" t="s">
        <v>516</v>
      </c>
      <c r="B78" s="18" t="s">
        <v>960</v>
      </c>
      <c r="C78" s="18" t="s">
        <v>961</v>
      </c>
      <c r="D78" s="18" t="s">
        <v>962</v>
      </c>
      <c r="E78" s="48">
        <v>2012</v>
      </c>
      <c r="F78" s="48">
        <v>130</v>
      </c>
      <c r="G78" s="30" t="s">
        <v>402</v>
      </c>
      <c r="H78" s="30" t="s">
        <v>402</v>
      </c>
      <c r="I78" s="18" t="s">
        <v>637</v>
      </c>
      <c r="J78" s="18" t="s">
        <v>690</v>
      </c>
      <c r="K78" s="18" t="s">
        <v>521</v>
      </c>
    </row>
    <row r="79" spans="1:12" ht="13">
      <c r="A79" s="18" t="s">
        <v>516</v>
      </c>
      <c r="B79" s="18" t="s">
        <v>960</v>
      </c>
      <c r="C79" s="18" t="s">
        <v>961</v>
      </c>
      <c r="D79" s="18" t="s">
        <v>962</v>
      </c>
      <c r="E79" s="48">
        <v>2014</v>
      </c>
      <c r="F79" s="48">
        <v>141</v>
      </c>
      <c r="G79" s="30" t="s">
        <v>402</v>
      </c>
      <c r="H79" s="30" t="s">
        <v>402</v>
      </c>
      <c r="I79" s="18" t="s">
        <v>637</v>
      </c>
      <c r="J79" s="18" t="s">
        <v>690</v>
      </c>
      <c r="K79" s="18" t="s">
        <v>521</v>
      </c>
    </row>
    <row r="80" spans="1:12" ht="13">
      <c r="A80" s="18" t="s">
        <v>516</v>
      </c>
      <c r="B80" s="18" t="s">
        <v>960</v>
      </c>
      <c r="C80" s="18" t="s">
        <v>961</v>
      </c>
      <c r="D80" s="18" t="s">
        <v>962</v>
      </c>
      <c r="E80" s="48">
        <v>2015</v>
      </c>
      <c r="F80" s="48">
        <v>133</v>
      </c>
      <c r="G80" s="30" t="s">
        <v>402</v>
      </c>
      <c r="H80" s="30" t="s">
        <v>402</v>
      </c>
      <c r="I80" s="18" t="s">
        <v>637</v>
      </c>
      <c r="J80" s="18" t="s">
        <v>690</v>
      </c>
      <c r="K80" s="18" t="s">
        <v>521</v>
      </c>
    </row>
    <row r="81" spans="1:12" ht="13">
      <c r="A81" s="18" t="s">
        <v>516</v>
      </c>
      <c r="B81" s="18" t="s">
        <v>960</v>
      </c>
      <c r="C81" s="18" t="s">
        <v>961</v>
      </c>
      <c r="D81" s="18" t="s">
        <v>964</v>
      </c>
      <c r="E81" s="48">
        <v>2007</v>
      </c>
      <c r="F81" s="48">
        <v>197</v>
      </c>
      <c r="G81" s="30" t="s">
        <v>402</v>
      </c>
      <c r="H81" s="30">
        <v>203</v>
      </c>
      <c r="I81" s="18" t="s">
        <v>637</v>
      </c>
      <c r="J81" s="18" t="s">
        <v>965</v>
      </c>
      <c r="K81" s="18" t="s">
        <v>521</v>
      </c>
      <c r="L81" s="18" t="s">
        <v>966</v>
      </c>
    </row>
    <row r="82" spans="1:12" ht="13">
      <c r="A82" s="18" t="s">
        <v>516</v>
      </c>
      <c r="B82" s="18" t="s">
        <v>960</v>
      </c>
      <c r="C82" s="18" t="s">
        <v>961</v>
      </c>
      <c r="D82" s="18" t="s">
        <v>964</v>
      </c>
      <c r="E82" s="75">
        <v>2008</v>
      </c>
      <c r="F82" s="75">
        <v>161</v>
      </c>
      <c r="G82" t="s">
        <v>402</v>
      </c>
      <c r="H82" t="s">
        <v>402</v>
      </c>
      <c r="I82" s="18" t="s">
        <v>637</v>
      </c>
      <c r="J82" s="18" t="s">
        <v>965</v>
      </c>
      <c r="K82" s="18" t="s">
        <v>521</v>
      </c>
    </row>
    <row r="83" spans="1:12" ht="13">
      <c r="A83" s="18" t="s">
        <v>516</v>
      </c>
      <c r="B83" s="18" t="s">
        <v>960</v>
      </c>
      <c r="C83" s="18" t="s">
        <v>961</v>
      </c>
      <c r="D83" s="18" t="s">
        <v>964</v>
      </c>
      <c r="E83" s="75">
        <v>2009</v>
      </c>
      <c r="F83" s="75">
        <v>221</v>
      </c>
      <c r="G83" s="75">
        <v>195</v>
      </c>
      <c r="H83" s="75">
        <v>247</v>
      </c>
      <c r="I83" s="18" t="s">
        <v>637</v>
      </c>
      <c r="J83" s="18" t="s">
        <v>965</v>
      </c>
      <c r="K83" s="18" t="s">
        <v>521</v>
      </c>
    </row>
    <row r="84" spans="1:12" ht="13">
      <c r="A84" s="18" t="s">
        <v>516</v>
      </c>
      <c r="B84" s="18" t="s">
        <v>960</v>
      </c>
      <c r="C84" s="18" t="s">
        <v>961</v>
      </c>
      <c r="D84" s="18" t="s">
        <v>964</v>
      </c>
      <c r="E84" s="75">
        <v>2011</v>
      </c>
      <c r="F84" s="75">
        <v>173</v>
      </c>
      <c r="G84" s="75">
        <v>164</v>
      </c>
      <c r="H84" s="75">
        <v>181</v>
      </c>
      <c r="I84" s="18" t="s">
        <v>637</v>
      </c>
      <c r="J84" s="18" t="s">
        <v>965</v>
      </c>
      <c r="K84" s="18" t="s">
        <v>521</v>
      </c>
    </row>
    <row r="85" spans="1:12" ht="13">
      <c r="A85" s="18" t="s">
        <v>516</v>
      </c>
      <c r="B85" s="18" t="s">
        <v>960</v>
      </c>
      <c r="C85" s="18" t="s">
        <v>961</v>
      </c>
      <c r="D85" s="18" t="s">
        <v>964</v>
      </c>
      <c r="E85" s="75">
        <v>2012</v>
      </c>
      <c r="F85" s="75">
        <v>127</v>
      </c>
      <c r="G85" t="s">
        <v>402</v>
      </c>
      <c r="H85" t="s">
        <v>402</v>
      </c>
      <c r="I85" s="18" t="s">
        <v>637</v>
      </c>
      <c r="J85" s="18" t="s">
        <v>965</v>
      </c>
      <c r="K85" s="18" t="s">
        <v>521</v>
      </c>
    </row>
    <row r="86" spans="1:12" ht="13">
      <c r="A86" s="18" t="s">
        <v>516</v>
      </c>
      <c r="B86" s="18" t="s">
        <v>960</v>
      </c>
      <c r="C86" s="18" t="s">
        <v>961</v>
      </c>
      <c r="D86" s="18" t="s">
        <v>964</v>
      </c>
      <c r="E86" s="75">
        <v>2014</v>
      </c>
      <c r="F86" s="75">
        <v>139</v>
      </c>
      <c r="G86" t="s">
        <v>402</v>
      </c>
      <c r="H86" t="s">
        <v>402</v>
      </c>
      <c r="I86" s="18" t="s">
        <v>637</v>
      </c>
      <c r="J86" s="18" t="s">
        <v>965</v>
      </c>
      <c r="K86" s="18" t="s">
        <v>521</v>
      </c>
    </row>
    <row r="87" spans="1:12" ht="13">
      <c r="A87" s="18" t="s">
        <v>516</v>
      </c>
      <c r="B87" s="18" t="s">
        <v>960</v>
      </c>
      <c r="C87" s="18" t="s">
        <v>961</v>
      </c>
      <c r="D87" s="18" t="s">
        <v>964</v>
      </c>
      <c r="E87" s="75">
        <v>2015</v>
      </c>
      <c r="F87" s="75">
        <v>132</v>
      </c>
      <c r="G87" t="s">
        <v>402</v>
      </c>
      <c r="H87" t="s">
        <v>402</v>
      </c>
      <c r="I87" s="18" t="s">
        <v>637</v>
      </c>
      <c r="J87" s="18" t="s">
        <v>965</v>
      </c>
      <c r="K87" s="18" t="s">
        <v>521</v>
      </c>
    </row>
    <row r="88" spans="1:12" ht="13">
      <c r="A88" s="18" t="s">
        <v>516</v>
      </c>
      <c r="B88" s="18" t="s">
        <v>960</v>
      </c>
      <c r="C88" s="18" t="s">
        <v>961</v>
      </c>
      <c r="D88" s="18" t="s">
        <v>964</v>
      </c>
      <c r="E88" s="75">
        <v>2017</v>
      </c>
      <c r="F88" s="75">
        <v>120</v>
      </c>
      <c r="G88" t="s">
        <v>402</v>
      </c>
      <c r="H88" t="s">
        <v>402</v>
      </c>
      <c r="I88" s="18" t="s">
        <v>637</v>
      </c>
      <c r="J88" s="18" t="s">
        <v>965</v>
      </c>
      <c r="K88" s="18" t="s">
        <v>521</v>
      </c>
    </row>
    <row r="89" spans="1:12" ht="13">
      <c r="A89" s="18" t="s">
        <v>516</v>
      </c>
      <c r="B89" s="18" t="s">
        <v>960</v>
      </c>
      <c r="C89" s="18" t="s">
        <v>961</v>
      </c>
      <c r="D89" s="18" t="s">
        <v>964</v>
      </c>
      <c r="E89" s="75">
        <v>2019</v>
      </c>
      <c r="F89" s="75">
        <v>110</v>
      </c>
      <c r="G89" s="75">
        <v>100</v>
      </c>
      <c r="H89" s="75">
        <v>120</v>
      </c>
      <c r="I89" s="18" t="s">
        <v>637</v>
      </c>
      <c r="J89" s="18" t="s">
        <v>965</v>
      </c>
      <c r="K89" s="18" t="s">
        <v>521</v>
      </c>
    </row>
    <row r="90" spans="1:12" ht="13">
      <c r="A90" s="18" t="s">
        <v>516</v>
      </c>
      <c r="B90" s="18" t="s">
        <v>960</v>
      </c>
      <c r="C90" s="18" t="s">
        <v>967</v>
      </c>
      <c r="D90" s="18" t="s">
        <v>968</v>
      </c>
      <c r="E90" s="76">
        <v>2006</v>
      </c>
      <c r="F90" s="76">
        <v>98</v>
      </c>
      <c r="G90" s="76" t="s">
        <v>402</v>
      </c>
      <c r="H90" s="76" t="s">
        <v>402</v>
      </c>
      <c r="I90" s="18" t="s">
        <v>637</v>
      </c>
      <c r="J90" s="18" t="s">
        <v>969</v>
      </c>
      <c r="K90" s="18" t="s">
        <v>521</v>
      </c>
      <c r="L90" s="18" t="s">
        <v>970</v>
      </c>
    </row>
    <row r="91" spans="1:12" ht="13">
      <c r="A91" s="18" t="s">
        <v>516</v>
      </c>
      <c r="B91" s="18" t="s">
        <v>960</v>
      </c>
      <c r="C91" s="18" t="s">
        <v>967</v>
      </c>
      <c r="D91" s="18" t="s">
        <v>968</v>
      </c>
      <c r="E91" s="18">
        <v>2008</v>
      </c>
      <c r="F91" s="18">
        <v>92</v>
      </c>
      <c r="G91" s="18" t="s">
        <v>402</v>
      </c>
      <c r="H91" s="18" t="s">
        <v>402</v>
      </c>
      <c r="I91" s="18" t="s">
        <v>637</v>
      </c>
      <c r="J91" s="18" t="s">
        <v>969</v>
      </c>
      <c r="K91" s="18" t="s">
        <v>521</v>
      </c>
    </row>
    <row r="92" spans="1:12" ht="13">
      <c r="A92" s="18" t="s">
        <v>516</v>
      </c>
      <c r="B92" s="18" t="s">
        <v>960</v>
      </c>
      <c r="C92" s="18" t="s">
        <v>967</v>
      </c>
      <c r="D92" s="18" t="s">
        <v>968</v>
      </c>
      <c r="E92" s="18">
        <v>2015</v>
      </c>
      <c r="F92" s="18">
        <v>63</v>
      </c>
      <c r="G92" s="18" t="s">
        <v>402</v>
      </c>
      <c r="H92" s="18" t="s">
        <v>402</v>
      </c>
      <c r="I92" s="18" t="s">
        <v>637</v>
      </c>
      <c r="J92" s="18" t="s">
        <v>969</v>
      </c>
      <c r="K92" s="18" t="s">
        <v>521</v>
      </c>
    </row>
    <row r="93" spans="1:12" ht="13">
      <c r="A93" s="18" t="s">
        <v>516</v>
      </c>
      <c r="B93" s="18" t="s">
        <v>960</v>
      </c>
      <c r="C93" s="18" t="s">
        <v>967</v>
      </c>
      <c r="D93" s="18" t="s">
        <v>968</v>
      </c>
      <c r="E93" s="18">
        <v>2019</v>
      </c>
      <c r="F93" s="18">
        <v>70</v>
      </c>
      <c r="G93" s="18" t="s">
        <v>402</v>
      </c>
      <c r="H93" s="18" t="s">
        <v>402</v>
      </c>
      <c r="I93" s="18" t="s">
        <v>637</v>
      </c>
      <c r="J93" s="18" t="s">
        <v>969</v>
      </c>
      <c r="K93" s="18" t="s">
        <v>521</v>
      </c>
    </row>
    <row r="94" spans="1:12" ht="13">
      <c r="A94" s="18" t="s">
        <v>516</v>
      </c>
      <c r="B94" s="18" t="s">
        <v>960</v>
      </c>
      <c r="C94" s="18" t="s">
        <v>967</v>
      </c>
      <c r="D94" s="18" t="s">
        <v>971</v>
      </c>
      <c r="E94" s="48">
        <v>2007</v>
      </c>
      <c r="F94" s="48">
        <v>192</v>
      </c>
      <c r="G94" s="30" t="s">
        <v>402</v>
      </c>
      <c r="H94" s="30" t="s">
        <v>402</v>
      </c>
      <c r="I94" s="18" t="s">
        <v>637</v>
      </c>
      <c r="J94" s="18" t="s">
        <v>969</v>
      </c>
      <c r="K94" s="18" t="s">
        <v>521</v>
      </c>
    </row>
    <row r="95" spans="1:12" ht="13">
      <c r="A95" s="18" t="s">
        <v>516</v>
      </c>
      <c r="B95" s="18" t="s">
        <v>960</v>
      </c>
      <c r="C95" s="18" t="s">
        <v>967</v>
      </c>
      <c r="D95" s="18" t="s">
        <v>971</v>
      </c>
      <c r="E95" s="48">
        <v>2008</v>
      </c>
      <c r="F95" s="48">
        <v>159</v>
      </c>
      <c r="G95" s="30" t="s">
        <v>402</v>
      </c>
      <c r="H95" s="30" t="s">
        <v>402</v>
      </c>
      <c r="I95" s="18" t="s">
        <v>637</v>
      </c>
      <c r="J95" s="18" t="s">
        <v>969</v>
      </c>
      <c r="K95" s="18" t="s">
        <v>521</v>
      </c>
    </row>
    <row r="96" spans="1:12" ht="13">
      <c r="A96" s="18" t="s">
        <v>516</v>
      </c>
      <c r="B96" s="18" t="s">
        <v>960</v>
      </c>
      <c r="C96" s="18" t="s">
        <v>967</v>
      </c>
      <c r="D96" s="18" t="s">
        <v>971</v>
      </c>
      <c r="E96" s="48">
        <v>2011</v>
      </c>
      <c r="F96" s="48">
        <v>184</v>
      </c>
      <c r="G96" s="30" t="s">
        <v>402</v>
      </c>
      <c r="H96" s="30" t="s">
        <v>402</v>
      </c>
      <c r="I96" s="18" t="s">
        <v>637</v>
      </c>
      <c r="J96" s="18" t="s">
        <v>969</v>
      </c>
      <c r="K96" s="18" t="s">
        <v>521</v>
      </c>
    </row>
    <row r="97" spans="1:11" ht="13">
      <c r="A97" s="18" t="s">
        <v>516</v>
      </c>
      <c r="B97" s="18" t="s">
        <v>960</v>
      </c>
      <c r="C97" s="18" t="s">
        <v>967</v>
      </c>
      <c r="D97" s="18" t="s">
        <v>971</v>
      </c>
      <c r="E97" s="48">
        <v>2012</v>
      </c>
      <c r="F97" s="48">
        <v>130</v>
      </c>
      <c r="G97" s="30" t="s">
        <v>402</v>
      </c>
      <c r="H97" s="30" t="s">
        <v>402</v>
      </c>
      <c r="I97" s="18" t="s">
        <v>637</v>
      </c>
      <c r="J97" s="18" t="s">
        <v>969</v>
      </c>
      <c r="K97" s="18" t="s">
        <v>521</v>
      </c>
    </row>
    <row r="98" spans="1:11" ht="13">
      <c r="A98" s="18" t="s">
        <v>516</v>
      </c>
      <c r="B98" s="18" t="s">
        <v>960</v>
      </c>
      <c r="C98" s="18" t="s">
        <v>967</v>
      </c>
      <c r="D98" s="18" t="s">
        <v>971</v>
      </c>
      <c r="E98" s="48">
        <v>2014</v>
      </c>
      <c r="F98" s="48">
        <v>141</v>
      </c>
      <c r="G98" s="30" t="s">
        <v>402</v>
      </c>
      <c r="H98" s="30" t="s">
        <v>402</v>
      </c>
      <c r="I98" s="18" t="s">
        <v>637</v>
      </c>
      <c r="J98" s="18" t="s">
        <v>969</v>
      </c>
      <c r="K98" s="18" t="s">
        <v>521</v>
      </c>
    </row>
    <row r="99" spans="1:11" ht="13">
      <c r="A99" s="18" t="s">
        <v>516</v>
      </c>
      <c r="B99" s="18" t="s">
        <v>960</v>
      </c>
      <c r="C99" s="18" t="s">
        <v>967</v>
      </c>
      <c r="D99" s="18" t="s">
        <v>971</v>
      </c>
      <c r="E99" s="48">
        <v>2015</v>
      </c>
      <c r="F99" s="48">
        <v>133</v>
      </c>
      <c r="G99" s="30" t="s">
        <v>402</v>
      </c>
      <c r="H99" s="30" t="s">
        <v>402</v>
      </c>
      <c r="I99" s="18" t="s">
        <v>637</v>
      </c>
      <c r="J99" s="18" t="s">
        <v>969</v>
      </c>
      <c r="K99" s="18" t="s">
        <v>521</v>
      </c>
    </row>
    <row r="100" spans="1:11" ht="13">
      <c r="A100" s="18" t="s">
        <v>516</v>
      </c>
      <c r="B100" s="18" t="s">
        <v>960</v>
      </c>
      <c r="C100" s="18" t="s">
        <v>972</v>
      </c>
      <c r="D100" s="18" t="s">
        <v>968</v>
      </c>
      <c r="E100" s="18">
        <v>2003</v>
      </c>
      <c r="F100" s="18">
        <v>157</v>
      </c>
      <c r="G100" s="18" t="s">
        <v>402</v>
      </c>
      <c r="H100" s="18" t="s">
        <v>402</v>
      </c>
      <c r="I100" s="18" t="s">
        <v>637</v>
      </c>
      <c r="J100" s="18" t="s">
        <v>969</v>
      </c>
      <c r="K100" s="18" t="s">
        <v>521</v>
      </c>
    </row>
    <row r="101" spans="1:11" ht="13">
      <c r="A101" s="18" t="s">
        <v>516</v>
      </c>
      <c r="B101" s="18" t="s">
        <v>960</v>
      </c>
      <c r="C101" s="18" t="s">
        <v>972</v>
      </c>
      <c r="D101" s="18" t="s">
        <v>968</v>
      </c>
      <c r="E101" s="18">
        <v>2014</v>
      </c>
      <c r="F101" s="18">
        <v>91</v>
      </c>
      <c r="G101" s="18" t="s">
        <v>402</v>
      </c>
      <c r="H101" s="18" t="s">
        <v>402</v>
      </c>
      <c r="I101" s="18" t="s">
        <v>637</v>
      </c>
      <c r="J101" s="18" t="s">
        <v>969</v>
      </c>
      <c r="K101" s="18" t="s">
        <v>521</v>
      </c>
    </row>
    <row r="102" spans="1:11" ht="13">
      <c r="A102" s="18" t="s">
        <v>516</v>
      </c>
      <c r="B102" s="18" t="s">
        <v>960</v>
      </c>
      <c r="C102" s="18" t="s">
        <v>972</v>
      </c>
      <c r="D102" s="18" t="s">
        <v>968</v>
      </c>
      <c r="E102" s="18">
        <v>2015</v>
      </c>
      <c r="F102" s="18">
        <v>89</v>
      </c>
      <c r="G102" s="18" t="s">
        <v>402</v>
      </c>
      <c r="H102" s="18" t="s">
        <v>402</v>
      </c>
      <c r="I102" s="18" t="s">
        <v>637</v>
      </c>
      <c r="J102" s="18" t="s">
        <v>969</v>
      </c>
      <c r="K102" s="18" t="s">
        <v>521</v>
      </c>
    </row>
    <row r="103" spans="1:11" ht="13">
      <c r="A103" s="18" t="s">
        <v>516</v>
      </c>
      <c r="B103" s="18" t="s">
        <v>960</v>
      </c>
      <c r="C103" s="18" t="s">
        <v>972</v>
      </c>
      <c r="D103" s="18" t="s">
        <v>971</v>
      </c>
      <c r="E103" s="18">
        <v>2002</v>
      </c>
      <c r="F103" s="18">
        <v>79</v>
      </c>
      <c r="G103" s="18" t="s">
        <v>402</v>
      </c>
      <c r="H103" s="18" t="s">
        <v>402</v>
      </c>
      <c r="I103" s="18" t="s">
        <v>637</v>
      </c>
      <c r="J103" s="18" t="s">
        <v>969</v>
      </c>
      <c r="K103" s="18" t="s">
        <v>521</v>
      </c>
    </row>
    <row r="104" spans="1:11" ht="13">
      <c r="A104" s="18" t="s">
        <v>516</v>
      </c>
      <c r="B104" s="18" t="s">
        <v>960</v>
      </c>
      <c r="C104" s="18" t="s">
        <v>972</v>
      </c>
      <c r="D104" s="18" t="s">
        <v>971</v>
      </c>
      <c r="E104" s="18">
        <v>2005</v>
      </c>
      <c r="F104" s="18">
        <v>104</v>
      </c>
      <c r="G104" s="18" t="s">
        <v>402</v>
      </c>
      <c r="H104" s="18" t="s">
        <v>402</v>
      </c>
      <c r="I104" s="18" t="s">
        <v>637</v>
      </c>
      <c r="J104" s="18" t="s">
        <v>969</v>
      </c>
      <c r="K104" s="18" t="s">
        <v>521</v>
      </c>
    </row>
    <row r="105" spans="1:11" ht="13">
      <c r="A105" s="18" t="s">
        <v>516</v>
      </c>
      <c r="B105" s="18" t="s">
        <v>960</v>
      </c>
      <c r="C105" s="18" t="s">
        <v>972</v>
      </c>
      <c r="D105" s="18" t="s">
        <v>971</v>
      </c>
      <c r="E105" s="18">
        <v>2006</v>
      </c>
      <c r="F105" s="18">
        <v>86</v>
      </c>
      <c r="G105" s="18" t="s">
        <v>402</v>
      </c>
      <c r="H105" s="18" t="s">
        <v>402</v>
      </c>
      <c r="I105" s="18" t="s">
        <v>637</v>
      </c>
      <c r="J105" s="18" t="s">
        <v>969</v>
      </c>
      <c r="K105" s="18" t="s">
        <v>521</v>
      </c>
    </row>
    <row r="106" spans="1:11" ht="13">
      <c r="A106" s="18" t="s">
        <v>516</v>
      </c>
      <c r="B106" s="18" t="s">
        <v>960</v>
      </c>
      <c r="C106" s="18" t="s">
        <v>972</v>
      </c>
      <c r="D106" s="18" t="s">
        <v>971</v>
      </c>
      <c r="E106" s="18">
        <v>2019</v>
      </c>
      <c r="F106" s="18">
        <v>32</v>
      </c>
      <c r="G106" s="18" t="s">
        <v>402</v>
      </c>
      <c r="H106" s="18" t="s">
        <v>402</v>
      </c>
      <c r="I106" s="18" t="s">
        <v>637</v>
      </c>
      <c r="J106" s="18" t="s">
        <v>969</v>
      </c>
      <c r="K106" s="18" t="s">
        <v>521</v>
      </c>
    </row>
    <row r="107" spans="1:11" ht="13">
      <c r="A107" s="18" t="s">
        <v>516</v>
      </c>
      <c r="B107" s="18" t="s">
        <v>960</v>
      </c>
      <c r="C107" s="18" t="s">
        <v>972</v>
      </c>
      <c r="D107" s="18" t="s">
        <v>973</v>
      </c>
      <c r="E107" s="18">
        <v>2012</v>
      </c>
      <c r="F107" s="18">
        <v>12</v>
      </c>
      <c r="G107" s="18" t="s">
        <v>402</v>
      </c>
      <c r="H107" s="18" t="s">
        <v>402</v>
      </c>
      <c r="I107" s="18" t="s">
        <v>637</v>
      </c>
      <c r="J107" s="18" t="s">
        <v>969</v>
      </c>
      <c r="K107" s="18" t="s">
        <v>521</v>
      </c>
    </row>
    <row r="108" spans="1:11" ht="13">
      <c r="A108" s="18" t="s">
        <v>516</v>
      </c>
      <c r="B108" s="18" t="s">
        <v>960</v>
      </c>
      <c r="C108" s="18" t="s">
        <v>972</v>
      </c>
      <c r="D108" s="18" t="s">
        <v>973</v>
      </c>
      <c r="E108" s="18">
        <v>2015</v>
      </c>
      <c r="F108" s="18">
        <v>11</v>
      </c>
      <c r="G108" s="18" t="s">
        <v>402</v>
      </c>
      <c r="H108" s="18" t="s">
        <v>402</v>
      </c>
      <c r="I108" s="18" t="s">
        <v>637</v>
      </c>
      <c r="J108" s="18" t="s">
        <v>969</v>
      </c>
      <c r="K108" s="18" t="s">
        <v>521</v>
      </c>
    </row>
    <row r="109" spans="1:11" ht="13">
      <c r="A109" s="18" t="s">
        <v>516</v>
      </c>
      <c r="B109" s="18" t="s">
        <v>960</v>
      </c>
      <c r="C109" s="18" t="s">
        <v>972</v>
      </c>
      <c r="D109" s="18" t="s">
        <v>973</v>
      </c>
      <c r="E109" s="18">
        <v>2019</v>
      </c>
      <c r="F109" s="18">
        <v>6</v>
      </c>
      <c r="G109" s="18" t="s">
        <v>402</v>
      </c>
      <c r="H109" s="18" t="s">
        <v>402</v>
      </c>
      <c r="I109" s="18" t="s">
        <v>637</v>
      </c>
      <c r="J109" s="18" t="s">
        <v>969</v>
      </c>
      <c r="K109" s="18" t="s">
        <v>521</v>
      </c>
    </row>
    <row r="110" spans="1:11" ht="13">
      <c r="A110" s="18" t="s">
        <v>516</v>
      </c>
      <c r="B110" s="18" t="s">
        <v>960</v>
      </c>
      <c r="C110" s="18" t="s">
        <v>974</v>
      </c>
      <c r="D110" s="18" t="s">
        <v>968</v>
      </c>
      <c r="E110" s="18">
        <v>2012</v>
      </c>
      <c r="F110" s="18">
        <v>20</v>
      </c>
      <c r="G110" s="18" t="s">
        <v>402</v>
      </c>
      <c r="H110" s="18" t="s">
        <v>402</v>
      </c>
      <c r="I110" s="18" t="s">
        <v>637</v>
      </c>
      <c r="J110" s="18" t="s">
        <v>969</v>
      </c>
      <c r="K110" s="18" t="s">
        <v>521</v>
      </c>
    </row>
    <row r="111" spans="1:11" ht="13">
      <c r="A111" s="18" t="s">
        <v>516</v>
      </c>
      <c r="B111" s="18" t="s">
        <v>960</v>
      </c>
      <c r="C111" s="18" t="s">
        <v>974</v>
      </c>
      <c r="D111" s="18" t="s">
        <v>968</v>
      </c>
      <c r="E111" s="18">
        <v>2015</v>
      </c>
      <c r="F111" s="18">
        <v>10</v>
      </c>
      <c r="G111" s="18" t="s">
        <v>402</v>
      </c>
      <c r="H111" s="18" t="s">
        <v>402</v>
      </c>
      <c r="I111" s="18" t="s">
        <v>637</v>
      </c>
      <c r="J111" s="18" t="s">
        <v>969</v>
      </c>
      <c r="K111" s="18" t="s">
        <v>521</v>
      </c>
    </row>
    <row r="112" spans="1:11" ht="13">
      <c r="A112" s="18" t="s">
        <v>516</v>
      </c>
      <c r="B112" s="18" t="s">
        <v>960</v>
      </c>
      <c r="C112" s="18" t="s">
        <v>974</v>
      </c>
      <c r="D112" s="18" t="s">
        <v>968</v>
      </c>
      <c r="E112" s="18">
        <v>2019</v>
      </c>
      <c r="F112" s="18">
        <v>10</v>
      </c>
      <c r="G112" s="18" t="s">
        <v>402</v>
      </c>
      <c r="H112" s="18" t="s">
        <v>402</v>
      </c>
      <c r="I112" s="18" t="s">
        <v>637</v>
      </c>
      <c r="J112" s="18" t="s">
        <v>969</v>
      </c>
      <c r="K112" s="18" t="s">
        <v>521</v>
      </c>
    </row>
    <row r="113" spans="1:12" ht="13">
      <c r="A113" s="18" t="s">
        <v>516</v>
      </c>
      <c r="B113" s="18" t="s">
        <v>960</v>
      </c>
      <c r="C113" s="18" t="s">
        <v>974</v>
      </c>
      <c r="D113" s="18" t="s">
        <v>971</v>
      </c>
      <c r="E113" s="18">
        <v>1996</v>
      </c>
      <c r="F113" s="18">
        <v>11</v>
      </c>
      <c r="G113" s="18" t="s">
        <v>402</v>
      </c>
      <c r="H113" s="18" t="s">
        <v>402</v>
      </c>
      <c r="I113" s="18" t="s">
        <v>637</v>
      </c>
      <c r="J113" s="18" t="s">
        <v>969</v>
      </c>
      <c r="K113" s="18" t="s">
        <v>521</v>
      </c>
    </row>
    <row r="114" spans="1:12" ht="13">
      <c r="A114" s="18" t="s">
        <v>516</v>
      </c>
      <c r="B114" s="18" t="s">
        <v>960</v>
      </c>
      <c r="C114" s="18" t="s">
        <v>974</v>
      </c>
      <c r="D114" s="18" t="s">
        <v>971</v>
      </c>
      <c r="E114" s="18">
        <v>2011</v>
      </c>
      <c r="F114" s="18">
        <v>17</v>
      </c>
      <c r="G114" s="18" t="s">
        <v>402</v>
      </c>
      <c r="H114" s="18" t="s">
        <v>402</v>
      </c>
      <c r="I114" s="18" t="s">
        <v>637</v>
      </c>
      <c r="J114" s="18" t="s">
        <v>969</v>
      </c>
      <c r="K114" s="18" t="s">
        <v>521</v>
      </c>
    </row>
    <row r="115" spans="1:12" ht="13">
      <c r="A115" s="18" t="s">
        <v>524</v>
      </c>
      <c r="B115" s="18" t="s">
        <v>975</v>
      </c>
      <c r="C115" s="18" t="s">
        <v>976</v>
      </c>
      <c r="D115" s="18" t="s">
        <v>977</v>
      </c>
      <c r="E115" s="18">
        <v>2004</v>
      </c>
      <c r="F115" s="18">
        <v>148</v>
      </c>
      <c r="G115" s="18">
        <v>134</v>
      </c>
      <c r="H115" s="18">
        <v>164</v>
      </c>
      <c r="I115" s="18" t="s">
        <v>623</v>
      </c>
      <c r="J115" s="18" t="s">
        <v>978</v>
      </c>
      <c r="K115" s="18" t="s">
        <v>513</v>
      </c>
      <c r="L115" s="18" t="s">
        <v>979</v>
      </c>
    </row>
    <row r="116" spans="1:12" ht="13">
      <c r="A116" s="18" t="s">
        <v>524</v>
      </c>
      <c r="B116" s="18" t="s">
        <v>975</v>
      </c>
      <c r="C116" s="18" t="s">
        <v>976</v>
      </c>
      <c r="D116" s="18" t="s">
        <v>977</v>
      </c>
      <c r="E116" s="18">
        <v>2006</v>
      </c>
      <c r="F116" s="18">
        <v>145</v>
      </c>
      <c r="G116" s="18">
        <v>133</v>
      </c>
      <c r="H116" s="18">
        <v>158</v>
      </c>
      <c r="I116" s="18" t="s">
        <v>623</v>
      </c>
      <c r="J116" s="18" t="s">
        <v>978</v>
      </c>
      <c r="K116" s="18" t="s">
        <v>927</v>
      </c>
      <c r="L116" s="18" t="s">
        <v>980</v>
      </c>
    </row>
    <row r="117" spans="1:12" ht="13">
      <c r="A117" s="18" t="s">
        <v>524</v>
      </c>
      <c r="B117" s="18" t="s">
        <v>975</v>
      </c>
      <c r="C117" s="18" t="s">
        <v>976</v>
      </c>
      <c r="D117" s="18" t="s">
        <v>977</v>
      </c>
      <c r="E117" s="18">
        <v>2006</v>
      </c>
      <c r="F117" s="18">
        <v>148</v>
      </c>
      <c r="G117" s="18">
        <v>136</v>
      </c>
      <c r="H117" s="18">
        <v>161</v>
      </c>
      <c r="I117" s="18" t="s">
        <v>623</v>
      </c>
      <c r="J117" s="18" t="s">
        <v>978</v>
      </c>
      <c r="K117" s="18" t="s">
        <v>928</v>
      </c>
    </row>
    <row r="118" spans="1:12" ht="13">
      <c r="A118" s="18" t="s">
        <v>524</v>
      </c>
      <c r="B118" s="18" t="s">
        <v>975</v>
      </c>
      <c r="C118" s="18" t="s">
        <v>976</v>
      </c>
      <c r="D118" s="18" t="s">
        <v>977</v>
      </c>
      <c r="E118" s="18">
        <v>2006</v>
      </c>
      <c r="F118" s="18">
        <v>144</v>
      </c>
      <c r="G118" s="18">
        <v>130</v>
      </c>
      <c r="H118" s="18">
        <v>160</v>
      </c>
      <c r="I118" s="18" t="s">
        <v>623</v>
      </c>
      <c r="J118" s="18" t="s">
        <v>978</v>
      </c>
      <c r="K118" s="18" t="s">
        <v>929</v>
      </c>
    </row>
    <row r="119" spans="1:12" ht="13">
      <c r="A119" s="18" t="s">
        <v>524</v>
      </c>
      <c r="B119" s="18" t="s">
        <v>975</v>
      </c>
      <c r="C119" s="18" t="s">
        <v>976</v>
      </c>
      <c r="D119" s="18" t="s">
        <v>981</v>
      </c>
      <c r="E119" s="18">
        <v>2004</v>
      </c>
      <c r="F119" s="18">
        <v>162</v>
      </c>
      <c r="G119" s="18">
        <v>157</v>
      </c>
      <c r="H119" s="18">
        <v>167</v>
      </c>
      <c r="I119" s="18" t="s">
        <v>623</v>
      </c>
      <c r="J119" s="18" t="s">
        <v>978</v>
      </c>
      <c r="K119" s="18" t="s">
        <v>930</v>
      </c>
      <c r="L119" s="18" t="s">
        <v>979</v>
      </c>
    </row>
    <row r="120" spans="1:12" ht="13">
      <c r="A120" s="18" t="s">
        <v>524</v>
      </c>
      <c r="B120" s="18" t="s">
        <v>975</v>
      </c>
      <c r="C120" s="18" t="s">
        <v>976</v>
      </c>
      <c r="D120" s="18" t="s">
        <v>981</v>
      </c>
      <c r="E120" s="18">
        <v>2006</v>
      </c>
      <c r="F120" s="18">
        <v>153</v>
      </c>
      <c r="G120" s="18">
        <v>147</v>
      </c>
      <c r="H120" s="18">
        <v>159</v>
      </c>
      <c r="I120" s="18" t="s">
        <v>623</v>
      </c>
      <c r="J120" s="18" t="s">
        <v>978</v>
      </c>
      <c r="K120" s="18" t="s">
        <v>932</v>
      </c>
    </row>
    <row r="121" spans="1:12" ht="13">
      <c r="A121" s="18" t="s">
        <v>524</v>
      </c>
      <c r="B121" s="18" t="s">
        <v>975</v>
      </c>
      <c r="C121" s="18" t="s">
        <v>976</v>
      </c>
      <c r="D121" s="18" t="s">
        <v>981</v>
      </c>
      <c r="E121" s="18">
        <v>2006</v>
      </c>
      <c r="F121" s="18">
        <v>151</v>
      </c>
      <c r="G121" s="18">
        <v>140</v>
      </c>
      <c r="H121" s="18">
        <v>163</v>
      </c>
      <c r="I121" s="18" t="s">
        <v>623</v>
      </c>
      <c r="J121" s="18" t="s">
        <v>978</v>
      </c>
      <c r="K121" s="18" t="s">
        <v>527</v>
      </c>
    </row>
    <row r="122" spans="1:12" ht="13">
      <c r="A122" s="18" t="s">
        <v>524</v>
      </c>
      <c r="B122" s="18" t="s">
        <v>975</v>
      </c>
      <c r="C122" s="18" t="s">
        <v>976</v>
      </c>
      <c r="D122" s="18" t="s">
        <v>981</v>
      </c>
      <c r="E122" s="18">
        <v>2006</v>
      </c>
      <c r="F122" s="18">
        <v>137</v>
      </c>
      <c r="G122" s="18">
        <v>121</v>
      </c>
      <c r="H122" s="18">
        <v>154</v>
      </c>
      <c r="I122" s="18" t="s">
        <v>623</v>
      </c>
      <c r="J122" s="18" t="s">
        <v>978</v>
      </c>
      <c r="K122" s="18" t="s">
        <v>933</v>
      </c>
    </row>
    <row r="123" spans="1:12" ht="13">
      <c r="A123" s="18" t="s">
        <v>530</v>
      </c>
      <c r="B123" s="18" t="s">
        <v>529</v>
      </c>
      <c r="C123" s="18" t="s">
        <v>982</v>
      </c>
      <c r="D123" s="18" t="s">
        <v>964</v>
      </c>
      <c r="E123" s="18">
        <v>2008</v>
      </c>
      <c r="F123" s="18">
        <v>153</v>
      </c>
      <c r="G123" s="18">
        <v>76</v>
      </c>
      <c r="H123" s="18">
        <v>310</v>
      </c>
      <c r="I123" s="18" t="s">
        <v>623</v>
      </c>
      <c r="J123" s="18" t="s">
        <v>611</v>
      </c>
      <c r="K123" s="18" t="s">
        <v>541</v>
      </c>
      <c r="L123" s="18" t="s">
        <v>983</v>
      </c>
    </row>
    <row r="124" spans="1:12" ht="13">
      <c r="A124" s="18" t="s">
        <v>530</v>
      </c>
      <c r="B124" s="18" t="s">
        <v>529</v>
      </c>
      <c r="C124" s="18" t="s">
        <v>982</v>
      </c>
      <c r="D124" s="18" t="s">
        <v>964</v>
      </c>
      <c r="E124" s="18">
        <v>2009</v>
      </c>
      <c r="F124" s="18">
        <v>167</v>
      </c>
      <c r="G124" s="18">
        <v>81</v>
      </c>
      <c r="H124" s="18">
        <v>342</v>
      </c>
      <c r="I124" s="18" t="s">
        <v>623</v>
      </c>
      <c r="J124" s="18" t="s">
        <v>611</v>
      </c>
      <c r="K124" s="18" t="s">
        <v>984</v>
      </c>
    </row>
    <row r="125" spans="1:12" ht="13">
      <c r="A125" s="18" t="s">
        <v>530</v>
      </c>
      <c r="B125" s="18" t="s">
        <v>529</v>
      </c>
      <c r="C125" s="18" t="s">
        <v>982</v>
      </c>
      <c r="D125" s="18" t="s">
        <v>964</v>
      </c>
      <c r="E125" s="18">
        <v>2009</v>
      </c>
      <c r="F125" s="18">
        <v>136</v>
      </c>
      <c r="G125" s="18">
        <v>58</v>
      </c>
      <c r="H125" s="18">
        <v>317</v>
      </c>
      <c r="I125" s="18" t="s">
        <v>623</v>
      </c>
      <c r="J125" s="18" t="s">
        <v>611</v>
      </c>
      <c r="K125" s="18" t="s">
        <v>985</v>
      </c>
    </row>
    <row r="126" spans="1:12" ht="13">
      <c r="A126" s="18" t="s">
        <v>530</v>
      </c>
      <c r="B126" s="18" t="s">
        <v>529</v>
      </c>
      <c r="C126" s="18" t="s">
        <v>982</v>
      </c>
      <c r="D126" s="18" t="s">
        <v>964</v>
      </c>
      <c r="E126" s="18">
        <v>2009</v>
      </c>
      <c r="F126" s="18">
        <v>216</v>
      </c>
      <c r="G126" s="18">
        <v>98</v>
      </c>
      <c r="H126" s="18">
        <v>475</v>
      </c>
      <c r="I126" s="18" t="s">
        <v>623</v>
      </c>
      <c r="J126" s="18" t="s">
        <v>611</v>
      </c>
      <c r="K126" s="18" t="s">
        <v>986</v>
      </c>
    </row>
    <row r="127" spans="1:12" ht="13">
      <c r="A127" s="18" t="s">
        <v>530</v>
      </c>
      <c r="B127" s="18" t="s">
        <v>529</v>
      </c>
      <c r="C127" s="18" t="s">
        <v>982</v>
      </c>
      <c r="D127" s="18" t="s">
        <v>964</v>
      </c>
      <c r="E127" s="18">
        <v>2010</v>
      </c>
      <c r="F127" s="18">
        <v>222</v>
      </c>
      <c r="G127" s="18">
        <v>146</v>
      </c>
      <c r="H127" s="18">
        <v>336</v>
      </c>
      <c r="I127" s="18" t="s">
        <v>623</v>
      </c>
      <c r="J127" s="18" t="s">
        <v>611</v>
      </c>
      <c r="K127" s="18" t="s">
        <v>987</v>
      </c>
    </row>
    <row r="128" spans="1:12" ht="13">
      <c r="A128" s="18" t="s">
        <v>988</v>
      </c>
      <c r="B128" s="18" t="s">
        <v>529</v>
      </c>
      <c r="C128" s="18" t="s">
        <v>982</v>
      </c>
      <c r="D128" s="18" t="s">
        <v>964</v>
      </c>
      <c r="E128" s="18">
        <v>2008</v>
      </c>
      <c r="F128" s="18">
        <v>48</v>
      </c>
      <c r="G128" s="18">
        <v>24</v>
      </c>
      <c r="H128" s="18">
        <v>95</v>
      </c>
      <c r="I128" s="18" t="s">
        <v>623</v>
      </c>
      <c r="J128" s="18" t="s">
        <v>611</v>
      </c>
      <c r="K128" s="18" t="s">
        <v>989</v>
      </c>
      <c r="L128" s="18" t="s">
        <v>983</v>
      </c>
    </row>
    <row r="129" spans="1:11" ht="13">
      <c r="A129" s="18" t="s">
        <v>988</v>
      </c>
      <c r="B129" s="18" t="s">
        <v>529</v>
      </c>
      <c r="C129" s="18" t="s">
        <v>982</v>
      </c>
      <c r="D129" s="18" t="s">
        <v>964</v>
      </c>
      <c r="E129" s="18">
        <v>2008</v>
      </c>
      <c r="F129" s="18">
        <v>72</v>
      </c>
      <c r="G129" s="18">
        <v>40</v>
      </c>
      <c r="H129" s="18">
        <v>131</v>
      </c>
      <c r="I129" s="18" t="s">
        <v>623</v>
      </c>
      <c r="J129" s="18" t="s">
        <v>611</v>
      </c>
      <c r="K129" s="18" t="s">
        <v>990</v>
      </c>
    </row>
    <row r="130" spans="1:11" ht="13">
      <c r="A130" s="18" t="s">
        <v>988</v>
      </c>
      <c r="B130" s="18" t="s">
        <v>529</v>
      </c>
      <c r="C130" s="18" t="s">
        <v>982</v>
      </c>
      <c r="D130" s="18" t="s">
        <v>964</v>
      </c>
      <c r="E130" s="18">
        <v>2008</v>
      </c>
      <c r="F130" s="18">
        <v>80</v>
      </c>
      <c r="G130" s="18">
        <v>43</v>
      </c>
      <c r="H130" s="18">
        <v>151</v>
      </c>
      <c r="I130" s="18" t="s">
        <v>623</v>
      </c>
      <c r="J130" s="18" t="s">
        <v>611</v>
      </c>
      <c r="K130" s="18" t="s">
        <v>991</v>
      </c>
    </row>
    <row r="131" spans="1:11" ht="13">
      <c r="A131" s="18" t="s">
        <v>988</v>
      </c>
      <c r="B131" s="18" t="s">
        <v>529</v>
      </c>
      <c r="C131" s="18" t="s">
        <v>982</v>
      </c>
      <c r="D131" s="18" t="s">
        <v>964</v>
      </c>
      <c r="E131" s="18">
        <v>2009</v>
      </c>
      <c r="F131" s="18">
        <v>58</v>
      </c>
      <c r="G131" s="18">
        <v>29</v>
      </c>
      <c r="H131" s="18">
        <v>117</v>
      </c>
      <c r="I131" s="18" t="s">
        <v>623</v>
      </c>
      <c r="J131" s="18" t="s">
        <v>611</v>
      </c>
      <c r="K131" s="18" t="s">
        <v>992</v>
      </c>
    </row>
    <row r="132" spans="1:11" ht="13">
      <c r="A132" s="18" t="s">
        <v>988</v>
      </c>
      <c r="B132" s="18" t="s">
        <v>529</v>
      </c>
      <c r="C132" s="18" t="s">
        <v>982</v>
      </c>
      <c r="D132" s="18" t="s">
        <v>964</v>
      </c>
      <c r="E132" s="18">
        <v>2009</v>
      </c>
      <c r="F132" s="18">
        <v>95</v>
      </c>
      <c r="G132" s="18">
        <v>52</v>
      </c>
      <c r="H132" s="18">
        <v>173</v>
      </c>
      <c r="I132" s="18" t="s">
        <v>623</v>
      </c>
      <c r="J132" s="18" t="s">
        <v>611</v>
      </c>
      <c r="K132" s="18" t="s">
        <v>993</v>
      </c>
    </row>
    <row r="133" spans="1:11" ht="13">
      <c r="A133" s="18" t="s">
        <v>988</v>
      </c>
      <c r="B133" s="18" t="s">
        <v>529</v>
      </c>
      <c r="C133" s="18" t="s">
        <v>982</v>
      </c>
      <c r="D133" s="18" t="s">
        <v>964</v>
      </c>
      <c r="E133" s="18">
        <v>2010</v>
      </c>
      <c r="F133" s="18">
        <v>51</v>
      </c>
      <c r="G133" s="18">
        <v>24</v>
      </c>
      <c r="H133" s="18">
        <v>106</v>
      </c>
      <c r="I133" s="18" t="s">
        <v>623</v>
      </c>
      <c r="J133" s="18" t="s">
        <v>611</v>
      </c>
      <c r="K133" s="18" t="s">
        <v>994</v>
      </c>
    </row>
    <row r="134" spans="1:11" ht="13">
      <c r="A134" s="18" t="s">
        <v>988</v>
      </c>
      <c r="B134" s="18" t="s">
        <v>529</v>
      </c>
      <c r="C134" s="18" t="s">
        <v>982</v>
      </c>
      <c r="D134" s="18" t="s">
        <v>964</v>
      </c>
      <c r="E134" s="18">
        <v>2010</v>
      </c>
      <c r="F134" s="18">
        <v>207</v>
      </c>
      <c r="G134" s="18">
        <v>113</v>
      </c>
      <c r="H134" s="18">
        <v>379</v>
      </c>
      <c r="I134" s="18" t="s">
        <v>623</v>
      </c>
      <c r="J134" s="18" t="s">
        <v>611</v>
      </c>
      <c r="K134" s="18" t="s">
        <v>995</v>
      </c>
    </row>
    <row r="135" spans="1:11" ht="13">
      <c r="A135" s="18" t="s">
        <v>988</v>
      </c>
      <c r="B135" s="18" t="s">
        <v>529</v>
      </c>
      <c r="C135" s="18" t="s">
        <v>982</v>
      </c>
      <c r="D135" s="18" t="s">
        <v>964</v>
      </c>
      <c r="E135" s="18">
        <v>2010</v>
      </c>
      <c r="F135" s="18">
        <v>145</v>
      </c>
      <c r="G135" s="18">
        <v>92</v>
      </c>
      <c r="H135" s="18">
        <v>231</v>
      </c>
      <c r="I135" s="18" t="s">
        <v>623</v>
      </c>
      <c r="J135" s="18" t="s">
        <v>611</v>
      </c>
      <c r="K135" s="18" t="s">
        <v>996</v>
      </c>
    </row>
    <row r="136" spans="1:11" ht="13">
      <c r="A136" s="18" t="s">
        <v>538</v>
      </c>
      <c r="B136" s="18" t="s">
        <v>529</v>
      </c>
      <c r="C136" s="18" t="s">
        <v>982</v>
      </c>
      <c r="D136" s="18" t="s">
        <v>964</v>
      </c>
      <c r="E136" s="18">
        <v>2008</v>
      </c>
      <c r="F136" s="18">
        <v>39</v>
      </c>
      <c r="G136" s="18">
        <v>20</v>
      </c>
      <c r="H136" s="18">
        <v>75</v>
      </c>
      <c r="I136" s="18" t="s">
        <v>623</v>
      </c>
      <c r="J136" s="18" t="s">
        <v>611</v>
      </c>
      <c r="K136" s="18" t="s">
        <v>997</v>
      </c>
    </row>
    <row r="137" spans="1:11" ht="13">
      <c r="A137" s="18" t="s">
        <v>538</v>
      </c>
      <c r="B137" s="18" t="s">
        <v>529</v>
      </c>
      <c r="C137" s="18" t="s">
        <v>982</v>
      </c>
      <c r="D137" s="18" t="s">
        <v>964</v>
      </c>
      <c r="E137" s="18">
        <v>2009</v>
      </c>
      <c r="F137" s="18">
        <v>59</v>
      </c>
      <c r="G137" s="18">
        <v>29</v>
      </c>
      <c r="H137" s="18">
        <v>118</v>
      </c>
      <c r="I137" s="18" t="s">
        <v>623</v>
      </c>
      <c r="J137" s="18" t="s">
        <v>611</v>
      </c>
      <c r="K137" s="18" t="s">
        <v>998</v>
      </c>
    </row>
    <row r="138" spans="1:11" ht="13">
      <c r="A138" s="18" t="s">
        <v>538</v>
      </c>
      <c r="B138" s="18" t="s">
        <v>529</v>
      </c>
      <c r="C138" s="18" t="s">
        <v>982</v>
      </c>
      <c r="D138" s="18" t="s">
        <v>964</v>
      </c>
      <c r="E138" s="18">
        <v>2009</v>
      </c>
      <c r="F138" s="18">
        <v>75</v>
      </c>
      <c r="G138" s="18">
        <v>39</v>
      </c>
      <c r="H138" s="18">
        <v>154</v>
      </c>
      <c r="I138" s="18" t="s">
        <v>623</v>
      </c>
      <c r="J138" s="18" t="s">
        <v>611</v>
      </c>
      <c r="K138" s="18" t="s">
        <v>999</v>
      </c>
    </row>
    <row r="139" spans="1:11" ht="13">
      <c r="A139" s="18" t="s">
        <v>538</v>
      </c>
      <c r="B139" s="18" t="s">
        <v>529</v>
      </c>
      <c r="C139" s="18" t="s">
        <v>982</v>
      </c>
      <c r="D139" s="18" t="s">
        <v>964</v>
      </c>
      <c r="E139" s="18">
        <v>2009</v>
      </c>
      <c r="F139" s="18">
        <v>34</v>
      </c>
      <c r="G139" s="18">
        <v>14</v>
      </c>
      <c r="H139" s="18">
        <v>83</v>
      </c>
      <c r="I139" s="18" t="s">
        <v>623</v>
      </c>
      <c r="J139" s="18" t="s">
        <v>611</v>
      </c>
      <c r="K139" s="18" t="s">
        <v>1000</v>
      </c>
    </row>
    <row r="140" spans="1:11" ht="13">
      <c r="A140" s="18" t="s">
        <v>538</v>
      </c>
      <c r="B140" s="18" t="s">
        <v>529</v>
      </c>
      <c r="C140" s="18" t="s">
        <v>982</v>
      </c>
      <c r="D140" s="18" t="s">
        <v>964</v>
      </c>
      <c r="E140" s="18">
        <v>2010</v>
      </c>
      <c r="F140" s="18">
        <v>68</v>
      </c>
      <c r="G140" s="18">
        <v>29</v>
      </c>
      <c r="H140" s="18">
        <v>159</v>
      </c>
      <c r="I140" s="18" t="s">
        <v>623</v>
      </c>
      <c r="J140" s="18" t="s">
        <v>611</v>
      </c>
      <c r="K140" s="18" t="s">
        <v>1001</v>
      </c>
    </row>
    <row r="141" spans="1:11" ht="13">
      <c r="A141" s="18" t="s">
        <v>538</v>
      </c>
      <c r="B141" s="18" t="s">
        <v>529</v>
      </c>
      <c r="C141" s="18" t="s">
        <v>982</v>
      </c>
      <c r="D141" s="18" t="s">
        <v>964</v>
      </c>
      <c r="E141" s="18">
        <v>2010</v>
      </c>
      <c r="F141" s="18">
        <v>48</v>
      </c>
      <c r="G141" s="18">
        <v>19</v>
      </c>
      <c r="H141" s="18">
        <v>123</v>
      </c>
      <c r="I141" s="18" t="s">
        <v>623</v>
      </c>
      <c r="J141" s="18" t="s">
        <v>611</v>
      </c>
      <c r="K141" s="18" t="s">
        <v>1002</v>
      </c>
    </row>
    <row r="142" spans="1:11" ht="13">
      <c r="A142" s="18" t="s">
        <v>516</v>
      </c>
      <c r="B142" s="18" t="s">
        <v>960</v>
      </c>
      <c r="C142" s="18" t="s">
        <v>1003</v>
      </c>
      <c r="D142" s="18" t="s">
        <v>1004</v>
      </c>
      <c r="E142" s="18">
        <v>1990</v>
      </c>
      <c r="F142" s="18">
        <v>523</v>
      </c>
      <c r="G142" s="18" t="s">
        <v>402</v>
      </c>
      <c r="H142" s="18" t="s">
        <v>402</v>
      </c>
      <c r="I142" s="18" t="s">
        <v>637</v>
      </c>
      <c r="J142" s="18" t="s">
        <v>690</v>
      </c>
      <c r="K142" s="18" t="s">
        <v>546</v>
      </c>
    </row>
    <row r="143" spans="1:11" ht="13">
      <c r="A143" s="18" t="s">
        <v>516</v>
      </c>
      <c r="B143" s="18" t="s">
        <v>960</v>
      </c>
      <c r="C143" s="18" t="s">
        <v>1003</v>
      </c>
      <c r="D143" s="18" t="s">
        <v>1004</v>
      </c>
      <c r="E143" s="18">
        <v>1991</v>
      </c>
      <c r="F143" s="18">
        <v>432</v>
      </c>
      <c r="G143" s="18" t="s">
        <v>402</v>
      </c>
      <c r="H143" s="18" t="s">
        <v>402</v>
      </c>
      <c r="I143" s="18" t="s">
        <v>637</v>
      </c>
      <c r="J143" s="18" t="s">
        <v>690</v>
      </c>
      <c r="K143" s="18" t="s">
        <v>546</v>
      </c>
    </row>
    <row r="144" spans="1:11" ht="13">
      <c r="A144" s="18" t="s">
        <v>516</v>
      </c>
      <c r="B144" s="18" t="s">
        <v>960</v>
      </c>
      <c r="C144" s="18" t="s">
        <v>1003</v>
      </c>
      <c r="D144" s="18" t="s">
        <v>1004</v>
      </c>
      <c r="E144" s="18">
        <v>1992</v>
      </c>
      <c r="F144" s="18">
        <v>450</v>
      </c>
      <c r="G144" s="18" t="s">
        <v>402</v>
      </c>
      <c r="H144" s="18" t="s">
        <v>402</v>
      </c>
      <c r="I144" s="18" t="s">
        <v>637</v>
      </c>
      <c r="J144" s="18" t="s">
        <v>690</v>
      </c>
      <c r="K144" s="18" t="s">
        <v>546</v>
      </c>
    </row>
    <row r="145" spans="1:12" ht="13">
      <c r="A145" s="18" t="s">
        <v>516</v>
      </c>
      <c r="B145" s="18" t="s">
        <v>960</v>
      </c>
      <c r="C145" s="18" t="s">
        <v>1003</v>
      </c>
      <c r="D145" s="18" t="s">
        <v>1004</v>
      </c>
      <c r="E145" s="18">
        <v>1995</v>
      </c>
      <c r="F145" s="18">
        <v>441</v>
      </c>
      <c r="G145" s="18" t="s">
        <v>402</v>
      </c>
      <c r="H145" s="18" t="s">
        <v>402</v>
      </c>
      <c r="I145" s="18" t="s">
        <v>637</v>
      </c>
      <c r="J145" s="18" t="s">
        <v>690</v>
      </c>
      <c r="K145" s="18" t="s">
        <v>546</v>
      </c>
    </row>
    <row r="146" spans="1:12" ht="13">
      <c r="A146" s="18" t="s">
        <v>516</v>
      </c>
      <c r="B146" s="18" t="s">
        <v>960</v>
      </c>
      <c r="C146" s="18" t="s">
        <v>1003</v>
      </c>
      <c r="D146" s="18" t="s">
        <v>1004</v>
      </c>
      <c r="E146" s="18">
        <v>1997</v>
      </c>
      <c r="F146" s="18">
        <v>383</v>
      </c>
      <c r="G146" s="18" t="s">
        <v>402</v>
      </c>
      <c r="H146" s="18" t="s">
        <v>402</v>
      </c>
      <c r="I146" s="18" t="s">
        <v>637</v>
      </c>
      <c r="J146" s="18" t="s">
        <v>690</v>
      </c>
      <c r="K146" s="18" t="s">
        <v>546</v>
      </c>
    </row>
    <row r="147" spans="1:12" ht="13">
      <c r="A147" s="18" t="s">
        <v>516</v>
      </c>
      <c r="B147" s="18" t="s">
        <v>960</v>
      </c>
      <c r="C147" s="18" t="s">
        <v>1003</v>
      </c>
      <c r="D147" s="18" t="s">
        <v>1004</v>
      </c>
      <c r="E147" s="18">
        <v>1998</v>
      </c>
      <c r="F147" s="18">
        <v>447</v>
      </c>
      <c r="G147" s="18" t="s">
        <v>402</v>
      </c>
      <c r="H147" s="18" t="s">
        <v>402</v>
      </c>
      <c r="I147" s="18" t="s">
        <v>637</v>
      </c>
      <c r="J147" s="18" t="s">
        <v>690</v>
      </c>
      <c r="K147" s="18" t="s">
        <v>546</v>
      </c>
    </row>
    <row r="148" spans="1:12" ht="13">
      <c r="A148" s="18" t="s">
        <v>516</v>
      </c>
      <c r="B148" s="18" t="s">
        <v>960</v>
      </c>
      <c r="C148" s="18" t="s">
        <v>1003</v>
      </c>
      <c r="D148" s="18" t="s">
        <v>1004</v>
      </c>
      <c r="E148" s="18">
        <v>2000</v>
      </c>
      <c r="F148" s="18">
        <v>495</v>
      </c>
      <c r="G148" s="18" t="s">
        <v>402</v>
      </c>
      <c r="H148" s="18" t="s">
        <v>402</v>
      </c>
      <c r="I148" s="18" t="s">
        <v>637</v>
      </c>
      <c r="J148" s="18" t="s">
        <v>690</v>
      </c>
      <c r="K148" s="18" t="s">
        <v>546</v>
      </c>
    </row>
    <row r="149" spans="1:12" ht="13">
      <c r="A149" s="18" t="s">
        <v>516</v>
      </c>
      <c r="B149" s="18" t="s">
        <v>960</v>
      </c>
      <c r="C149" s="18" t="s">
        <v>1003</v>
      </c>
      <c r="D149" s="18" t="s">
        <v>1004</v>
      </c>
      <c r="E149" s="18">
        <v>2001</v>
      </c>
      <c r="F149" s="18">
        <v>465</v>
      </c>
      <c r="G149" s="18" t="s">
        <v>402</v>
      </c>
      <c r="H149" s="18" t="s">
        <v>402</v>
      </c>
      <c r="I149" s="18" t="s">
        <v>637</v>
      </c>
      <c r="J149" s="18" t="s">
        <v>690</v>
      </c>
      <c r="K149" s="18" t="s">
        <v>546</v>
      </c>
    </row>
    <row r="150" spans="1:12" ht="13">
      <c r="A150" s="18" t="s">
        <v>516</v>
      </c>
      <c r="B150" s="18" t="s">
        <v>960</v>
      </c>
      <c r="C150" s="18" t="s">
        <v>1003</v>
      </c>
      <c r="D150" s="18" t="s">
        <v>1004</v>
      </c>
      <c r="E150" s="18">
        <v>2002</v>
      </c>
      <c r="F150" s="18">
        <v>613</v>
      </c>
      <c r="G150" s="18" t="s">
        <v>402</v>
      </c>
      <c r="H150" s="18" t="s">
        <v>402</v>
      </c>
      <c r="I150" s="18" t="s">
        <v>637</v>
      </c>
      <c r="J150" s="18" t="s">
        <v>690</v>
      </c>
      <c r="K150" s="18" t="s">
        <v>546</v>
      </c>
    </row>
    <row r="151" spans="1:12" ht="13">
      <c r="A151" s="18" t="s">
        <v>516</v>
      </c>
      <c r="B151" s="18" t="s">
        <v>960</v>
      </c>
      <c r="C151" s="18" t="s">
        <v>1003</v>
      </c>
      <c r="D151" s="18" t="s">
        <v>1004</v>
      </c>
      <c r="E151" s="18">
        <v>2004</v>
      </c>
      <c r="F151" s="18">
        <v>494</v>
      </c>
      <c r="G151" s="18" t="s">
        <v>402</v>
      </c>
      <c r="H151" s="18" t="s">
        <v>402</v>
      </c>
      <c r="I151" s="18" t="s">
        <v>637</v>
      </c>
      <c r="J151" s="18" t="s">
        <v>690</v>
      </c>
      <c r="K151" s="18" t="s">
        <v>546</v>
      </c>
    </row>
    <row r="152" spans="1:12" ht="13">
      <c r="A152" s="18" t="s">
        <v>516</v>
      </c>
      <c r="B152" s="18" t="s">
        <v>960</v>
      </c>
      <c r="C152" s="18" t="s">
        <v>1003</v>
      </c>
      <c r="D152" s="18" t="s">
        <v>1004</v>
      </c>
      <c r="E152" s="18">
        <v>2005</v>
      </c>
      <c r="F152" s="18">
        <v>548</v>
      </c>
      <c r="G152" s="18" t="s">
        <v>402</v>
      </c>
      <c r="H152" s="18" t="s">
        <v>402</v>
      </c>
      <c r="I152" s="18" t="s">
        <v>637</v>
      </c>
      <c r="J152" s="18" t="s">
        <v>690</v>
      </c>
      <c r="K152" s="18" t="s">
        <v>546</v>
      </c>
    </row>
    <row r="153" spans="1:12" ht="13">
      <c r="A153" s="18" t="s">
        <v>516</v>
      </c>
      <c r="B153" s="18" t="s">
        <v>960</v>
      </c>
      <c r="C153" s="18" t="s">
        <v>1003</v>
      </c>
      <c r="D153" s="18" t="s">
        <v>1004</v>
      </c>
      <c r="E153" s="18">
        <v>2007</v>
      </c>
      <c r="F153" s="18">
        <v>409</v>
      </c>
      <c r="G153" s="18" t="s">
        <v>402</v>
      </c>
      <c r="H153" s="18" t="s">
        <v>402</v>
      </c>
      <c r="I153" s="18" t="s">
        <v>637</v>
      </c>
      <c r="J153" s="18" t="s">
        <v>690</v>
      </c>
      <c r="K153" s="18" t="s">
        <v>546</v>
      </c>
    </row>
    <row r="154" spans="1:12" ht="13">
      <c r="A154" s="18" t="s">
        <v>516</v>
      </c>
      <c r="B154" s="18" t="s">
        <v>960</v>
      </c>
      <c r="C154" s="18" t="s">
        <v>1003</v>
      </c>
      <c r="D154" s="18" t="s">
        <v>1004</v>
      </c>
      <c r="E154" s="18">
        <v>2008</v>
      </c>
      <c r="F154" s="18">
        <v>485</v>
      </c>
      <c r="G154" s="18" t="s">
        <v>402</v>
      </c>
      <c r="H154" s="18" t="s">
        <v>402</v>
      </c>
      <c r="I154" s="18" t="s">
        <v>637</v>
      </c>
      <c r="J154" s="18" t="s">
        <v>690</v>
      </c>
      <c r="K154" s="18" t="s">
        <v>546</v>
      </c>
    </row>
    <row r="155" spans="1:12" ht="13">
      <c r="A155" s="18" t="s">
        <v>516</v>
      </c>
      <c r="B155" s="18" t="s">
        <v>960</v>
      </c>
      <c r="C155" s="18" t="s">
        <v>1003</v>
      </c>
      <c r="D155" s="18" t="s">
        <v>1004</v>
      </c>
      <c r="E155" s="18">
        <v>2009</v>
      </c>
      <c r="F155" s="18">
        <v>486</v>
      </c>
      <c r="G155" s="18" t="s">
        <v>402</v>
      </c>
      <c r="H155" s="18" t="s">
        <v>402</v>
      </c>
      <c r="I155" s="18" t="s">
        <v>637</v>
      </c>
      <c r="J155" s="18" t="s">
        <v>690</v>
      </c>
      <c r="K155" s="18" t="s">
        <v>546</v>
      </c>
    </row>
    <row r="156" spans="1:12" ht="13">
      <c r="A156" s="18" t="s">
        <v>516</v>
      </c>
      <c r="B156" s="18" t="s">
        <v>960</v>
      </c>
      <c r="C156" s="18" t="s">
        <v>1005</v>
      </c>
      <c r="D156" s="18" t="s">
        <v>964</v>
      </c>
      <c r="E156" s="18">
        <v>1999</v>
      </c>
      <c r="F156" s="18">
        <v>425</v>
      </c>
      <c r="G156" s="18">
        <v>407</v>
      </c>
      <c r="H156" s="18">
        <v>442</v>
      </c>
      <c r="I156" s="18" t="s">
        <v>637</v>
      </c>
      <c r="J156" s="18" t="s">
        <v>690</v>
      </c>
      <c r="K156" s="18" t="s">
        <v>546</v>
      </c>
      <c r="L156" s="18" t="s">
        <v>1006</v>
      </c>
    </row>
    <row r="157" spans="1:12" ht="13">
      <c r="A157" s="18" t="s">
        <v>516</v>
      </c>
      <c r="B157" s="18" t="s">
        <v>960</v>
      </c>
      <c r="C157" s="18" t="s">
        <v>1005</v>
      </c>
      <c r="D157" s="18" t="s">
        <v>964</v>
      </c>
      <c r="E157" s="18">
        <v>2004</v>
      </c>
      <c r="F157" s="18">
        <v>507</v>
      </c>
      <c r="G157" s="18">
        <v>487</v>
      </c>
      <c r="H157" s="18">
        <v>529</v>
      </c>
      <c r="I157" s="18" t="s">
        <v>637</v>
      </c>
      <c r="J157" s="18" t="s">
        <v>690</v>
      </c>
      <c r="K157" s="18" t="s">
        <v>546</v>
      </c>
    </row>
    <row r="158" spans="1:12" ht="13">
      <c r="A158" s="18" t="s">
        <v>516</v>
      </c>
      <c r="B158" s="18" t="s">
        <v>960</v>
      </c>
      <c r="C158" s="18" t="s">
        <v>1005</v>
      </c>
      <c r="D158" s="18" t="s">
        <v>964</v>
      </c>
      <c r="E158" s="18">
        <v>2005</v>
      </c>
      <c r="F158" s="18">
        <v>576</v>
      </c>
      <c r="G158" s="18">
        <v>559</v>
      </c>
      <c r="H158" s="18" t="s">
        <v>402</v>
      </c>
      <c r="I158" s="18" t="s">
        <v>637</v>
      </c>
      <c r="J158" s="18" t="s">
        <v>690</v>
      </c>
      <c r="K158" s="18" t="s">
        <v>546</v>
      </c>
    </row>
    <row r="159" spans="1:12" ht="13">
      <c r="A159" s="18" t="s">
        <v>516</v>
      </c>
      <c r="B159" s="18" t="s">
        <v>960</v>
      </c>
      <c r="C159" s="18" t="s">
        <v>1005</v>
      </c>
      <c r="D159" s="18" t="s">
        <v>964</v>
      </c>
      <c r="E159" s="18">
        <v>2007</v>
      </c>
      <c r="F159" s="18">
        <v>709</v>
      </c>
      <c r="G159" s="18">
        <v>634</v>
      </c>
      <c r="H159" s="18">
        <v>787</v>
      </c>
      <c r="I159" s="18" t="s">
        <v>637</v>
      </c>
      <c r="J159" s="18" t="s">
        <v>690</v>
      </c>
      <c r="K159" s="18" t="s">
        <v>546</v>
      </c>
    </row>
    <row r="160" spans="1:12" ht="13">
      <c r="A160" s="18" t="s">
        <v>516</v>
      </c>
      <c r="B160" s="18" t="s">
        <v>960</v>
      </c>
      <c r="C160" s="18" t="s">
        <v>1007</v>
      </c>
      <c r="D160" s="18" t="s">
        <v>1008</v>
      </c>
      <c r="E160" s="18">
        <v>2005</v>
      </c>
      <c r="F160" s="18">
        <v>272</v>
      </c>
      <c r="G160" s="18" t="s">
        <v>402</v>
      </c>
      <c r="H160" s="18" t="s">
        <v>402</v>
      </c>
      <c r="I160" s="18" t="s">
        <v>637</v>
      </c>
      <c r="J160" s="18" t="s">
        <v>690</v>
      </c>
      <c r="K160" s="18" t="s">
        <v>546</v>
      </c>
    </row>
    <row r="161" spans="1:11" ht="13">
      <c r="A161" s="18" t="s">
        <v>516</v>
      </c>
      <c r="B161" s="18" t="s">
        <v>960</v>
      </c>
      <c r="C161" s="18" t="s">
        <v>1007</v>
      </c>
      <c r="D161" s="18" t="s">
        <v>1008</v>
      </c>
      <c r="E161" s="18">
        <v>2008</v>
      </c>
      <c r="F161" s="18">
        <v>254</v>
      </c>
      <c r="G161" s="18" t="s">
        <v>402</v>
      </c>
      <c r="H161" s="18" t="s">
        <v>402</v>
      </c>
      <c r="I161" s="18" t="s">
        <v>637</v>
      </c>
      <c r="J161" s="18" t="s">
        <v>690</v>
      </c>
      <c r="K161" s="18" t="s">
        <v>546</v>
      </c>
    </row>
    <row r="162" spans="1:11" ht="13">
      <c r="A162" s="18" t="s">
        <v>516</v>
      </c>
      <c r="B162" s="18" t="s">
        <v>960</v>
      </c>
      <c r="C162" s="18" t="s">
        <v>1007</v>
      </c>
      <c r="D162" s="18" t="s">
        <v>1008</v>
      </c>
      <c r="E162" s="18">
        <v>2010</v>
      </c>
      <c r="F162" s="18">
        <v>268</v>
      </c>
      <c r="G162" s="18" t="s">
        <v>402</v>
      </c>
      <c r="H162" s="18" t="s">
        <v>402</v>
      </c>
      <c r="I162" s="18" t="s">
        <v>637</v>
      </c>
      <c r="J162" s="18" t="s">
        <v>690</v>
      </c>
      <c r="K162" s="18" t="s">
        <v>546</v>
      </c>
    </row>
    <row r="163" spans="1:11" ht="13">
      <c r="A163" s="18" t="s">
        <v>516</v>
      </c>
      <c r="B163" s="18" t="s">
        <v>960</v>
      </c>
      <c r="C163" s="18" t="s">
        <v>1007</v>
      </c>
      <c r="D163" s="18" t="s">
        <v>1008</v>
      </c>
      <c r="E163" s="18">
        <v>2011</v>
      </c>
      <c r="F163" s="18">
        <v>268</v>
      </c>
      <c r="G163" s="18" t="s">
        <v>402</v>
      </c>
      <c r="H163" s="18" t="s">
        <v>402</v>
      </c>
      <c r="I163" s="18" t="s">
        <v>637</v>
      </c>
      <c r="J163" s="18" t="s">
        <v>690</v>
      </c>
      <c r="K163" s="18" t="s">
        <v>546</v>
      </c>
    </row>
    <row r="164" spans="1:11" ht="13">
      <c r="A164" s="18" t="s">
        <v>516</v>
      </c>
      <c r="B164" s="18" t="s">
        <v>960</v>
      </c>
      <c r="C164" s="18" t="s">
        <v>1007</v>
      </c>
      <c r="D164" s="18" t="s">
        <v>1008</v>
      </c>
      <c r="E164" s="18">
        <v>2013</v>
      </c>
      <c r="F164" s="18">
        <v>249</v>
      </c>
      <c r="G164" s="18" t="s">
        <v>402</v>
      </c>
      <c r="H164" s="18" t="s">
        <v>402</v>
      </c>
      <c r="I164" s="18" t="s">
        <v>637</v>
      </c>
      <c r="J164" s="18" t="s">
        <v>690</v>
      </c>
      <c r="K164" s="18" t="s">
        <v>546</v>
      </c>
    </row>
    <row r="165" spans="1:11" ht="13">
      <c r="A165" s="18" t="s">
        <v>516</v>
      </c>
      <c r="B165" s="18" t="s">
        <v>960</v>
      </c>
      <c r="C165" s="18" t="s">
        <v>1007</v>
      </c>
      <c r="D165" s="18" t="s">
        <v>1008</v>
      </c>
      <c r="E165" s="18">
        <v>2014</v>
      </c>
      <c r="F165" s="18">
        <v>259</v>
      </c>
      <c r="G165" s="18" t="s">
        <v>402</v>
      </c>
      <c r="H165" s="18" t="s">
        <v>402</v>
      </c>
      <c r="I165" s="18" t="s">
        <v>637</v>
      </c>
      <c r="J165" s="18" t="s">
        <v>690</v>
      </c>
      <c r="K165" s="18" t="s">
        <v>546</v>
      </c>
    </row>
    <row r="166" spans="1:11" ht="13">
      <c r="A166" s="18" t="s">
        <v>516</v>
      </c>
      <c r="B166" s="18" t="s">
        <v>960</v>
      </c>
      <c r="C166" s="18" t="s">
        <v>1007</v>
      </c>
      <c r="D166" s="18" t="s">
        <v>1008</v>
      </c>
      <c r="E166" s="18">
        <v>2016</v>
      </c>
      <c r="F166" s="18">
        <v>239</v>
      </c>
      <c r="G166" s="18" t="s">
        <v>402</v>
      </c>
      <c r="H166" s="18" t="s">
        <v>402</v>
      </c>
      <c r="I166" s="18" t="s">
        <v>637</v>
      </c>
      <c r="J166" s="18" t="s">
        <v>690</v>
      </c>
      <c r="K166" s="18" t="s">
        <v>546</v>
      </c>
    </row>
    <row r="167" spans="1:11" ht="13">
      <c r="A167" s="18" t="s">
        <v>516</v>
      </c>
      <c r="B167" s="18" t="s">
        <v>960</v>
      </c>
      <c r="C167" s="18" t="s">
        <v>1007</v>
      </c>
      <c r="D167" s="18" t="s">
        <v>1008</v>
      </c>
      <c r="E167" s="18">
        <v>2017</v>
      </c>
      <c r="F167" s="18">
        <v>244</v>
      </c>
      <c r="G167" s="18" t="s">
        <v>402</v>
      </c>
      <c r="H167" s="18" t="s">
        <v>402</v>
      </c>
      <c r="I167" s="18" t="s">
        <v>637</v>
      </c>
      <c r="J167" s="18" t="s">
        <v>690</v>
      </c>
      <c r="K167" s="18" t="s">
        <v>546</v>
      </c>
    </row>
    <row r="168" spans="1:11" ht="13">
      <c r="A168" s="18" t="s">
        <v>592</v>
      </c>
      <c r="B168" s="18" t="s">
        <v>591</v>
      </c>
      <c r="C168" s="18" t="s">
        <v>1009</v>
      </c>
      <c r="D168" s="18" t="s">
        <v>1010</v>
      </c>
      <c r="E168" s="18">
        <v>2007</v>
      </c>
      <c r="F168" s="18">
        <v>84215</v>
      </c>
      <c r="G168" s="18">
        <v>70149</v>
      </c>
      <c r="H168" s="18">
        <v>97841</v>
      </c>
      <c r="I168" s="18" t="s">
        <v>637</v>
      </c>
      <c r="J168" s="18" t="s">
        <v>611</v>
      </c>
      <c r="K168" s="18" t="s">
        <v>596</v>
      </c>
    </row>
    <row r="169" spans="1:11" ht="13">
      <c r="A169" s="18" t="s">
        <v>592</v>
      </c>
      <c r="B169" s="18" t="s">
        <v>591</v>
      </c>
      <c r="C169" s="18" t="s">
        <v>1009</v>
      </c>
      <c r="D169" s="18" t="s">
        <v>1010</v>
      </c>
      <c r="E169" s="18">
        <v>2010</v>
      </c>
      <c r="F169" s="18">
        <v>82676</v>
      </c>
      <c r="G169" s="18">
        <v>68170</v>
      </c>
      <c r="H169" s="18">
        <v>97621</v>
      </c>
      <c r="I169" s="18" t="s">
        <v>637</v>
      </c>
      <c r="J169" s="18" t="s">
        <v>611</v>
      </c>
      <c r="K169" s="18" t="s">
        <v>596</v>
      </c>
    </row>
    <row r="170" spans="1:11" ht="13">
      <c r="A170" s="18" t="s">
        <v>592</v>
      </c>
      <c r="B170" s="18" t="s">
        <v>591</v>
      </c>
      <c r="C170" s="18" t="s">
        <v>1009</v>
      </c>
      <c r="D170" s="18" t="s">
        <v>1010</v>
      </c>
      <c r="E170" s="18">
        <v>2014</v>
      </c>
      <c r="F170" s="18">
        <v>101798</v>
      </c>
      <c r="G170" s="18">
        <v>81578</v>
      </c>
      <c r="H170" s="18">
        <v>122017</v>
      </c>
      <c r="I170" s="18" t="s">
        <v>637</v>
      </c>
      <c r="J170" s="18" t="s">
        <v>611</v>
      </c>
      <c r="K170" s="18" t="s">
        <v>596</v>
      </c>
    </row>
    <row r="171" spans="1:11" ht="13">
      <c r="A171" s="18" t="s">
        <v>592</v>
      </c>
      <c r="B171" s="18" t="s">
        <v>591</v>
      </c>
      <c r="C171" s="18" t="s">
        <v>1009</v>
      </c>
      <c r="D171" s="18" t="s">
        <v>1011</v>
      </c>
      <c r="E171" s="18">
        <v>2005</v>
      </c>
      <c r="F171" s="18">
        <v>14853</v>
      </c>
      <c r="G171" s="18">
        <v>12655</v>
      </c>
      <c r="H171" s="18">
        <v>17051</v>
      </c>
      <c r="I171" s="18" t="s">
        <v>637</v>
      </c>
      <c r="J171" s="18" t="s">
        <v>611</v>
      </c>
      <c r="K171" s="18" t="s">
        <v>596</v>
      </c>
    </row>
    <row r="172" spans="1:11" ht="13">
      <c r="A172" s="18" t="s">
        <v>592</v>
      </c>
      <c r="B172" s="18" t="s">
        <v>591</v>
      </c>
      <c r="C172" s="18" t="s">
        <v>1009</v>
      </c>
      <c r="D172" s="18" t="s">
        <v>1011</v>
      </c>
      <c r="E172" s="18">
        <v>2009</v>
      </c>
      <c r="F172" s="18">
        <v>12434</v>
      </c>
      <c r="G172" s="18">
        <v>10237</v>
      </c>
      <c r="H172" s="18">
        <v>14632</v>
      </c>
      <c r="I172" s="18" t="s">
        <v>637</v>
      </c>
      <c r="J172" s="18" t="s">
        <v>611</v>
      </c>
      <c r="K172" s="18" t="s">
        <v>596</v>
      </c>
    </row>
    <row r="173" spans="1:11" ht="13">
      <c r="A173" s="18" t="s">
        <v>592</v>
      </c>
      <c r="B173" s="18" t="s">
        <v>591</v>
      </c>
      <c r="C173" s="18" t="s">
        <v>1009</v>
      </c>
      <c r="D173" s="18" t="s">
        <v>1011</v>
      </c>
      <c r="E173" s="18">
        <v>2012</v>
      </c>
      <c r="F173" s="18">
        <v>15292</v>
      </c>
      <c r="G173" s="18">
        <v>12215</v>
      </c>
      <c r="H173" s="18">
        <v>18369</v>
      </c>
      <c r="I173" s="18" t="s">
        <v>637</v>
      </c>
      <c r="J173" s="18" t="s">
        <v>611</v>
      </c>
      <c r="K173" s="18" t="s">
        <v>596</v>
      </c>
    </row>
  </sheetData>
  <hyperlinks>
    <hyperlink ref="K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H982"/>
  <sheetViews>
    <sheetView workbookViewId="0">
      <pane ySplit="3" topLeftCell="A4" activePane="bottomLeft" state="frozen"/>
      <selection pane="bottomLeft" activeCell="B5" sqref="B5"/>
    </sheetView>
  </sheetViews>
  <sheetFormatPr baseColWidth="10" defaultColWidth="12.6640625" defaultRowHeight="15.75" customHeight="1"/>
  <cols>
    <col min="2" max="2" width="23.1640625" customWidth="1"/>
    <col min="3" max="3" width="36.1640625" customWidth="1"/>
    <col min="4" max="4" width="23" customWidth="1"/>
    <col min="9" max="10" width="15.83203125" customWidth="1"/>
    <col min="11" max="11" width="32.5" customWidth="1"/>
    <col min="12" max="12" width="19.33203125" customWidth="1"/>
  </cols>
  <sheetData>
    <row r="1" spans="1:34" ht="15.75" customHeight="1">
      <c r="A1" s="11" t="s">
        <v>252</v>
      </c>
      <c r="B1" s="11" t="s">
        <v>865</v>
      </c>
      <c r="C1" s="77" t="s">
        <v>866</v>
      </c>
      <c r="D1" s="11" t="s">
        <v>867</v>
      </c>
      <c r="E1" s="11" t="s">
        <v>603</v>
      </c>
      <c r="F1" s="11" t="s">
        <v>604</v>
      </c>
      <c r="G1" s="11" t="s">
        <v>868</v>
      </c>
      <c r="H1" s="11" t="s">
        <v>869</v>
      </c>
      <c r="I1" s="11" t="s">
        <v>870</v>
      </c>
      <c r="J1" s="11" t="s">
        <v>607</v>
      </c>
      <c r="K1" s="11" t="s">
        <v>248</v>
      </c>
      <c r="L1" s="11" t="s">
        <v>258</v>
      </c>
      <c r="M1" s="11"/>
      <c r="N1" s="11"/>
      <c r="O1" s="11"/>
      <c r="P1" s="11"/>
      <c r="Q1" s="11"/>
      <c r="R1" s="11"/>
      <c r="S1" s="11"/>
      <c r="T1" s="11"/>
      <c r="U1" s="11"/>
      <c r="V1" s="11"/>
      <c r="W1" s="11"/>
      <c r="X1" s="11"/>
      <c r="Y1" s="11"/>
      <c r="Z1" s="11"/>
      <c r="AA1" s="11"/>
      <c r="AB1" s="11"/>
      <c r="AC1" s="11"/>
      <c r="AD1" s="11"/>
      <c r="AE1" s="11"/>
      <c r="AF1" s="11"/>
      <c r="AG1" s="11"/>
      <c r="AH1" s="11"/>
    </row>
    <row r="2" spans="1:34" ht="15.75" customHeight="1">
      <c r="A2" s="14" t="s">
        <v>355</v>
      </c>
      <c r="B2" s="14" t="s">
        <v>1012</v>
      </c>
      <c r="C2" s="78" t="s">
        <v>1013</v>
      </c>
      <c r="D2" s="14" t="s">
        <v>1014</v>
      </c>
      <c r="E2" s="14">
        <v>2007</v>
      </c>
      <c r="F2" s="14">
        <v>958</v>
      </c>
      <c r="G2" s="14">
        <v>470</v>
      </c>
      <c r="H2" s="14">
        <v>1954</v>
      </c>
      <c r="I2" s="14" t="s">
        <v>1015</v>
      </c>
      <c r="J2" s="14"/>
      <c r="K2" s="14" t="s">
        <v>1016</v>
      </c>
      <c r="L2" s="14" t="s">
        <v>1017</v>
      </c>
      <c r="M2" s="14"/>
      <c r="N2" s="14"/>
      <c r="O2" s="14"/>
      <c r="P2" s="14"/>
      <c r="Q2" s="14"/>
      <c r="R2" s="14"/>
      <c r="S2" s="14"/>
      <c r="T2" s="14"/>
      <c r="U2" s="14"/>
      <c r="V2" s="14"/>
      <c r="W2" s="14"/>
      <c r="X2" s="14"/>
      <c r="Y2" s="14"/>
      <c r="Z2" s="14"/>
      <c r="AA2" s="14"/>
      <c r="AB2" s="14"/>
      <c r="AC2" s="14"/>
      <c r="AD2" s="14"/>
      <c r="AE2" s="14"/>
      <c r="AF2" s="14"/>
      <c r="AG2" s="14"/>
      <c r="AH2" s="14"/>
    </row>
    <row r="3" spans="1:34" ht="15.75" customHeight="1">
      <c r="A3" s="14" t="s">
        <v>355</v>
      </c>
      <c r="B3" s="14" t="s">
        <v>1012</v>
      </c>
      <c r="C3" s="78" t="s">
        <v>1013</v>
      </c>
      <c r="D3" s="14" t="s">
        <v>1014</v>
      </c>
      <c r="E3" s="14">
        <v>2016</v>
      </c>
      <c r="F3" s="14">
        <v>48723</v>
      </c>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row>
    <row r="4" spans="1:34" ht="15.75" customHeight="1">
      <c r="A4" s="18" t="s">
        <v>413</v>
      </c>
      <c r="B4" s="18" t="s">
        <v>412</v>
      </c>
      <c r="C4" s="9" t="s">
        <v>1018</v>
      </c>
      <c r="D4" s="18" t="s">
        <v>632</v>
      </c>
      <c r="E4" s="18">
        <v>2014</v>
      </c>
      <c r="F4" s="18">
        <v>200</v>
      </c>
      <c r="G4" s="18">
        <v>70</v>
      </c>
      <c r="H4" s="18">
        <v>600</v>
      </c>
      <c r="I4" s="18" t="s">
        <v>611</v>
      </c>
      <c r="J4" s="18" t="s">
        <v>637</v>
      </c>
      <c r="K4" s="18" t="s">
        <v>416</v>
      </c>
      <c r="L4" s="18" t="s">
        <v>1019</v>
      </c>
    </row>
    <row r="5" spans="1:34" ht="15.75" customHeight="1">
      <c r="A5" s="18" t="s">
        <v>413</v>
      </c>
      <c r="B5" s="18" t="s">
        <v>412</v>
      </c>
      <c r="C5" s="9" t="s">
        <v>1018</v>
      </c>
      <c r="D5" s="18" t="s">
        <v>632</v>
      </c>
      <c r="E5" s="18">
        <v>2022</v>
      </c>
      <c r="F5" s="18">
        <v>500</v>
      </c>
      <c r="G5" s="18">
        <v>230</v>
      </c>
      <c r="H5" s="18">
        <v>1050</v>
      </c>
      <c r="I5" s="18" t="s">
        <v>611</v>
      </c>
      <c r="J5" s="18" t="s">
        <v>637</v>
      </c>
      <c r="K5" s="18" t="s">
        <v>416</v>
      </c>
    </row>
    <row r="6" spans="1:34" ht="15.75" customHeight="1">
      <c r="A6" s="18" t="s">
        <v>413</v>
      </c>
      <c r="B6" s="18" t="s">
        <v>418</v>
      </c>
      <c r="C6" s="18" t="s">
        <v>1020</v>
      </c>
      <c r="D6" s="18" t="s">
        <v>632</v>
      </c>
      <c r="E6" s="18">
        <v>1954</v>
      </c>
      <c r="F6" s="18">
        <v>9696</v>
      </c>
      <c r="G6" s="18">
        <v>2593</v>
      </c>
      <c r="H6" s="18">
        <v>37285</v>
      </c>
      <c r="I6" s="18" t="s">
        <v>611</v>
      </c>
      <c r="J6" s="18" t="s">
        <v>637</v>
      </c>
      <c r="K6" s="18" t="s">
        <v>420</v>
      </c>
      <c r="L6" s="18" t="s">
        <v>1021</v>
      </c>
    </row>
    <row r="7" spans="1:34" ht="15.75" customHeight="1">
      <c r="A7" s="18" t="s">
        <v>413</v>
      </c>
      <c r="B7" s="18" t="s">
        <v>418</v>
      </c>
      <c r="C7" s="18" t="s">
        <v>1020</v>
      </c>
      <c r="D7" s="18" t="s">
        <v>632</v>
      </c>
      <c r="E7" s="18">
        <v>1961</v>
      </c>
      <c r="F7" s="18">
        <v>8874</v>
      </c>
      <c r="G7" s="18">
        <v>2294</v>
      </c>
      <c r="H7" s="18">
        <v>34070</v>
      </c>
      <c r="I7" s="18" t="s">
        <v>611</v>
      </c>
      <c r="J7" s="18" t="s">
        <v>637</v>
      </c>
      <c r="K7" s="18" t="s">
        <v>420</v>
      </c>
    </row>
    <row r="8" spans="1:34" ht="15.75" customHeight="1">
      <c r="A8" s="18" t="s">
        <v>413</v>
      </c>
      <c r="B8" s="18" t="s">
        <v>418</v>
      </c>
      <c r="C8" s="18" t="s">
        <v>1020</v>
      </c>
      <c r="D8" s="18" t="s">
        <v>632</v>
      </c>
      <c r="E8" s="18">
        <v>1976</v>
      </c>
      <c r="F8" s="18">
        <v>2743</v>
      </c>
      <c r="G8" s="18">
        <v>724</v>
      </c>
      <c r="H8" s="18">
        <v>10593</v>
      </c>
      <c r="I8" s="18" t="s">
        <v>611</v>
      </c>
      <c r="J8" s="18" t="s">
        <v>637</v>
      </c>
      <c r="K8" s="18" t="s">
        <v>420</v>
      </c>
    </row>
    <row r="9" spans="1:34" ht="15.75" customHeight="1">
      <c r="A9" s="18" t="s">
        <v>413</v>
      </c>
      <c r="B9" s="18" t="s">
        <v>418</v>
      </c>
      <c r="C9" s="18" t="s">
        <v>1020</v>
      </c>
      <c r="D9" s="18" t="s">
        <v>632</v>
      </c>
      <c r="E9" s="18">
        <v>1977</v>
      </c>
      <c r="F9" s="18">
        <v>2743</v>
      </c>
      <c r="G9" s="18">
        <v>724</v>
      </c>
      <c r="H9" s="18">
        <v>10444</v>
      </c>
      <c r="I9" s="18" t="s">
        <v>611</v>
      </c>
      <c r="J9" s="18" t="s">
        <v>637</v>
      </c>
      <c r="K9" s="18" t="s">
        <v>420</v>
      </c>
    </row>
    <row r="10" spans="1:34" ht="15.75" customHeight="1">
      <c r="A10" s="18" t="s">
        <v>413</v>
      </c>
      <c r="B10" s="18" t="s">
        <v>418</v>
      </c>
      <c r="C10" s="18" t="s">
        <v>1020</v>
      </c>
      <c r="D10" s="18" t="s">
        <v>632</v>
      </c>
      <c r="E10" s="18">
        <v>1988</v>
      </c>
      <c r="F10" s="18">
        <v>2893</v>
      </c>
      <c r="G10" s="18">
        <v>799</v>
      </c>
      <c r="H10" s="18">
        <v>10967</v>
      </c>
      <c r="I10" s="18" t="s">
        <v>611</v>
      </c>
      <c r="J10" s="18" t="s">
        <v>637</v>
      </c>
      <c r="K10" s="18" t="s">
        <v>420</v>
      </c>
    </row>
    <row r="11" spans="1:34" ht="15.75" customHeight="1">
      <c r="A11" s="18" t="s">
        <v>413</v>
      </c>
      <c r="B11" s="18" t="s">
        <v>418</v>
      </c>
      <c r="C11" s="18" t="s">
        <v>1020</v>
      </c>
      <c r="D11" s="18" t="s">
        <v>632</v>
      </c>
      <c r="E11" s="18">
        <v>1989</v>
      </c>
      <c r="F11" s="18">
        <v>4463</v>
      </c>
      <c r="G11" s="18">
        <v>1173</v>
      </c>
      <c r="H11" s="18">
        <v>17023</v>
      </c>
      <c r="I11" s="18" t="s">
        <v>611</v>
      </c>
      <c r="J11" s="18" t="s">
        <v>637</v>
      </c>
      <c r="K11" s="18" t="s">
        <v>420</v>
      </c>
    </row>
    <row r="12" spans="1:34" ht="15.75" customHeight="1">
      <c r="A12" s="18" t="s">
        <v>413</v>
      </c>
      <c r="B12" s="18" t="s">
        <v>418</v>
      </c>
      <c r="C12" s="18" t="s">
        <v>1020</v>
      </c>
      <c r="D12" s="18" t="s">
        <v>632</v>
      </c>
      <c r="E12" s="18">
        <v>1990</v>
      </c>
      <c r="F12" s="18">
        <v>6107</v>
      </c>
      <c r="G12" s="18">
        <v>1621</v>
      </c>
      <c r="H12" s="18">
        <v>23603</v>
      </c>
      <c r="I12" s="18" t="s">
        <v>611</v>
      </c>
      <c r="J12" s="18" t="s">
        <v>637</v>
      </c>
      <c r="K12" s="18" t="s">
        <v>420</v>
      </c>
    </row>
    <row r="13" spans="1:34" ht="15.75" customHeight="1">
      <c r="A13" s="18" t="s">
        <v>413</v>
      </c>
      <c r="B13" s="18" t="s">
        <v>418</v>
      </c>
      <c r="C13" s="18" t="s">
        <v>1020</v>
      </c>
      <c r="D13" s="18" t="s">
        <v>632</v>
      </c>
      <c r="E13" s="18">
        <v>2012</v>
      </c>
      <c r="F13" s="18">
        <v>5210</v>
      </c>
      <c r="G13" s="18">
        <v>1397</v>
      </c>
      <c r="H13" s="18">
        <v>20238</v>
      </c>
      <c r="I13" s="18" t="s">
        <v>611</v>
      </c>
      <c r="J13" s="18" t="s">
        <v>637</v>
      </c>
      <c r="K13" s="18" t="s">
        <v>420</v>
      </c>
    </row>
    <row r="14" spans="1:34" ht="15.75" customHeight="1">
      <c r="A14" s="18" t="s">
        <v>413</v>
      </c>
      <c r="B14" s="18" t="s">
        <v>418</v>
      </c>
      <c r="C14" s="18" t="s">
        <v>1020</v>
      </c>
      <c r="D14" s="18" t="s">
        <v>632</v>
      </c>
      <c r="E14" s="18">
        <v>2014</v>
      </c>
      <c r="F14" s="18">
        <v>7154</v>
      </c>
      <c r="G14" s="18">
        <v>1846</v>
      </c>
      <c r="H14" s="18">
        <v>27640</v>
      </c>
      <c r="I14" s="18" t="s">
        <v>611</v>
      </c>
      <c r="J14" s="18" t="s">
        <v>637</v>
      </c>
      <c r="K14" s="18" t="s">
        <v>420</v>
      </c>
    </row>
    <row r="15" spans="1:34" ht="15.75" customHeight="1">
      <c r="A15" s="18" t="s">
        <v>413</v>
      </c>
      <c r="B15" s="18" t="s">
        <v>418</v>
      </c>
      <c r="C15" s="18" t="s">
        <v>1020</v>
      </c>
      <c r="D15" s="18" t="s">
        <v>632</v>
      </c>
      <c r="E15" s="18">
        <v>2017</v>
      </c>
      <c r="F15" s="18">
        <v>38481</v>
      </c>
      <c r="G15" s="18">
        <v>13509</v>
      </c>
      <c r="H15" s="18">
        <v>45061</v>
      </c>
      <c r="I15" s="18" t="s">
        <v>611</v>
      </c>
      <c r="J15" s="18" t="s">
        <v>637</v>
      </c>
      <c r="K15" s="18" t="s">
        <v>420</v>
      </c>
    </row>
    <row r="16" spans="1:34" ht="15.75" customHeight="1">
      <c r="A16" s="18" t="s">
        <v>423</v>
      </c>
      <c r="B16" s="18" t="s">
        <v>434</v>
      </c>
      <c r="C16" s="9" t="s">
        <v>1022</v>
      </c>
      <c r="D16" s="18" t="s">
        <v>632</v>
      </c>
      <c r="E16" s="18">
        <v>1952</v>
      </c>
      <c r="F16" s="18">
        <v>647619</v>
      </c>
      <c r="G16" s="18">
        <v>257143</v>
      </c>
      <c r="H16" s="18">
        <v>1628571</v>
      </c>
      <c r="I16" s="18" t="s">
        <v>690</v>
      </c>
      <c r="J16" s="18" t="s">
        <v>637</v>
      </c>
      <c r="K16" s="18" t="s">
        <v>426</v>
      </c>
      <c r="L16" s="18" t="s">
        <v>1023</v>
      </c>
    </row>
    <row r="17" spans="1:12" ht="15.75" customHeight="1">
      <c r="A17" s="18" t="s">
        <v>423</v>
      </c>
      <c r="B17" s="18" t="s">
        <v>434</v>
      </c>
      <c r="C17" s="9" t="s">
        <v>1022</v>
      </c>
      <c r="D17" s="18" t="s">
        <v>632</v>
      </c>
      <c r="E17" s="18">
        <v>1960</v>
      </c>
      <c r="F17" s="18">
        <v>242857</v>
      </c>
      <c r="G17" s="18">
        <v>100000</v>
      </c>
      <c r="H17" s="18">
        <v>600000</v>
      </c>
      <c r="I17" s="18" t="s">
        <v>690</v>
      </c>
      <c r="J17" s="18" t="s">
        <v>637</v>
      </c>
      <c r="K17" s="18" t="s">
        <v>426</v>
      </c>
    </row>
    <row r="18" spans="1:12" ht="15.75" customHeight="1">
      <c r="A18" s="18" t="s">
        <v>423</v>
      </c>
      <c r="B18" s="18" t="s">
        <v>434</v>
      </c>
      <c r="C18" s="9" t="s">
        <v>1022</v>
      </c>
      <c r="D18" s="18" t="s">
        <v>632</v>
      </c>
      <c r="E18" s="18">
        <v>1978</v>
      </c>
      <c r="F18" s="18">
        <v>504762</v>
      </c>
      <c r="G18" s="18">
        <v>438095</v>
      </c>
      <c r="H18" s="18">
        <v>571429</v>
      </c>
      <c r="I18" s="18" t="s">
        <v>690</v>
      </c>
      <c r="J18" s="18" t="s">
        <v>637</v>
      </c>
      <c r="K18" s="18" t="s">
        <v>426</v>
      </c>
    </row>
    <row r="19" spans="1:12" ht="15.75" customHeight="1">
      <c r="A19" s="18" t="s">
        <v>423</v>
      </c>
      <c r="B19" s="18" t="s">
        <v>434</v>
      </c>
      <c r="C19" s="9" t="s">
        <v>1022</v>
      </c>
      <c r="D19" s="18" t="s">
        <v>632</v>
      </c>
      <c r="E19" s="18">
        <v>1979</v>
      </c>
      <c r="F19" s="18">
        <v>480952</v>
      </c>
      <c r="G19" s="18">
        <v>414286</v>
      </c>
      <c r="H19" s="18">
        <v>557143</v>
      </c>
      <c r="I19" s="18" t="s">
        <v>690</v>
      </c>
      <c r="J19" s="18" t="s">
        <v>637</v>
      </c>
      <c r="K19" s="18" t="s">
        <v>426</v>
      </c>
    </row>
    <row r="20" spans="1:12" ht="15.75" customHeight="1">
      <c r="A20" s="18" t="s">
        <v>423</v>
      </c>
      <c r="B20" s="18" t="s">
        <v>434</v>
      </c>
      <c r="C20" s="9" t="s">
        <v>1022</v>
      </c>
      <c r="D20" s="18" t="s">
        <v>632</v>
      </c>
      <c r="E20" s="18">
        <v>1980</v>
      </c>
      <c r="F20" s="18">
        <v>480952</v>
      </c>
      <c r="G20" s="18">
        <v>400000</v>
      </c>
      <c r="H20" s="18">
        <v>580952</v>
      </c>
      <c r="I20" s="18" t="s">
        <v>690</v>
      </c>
      <c r="J20" s="18" t="s">
        <v>637</v>
      </c>
      <c r="K20" s="18" t="s">
        <v>426</v>
      </c>
    </row>
    <row r="21" spans="1:12" ht="15.75" customHeight="1">
      <c r="A21" s="18" t="s">
        <v>423</v>
      </c>
      <c r="B21" s="18" t="s">
        <v>434</v>
      </c>
      <c r="C21" s="9" t="s">
        <v>1022</v>
      </c>
      <c r="D21" s="18" t="s">
        <v>632</v>
      </c>
      <c r="E21" s="18">
        <v>1983</v>
      </c>
      <c r="F21" s="18">
        <v>542857</v>
      </c>
      <c r="G21" s="18">
        <v>476190</v>
      </c>
      <c r="H21" s="18">
        <v>604762</v>
      </c>
      <c r="I21" s="18" t="s">
        <v>690</v>
      </c>
      <c r="J21" s="18" t="s">
        <v>637</v>
      </c>
      <c r="K21" s="18" t="s">
        <v>426</v>
      </c>
    </row>
    <row r="22" spans="1:12" ht="15.75" customHeight="1">
      <c r="A22" s="18" t="s">
        <v>423</v>
      </c>
      <c r="B22" s="18" t="s">
        <v>434</v>
      </c>
      <c r="C22" s="9" t="s">
        <v>1022</v>
      </c>
      <c r="D22" s="18" t="s">
        <v>632</v>
      </c>
      <c r="E22" s="18">
        <v>1990</v>
      </c>
      <c r="F22" s="18">
        <v>580952</v>
      </c>
      <c r="G22" s="18">
        <v>509524</v>
      </c>
      <c r="H22" s="18">
        <v>661905</v>
      </c>
      <c r="I22" s="18" t="s">
        <v>690</v>
      </c>
      <c r="J22" s="18" t="s">
        <v>637</v>
      </c>
      <c r="K22" s="18" t="s">
        <v>426</v>
      </c>
    </row>
    <row r="23" spans="1:12" ht="15.75" customHeight="1">
      <c r="A23" s="18" t="s">
        <v>423</v>
      </c>
      <c r="B23" s="18" t="s">
        <v>434</v>
      </c>
      <c r="C23" s="9" t="s">
        <v>1022</v>
      </c>
      <c r="D23" s="18" t="s">
        <v>632</v>
      </c>
      <c r="E23" s="18">
        <v>1994</v>
      </c>
      <c r="F23" s="18">
        <v>709524</v>
      </c>
      <c r="G23" s="18">
        <v>595238</v>
      </c>
      <c r="H23" s="18">
        <v>842857</v>
      </c>
      <c r="I23" s="18" t="s">
        <v>690</v>
      </c>
      <c r="J23" s="18" t="s">
        <v>637</v>
      </c>
      <c r="K23" s="18" t="s">
        <v>426</v>
      </c>
    </row>
    <row r="24" spans="1:12" ht="15.75" customHeight="1">
      <c r="A24" s="18" t="s">
        <v>423</v>
      </c>
      <c r="B24" s="18" t="s">
        <v>434</v>
      </c>
      <c r="C24" s="9" t="s">
        <v>1022</v>
      </c>
      <c r="D24" s="18" t="s">
        <v>632</v>
      </c>
      <c r="E24" s="18">
        <v>1999</v>
      </c>
      <c r="F24" s="18">
        <v>1004762</v>
      </c>
      <c r="G24" s="18">
        <v>819048</v>
      </c>
      <c r="H24" s="18">
        <v>1219048</v>
      </c>
      <c r="I24" s="18" t="s">
        <v>690</v>
      </c>
      <c r="J24" s="18" t="s">
        <v>637</v>
      </c>
      <c r="K24" s="18" t="s">
        <v>426</v>
      </c>
    </row>
    <row r="25" spans="1:12" ht="15.75" customHeight="1">
      <c r="A25" s="18" t="s">
        <v>423</v>
      </c>
      <c r="B25" s="18" t="s">
        <v>434</v>
      </c>
      <c r="C25" s="9" t="s">
        <v>1022</v>
      </c>
      <c r="D25" s="18" t="s">
        <v>632</v>
      </c>
      <c r="E25" s="18">
        <v>2004</v>
      </c>
      <c r="F25" s="18">
        <v>1000000</v>
      </c>
      <c r="G25" s="18">
        <v>885714</v>
      </c>
      <c r="H25" s="18">
        <v>1114286</v>
      </c>
      <c r="I25" s="18" t="s">
        <v>690</v>
      </c>
      <c r="J25" s="18" t="s">
        <v>637</v>
      </c>
      <c r="K25" s="18" t="s">
        <v>426</v>
      </c>
    </row>
    <row r="26" spans="1:12" ht="15.75" customHeight="1">
      <c r="A26" s="18" t="s">
        <v>423</v>
      </c>
      <c r="B26" s="18" t="s">
        <v>434</v>
      </c>
      <c r="C26" s="9" t="s">
        <v>1022</v>
      </c>
      <c r="D26" s="18" t="s">
        <v>632</v>
      </c>
      <c r="E26" s="18">
        <v>2008</v>
      </c>
      <c r="F26" s="18">
        <v>1628571</v>
      </c>
      <c r="G26" s="18">
        <v>1428571</v>
      </c>
      <c r="H26" s="18">
        <v>1861905</v>
      </c>
      <c r="I26" s="18" t="s">
        <v>690</v>
      </c>
      <c r="J26" s="18" t="s">
        <v>637</v>
      </c>
      <c r="K26" s="18" t="s">
        <v>426</v>
      </c>
    </row>
    <row r="27" spans="1:12" ht="15.75" customHeight="1">
      <c r="A27" s="18" t="s">
        <v>423</v>
      </c>
      <c r="B27" s="18" t="s">
        <v>434</v>
      </c>
      <c r="C27" s="9" t="s">
        <v>1022</v>
      </c>
      <c r="D27" s="18" t="s">
        <v>632</v>
      </c>
      <c r="E27" s="18">
        <v>2012</v>
      </c>
      <c r="F27" s="18">
        <v>819048</v>
      </c>
      <c r="G27" s="18">
        <v>690476</v>
      </c>
      <c r="H27" s="18">
        <v>961905</v>
      </c>
      <c r="I27" s="18" t="s">
        <v>690</v>
      </c>
      <c r="J27" s="18" t="s">
        <v>637</v>
      </c>
      <c r="K27" s="18" t="s">
        <v>426</v>
      </c>
    </row>
    <row r="28" spans="1:12" ht="15.75" customHeight="1">
      <c r="A28" s="18" t="s">
        <v>423</v>
      </c>
      <c r="B28" s="18" t="s">
        <v>434</v>
      </c>
      <c r="C28" s="9" t="s">
        <v>1022</v>
      </c>
      <c r="D28" s="18" t="s">
        <v>632</v>
      </c>
      <c r="E28" s="18">
        <v>2017</v>
      </c>
      <c r="F28" s="18">
        <v>757143</v>
      </c>
      <c r="G28" s="18">
        <v>595238</v>
      </c>
      <c r="H28" s="18">
        <v>947619</v>
      </c>
      <c r="I28" s="18" t="s">
        <v>690</v>
      </c>
      <c r="J28" s="18" t="s">
        <v>637</v>
      </c>
      <c r="K28" s="18" t="s">
        <v>426</v>
      </c>
    </row>
    <row r="29" spans="1:12" ht="15.75" customHeight="1">
      <c r="A29" s="18" t="s">
        <v>429</v>
      </c>
      <c r="B29" s="18" t="s">
        <v>428</v>
      </c>
      <c r="C29" s="18" t="s">
        <v>1024</v>
      </c>
      <c r="D29" s="79" t="s">
        <v>1025</v>
      </c>
      <c r="E29" s="18">
        <v>1977</v>
      </c>
      <c r="F29" s="18">
        <v>97</v>
      </c>
      <c r="G29" s="18" t="s">
        <v>402</v>
      </c>
      <c r="H29" s="18" t="s">
        <v>402</v>
      </c>
      <c r="I29" s="18" t="s">
        <v>611</v>
      </c>
      <c r="J29" s="18" t="s">
        <v>637</v>
      </c>
      <c r="K29" s="18" t="s">
        <v>432</v>
      </c>
      <c r="L29" s="18" t="s">
        <v>1026</v>
      </c>
    </row>
    <row r="30" spans="1:12" ht="15.75" customHeight="1">
      <c r="A30" s="18" t="s">
        <v>429</v>
      </c>
      <c r="B30" s="18" t="s">
        <v>428</v>
      </c>
      <c r="C30" s="18" t="s">
        <v>1024</v>
      </c>
      <c r="D30" s="18" t="s">
        <v>1025</v>
      </c>
      <c r="E30" s="18">
        <v>1978</v>
      </c>
      <c r="F30" s="18">
        <v>97</v>
      </c>
      <c r="G30" s="18" t="s">
        <v>402</v>
      </c>
      <c r="H30" s="18" t="s">
        <v>402</v>
      </c>
      <c r="I30" s="18" t="s">
        <v>611</v>
      </c>
      <c r="J30" s="18" t="s">
        <v>637</v>
      </c>
      <c r="K30" s="18" t="s">
        <v>432</v>
      </c>
    </row>
    <row r="31" spans="1:12" ht="15.75" customHeight="1">
      <c r="A31" s="18" t="s">
        <v>429</v>
      </c>
      <c r="B31" s="18" t="s">
        <v>428</v>
      </c>
      <c r="C31" s="18" t="s">
        <v>1024</v>
      </c>
      <c r="D31" s="18" t="s">
        <v>1025</v>
      </c>
      <c r="E31" s="18">
        <v>1980</v>
      </c>
      <c r="F31" s="18">
        <v>98</v>
      </c>
      <c r="G31" s="18" t="s">
        <v>402</v>
      </c>
      <c r="H31" s="18" t="s">
        <v>402</v>
      </c>
      <c r="I31" s="18" t="s">
        <v>611</v>
      </c>
      <c r="J31" s="18" t="s">
        <v>637</v>
      </c>
      <c r="K31" s="18" t="s">
        <v>432</v>
      </c>
    </row>
    <row r="32" spans="1:12" ht="15.75" customHeight="1">
      <c r="A32" s="18" t="s">
        <v>429</v>
      </c>
      <c r="B32" s="18" t="s">
        <v>428</v>
      </c>
      <c r="C32" s="18" t="s">
        <v>1024</v>
      </c>
      <c r="D32" s="18" t="s">
        <v>1025</v>
      </c>
      <c r="E32" s="18">
        <v>1982</v>
      </c>
      <c r="F32" s="18">
        <v>130</v>
      </c>
      <c r="G32" s="18" t="s">
        <v>402</v>
      </c>
      <c r="H32" s="18" t="s">
        <v>402</v>
      </c>
      <c r="I32" s="18" t="s">
        <v>611</v>
      </c>
      <c r="J32" s="18" t="s">
        <v>637</v>
      </c>
      <c r="K32" s="18" t="s">
        <v>432</v>
      </c>
    </row>
    <row r="33" spans="1:11" ht="15.75" customHeight="1">
      <c r="A33" s="18" t="s">
        <v>429</v>
      </c>
      <c r="B33" s="18" t="s">
        <v>428</v>
      </c>
      <c r="C33" s="18" t="s">
        <v>1024</v>
      </c>
      <c r="D33" s="18" t="s">
        <v>1025</v>
      </c>
      <c r="E33" s="18">
        <v>1984</v>
      </c>
      <c r="F33" s="18">
        <v>343</v>
      </c>
      <c r="G33" s="18" t="s">
        <v>402</v>
      </c>
      <c r="H33" s="18" t="s">
        <v>402</v>
      </c>
      <c r="I33" s="18" t="s">
        <v>611</v>
      </c>
      <c r="J33" s="18" t="s">
        <v>637</v>
      </c>
      <c r="K33" s="18" t="s">
        <v>432</v>
      </c>
    </row>
    <row r="34" spans="1:11" ht="15.75" customHeight="1">
      <c r="A34" s="18" t="s">
        <v>429</v>
      </c>
      <c r="B34" s="18" t="s">
        <v>428</v>
      </c>
      <c r="C34" s="18" t="s">
        <v>1024</v>
      </c>
      <c r="D34" s="18" t="s">
        <v>1025</v>
      </c>
      <c r="E34" s="18">
        <v>1987</v>
      </c>
      <c r="F34" s="18">
        <v>406</v>
      </c>
      <c r="G34" s="18" t="s">
        <v>402</v>
      </c>
      <c r="H34" s="18" t="s">
        <v>402</v>
      </c>
      <c r="I34" s="18" t="s">
        <v>611</v>
      </c>
      <c r="J34" s="18" t="s">
        <v>637</v>
      </c>
      <c r="K34" s="18" t="s">
        <v>432</v>
      </c>
    </row>
    <row r="35" spans="1:11" ht="15.75" customHeight="1">
      <c r="A35" s="18" t="s">
        <v>429</v>
      </c>
      <c r="B35" s="18" t="s">
        <v>428</v>
      </c>
      <c r="C35" s="18" t="s">
        <v>1024</v>
      </c>
      <c r="D35" s="18" t="s">
        <v>1025</v>
      </c>
      <c r="E35" s="18">
        <v>1988</v>
      </c>
      <c r="F35" s="18">
        <v>376</v>
      </c>
      <c r="G35" s="18" t="s">
        <v>402</v>
      </c>
      <c r="H35" s="18" t="s">
        <v>402</v>
      </c>
      <c r="I35" s="18" t="s">
        <v>611</v>
      </c>
      <c r="J35" s="18" t="s">
        <v>637</v>
      </c>
      <c r="K35" s="18" t="s">
        <v>432</v>
      </c>
    </row>
    <row r="36" spans="1:11" ht="15.75" customHeight="1">
      <c r="A36" s="18" t="s">
        <v>429</v>
      </c>
      <c r="B36" s="18" t="s">
        <v>428</v>
      </c>
      <c r="C36" s="18" t="s">
        <v>1024</v>
      </c>
      <c r="D36" s="18" t="s">
        <v>1025</v>
      </c>
      <c r="E36" s="18">
        <v>1989</v>
      </c>
      <c r="F36" s="18">
        <v>619</v>
      </c>
      <c r="G36" s="18" t="s">
        <v>402</v>
      </c>
      <c r="H36" s="18" t="s">
        <v>402</v>
      </c>
      <c r="I36" s="18" t="s">
        <v>611</v>
      </c>
      <c r="J36" s="18" t="s">
        <v>637</v>
      </c>
      <c r="K36" s="18" t="s">
        <v>432</v>
      </c>
    </row>
    <row r="37" spans="1:11" ht="15.75" customHeight="1">
      <c r="A37" s="18" t="s">
        <v>429</v>
      </c>
      <c r="B37" s="18" t="s">
        <v>428</v>
      </c>
      <c r="C37" s="18" t="s">
        <v>1024</v>
      </c>
      <c r="D37" s="18" t="s">
        <v>1025</v>
      </c>
      <c r="E37" s="18">
        <v>1990</v>
      </c>
      <c r="F37" s="18">
        <v>650</v>
      </c>
      <c r="G37" s="18" t="s">
        <v>402</v>
      </c>
      <c r="H37" s="18" t="s">
        <v>402</v>
      </c>
      <c r="I37" s="18" t="s">
        <v>611</v>
      </c>
      <c r="J37" s="18" t="s">
        <v>637</v>
      </c>
      <c r="K37" s="18" t="s">
        <v>432</v>
      </c>
    </row>
    <row r="38" spans="1:11" ht="15.75" customHeight="1">
      <c r="A38" s="18" t="s">
        <v>429</v>
      </c>
      <c r="B38" s="18" t="s">
        <v>428</v>
      </c>
      <c r="C38" s="18" t="s">
        <v>1024</v>
      </c>
      <c r="D38" s="18" t="s">
        <v>1025</v>
      </c>
      <c r="E38" s="18">
        <v>1991</v>
      </c>
      <c r="F38" s="18">
        <v>590</v>
      </c>
      <c r="G38" s="18" t="s">
        <v>402</v>
      </c>
      <c r="H38" s="18" t="s">
        <v>402</v>
      </c>
      <c r="I38" s="18" t="s">
        <v>611</v>
      </c>
      <c r="J38" s="18" t="s">
        <v>637</v>
      </c>
      <c r="K38" s="18" t="s">
        <v>432</v>
      </c>
    </row>
    <row r="39" spans="1:11" ht="15.75" customHeight="1">
      <c r="A39" s="18" t="s">
        <v>429</v>
      </c>
      <c r="B39" s="18" t="s">
        <v>428</v>
      </c>
      <c r="C39" s="18" t="s">
        <v>1024</v>
      </c>
      <c r="D39" s="18" t="s">
        <v>1025</v>
      </c>
      <c r="E39" s="18">
        <v>1992</v>
      </c>
      <c r="F39" s="18">
        <v>985</v>
      </c>
      <c r="G39" s="18" t="s">
        <v>402</v>
      </c>
      <c r="H39" s="18" t="s">
        <v>402</v>
      </c>
      <c r="I39" s="18" t="s">
        <v>611</v>
      </c>
      <c r="J39" s="18" t="s">
        <v>637</v>
      </c>
      <c r="K39" s="18" t="s">
        <v>432</v>
      </c>
    </row>
    <row r="40" spans="1:11" ht="15.75" customHeight="1">
      <c r="A40" s="18" t="s">
        <v>429</v>
      </c>
      <c r="B40" s="18" t="s">
        <v>428</v>
      </c>
      <c r="C40" s="18" t="s">
        <v>1024</v>
      </c>
      <c r="D40" s="18" t="s">
        <v>1025</v>
      </c>
      <c r="E40" s="18">
        <v>1993</v>
      </c>
      <c r="F40" s="18">
        <v>1076</v>
      </c>
      <c r="G40" s="18" t="s">
        <v>402</v>
      </c>
      <c r="H40" s="18" t="s">
        <v>402</v>
      </c>
      <c r="I40" s="18" t="s">
        <v>611</v>
      </c>
      <c r="J40" s="18" t="s">
        <v>637</v>
      </c>
      <c r="K40" s="18" t="s">
        <v>432</v>
      </c>
    </row>
    <row r="41" spans="1:11" ht="15.75" customHeight="1">
      <c r="A41" s="18" t="s">
        <v>429</v>
      </c>
      <c r="B41" s="18" t="s">
        <v>428</v>
      </c>
      <c r="C41" s="18" t="s">
        <v>1024</v>
      </c>
      <c r="D41" s="18" t="s">
        <v>1025</v>
      </c>
      <c r="E41" s="18">
        <v>1994</v>
      </c>
      <c r="F41" s="18">
        <v>1349</v>
      </c>
      <c r="G41" s="18" t="s">
        <v>402</v>
      </c>
      <c r="H41" s="18" t="s">
        <v>402</v>
      </c>
      <c r="I41" s="18" t="s">
        <v>611</v>
      </c>
      <c r="J41" s="18" t="s">
        <v>637</v>
      </c>
      <c r="K41" s="18" t="s">
        <v>432</v>
      </c>
    </row>
    <row r="42" spans="1:11" ht="15.75" customHeight="1">
      <c r="A42" s="18" t="s">
        <v>429</v>
      </c>
      <c r="B42" s="18" t="s">
        <v>428</v>
      </c>
      <c r="C42" s="18" t="s">
        <v>1024</v>
      </c>
      <c r="D42" s="18" t="s">
        <v>1025</v>
      </c>
      <c r="E42" s="18">
        <v>1995</v>
      </c>
      <c r="F42" s="18">
        <v>1562</v>
      </c>
      <c r="G42" s="18" t="s">
        <v>402</v>
      </c>
      <c r="H42" s="18" t="s">
        <v>402</v>
      </c>
      <c r="I42" s="18" t="s">
        <v>611</v>
      </c>
      <c r="J42" s="18" t="s">
        <v>637</v>
      </c>
      <c r="K42" s="18" t="s">
        <v>432</v>
      </c>
    </row>
    <row r="43" spans="1:11" ht="15.75" customHeight="1">
      <c r="A43" s="18" t="s">
        <v>429</v>
      </c>
      <c r="B43" s="18" t="s">
        <v>428</v>
      </c>
      <c r="C43" s="18" t="s">
        <v>1024</v>
      </c>
      <c r="D43" s="18" t="s">
        <v>1025</v>
      </c>
      <c r="E43" s="18">
        <v>2002</v>
      </c>
      <c r="F43" s="18">
        <v>2415</v>
      </c>
      <c r="G43" s="18" t="s">
        <v>402</v>
      </c>
      <c r="H43" s="18" t="s">
        <v>402</v>
      </c>
      <c r="I43" s="18" t="s">
        <v>611</v>
      </c>
      <c r="J43" s="18" t="s">
        <v>637</v>
      </c>
      <c r="K43" s="18" t="s">
        <v>432</v>
      </c>
    </row>
    <row r="44" spans="1:11" ht="15.75" customHeight="1">
      <c r="A44" s="18" t="s">
        <v>429</v>
      </c>
      <c r="B44" s="18" t="s">
        <v>428</v>
      </c>
      <c r="C44" s="18" t="s">
        <v>1024</v>
      </c>
      <c r="D44" s="18" t="s">
        <v>1025</v>
      </c>
      <c r="E44" s="18">
        <v>2001</v>
      </c>
      <c r="F44" s="18">
        <v>3202</v>
      </c>
      <c r="G44" s="18" t="s">
        <v>402</v>
      </c>
      <c r="H44" s="18" t="s">
        <v>402</v>
      </c>
      <c r="I44" s="18" t="s">
        <v>611</v>
      </c>
      <c r="J44" s="18" t="s">
        <v>637</v>
      </c>
      <c r="K44" s="18" t="s">
        <v>432</v>
      </c>
    </row>
    <row r="45" spans="1:11" ht="15.75" customHeight="1">
      <c r="A45" s="18" t="s">
        <v>429</v>
      </c>
      <c r="B45" s="18" t="s">
        <v>428</v>
      </c>
      <c r="C45" s="18" t="s">
        <v>1024</v>
      </c>
      <c r="D45" s="18" t="s">
        <v>1025</v>
      </c>
      <c r="E45" s="18">
        <v>2003</v>
      </c>
      <c r="F45" s="18">
        <v>2870</v>
      </c>
      <c r="G45" s="18" t="s">
        <v>402</v>
      </c>
      <c r="H45" s="18" t="s">
        <v>402</v>
      </c>
      <c r="I45" s="18" t="s">
        <v>611</v>
      </c>
      <c r="J45" s="18" t="s">
        <v>637</v>
      </c>
      <c r="K45" s="18" t="s">
        <v>432</v>
      </c>
    </row>
    <row r="46" spans="1:11" ht="15.75" customHeight="1">
      <c r="A46" s="18" t="s">
        <v>429</v>
      </c>
      <c r="B46" s="18" t="s">
        <v>428</v>
      </c>
      <c r="C46" s="18" t="s">
        <v>1024</v>
      </c>
      <c r="D46" s="18" t="s">
        <v>1025</v>
      </c>
      <c r="E46" s="18">
        <v>2004</v>
      </c>
      <c r="F46" s="18">
        <v>3204</v>
      </c>
      <c r="G46" s="18" t="s">
        <v>402</v>
      </c>
      <c r="H46" s="18" t="s">
        <v>402</v>
      </c>
      <c r="I46" s="18" t="s">
        <v>611</v>
      </c>
      <c r="J46" s="18" t="s">
        <v>637</v>
      </c>
      <c r="K46" s="18" t="s">
        <v>432</v>
      </c>
    </row>
    <row r="47" spans="1:11" ht="15.75" customHeight="1">
      <c r="A47" s="18" t="s">
        <v>429</v>
      </c>
      <c r="B47" s="18" t="s">
        <v>428</v>
      </c>
      <c r="C47" s="18" t="s">
        <v>1024</v>
      </c>
      <c r="D47" s="18" t="s">
        <v>1025</v>
      </c>
      <c r="E47" s="18">
        <v>2008</v>
      </c>
      <c r="F47" s="18">
        <v>4752</v>
      </c>
      <c r="G47" s="18" t="s">
        <v>402</v>
      </c>
      <c r="H47" s="18" t="s">
        <v>402</v>
      </c>
      <c r="I47" s="18" t="s">
        <v>611</v>
      </c>
      <c r="J47" s="18" t="s">
        <v>637</v>
      </c>
      <c r="K47" s="18" t="s">
        <v>432</v>
      </c>
    </row>
    <row r="48" spans="1:11" ht="15.75" customHeight="1">
      <c r="A48" s="18" t="s">
        <v>429</v>
      </c>
      <c r="B48" s="18" t="s">
        <v>428</v>
      </c>
      <c r="C48" s="18" t="s">
        <v>1024</v>
      </c>
      <c r="D48" s="18" t="s">
        <v>1025</v>
      </c>
      <c r="E48" s="18">
        <v>2013</v>
      </c>
      <c r="F48" s="18">
        <v>6815</v>
      </c>
      <c r="G48" s="18" t="s">
        <v>402</v>
      </c>
      <c r="H48" s="18" t="s">
        <v>402</v>
      </c>
      <c r="I48" s="18" t="s">
        <v>611</v>
      </c>
      <c r="J48" s="18" t="s">
        <v>637</v>
      </c>
      <c r="K48" s="18" t="s">
        <v>432</v>
      </c>
    </row>
    <row r="49" spans="1:12" ht="15.75" customHeight="1">
      <c r="A49" s="18" t="s">
        <v>429</v>
      </c>
      <c r="B49" s="18" t="s">
        <v>428</v>
      </c>
      <c r="C49" s="18" t="s">
        <v>1024</v>
      </c>
      <c r="D49" s="18" t="s">
        <v>1025</v>
      </c>
      <c r="E49" s="18">
        <v>2017</v>
      </c>
      <c r="F49" s="18">
        <v>8151</v>
      </c>
      <c r="G49" s="18" t="s">
        <v>402</v>
      </c>
      <c r="H49" s="18" t="s">
        <v>402</v>
      </c>
      <c r="I49" s="18" t="s">
        <v>611</v>
      </c>
      <c r="J49" s="18" t="s">
        <v>637</v>
      </c>
      <c r="K49" s="18" t="s">
        <v>432</v>
      </c>
    </row>
    <row r="50" spans="1:12" ht="15.75" customHeight="1">
      <c r="A50" s="18" t="s">
        <v>1027</v>
      </c>
      <c r="B50" s="18" t="s">
        <v>434</v>
      </c>
      <c r="C50" s="18" t="s">
        <v>1028</v>
      </c>
      <c r="D50" s="18" t="s">
        <v>1029</v>
      </c>
      <c r="E50" s="18">
        <v>1961</v>
      </c>
      <c r="F50" s="18">
        <v>1</v>
      </c>
      <c r="G50" s="18" t="s">
        <v>402</v>
      </c>
      <c r="H50" s="18" t="s">
        <v>402</v>
      </c>
      <c r="I50" s="18" t="s">
        <v>1030</v>
      </c>
      <c r="J50" s="18" t="s">
        <v>637</v>
      </c>
      <c r="K50" s="18" t="s">
        <v>438</v>
      </c>
      <c r="L50" s="18" t="s">
        <v>1031</v>
      </c>
    </row>
    <row r="51" spans="1:12" ht="15.75" customHeight="1">
      <c r="A51" s="18" t="s">
        <v>1027</v>
      </c>
      <c r="B51" s="18" t="s">
        <v>434</v>
      </c>
      <c r="C51" s="18" t="s">
        <v>1028</v>
      </c>
      <c r="D51" s="18" t="s">
        <v>1029</v>
      </c>
      <c r="E51" s="18">
        <v>1962</v>
      </c>
      <c r="F51" s="18">
        <v>1</v>
      </c>
      <c r="G51" s="18" t="s">
        <v>402</v>
      </c>
      <c r="H51" s="18" t="s">
        <v>402</v>
      </c>
      <c r="I51" s="18" t="s">
        <v>1030</v>
      </c>
      <c r="J51" s="18" t="s">
        <v>637</v>
      </c>
      <c r="K51" s="18" t="s">
        <v>438</v>
      </c>
    </row>
    <row r="52" spans="1:12" ht="15.75" customHeight="1">
      <c r="A52" s="18" t="s">
        <v>1027</v>
      </c>
      <c r="B52" s="18" t="s">
        <v>434</v>
      </c>
      <c r="C52" s="18" t="s">
        <v>1028</v>
      </c>
      <c r="D52" s="18" t="s">
        <v>1029</v>
      </c>
      <c r="E52" s="18">
        <v>1962</v>
      </c>
      <c r="F52" s="18">
        <v>1</v>
      </c>
      <c r="G52" s="18" t="s">
        <v>402</v>
      </c>
      <c r="H52" s="18" t="s">
        <v>402</v>
      </c>
      <c r="I52" s="18" t="s">
        <v>1030</v>
      </c>
      <c r="J52" s="18" t="s">
        <v>637</v>
      </c>
      <c r="K52" s="18" t="s">
        <v>438</v>
      </c>
    </row>
    <row r="53" spans="1:12" ht="15.75" customHeight="1">
      <c r="A53" s="18" t="s">
        <v>1027</v>
      </c>
      <c r="B53" s="18" t="s">
        <v>434</v>
      </c>
      <c r="C53" s="18" t="s">
        <v>1028</v>
      </c>
      <c r="D53" s="18" t="s">
        <v>1029</v>
      </c>
      <c r="E53" s="18">
        <v>1964</v>
      </c>
      <c r="F53" s="18">
        <v>1</v>
      </c>
      <c r="G53" s="18" t="s">
        <v>402</v>
      </c>
      <c r="H53" s="18" t="s">
        <v>402</v>
      </c>
      <c r="I53" s="18" t="s">
        <v>1030</v>
      </c>
      <c r="J53" s="18" t="s">
        <v>637</v>
      </c>
      <c r="K53" s="18" t="s">
        <v>438</v>
      </c>
    </row>
    <row r="54" spans="1:12" ht="15.75" customHeight="1">
      <c r="A54" s="18" t="s">
        <v>1027</v>
      </c>
      <c r="B54" s="18" t="s">
        <v>434</v>
      </c>
      <c r="C54" s="18" t="s">
        <v>1028</v>
      </c>
      <c r="D54" s="18" t="s">
        <v>1029</v>
      </c>
      <c r="E54" s="18">
        <v>1964</v>
      </c>
      <c r="F54" s="18">
        <v>1</v>
      </c>
      <c r="G54" s="18" t="s">
        <v>402</v>
      </c>
      <c r="H54" s="18" t="s">
        <v>402</v>
      </c>
      <c r="I54" s="18" t="s">
        <v>1030</v>
      </c>
      <c r="J54" s="18" t="s">
        <v>637</v>
      </c>
      <c r="K54" s="18" t="s">
        <v>438</v>
      </c>
    </row>
    <row r="55" spans="1:12" ht="15.75" customHeight="1">
      <c r="A55" s="18" t="s">
        <v>1027</v>
      </c>
      <c r="B55" s="18" t="s">
        <v>434</v>
      </c>
      <c r="C55" s="18" t="s">
        <v>1028</v>
      </c>
      <c r="D55" s="18" t="s">
        <v>1029</v>
      </c>
      <c r="E55" s="18">
        <v>1965</v>
      </c>
      <c r="F55" s="18">
        <v>1</v>
      </c>
      <c r="G55" s="18" t="s">
        <v>402</v>
      </c>
      <c r="H55" s="18" t="s">
        <v>402</v>
      </c>
      <c r="I55" s="18" t="s">
        <v>1030</v>
      </c>
      <c r="J55" s="18" t="s">
        <v>637</v>
      </c>
      <c r="K55" s="18" t="s">
        <v>438</v>
      </c>
    </row>
    <row r="56" spans="1:12" ht="15.75" customHeight="1">
      <c r="A56" s="18" t="s">
        <v>1027</v>
      </c>
      <c r="B56" s="18" t="s">
        <v>434</v>
      </c>
      <c r="C56" s="18" t="s">
        <v>1028</v>
      </c>
      <c r="D56" s="18" t="s">
        <v>1029</v>
      </c>
      <c r="E56" s="18">
        <v>1966</v>
      </c>
      <c r="F56" s="18">
        <v>1</v>
      </c>
      <c r="G56" s="18" t="s">
        <v>402</v>
      </c>
      <c r="H56" s="18" t="s">
        <v>402</v>
      </c>
      <c r="I56" s="18" t="s">
        <v>1030</v>
      </c>
      <c r="J56" s="18" t="s">
        <v>637</v>
      </c>
      <c r="K56" s="18" t="s">
        <v>438</v>
      </c>
    </row>
    <row r="57" spans="1:12" ht="15.75" customHeight="1">
      <c r="A57" s="18" t="s">
        <v>1027</v>
      </c>
      <c r="B57" s="18" t="s">
        <v>434</v>
      </c>
      <c r="C57" s="18" t="s">
        <v>1028</v>
      </c>
      <c r="D57" s="18" t="s">
        <v>1029</v>
      </c>
      <c r="E57" s="18">
        <v>1968</v>
      </c>
      <c r="F57" s="18">
        <v>1</v>
      </c>
      <c r="G57" s="18" t="s">
        <v>402</v>
      </c>
      <c r="H57" s="18" t="s">
        <v>402</v>
      </c>
      <c r="I57" s="18" t="s">
        <v>1030</v>
      </c>
      <c r="J57" s="18" t="s">
        <v>637</v>
      </c>
      <c r="K57" s="18" t="s">
        <v>438</v>
      </c>
    </row>
    <row r="58" spans="1:12" ht="15.75" customHeight="1">
      <c r="A58" s="18" t="s">
        <v>1027</v>
      </c>
      <c r="B58" s="18" t="s">
        <v>434</v>
      </c>
      <c r="C58" s="18" t="s">
        <v>1028</v>
      </c>
      <c r="D58" s="18" t="s">
        <v>1029</v>
      </c>
      <c r="E58" s="18">
        <v>1968</v>
      </c>
      <c r="F58" s="18">
        <v>1</v>
      </c>
      <c r="G58" s="18" t="s">
        <v>402</v>
      </c>
      <c r="H58" s="18" t="s">
        <v>402</v>
      </c>
      <c r="I58" s="18" t="s">
        <v>1030</v>
      </c>
      <c r="J58" s="18" t="s">
        <v>637</v>
      </c>
      <c r="K58" s="18" t="s">
        <v>438</v>
      </c>
    </row>
    <row r="59" spans="1:12" ht="15.75" customHeight="1">
      <c r="A59" s="18" t="s">
        <v>1027</v>
      </c>
      <c r="B59" s="18" t="s">
        <v>434</v>
      </c>
      <c r="C59" s="18" t="s">
        <v>1028</v>
      </c>
      <c r="D59" s="18" t="s">
        <v>1029</v>
      </c>
      <c r="E59" s="18">
        <v>1969</v>
      </c>
      <c r="F59" s="18">
        <v>1</v>
      </c>
      <c r="G59" s="18" t="s">
        <v>402</v>
      </c>
      <c r="H59" s="18" t="s">
        <v>402</v>
      </c>
      <c r="I59" s="18" t="s">
        <v>1030</v>
      </c>
      <c r="J59" s="18" t="s">
        <v>637</v>
      </c>
      <c r="K59" s="18" t="s">
        <v>438</v>
      </c>
    </row>
    <row r="60" spans="1:12" ht="15.75" customHeight="1">
      <c r="A60" s="18" t="s">
        <v>1027</v>
      </c>
      <c r="B60" s="18" t="s">
        <v>434</v>
      </c>
      <c r="C60" s="18" t="s">
        <v>1028</v>
      </c>
      <c r="D60" s="18" t="s">
        <v>1029</v>
      </c>
      <c r="E60" s="18">
        <v>1970</v>
      </c>
      <c r="F60" s="18">
        <v>1</v>
      </c>
      <c r="G60" s="18" t="s">
        <v>402</v>
      </c>
      <c r="H60" s="18" t="s">
        <v>402</v>
      </c>
      <c r="I60" s="18" t="s">
        <v>1030</v>
      </c>
      <c r="J60" s="18" t="s">
        <v>637</v>
      </c>
      <c r="K60" s="18" t="s">
        <v>438</v>
      </c>
    </row>
    <row r="61" spans="1:12" ht="15.75" customHeight="1">
      <c r="A61" s="18" t="s">
        <v>1027</v>
      </c>
      <c r="B61" s="18" t="s">
        <v>434</v>
      </c>
      <c r="C61" s="18" t="s">
        <v>1028</v>
      </c>
      <c r="D61" s="18" t="s">
        <v>1029</v>
      </c>
      <c r="E61" s="18">
        <v>1972</v>
      </c>
      <c r="F61" s="18">
        <v>1</v>
      </c>
      <c r="G61" s="18" t="s">
        <v>402</v>
      </c>
      <c r="H61" s="18" t="s">
        <v>402</v>
      </c>
      <c r="I61" s="18" t="s">
        <v>1030</v>
      </c>
      <c r="J61" s="18" t="s">
        <v>637</v>
      </c>
      <c r="K61" s="18" t="s">
        <v>438</v>
      </c>
    </row>
    <row r="62" spans="1:12" ht="15.75" customHeight="1">
      <c r="A62" s="18" t="s">
        <v>1027</v>
      </c>
      <c r="B62" s="18" t="s">
        <v>434</v>
      </c>
      <c r="C62" s="18" t="s">
        <v>1028</v>
      </c>
      <c r="D62" s="18" t="s">
        <v>1029</v>
      </c>
      <c r="E62" s="18">
        <v>1972</v>
      </c>
      <c r="F62" s="18">
        <v>1</v>
      </c>
      <c r="G62" s="18" t="s">
        <v>402</v>
      </c>
      <c r="H62" s="18" t="s">
        <v>402</v>
      </c>
      <c r="I62" s="18" t="s">
        <v>1030</v>
      </c>
      <c r="J62" s="18" t="s">
        <v>637</v>
      </c>
      <c r="K62" s="18" t="s">
        <v>438</v>
      </c>
    </row>
    <row r="63" spans="1:12" ht="15.75" customHeight="1">
      <c r="A63" s="18" t="s">
        <v>1027</v>
      </c>
      <c r="B63" s="18" t="s">
        <v>434</v>
      </c>
      <c r="C63" s="18" t="s">
        <v>1028</v>
      </c>
      <c r="D63" s="18" t="s">
        <v>1029</v>
      </c>
      <c r="E63" s="18">
        <v>1973</v>
      </c>
      <c r="F63" s="18">
        <v>2</v>
      </c>
      <c r="G63" s="18" t="s">
        <v>402</v>
      </c>
      <c r="H63" s="18" t="s">
        <v>402</v>
      </c>
      <c r="I63" s="18" t="s">
        <v>1030</v>
      </c>
      <c r="J63" s="18" t="s">
        <v>637</v>
      </c>
      <c r="K63" s="18" t="s">
        <v>438</v>
      </c>
    </row>
    <row r="64" spans="1:12" ht="13">
      <c r="A64" s="18" t="s">
        <v>1027</v>
      </c>
      <c r="B64" s="18" t="s">
        <v>434</v>
      </c>
      <c r="C64" s="18" t="s">
        <v>1028</v>
      </c>
      <c r="D64" s="18" t="s">
        <v>1029</v>
      </c>
      <c r="E64" s="18">
        <v>1974</v>
      </c>
      <c r="F64" s="18">
        <v>2</v>
      </c>
      <c r="G64" s="18" t="s">
        <v>402</v>
      </c>
      <c r="H64" s="18" t="s">
        <v>402</v>
      </c>
      <c r="I64" s="18" t="s">
        <v>1030</v>
      </c>
      <c r="J64" s="18" t="s">
        <v>637</v>
      </c>
      <c r="K64" s="18" t="s">
        <v>438</v>
      </c>
    </row>
    <row r="65" spans="1:11" ht="13">
      <c r="A65" s="18" t="s">
        <v>1027</v>
      </c>
      <c r="B65" s="18" t="s">
        <v>434</v>
      </c>
      <c r="C65" s="18" t="s">
        <v>1028</v>
      </c>
      <c r="D65" s="18" t="s">
        <v>1029</v>
      </c>
      <c r="E65" s="18">
        <v>1975</v>
      </c>
      <c r="F65" s="18">
        <v>2</v>
      </c>
      <c r="G65" s="18" t="s">
        <v>402</v>
      </c>
      <c r="H65" s="18" t="s">
        <v>402</v>
      </c>
      <c r="I65" s="18" t="s">
        <v>1030</v>
      </c>
      <c r="J65" s="18" t="s">
        <v>637</v>
      </c>
      <c r="K65" s="18" t="s">
        <v>438</v>
      </c>
    </row>
    <row r="66" spans="1:11" ht="13">
      <c r="A66" s="18" t="s">
        <v>1027</v>
      </c>
      <c r="B66" s="18" t="s">
        <v>434</v>
      </c>
      <c r="C66" s="18" t="s">
        <v>1028</v>
      </c>
      <c r="D66" s="18" t="s">
        <v>1029</v>
      </c>
      <c r="E66" s="18">
        <v>1977</v>
      </c>
      <c r="F66" s="18">
        <v>2</v>
      </c>
      <c r="G66" s="18" t="s">
        <v>402</v>
      </c>
      <c r="H66" s="18" t="s">
        <v>402</v>
      </c>
      <c r="I66" s="18" t="s">
        <v>1030</v>
      </c>
      <c r="J66" s="18" t="s">
        <v>637</v>
      </c>
      <c r="K66" s="18" t="s">
        <v>438</v>
      </c>
    </row>
    <row r="67" spans="1:11" ht="13">
      <c r="A67" s="18" t="s">
        <v>1027</v>
      </c>
      <c r="B67" s="18" t="s">
        <v>434</v>
      </c>
      <c r="C67" s="18" t="s">
        <v>1028</v>
      </c>
      <c r="D67" s="18" t="s">
        <v>1029</v>
      </c>
      <c r="E67" s="18">
        <v>1977</v>
      </c>
      <c r="F67" s="18">
        <v>3</v>
      </c>
      <c r="G67" s="18" t="s">
        <v>402</v>
      </c>
      <c r="H67" s="18" t="s">
        <v>402</v>
      </c>
      <c r="I67" s="18" t="s">
        <v>1030</v>
      </c>
      <c r="J67" s="18" t="s">
        <v>637</v>
      </c>
      <c r="K67" s="18" t="s">
        <v>438</v>
      </c>
    </row>
    <row r="68" spans="1:11" ht="13">
      <c r="A68" s="18" t="s">
        <v>1027</v>
      </c>
      <c r="B68" s="18" t="s">
        <v>434</v>
      </c>
      <c r="C68" s="18" t="s">
        <v>1028</v>
      </c>
      <c r="D68" s="18" t="s">
        <v>1029</v>
      </c>
      <c r="E68" s="18">
        <v>1979</v>
      </c>
      <c r="F68" s="18">
        <v>3</v>
      </c>
      <c r="G68" s="18" t="s">
        <v>402</v>
      </c>
      <c r="H68" s="18" t="s">
        <v>402</v>
      </c>
      <c r="I68" s="18" t="s">
        <v>1030</v>
      </c>
      <c r="J68" s="18" t="s">
        <v>637</v>
      </c>
      <c r="K68" s="18" t="s">
        <v>438</v>
      </c>
    </row>
    <row r="69" spans="1:11" ht="13">
      <c r="A69" s="18" t="s">
        <v>1027</v>
      </c>
      <c r="B69" s="18" t="s">
        <v>434</v>
      </c>
      <c r="C69" s="18" t="s">
        <v>1028</v>
      </c>
      <c r="D69" s="18" t="s">
        <v>1029</v>
      </c>
      <c r="E69" s="18">
        <v>1979</v>
      </c>
      <c r="F69" s="18">
        <v>3</v>
      </c>
      <c r="G69" s="18" t="s">
        <v>402</v>
      </c>
      <c r="H69" s="18" t="s">
        <v>402</v>
      </c>
      <c r="I69" s="18" t="s">
        <v>1030</v>
      </c>
      <c r="J69" s="18" t="s">
        <v>637</v>
      </c>
      <c r="K69" s="18" t="s">
        <v>438</v>
      </c>
    </row>
    <row r="70" spans="1:11" ht="13">
      <c r="A70" s="18" t="s">
        <v>1027</v>
      </c>
      <c r="B70" s="18" t="s">
        <v>434</v>
      </c>
      <c r="C70" s="18" t="s">
        <v>1028</v>
      </c>
      <c r="D70" s="18" t="s">
        <v>1029</v>
      </c>
      <c r="E70" s="18">
        <v>1980</v>
      </c>
      <c r="F70" s="18">
        <v>4</v>
      </c>
      <c r="G70" s="18" t="s">
        <v>402</v>
      </c>
      <c r="H70" s="18" t="s">
        <v>402</v>
      </c>
      <c r="I70" s="18" t="s">
        <v>1030</v>
      </c>
      <c r="J70" s="18" t="s">
        <v>637</v>
      </c>
      <c r="K70" s="18" t="s">
        <v>438</v>
      </c>
    </row>
    <row r="71" spans="1:11" ht="13">
      <c r="A71" s="18" t="s">
        <v>1027</v>
      </c>
      <c r="B71" s="18" t="s">
        <v>434</v>
      </c>
      <c r="C71" s="18" t="s">
        <v>1028</v>
      </c>
      <c r="D71" s="18" t="s">
        <v>1029</v>
      </c>
      <c r="E71" s="18">
        <v>1981</v>
      </c>
      <c r="F71" s="18">
        <v>4</v>
      </c>
      <c r="G71" s="18" t="s">
        <v>402</v>
      </c>
      <c r="H71" s="18" t="s">
        <v>402</v>
      </c>
      <c r="I71" s="18" t="s">
        <v>1030</v>
      </c>
      <c r="J71" s="18" t="s">
        <v>637</v>
      </c>
      <c r="K71" s="18" t="s">
        <v>438</v>
      </c>
    </row>
    <row r="72" spans="1:11" ht="13">
      <c r="A72" s="18" t="s">
        <v>1027</v>
      </c>
      <c r="B72" s="18" t="s">
        <v>434</v>
      </c>
      <c r="C72" s="18" t="s">
        <v>1028</v>
      </c>
      <c r="D72" s="18" t="s">
        <v>1029</v>
      </c>
      <c r="E72" s="18">
        <v>1983</v>
      </c>
      <c r="F72" s="18">
        <v>4</v>
      </c>
      <c r="G72" s="18" t="s">
        <v>402</v>
      </c>
      <c r="H72" s="18" t="s">
        <v>402</v>
      </c>
      <c r="I72" s="18" t="s">
        <v>1030</v>
      </c>
      <c r="J72" s="18" t="s">
        <v>637</v>
      </c>
      <c r="K72" s="18" t="s">
        <v>438</v>
      </c>
    </row>
    <row r="73" spans="1:11" ht="13">
      <c r="A73" s="18" t="s">
        <v>1027</v>
      </c>
      <c r="B73" s="18" t="s">
        <v>434</v>
      </c>
      <c r="C73" s="18" t="s">
        <v>1028</v>
      </c>
      <c r="D73" s="18" t="s">
        <v>1029</v>
      </c>
      <c r="E73" s="18">
        <v>1984</v>
      </c>
      <c r="F73" s="18">
        <v>5</v>
      </c>
      <c r="G73" s="18" t="s">
        <v>402</v>
      </c>
      <c r="H73" s="18" t="s">
        <v>402</v>
      </c>
      <c r="I73" s="18" t="s">
        <v>1030</v>
      </c>
      <c r="J73" s="18" t="s">
        <v>637</v>
      </c>
      <c r="K73" s="18" t="s">
        <v>438</v>
      </c>
    </row>
    <row r="74" spans="1:11" ht="13">
      <c r="A74" s="18" t="s">
        <v>1027</v>
      </c>
      <c r="B74" s="18" t="s">
        <v>434</v>
      </c>
      <c r="C74" s="18" t="s">
        <v>1028</v>
      </c>
      <c r="D74" s="18" t="s">
        <v>1029</v>
      </c>
      <c r="E74" s="18">
        <v>1985</v>
      </c>
      <c r="F74" s="18">
        <v>6</v>
      </c>
      <c r="G74" s="18" t="s">
        <v>402</v>
      </c>
      <c r="H74" s="18" t="s">
        <v>402</v>
      </c>
      <c r="I74" s="18" t="s">
        <v>1030</v>
      </c>
      <c r="J74" s="18" t="s">
        <v>637</v>
      </c>
      <c r="K74" s="18" t="s">
        <v>438</v>
      </c>
    </row>
    <row r="75" spans="1:11" ht="13">
      <c r="A75" s="18" t="s">
        <v>1027</v>
      </c>
      <c r="B75" s="18" t="s">
        <v>434</v>
      </c>
      <c r="C75" s="18" t="s">
        <v>1028</v>
      </c>
      <c r="D75" s="18" t="s">
        <v>1029</v>
      </c>
      <c r="E75" s="18">
        <v>1986</v>
      </c>
      <c r="F75" s="18">
        <v>7</v>
      </c>
      <c r="G75" s="18" t="s">
        <v>402</v>
      </c>
      <c r="H75" s="18" t="s">
        <v>402</v>
      </c>
      <c r="I75" s="18" t="s">
        <v>1030</v>
      </c>
      <c r="J75" s="18" t="s">
        <v>637</v>
      </c>
      <c r="K75" s="18" t="s">
        <v>438</v>
      </c>
    </row>
    <row r="76" spans="1:11" ht="13">
      <c r="A76" s="18" t="s">
        <v>1027</v>
      </c>
      <c r="B76" s="18" t="s">
        <v>434</v>
      </c>
      <c r="C76" s="18" t="s">
        <v>1028</v>
      </c>
      <c r="D76" s="18" t="s">
        <v>1029</v>
      </c>
      <c r="E76" s="18">
        <v>1987</v>
      </c>
      <c r="F76" s="18">
        <v>8</v>
      </c>
      <c r="G76" s="18" t="s">
        <v>402</v>
      </c>
      <c r="H76" s="18" t="s">
        <v>402</v>
      </c>
      <c r="I76" s="18" t="s">
        <v>1030</v>
      </c>
      <c r="J76" s="18" t="s">
        <v>637</v>
      </c>
      <c r="K76" s="18" t="s">
        <v>438</v>
      </c>
    </row>
    <row r="77" spans="1:11" ht="13">
      <c r="A77" s="18" t="s">
        <v>1027</v>
      </c>
      <c r="B77" s="18" t="s">
        <v>434</v>
      </c>
      <c r="C77" s="18" t="s">
        <v>1028</v>
      </c>
      <c r="D77" s="18" t="s">
        <v>1029</v>
      </c>
      <c r="E77" s="18">
        <v>1989</v>
      </c>
      <c r="F77" s="18">
        <v>9</v>
      </c>
      <c r="G77" s="18" t="s">
        <v>402</v>
      </c>
      <c r="H77" s="18" t="s">
        <v>402</v>
      </c>
      <c r="I77" s="18" t="s">
        <v>1030</v>
      </c>
      <c r="J77" s="18" t="s">
        <v>637</v>
      </c>
      <c r="K77" s="18" t="s">
        <v>438</v>
      </c>
    </row>
    <row r="78" spans="1:11" ht="13">
      <c r="A78" s="18" t="s">
        <v>1027</v>
      </c>
      <c r="B78" s="18" t="s">
        <v>434</v>
      </c>
      <c r="C78" s="18" t="s">
        <v>1028</v>
      </c>
      <c r="D78" s="18" t="s">
        <v>1029</v>
      </c>
      <c r="E78" s="18">
        <v>1990</v>
      </c>
      <c r="F78" s="18">
        <v>10</v>
      </c>
      <c r="G78" s="18" t="s">
        <v>402</v>
      </c>
      <c r="H78" s="18" t="s">
        <v>402</v>
      </c>
      <c r="I78" s="18" t="s">
        <v>1030</v>
      </c>
      <c r="J78" s="18" t="s">
        <v>637</v>
      </c>
      <c r="K78" s="18" t="s">
        <v>438</v>
      </c>
    </row>
    <row r="79" spans="1:11" ht="13">
      <c r="A79" s="18" t="s">
        <v>1027</v>
      </c>
      <c r="B79" s="18" t="s">
        <v>434</v>
      </c>
      <c r="C79" s="18" t="s">
        <v>1028</v>
      </c>
      <c r="D79" s="18" t="s">
        <v>1029</v>
      </c>
      <c r="E79" s="18">
        <v>1990</v>
      </c>
      <c r="F79" s="18">
        <v>11</v>
      </c>
      <c r="G79" s="18" t="s">
        <v>402</v>
      </c>
      <c r="H79" s="18" t="s">
        <v>402</v>
      </c>
      <c r="I79" s="18" t="s">
        <v>1030</v>
      </c>
      <c r="J79" s="18" t="s">
        <v>637</v>
      </c>
      <c r="K79" s="18" t="s">
        <v>438</v>
      </c>
    </row>
    <row r="80" spans="1:11" ht="13">
      <c r="A80" s="18" t="s">
        <v>1027</v>
      </c>
      <c r="B80" s="18" t="s">
        <v>434</v>
      </c>
      <c r="C80" s="18" t="s">
        <v>1028</v>
      </c>
      <c r="D80" s="18" t="s">
        <v>1029</v>
      </c>
      <c r="E80" s="18">
        <v>1992</v>
      </c>
      <c r="F80" s="18">
        <v>12</v>
      </c>
      <c r="G80" s="18" t="s">
        <v>402</v>
      </c>
      <c r="H80" s="18" t="s">
        <v>402</v>
      </c>
      <c r="I80" s="18" t="s">
        <v>1030</v>
      </c>
      <c r="J80" s="18" t="s">
        <v>637</v>
      </c>
      <c r="K80" s="18" t="s">
        <v>438</v>
      </c>
    </row>
    <row r="81" spans="1:11" ht="13">
      <c r="A81" s="18" t="s">
        <v>1027</v>
      </c>
      <c r="B81" s="18" t="s">
        <v>434</v>
      </c>
      <c r="C81" s="18" t="s">
        <v>1028</v>
      </c>
      <c r="D81" s="18" t="s">
        <v>1029</v>
      </c>
      <c r="E81" s="18">
        <v>1994</v>
      </c>
      <c r="F81" s="18">
        <v>16</v>
      </c>
      <c r="G81" s="18" t="s">
        <v>402</v>
      </c>
      <c r="H81" s="18" t="s">
        <v>402</v>
      </c>
      <c r="I81" s="18" t="s">
        <v>1030</v>
      </c>
      <c r="J81" s="18" t="s">
        <v>637</v>
      </c>
      <c r="K81" s="18" t="s">
        <v>438</v>
      </c>
    </row>
    <row r="82" spans="1:11" ht="13">
      <c r="A82" s="18" t="s">
        <v>1027</v>
      </c>
      <c r="B82" s="18" t="s">
        <v>434</v>
      </c>
      <c r="C82" s="18" t="s">
        <v>1028</v>
      </c>
      <c r="D82" s="18" t="s">
        <v>1029</v>
      </c>
      <c r="E82" s="18">
        <v>1994</v>
      </c>
      <c r="F82" s="18">
        <v>19</v>
      </c>
      <c r="G82" s="18" t="s">
        <v>402</v>
      </c>
      <c r="H82" s="18" t="s">
        <v>402</v>
      </c>
      <c r="I82" s="18" t="s">
        <v>1030</v>
      </c>
      <c r="J82" s="18" t="s">
        <v>637</v>
      </c>
      <c r="K82" s="18" t="s">
        <v>438</v>
      </c>
    </row>
    <row r="83" spans="1:11" ht="13">
      <c r="A83" s="18" t="s">
        <v>1027</v>
      </c>
      <c r="B83" s="18" t="s">
        <v>434</v>
      </c>
      <c r="C83" s="18" t="s">
        <v>1028</v>
      </c>
      <c r="D83" s="18" t="s">
        <v>1029</v>
      </c>
      <c r="E83" s="18">
        <v>1996</v>
      </c>
      <c r="F83" s="18">
        <v>21</v>
      </c>
      <c r="G83" s="18" t="s">
        <v>402</v>
      </c>
      <c r="H83" s="18" t="s">
        <v>402</v>
      </c>
      <c r="I83" s="18" t="s">
        <v>1030</v>
      </c>
      <c r="J83" s="18" t="s">
        <v>637</v>
      </c>
      <c r="K83" s="18" t="s">
        <v>438</v>
      </c>
    </row>
    <row r="84" spans="1:11" ht="13">
      <c r="A84" s="18" t="s">
        <v>1027</v>
      </c>
      <c r="B84" s="18" t="s">
        <v>434</v>
      </c>
      <c r="C84" s="18" t="s">
        <v>1028</v>
      </c>
      <c r="D84" s="18" t="s">
        <v>1029</v>
      </c>
      <c r="E84" s="18">
        <v>1996</v>
      </c>
      <c r="F84" s="18">
        <v>23</v>
      </c>
      <c r="G84" s="18" t="s">
        <v>402</v>
      </c>
      <c r="H84" s="18" t="s">
        <v>402</v>
      </c>
      <c r="I84" s="18" t="s">
        <v>1030</v>
      </c>
      <c r="J84" s="18" t="s">
        <v>637</v>
      </c>
      <c r="K84" s="18" t="s">
        <v>438</v>
      </c>
    </row>
    <row r="85" spans="1:11" ht="13">
      <c r="A85" s="18" t="s">
        <v>1027</v>
      </c>
      <c r="B85" s="18" t="s">
        <v>434</v>
      </c>
      <c r="C85" s="18" t="s">
        <v>1028</v>
      </c>
      <c r="D85" s="18" t="s">
        <v>1029</v>
      </c>
      <c r="E85" s="18">
        <v>1998</v>
      </c>
      <c r="F85" s="18">
        <v>26</v>
      </c>
      <c r="G85" s="18" t="s">
        <v>402</v>
      </c>
      <c r="H85" s="18" t="s">
        <v>402</v>
      </c>
      <c r="I85" s="18" t="s">
        <v>1030</v>
      </c>
      <c r="J85" s="18" t="s">
        <v>637</v>
      </c>
      <c r="K85" s="18" t="s">
        <v>438</v>
      </c>
    </row>
    <row r="86" spans="1:11" ht="13">
      <c r="A86" s="18" t="s">
        <v>1027</v>
      </c>
      <c r="B86" s="18" t="s">
        <v>434</v>
      </c>
      <c r="C86" s="18" t="s">
        <v>1028</v>
      </c>
      <c r="D86" s="18" t="s">
        <v>1029</v>
      </c>
      <c r="E86" s="18">
        <v>1999</v>
      </c>
      <c r="F86" s="18">
        <v>29</v>
      </c>
      <c r="G86" s="18" t="s">
        <v>402</v>
      </c>
      <c r="H86" s="18" t="s">
        <v>402</v>
      </c>
      <c r="I86" s="18" t="s">
        <v>1030</v>
      </c>
      <c r="J86" s="18" t="s">
        <v>637</v>
      </c>
      <c r="K86" s="18" t="s">
        <v>438</v>
      </c>
    </row>
    <row r="87" spans="1:11" ht="13">
      <c r="A87" s="18" t="s">
        <v>1027</v>
      </c>
      <c r="B87" s="18" t="s">
        <v>434</v>
      </c>
      <c r="C87" s="18" t="s">
        <v>1028</v>
      </c>
      <c r="D87" s="18" t="s">
        <v>1029</v>
      </c>
      <c r="E87" s="18">
        <v>1999</v>
      </c>
      <c r="F87" s="18">
        <v>32</v>
      </c>
      <c r="G87" s="18" t="s">
        <v>402</v>
      </c>
      <c r="H87" s="18" t="s">
        <v>402</v>
      </c>
      <c r="I87" s="18" t="s">
        <v>1030</v>
      </c>
      <c r="J87" s="18" t="s">
        <v>637</v>
      </c>
      <c r="K87" s="18" t="s">
        <v>438</v>
      </c>
    </row>
    <row r="88" spans="1:11" ht="13">
      <c r="A88" s="18" t="s">
        <v>1027</v>
      </c>
      <c r="B88" s="18" t="s">
        <v>434</v>
      </c>
      <c r="C88" s="18" t="s">
        <v>1028</v>
      </c>
      <c r="D88" s="18" t="s">
        <v>1029</v>
      </c>
      <c r="E88" s="18">
        <v>2001</v>
      </c>
      <c r="F88" s="18">
        <v>35</v>
      </c>
      <c r="G88" s="18" t="s">
        <v>402</v>
      </c>
      <c r="H88" s="18" t="s">
        <v>402</v>
      </c>
      <c r="I88" s="18" t="s">
        <v>1030</v>
      </c>
      <c r="J88" s="18" t="s">
        <v>637</v>
      </c>
      <c r="K88" s="18" t="s">
        <v>438</v>
      </c>
    </row>
    <row r="89" spans="1:11" ht="13">
      <c r="A89" s="18" t="s">
        <v>1027</v>
      </c>
      <c r="B89" s="18" t="s">
        <v>434</v>
      </c>
      <c r="C89" s="18" t="s">
        <v>1028</v>
      </c>
      <c r="D89" s="18" t="s">
        <v>1029</v>
      </c>
      <c r="E89" s="18">
        <v>2002</v>
      </c>
      <c r="F89" s="18">
        <v>39</v>
      </c>
      <c r="G89" s="18" t="s">
        <v>402</v>
      </c>
      <c r="H89" s="18" t="s">
        <v>402</v>
      </c>
      <c r="I89" s="18" t="s">
        <v>1030</v>
      </c>
      <c r="J89" s="18" t="s">
        <v>637</v>
      </c>
      <c r="K89" s="18" t="s">
        <v>438</v>
      </c>
    </row>
    <row r="90" spans="1:11" ht="13">
      <c r="A90" s="18" t="s">
        <v>1027</v>
      </c>
      <c r="B90" s="18" t="s">
        <v>434</v>
      </c>
      <c r="C90" s="18" t="s">
        <v>1028</v>
      </c>
      <c r="D90" s="18" t="s">
        <v>1029</v>
      </c>
      <c r="E90" s="18">
        <v>2003</v>
      </c>
      <c r="F90" s="18">
        <v>41</v>
      </c>
      <c r="G90" s="18" t="s">
        <v>402</v>
      </c>
      <c r="H90" s="18" t="s">
        <v>402</v>
      </c>
      <c r="I90" s="18" t="s">
        <v>1030</v>
      </c>
      <c r="J90" s="18" t="s">
        <v>637</v>
      </c>
      <c r="K90" s="18" t="s">
        <v>438</v>
      </c>
    </row>
    <row r="91" spans="1:11" ht="13">
      <c r="A91" s="18" t="s">
        <v>1027</v>
      </c>
      <c r="B91" s="18" t="s">
        <v>434</v>
      </c>
      <c r="C91" s="18" t="s">
        <v>1028</v>
      </c>
      <c r="D91" s="18" t="s">
        <v>1029</v>
      </c>
      <c r="E91" s="18">
        <v>2004</v>
      </c>
      <c r="F91" s="18">
        <v>44</v>
      </c>
      <c r="G91" s="18" t="s">
        <v>402</v>
      </c>
      <c r="H91" s="18" t="s">
        <v>402</v>
      </c>
      <c r="I91" s="18" t="s">
        <v>1030</v>
      </c>
      <c r="J91" s="18" t="s">
        <v>637</v>
      </c>
      <c r="K91" s="18" t="s">
        <v>438</v>
      </c>
    </row>
    <row r="92" spans="1:11" ht="13">
      <c r="A92" s="18" t="s">
        <v>1027</v>
      </c>
      <c r="B92" s="18" t="s">
        <v>434</v>
      </c>
      <c r="C92" s="18" t="s">
        <v>1028</v>
      </c>
      <c r="D92" s="18" t="s">
        <v>1029</v>
      </c>
      <c r="E92" s="18">
        <v>2005</v>
      </c>
      <c r="F92" s="18">
        <v>47</v>
      </c>
      <c r="G92" s="18" t="s">
        <v>402</v>
      </c>
      <c r="H92" s="18" t="s">
        <v>402</v>
      </c>
      <c r="I92" s="18" t="s">
        <v>1030</v>
      </c>
      <c r="J92" s="18" t="s">
        <v>637</v>
      </c>
      <c r="K92" s="18" t="s">
        <v>438</v>
      </c>
    </row>
    <row r="93" spans="1:11" ht="13">
      <c r="A93" s="18" t="s">
        <v>1027</v>
      </c>
      <c r="B93" s="18" t="s">
        <v>434</v>
      </c>
      <c r="C93" s="18" t="s">
        <v>1028</v>
      </c>
      <c r="D93" s="18" t="s">
        <v>1029</v>
      </c>
      <c r="E93" s="18">
        <v>2005</v>
      </c>
      <c r="F93" s="18">
        <v>49</v>
      </c>
      <c r="G93" s="18" t="s">
        <v>402</v>
      </c>
      <c r="H93" s="18" t="s">
        <v>402</v>
      </c>
      <c r="I93" s="18" t="s">
        <v>1030</v>
      </c>
      <c r="J93" s="18" t="s">
        <v>637</v>
      </c>
      <c r="K93" s="18" t="s">
        <v>438</v>
      </c>
    </row>
    <row r="94" spans="1:11" ht="13">
      <c r="A94" s="18" t="s">
        <v>1027</v>
      </c>
      <c r="B94" s="18" t="s">
        <v>434</v>
      </c>
      <c r="C94" s="18" t="s">
        <v>1028</v>
      </c>
      <c r="D94" s="18" t="s">
        <v>1029</v>
      </c>
      <c r="E94" s="18">
        <v>2007</v>
      </c>
      <c r="F94" s="18">
        <v>52</v>
      </c>
      <c r="G94" s="18" t="s">
        <v>402</v>
      </c>
      <c r="H94" s="18" t="s">
        <v>402</v>
      </c>
      <c r="I94" s="18" t="s">
        <v>1030</v>
      </c>
      <c r="J94" s="18" t="s">
        <v>637</v>
      </c>
      <c r="K94" s="18" t="s">
        <v>438</v>
      </c>
    </row>
    <row r="95" spans="1:11" ht="13">
      <c r="A95" s="18" t="s">
        <v>1027</v>
      </c>
      <c r="B95" s="18" t="s">
        <v>434</v>
      </c>
      <c r="C95" s="18" t="s">
        <v>1028</v>
      </c>
      <c r="D95" s="18" t="s">
        <v>1029</v>
      </c>
      <c r="E95" s="18">
        <v>2008</v>
      </c>
      <c r="F95" s="18">
        <v>55</v>
      </c>
      <c r="G95" s="18" t="s">
        <v>402</v>
      </c>
      <c r="H95" s="18" t="s">
        <v>402</v>
      </c>
      <c r="I95" s="18" t="s">
        <v>1030</v>
      </c>
      <c r="J95" s="18" t="s">
        <v>637</v>
      </c>
      <c r="K95" s="18" t="s">
        <v>438</v>
      </c>
    </row>
    <row r="96" spans="1:11" ht="13">
      <c r="A96" s="18" t="s">
        <v>1027</v>
      </c>
      <c r="B96" s="18" t="s">
        <v>434</v>
      </c>
      <c r="C96" s="18" t="s">
        <v>1028</v>
      </c>
      <c r="D96" s="18" t="s">
        <v>1029</v>
      </c>
      <c r="E96" s="18">
        <v>2009</v>
      </c>
      <c r="F96" s="18">
        <v>58</v>
      </c>
      <c r="G96" s="18" t="s">
        <v>402</v>
      </c>
      <c r="H96" s="18" t="s">
        <v>402</v>
      </c>
      <c r="I96" s="18" t="s">
        <v>1030</v>
      </c>
      <c r="J96" s="18" t="s">
        <v>637</v>
      </c>
      <c r="K96" s="18" t="s">
        <v>438</v>
      </c>
    </row>
    <row r="97" spans="1:12" ht="13">
      <c r="A97" s="18" t="s">
        <v>1027</v>
      </c>
      <c r="B97" s="18" t="s">
        <v>434</v>
      </c>
      <c r="C97" s="18" t="s">
        <v>1028</v>
      </c>
      <c r="D97" s="18" t="s">
        <v>1029</v>
      </c>
      <c r="E97" s="18">
        <v>2010</v>
      </c>
      <c r="F97" s="18">
        <v>61</v>
      </c>
      <c r="G97" s="18" t="s">
        <v>402</v>
      </c>
      <c r="H97" s="18" t="s">
        <v>402</v>
      </c>
      <c r="I97" s="18" t="s">
        <v>1030</v>
      </c>
      <c r="J97" s="18" t="s">
        <v>637</v>
      </c>
      <c r="K97" s="18" t="s">
        <v>438</v>
      </c>
    </row>
    <row r="98" spans="1:12" ht="13">
      <c r="A98" s="18" t="s">
        <v>1027</v>
      </c>
      <c r="B98" s="18" t="s">
        <v>434</v>
      </c>
      <c r="C98" s="18" t="s">
        <v>1028</v>
      </c>
      <c r="D98" s="18" t="s">
        <v>1029</v>
      </c>
      <c r="E98" s="18">
        <v>2010</v>
      </c>
      <c r="F98" s="18">
        <v>63</v>
      </c>
      <c r="G98" s="18" t="s">
        <v>402</v>
      </c>
      <c r="H98" s="18" t="s">
        <v>402</v>
      </c>
      <c r="I98" s="18" t="s">
        <v>1030</v>
      </c>
      <c r="J98" s="18" t="s">
        <v>637</v>
      </c>
      <c r="K98" s="18" t="s">
        <v>438</v>
      </c>
    </row>
    <row r="99" spans="1:12" ht="13">
      <c r="A99" s="18" t="s">
        <v>1027</v>
      </c>
      <c r="B99" s="18" t="s">
        <v>434</v>
      </c>
      <c r="C99" s="18" t="s">
        <v>1028</v>
      </c>
      <c r="D99" s="18" t="s">
        <v>1029</v>
      </c>
      <c r="E99" s="18">
        <v>2012</v>
      </c>
      <c r="F99" s="18">
        <v>66</v>
      </c>
      <c r="G99" s="18" t="s">
        <v>402</v>
      </c>
      <c r="H99" s="18" t="s">
        <v>402</v>
      </c>
      <c r="I99" s="18" t="s">
        <v>1030</v>
      </c>
      <c r="J99" s="18" t="s">
        <v>637</v>
      </c>
      <c r="K99" s="18" t="s">
        <v>438</v>
      </c>
    </row>
    <row r="100" spans="1:12" ht="13">
      <c r="A100" s="18" t="s">
        <v>1027</v>
      </c>
      <c r="B100" s="18" t="s">
        <v>434</v>
      </c>
      <c r="C100" s="18" t="s">
        <v>1028</v>
      </c>
      <c r="D100" s="18" t="s">
        <v>1029</v>
      </c>
      <c r="E100" s="18">
        <v>2013</v>
      </c>
      <c r="F100" s="18">
        <v>68</v>
      </c>
      <c r="G100" s="18" t="s">
        <v>402</v>
      </c>
      <c r="H100" s="18" t="s">
        <v>402</v>
      </c>
      <c r="I100" s="18" t="s">
        <v>1030</v>
      </c>
      <c r="J100" s="18" t="s">
        <v>637</v>
      </c>
      <c r="K100" s="18" t="s">
        <v>438</v>
      </c>
    </row>
    <row r="101" spans="1:12" ht="13">
      <c r="A101" s="18" t="s">
        <v>1027</v>
      </c>
      <c r="B101" s="18" t="s">
        <v>434</v>
      </c>
      <c r="C101" s="18" t="s">
        <v>1028</v>
      </c>
      <c r="D101" s="18" t="s">
        <v>1029</v>
      </c>
      <c r="E101" s="18">
        <v>2014</v>
      </c>
      <c r="F101" s="18">
        <v>70</v>
      </c>
      <c r="G101" s="18" t="s">
        <v>402</v>
      </c>
      <c r="H101" s="18" t="s">
        <v>402</v>
      </c>
      <c r="I101" s="18" t="s">
        <v>1030</v>
      </c>
      <c r="J101" s="18" t="s">
        <v>637</v>
      </c>
      <c r="K101" s="18" t="s">
        <v>438</v>
      </c>
    </row>
    <row r="102" spans="1:12" ht="13">
      <c r="A102" s="18" t="s">
        <v>1027</v>
      </c>
      <c r="B102" s="18" t="s">
        <v>434</v>
      </c>
      <c r="C102" s="18" t="s">
        <v>1028</v>
      </c>
      <c r="D102" s="18" t="s">
        <v>1029</v>
      </c>
      <c r="E102" s="18">
        <v>2015</v>
      </c>
      <c r="F102" s="18">
        <v>72</v>
      </c>
      <c r="G102" s="18" t="s">
        <v>402</v>
      </c>
      <c r="H102" s="18" t="s">
        <v>402</v>
      </c>
      <c r="I102" s="18" t="s">
        <v>1030</v>
      </c>
      <c r="J102" s="18" t="s">
        <v>637</v>
      </c>
      <c r="K102" s="18" t="s">
        <v>438</v>
      </c>
    </row>
    <row r="103" spans="1:12" ht="13">
      <c r="A103" s="18" t="s">
        <v>1027</v>
      </c>
      <c r="B103" s="18" t="s">
        <v>434</v>
      </c>
      <c r="C103" s="18" t="s">
        <v>1028</v>
      </c>
      <c r="D103" s="18" t="s">
        <v>1029</v>
      </c>
      <c r="E103" s="18">
        <v>2016</v>
      </c>
      <c r="F103" s="18">
        <v>75</v>
      </c>
      <c r="G103" s="18" t="s">
        <v>402</v>
      </c>
      <c r="H103" s="18" t="s">
        <v>402</v>
      </c>
      <c r="I103" s="18" t="s">
        <v>1030</v>
      </c>
      <c r="J103" s="18" t="s">
        <v>637</v>
      </c>
      <c r="K103" s="18" t="s">
        <v>438</v>
      </c>
    </row>
    <row r="104" spans="1:12" ht="13">
      <c r="A104" s="18" t="s">
        <v>1027</v>
      </c>
      <c r="B104" s="18" t="s">
        <v>434</v>
      </c>
      <c r="C104" s="18" t="s">
        <v>1028</v>
      </c>
      <c r="D104" s="18" t="s">
        <v>1029</v>
      </c>
      <c r="E104" s="18">
        <v>2017</v>
      </c>
      <c r="F104" s="18">
        <v>77</v>
      </c>
      <c r="G104" s="18" t="s">
        <v>402</v>
      </c>
      <c r="H104" s="18" t="s">
        <v>402</v>
      </c>
      <c r="I104" s="18" t="s">
        <v>1030</v>
      </c>
      <c r="J104" s="18" t="s">
        <v>637</v>
      </c>
      <c r="K104" s="18" t="s">
        <v>438</v>
      </c>
    </row>
    <row r="105" spans="1:12" ht="13">
      <c r="A105" s="18" t="s">
        <v>1027</v>
      </c>
      <c r="B105" s="18" t="s">
        <v>434</v>
      </c>
      <c r="C105" s="18" t="s">
        <v>1028</v>
      </c>
      <c r="D105" s="18" t="s">
        <v>1029</v>
      </c>
      <c r="E105" s="18">
        <v>2018</v>
      </c>
      <c r="F105" s="18">
        <v>78</v>
      </c>
      <c r="G105" s="18" t="s">
        <v>402</v>
      </c>
      <c r="H105" s="18" t="s">
        <v>402</v>
      </c>
      <c r="I105" s="18" t="s">
        <v>1030</v>
      </c>
      <c r="J105" s="18" t="s">
        <v>637</v>
      </c>
      <c r="K105" s="18" t="s">
        <v>438</v>
      </c>
    </row>
    <row r="106" spans="1:12" ht="13">
      <c r="A106" s="18" t="s">
        <v>1027</v>
      </c>
      <c r="B106" s="18" t="s">
        <v>434</v>
      </c>
      <c r="C106" s="18" t="s">
        <v>1028</v>
      </c>
      <c r="D106" s="18" t="s">
        <v>1029</v>
      </c>
      <c r="E106" s="18">
        <v>2019</v>
      </c>
      <c r="F106" s="18">
        <v>80</v>
      </c>
      <c r="G106" s="18" t="s">
        <v>402</v>
      </c>
      <c r="H106" s="18" t="s">
        <v>402</v>
      </c>
      <c r="I106" s="18" t="s">
        <v>1030</v>
      </c>
      <c r="J106" s="18" t="s">
        <v>637</v>
      </c>
      <c r="K106" s="18" t="s">
        <v>438</v>
      </c>
    </row>
    <row r="107" spans="1:12" ht="13">
      <c r="A107" s="18" t="s">
        <v>1027</v>
      </c>
      <c r="B107" s="18" t="s">
        <v>434</v>
      </c>
      <c r="C107" s="18" t="s">
        <v>1028</v>
      </c>
      <c r="D107" s="18" t="s">
        <v>1029</v>
      </c>
      <c r="E107" s="18">
        <v>2019</v>
      </c>
      <c r="F107" s="18">
        <v>81</v>
      </c>
      <c r="G107" s="18" t="s">
        <v>402</v>
      </c>
      <c r="H107" s="18" t="s">
        <v>402</v>
      </c>
      <c r="I107" s="18" t="s">
        <v>1030</v>
      </c>
      <c r="J107" s="18" t="s">
        <v>637</v>
      </c>
      <c r="K107" s="18" t="s">
        <v>438</v>
      </c>
    </row>
    <row r="108" spans="1:12" ht="13">
      <c r="A108" s="18" t="s">
        <v>1027</v>
      </c>
      <c r="B108" s="18" t="s">
        <v>434</v>
      </c>
      <c r="C108" s="18" t="s">
        <v>1028</v>
      </c>
      <c r="D108" s="18" t="s">
        <v>1029</v>
      </c>
      <c r="E108" s="18">
        <v>2020</v>
      </c>
      <c r="F108" s="18">
        <v>83</v>
      </c>
      <c r="G108" s="18" t="s">
        <v>402</v>
      </c>
      <c r="H108" s="18" t="s">
        <v>402</v>
      </c>
      <c r="I108" s="18" t="s">
        <v>1030</v>
      </c>
      <c r="J108" s="18" t="s">
        <v>637</v>
      </c>
      <c r="K108" s="18" t="s">
        <v>438</v>
      </c>
    </row>
    <row r="109" spans="1:12" ht="13">
      <c r="A109" s="18" t="s">
        <v>1027</v>
      </c>
      <c r="B109" s="18" t="s">
        <v>434</v>
      </c>
      <c r="C109" s="18" t="s">
        <v>1028</v>
      </c>
      <c r="D109" s="18" t="s">
        <v>1029</v>
      </c>
      <c r="E109" s="18">
        <v>2021</v>
      </c>
      <c r="F109" s="18">
        <v>83</v>
      </c>
      <c r="G109" s="18" t="s">
        <v>402</v>
      </c>
      <c r="H109" s="18" t="s">
        <v>402</v>
      </c>
      <c r="I109" s="18" t="s">
        <v>1030</v>
      </c>
      <c r="J109" s="18" t="s">
        <v>637</v>
      </c>
      <c r="K109" s="18" t="s">
        <v>438</v>
      </c>
    </row>
    <row r="110" spans="1:12" ht="13">
      <c r="A110" s="18" t="s">
        <v>1027</v>
      </c>
      <c r="B110" s="18" t="s">
        <v>434</v>
      </c>
      <c r="C110" s="18" t="s">
        <v>1028</v>
      </c>
      <c r="D110" s="18" t="s">
        <v>1029</v>
      </c>
      <c r="E110" s="18">
        <v>2022</v>
      </c>
      <c r="F110" s="18">
        <v>84</v>
      </c>
      <c r="G110" s="18" t="s">
        <v>402</v>
      </c>
      <c r="H110" s="18" t="s">
        <v>402</v>
      </c>
      <c r="I110" s="18" t="s">
        <v>1030</v>
      </c>
      <c r="J110" s="18" t="s">
        <v>637</v>
      </c>
      <c r="K110" s="18" t="s">
        <v>438</v>
      </c>
    </row>
    <row r="111" spans="1:12" ht="13">
      <c r="A111" s="18" t="s">
        <v>1027</v>
      </c>
      <c r="B111" s="18" t="s">
        <v>434</v>
      </c>
      <c r="C111" s="18" t="s">
        <v>1028</v>
      </c>
      <c r="D111" s="18" t="s">
        <v>1029</v>
      </c>
      <c r="E111" s="18">
        <v>2022</v>
      </c>
      <c r="F111" s="18">
        <v>84</v>
      </c>
      <c r="G111" s="18" t="s">
        <v>402</v>
      </c>
      <c r="H111" s="18" t="s">
        <v>402</v>
      </c>
      <c r="I111" s="18" t="s">
        <v>1030</v>
      </c>
      <c r="J111" s="18" t="s">
        <v>637</v>
      </c>
      <c r="K111" s="18" t="s">
        <v>438</v>
      </c>
    </row>
    <row r="112" spans="1:12" ht="13">
      <c r="A112" s="18" t="s">
        <v>1027</v>
      </c>
      <c r="B112" s="18" t="s">
        <v>434</v>
      </c>
      <c r="C112" s="18" t="s">
        <v>1032</v>
      </c>
      <c r="D112" s="18" t="s">
        <v>1033</v>
      </c>
      <c r="E112" s="18">
        <v>1960</v>
      </c>
      <c r="F112" s="18">
        <v>1</v>
      </c>
      <c r="G112" s="18" t="s">
        <v>402</v>
      </c>
      <c r="H112" s="18" t="s">
        <v>402</v>
      </c>
      <c r="I112" s="18" t="s">
        <v>1030</v>
      </c>
      <c r="J112" s="18" t="s">
        <v>637</v>
      </c>
      <c r="K112" s="18" t="s">
        <v>438</v>
      </c>
      <c r="L112" s="18" t="s">
        <v>1034</v>
      </c>
    </row>
    <row r="113" spans="1:11" ht="13">
      <c r="A113" s="18" t="s">
        <v>1027</v>
      </c>
      <c r="B113" s="18" t="s">
        <v>434</v>
      </c>
      <c r="C113" s="18" t="s">
        <v>1032</v>
      </c>
      <c r="D113" s="18" t="s">
        <v>1033</v>
      </c>
      <c r="E113" s="18">
        <v>1961</v>
      </c>
      <c r="F113" s="18">
        <v>1</v>
      </c>
      <c r="G113" s="18" t="s">
        <v>402</v>
      </c>
      <c r="H113" s="18" t="s">
        <v>402</v>
      </c>
      <c r="I113" s="18" t="s">
        <v>1030</v>
      </c>
      <c r="J113" s="18" t="s">
        <v>637</v>
      </c>
      <c r="K113" s="18" t="s">
        <v>438</v>
      </c>
    </row>
    <row r="114" spans="1:11" ht="13">
      <c r="A114" s="18" t="s">
        <v>1027</v>
      </c>
      <c r="B114" s="18" t="s">
        <v>434</v>
      </c>
      <c r="C114" s="18" t="s">
        <v>1032</v>
      </c>
      <c r="D114" s="18" t="s">
        <v>1033</v>
      </c>
      <c r="E114" s="18">
        <v>1962</v>
      </c>
      <c r="F114" s="18">
        <v>1</v>
      </c>
      <c r="G114" s="18" t="s">
        <v>402</v>
      </c>
      <c r="H114" s="18" t="s">
        <v>402</v>
      </c>
      <c r="I114" s="18" t="s">
        <v>1030</v>
      </c>
      <c r="J114" s="18" t="s">
        <v>637</v>
      </c>
      <c r="K114" s="18" t="s">
        <v>438</v>
      </c>
    </row>
    <row r="115" spans="1:11" ht="13">
      <c r="A115" s="18" t="s">
        <v>1027</v>
      </c>
      <c r="B115" s="18" t="s">
        <v>434</v>
      </c>
      <c r="C115" s="18" t="s">
        <v>1032</v>
      </c>
      <c r="D115" s="18" t="s">
        <v>1033</v>
      </c>
      <c r="E115" s="18">
        <v>1963</v>
      </c>
      <c r="F115" s="18">
        <v>1</v>
      </c>
      <c r="G115" s="18" t="s">
        <v>402</v>
      </c>
      <c r="H115" s="18" t="s">
        <v>402</v>
      </c>
      <c r="I115" s="18" t="s">
        <v>1030</v>
      </c>
      <c r="J115" s="18" t="s">
        <v>637</v>
      </c>
      <c r="K115" s="18" t="s">
        <v>438</v>
      </c>
    </row>
    <row r="116" spans="1:11" ht="13">
      <c r="A116" s="18" t="s">
        <v>1027</v>
      </c>
      <c r="B116" s="18" t="s">
        <v>434</v>
      </c>
      <c r="C116" s="18" t="s">
        <v>1032</v>
      </c>
      <c r="D116" s="18" t="s">
        <v>1033</v>
      </c>
      <c r="E116" s="18">
        <v>1964</v>
      </c>
      <c r="F116" s="18">
        <v>1</v>
      </c>
      <c r="G116" s="18" t="s">
        <v>402</v>
      </c>
      <c r="H116" s="18" t="s">
        <v>402</v>
      </c>
      <c r="I116" s="18" t="s">
        <v>1030</v>
      </c>
      <c r="J116" s="18" t="s">
        <v>637</v>
      </c>
      <c r="K116" s="18" t="s">
        <v>438</v>
      </c>
    </row>
    <row r="117" spans="1:11" ht="13">
      <c r="A117" s="18" t="s">
        <v>1027</v>
      </c>
      <c r="B117" s="18" t="s">
        <v>434</v>
      </c>
      <c r="C117" s="18" t="s">
        <v>1032</v>
      </c>
      <c r="D117" s="18" t="s">
        <v>1033</v>
      </c>
      <c r="E117" s="18">
        <v>1965</v>
      </c>
      <c r="F117" s="18">
        <v>1</v>
      </c>
      <c r="G117" s="18" t="s">
        <v>402</v>
      </c>
      <c r="H117" s="18" t="s">
        <v>402</v>
      </c>
      <c r="I117" s="18" t="s">
        <v>1030</v>
      </c>
      <c r="J117" s="18" t="s">
        <v>637</v>
      </c>
      <c r="K117" s="18" t="s">
        <v>438</v>
      </c>
    </row>
    <row r="118" spans="1:11" ht="13">
      <c r="A118" s="18" t="s">
        <v>1027</v>
      </c>
      <c r="B118" s="18" t="s">
        <v>434</v>
      </c>
      <c r="C118" s="18" t="s">
        <v>1032</v>
      </c>
      <c r="D118" s="18" t="s">
        <v>1033</v>
      </c>
      <c r="E118" s="18">
        <v>1966</v>
      </c>
      <c r="F118" s="18">
        <v>1</v>
      </c>
      <c r="G118" s="18" t="s">
        <v>402</v>
      </c>
      <c r="H118" s="18" t="s">
        <v>402</v>
      </c>
      <c r="I118" s="18" t="s">
        <v>1030</v>
      </c>
      <c r="J118" s="18" t="s">
        <v>637</v>
      </c>
      <c r="K118" s="18" t="s">
        <v>438</v>
      </c>
    </row>
    <row r="119" spans="1:11" ht="13">
      <c r="A119" s="18" t="s">
        <v>1027</v>
      </c>
      <c r="B119" s="18" t="s">
        <v>434</v>
      </c>
      <c r="C119" s="18" t="s">
        <v>1032</v>
      </c>
      <c r="D119" s="18" t="s">
        <v>1033</v>
      </c>
      <c r="E119" s="18">
        <v>1967</v>
      </c>
      <c r="F119" s="18">
        <v>2</v>
      </c>
      <c r="G119" s="18" t="s">
        <v>402</v>
      </c>
      <c r="H119" s="18" t="s">
        <v>402</v>
      </c>
      <c r="I119" s="18" t="s">
        <v>1030</v>
      </c>
      <c r="J119" s="18" t="s">
        <v>637</v>
      </c>
      <c r="K119" s="18" t="s">
        <v>438</v>
      </c>
    </row>
    <row r="120" spans="1:11" ht="13">
      <c r="A120" s="18" t="s">
        <v>1027</v>
      </c>
      <c r="B120" s="18" t="s">
        <v>434</v>
      </c>
      <c r="C120" s="18" t="s">
        <v>1032</v>
      </c>
      <c r="D120" s="18" t="s">
        <v>1033</v>
      </c>
      <c r="E120" s="18">
        <v>1968</v>
      </c>
      <c r="F120" s="18">
        <v>2</v>
      </c>
      <c r="G120" s="18" t="s">
        <v>402</v>
      </c>
      <c r="H120" s="18" t="s">
        <v>402</v>
      </c>
      <c r="I120" s="18" t="s">
        <v>1030</v>
      </c>
      <c r="J120" s="18" t="s">
        <v>637</v>
      </c>
      <c r="K120" s="18" t="s">
        <v>438</v>
      </c>
    </row>
    <row r="121" spans="1:11" ht="13">
      <c r="A121" s="18" t="s">
        <v>1027</v>
      </c>
      <c r="B121" s="18" t="s">
        <v>434</v>
      </c>
      <c r="C121" s="18" t="s">
        <v>1032</v>
      </c>
      <c r="D121" s="18" t="s">
        <v>1033</v>
      </c>
      <c r="E121" s="18">
        <v>1969</v>
      </c>
      <c r="F121" s="18">
        <v>2</v>
      </c>
      <c r="G121" s="18" t="s">
        <v>402</v>
      </c>
      <c r="H121" s="18" t="s">
        <v>402</v>
      </c>
      <c r="I121" s="18" t="s">
        <v>1030</v>
      </c>
      <c r="J121" s="18" t="s">
        <v>637</v>
      </c>
      <c r="K121" s="18" t="s">
        <v>438</v>
      </c>
    </row>
    <row r="122" spans="1:11" ht="13">
      <c r="A122" s="18" t="s">
        <v>1027</v>
      </c>
      <c r="B122" s="18" t="s">
        <v>434</v>
      </c>
      <c r="C122" s="18" t="s">
        <v>1032</v>
      </c>
      <c r="D122" s="18" t="s">
        <v>1033</v>
      </c>
      <c r="E122" s="18">
        <v>1970</v>
      </c>
      <c r="F122" s="18">
        <v>2</v>
      </c>
      <c r="G122" s="18" t="s">
        <v>402</v>
      </c>
      <c r="H122" s="18" t="s">
        <v>402</v>
      </c>
      <c r="I122" s="18" t="s">
        <v>1030</v>
      </c>
      <c r="J122" s="18" t="s">
        <v>637</v>
      </c>
      <c r="K122" s="18" t="s">
        <v>438</v>
      </c>
    </row>
    <row r="123" spans="1:11" ht="13">
      <c r="A123" s="18" t="s">
        <v>1027</v>
      </c>
      <c r="B123" s="18" t="s">
        <v>434</v>
      </c>
      <c r="C123" s="18" t="s">
        <v>1032</v>
      </c>
      <c r="D123" s="18" t="s">
        <v>1033</v>
      </c>
      <c r="E123" s="18">
        <v>1971</v>
      </c>
      <c r="F123" s="18">
        <v>3</v>
      </c>
      <c r="G123" s="18" t="s">
        <v>402</v>
      </c>
      <c r="H123" s="18" t="s">
        <v>402</v>
      </c>
      <c r="I123" s="18" t="s">
        <v>1030</v>
      </c>
      <c r="J123" s="18" t="s">
        <v>637</v>
      </c>
      <c r="K123" s="18" t="s">
        <v>438</v>
      </c>
    </row>
    <row r="124" spans="1:11" ht="13">
      <c r="A124" s="18" t="s">
        <v>1027</v>
      </c>
      <c r="B124" s="18" t="s">
        <v>434</v>
      </c>
      <c r="C124" s="18" t="s">
        <v>1032</v>
      </c>
      <c r="D124" s="18" t="s">
        <v>1033</v>
      </c>
      <c r="E124" s="18">
        <v>1972</v>
      </c>
      <c r="F124" s="18">
        <v>3</v>
      </c>
      <c r="G124" s="18" t="s">
        <v>402</v>
      </c>
      <c r="H124" s="18" t="s">
        <v>402</v>
      </c>
      <c r="I124" s="18" t="s">
        <v>1030</v>
      </c>
      <c r="J124" s="18" t="s">
        <v>637</v>
      </c>
      <c r="K124" s="18" t="s">
        <v>438</v>
      </c>
    </row>
    <row r="125" spans="1:11" ht="13">
      <c r="A125" s="18" t="s">
        <v>1027</v>
      </c>
      <c r="B125" s="18" t="s">
        <v>434</v>
      </c>
      <c r="C125" s="18" t="s">
        <v>1032</v>
      </c>
      <c r="D125" s="18" t="s">
        <v>1033</v>
      </c>
      <c r="E125" s="18">
        <v>1973</v>
      </c>
      <c r="F125" s="18">
        <v>3</v>
      </c>
      <c r="G125" s="18" t="s">
        <v>402</v>
      </c>
      <c r="H125" s="18" t="s">
        <v>402</v>
      </c>
      <c r="I125" s="18" t="s">
        <v>1030</v>
      </c>
      <c r="J125" s="18" t="s">
        <v>637</v>
      </c>
      <c r="K125" s="18" t="s">
        <v>438</v>
      </c>
    </row>
    <row r="126" spans="1:11" ht="13">
      <c r="A126" s="18" t="s">
        <v>1027</v>
      </c>
      <c r="B126" s="18" t="s">
        <v>434</v>
      </c>
      <c r="C126" s="18" t="s">
        <v>1032</v>
      </c>
      <c r="D126" s="18" t="s">
        <v>1033</v>
      </c>
      <c r="E126" s="18">
        <v>1974</v>
      </c>
      <c r="F126" s="18">
        <v>4</v>
      </c>
      <c r="G126" s="18" t="s">
        <v>402</v>
      </c>
      <c r="H126" s="18" t="s">
        <v>402</v>
      </c>
      <c r="I126" s="18" t="s">
        <v>1030</v>
      </c>
      <c r="J126" s="18" t="s">
        <v>637</v>
      </c>
      <c r="K126" s="18" t="s">
        <v>438</v>
      </c>
    </row>
    <row r="127" spans="1:11" ht="13">
      <c r="A127" s="18" t="s">
        <v>1027</v>
      </c>
      <c r="B127" s="18" t="s">
        <v>434</v>
      </c>
      <c r="C127" s="18" t="s">
        <v>1032</v>
      </c>
      <c r="D127" s="18" t="s">
        <v>1033</v>
      </c>
      <c r="E127" s="18">
        <v>1975</v>
      </c>
      <c r="F127" s="18">
        <v>1</v>
      </c>
      <c r="G127" s="18" t="s">
        <v>402</v>
      </c>
      <c r="H127" s="18" t="s">
        <v>402</v>
      </c>
      <c r="I127" s="18" t="s">
        <v>1030</v>
      </c>
      <c r="J127" s="18" t="s">
        <v>637</v>
      </c>
      <c r="K127" s="18" t="s">
        <v>438</v>
      </c>
    </row>
    <row r="128" spans="1:11" ht="13">
      <c r="A128" s="18" t="s">
        <v>1027</v>
      </c>
      <c r="B128" s="18" t="s">
        <v>434</v>
      </c>
      <c r="C128" s="18" t="s">
        <v>1032</v>
      </c>
      <c r="D128" s="18" t="s">
        <v>1033</v>
      </c>
      <c r="E128" s="18">
        <v>1976</v>
      </c>
      <c r="F128" s="18">
        <v>3</v>
      </c>
      <c r="G128" s="18" t="s">
        <v>402</v>
      </c>
      <c r="H128" s="18" t="s">
        <v>402</v>
      </c>
      <c r="I128" s="18" t="s">
        <v>1030</v>
      </c>
      <c r="J128" s="18" t="s">
        <v>637</v>
      </c>
      <c r="K128" s="18" t="s">
        <v>438</v>
      </c>
    </row>
    <row r="129" spans="1:11" ht="13">
      <c r="A129" s="18" t="s">
        <v>1027</v>
      </c>
      <c r="B129" s="18" t="s">
        <v>434</v>
      </c>
      <c r="C129" s="18" t="s">
        <v>1032</v>
      </c>
      <c r="D129" s="18" t="s">
        <v>1033</v>
      </c>
      <c r="E129" s="18">
        <v>1978</v>
      </c>
      <c r="F129" s="18">
        <v>3</v>
      </c>
      <c r="G129" s="18" t="s">
        <v>402</v>
      </c>
      <c r="H129" s="18" t="s">
        <v>402</v>
      </c>
      <c r="I129" s="18" t="s">
        <v>1030</v>
      </c>
      <c r="J129" s="18" t="s">
        <v>637</v>
      </c>
      <c r="K129" s="18" t="s">
        <v>438</v>
      </c>
    </row>
    <row r="130" spans="1:11" ht="13">
      <c r="A130" s="18" t="s">
        <v>1027</v>
      </c>
      <c r="B130" s="18" t="s">
        <v>434</v>
      </c>
      <c r="C130" s="18" t="s">
        <v>1032</v>
      </c>
      <c r="D130" s="18" t="s">
        <v>1033</v>
      </c>
      <c r="E130" s="18">
        <v>1977</v>
      </c>
      <c r="F130" s="18">
        <v>5</v>
      </c>
      <c r="G130" s="18" t="s">
        <v>402</v>
      </c>
      <c r="H130" s="18" t="s">
        <v>402</v>
      </c>
      <c r="I130" s="18" t="s">
        <v>1030</v>
      </c>
      <c r="J130" s="18" t="s">
        <v>637</v>
      </c>
      <c r="K130" s="18" t="s">
        <v>438</v>
      </c>
    </row>
    <row r="131" spans="1:11" ht="13">
      <c r="A131" s="18" t="s">
        <v>1027</v>
      </c>
      <c r="B131" s="18" t="s">
        <v>434</v>
      </c>
      <c r="C131" s="18" t="s">
        <v>1032</v>
      </c>
      <c r="D131" s="18" t="s">
        <v>1033</v>
      </c>
      <c r="E131" s="18">
        <v>1979</v>
      </c>
      <c r="F131" s="18">
        <v>5</v>
      </c>
      <c r="G131" s="18" t="s">
        <v>402</v>
      </c>
      <c r="H131" s="18" t="s">
        <v>402</v>
      </c>
      <c r="I131" s="18" t="s">
        <v>1030</v>
      </c>
      <c r="J131" s="18" t="s">
        <v>637</v>
      </c>
      <c r="K131" s="18" t="s">
        <v>438</v>
      </c>
    </row>
    <row r="132" spans="1:11" ht="13">
      <c r="A132" s="18" t="s">
        <v>1027</v>
      </c>
      <c r="B132" s="18" t="s">
        <v>434</v>
      </c>
      <c r="C132" s="18" t="s">
        <v>1032</v>
      </c>
      <c r="D132" s="18" t="s">
        <v>1033</v>
      </c>
      <c r="E132" s="18">
        <v>1980</v>
      </c>
      <c r="F132" s="18">
        <v>4</v>
      </c>
      <c r="G132" s="18" t="s">
        <v>402</v>
      </c>
      <c r="H132" s="18" t="s">
        <v>402</v>
      </c>
      <c r="I132" s="18" t="s">
        <v>1030</v>
      </c>
      <c r="J132" s="18" t="s">
        <v>637</v>
      </c>
      <c r="K132" s="18" t="s">
        <v>438</v>
      </c>
    </row>
    <row r="133" spans="1:11" ht="13">
      <c r="A133" s="18" t="s">
        <v>1027</v>
      </c>
      <c r="B133" s="18" t="s">
        <v>434</v>
      </c>
      <c r="C133" s="18" t="s">
        <v>1032</v>
      </c>
      <c r="D133" s="18" t="s">
        <v>1033</v>
      </c>
      <c r="E133" s="18">
        <v>1983</v>
      </c>
      <c r="F133" s="18">
        <v>3</v>
      </c>
      <c r="G133" s="18" t="s">
        <v>402</v>
      </c>
      <c r="H133" s="18" t="s">
        <v>402</v>
      </c>
      <c r="I133" s="18" t="s">
        <v>1030</v>
      </c>
      <c r="J133" s="18" t="s">
        <v>637</v>
      </c>
      <c r="K133" s="18" t="s">
        <v>438</v>
      </c>
    </row>
    <row r="134" spans="1:11" ht="13">
      <c r="A134" s="18" t="s">
        <v>1027</v>
      </c>
      <c r="B134" s="18" t="s">
        <v>434</v>
      </c>
      <c r="C134" s="18" t="s">
        <v>1032</v>
      </c>
      <c r="D134" s="18" t="s">
        <v>1033</v>
      </c>
      <c r="E134" s="18">
        <v>1981</v>
      </c>
      <c r="F134" s="18">
        <v>6</v>
      </c>
      <c r="G134" s="18" t="s">
        <v>402</v>
      </c>
      <c r="H134" s="18" t="s">
        <v>402</v>
      </c>
      <c r="I134" s="18" t="s">
        <v>1030</v>
      </c>
      <c r="J134" s="18" t="s">
        <v>637</v>
      </c>
      <c r="K134" s="18" t="s">
        <v>438</v>
      </c>
    </row>
    <row r="135" spans="1:11" ht="13">
      <c r="A135" s="18" t="s">
        <v>1027</v>
      </c>
      <c r="B135" s="18" t="s">
        <v>434</v>
      </c>
      <c r="C135" s="18" t="s">
        <v>1032</v>
      </c>
      <c r="D135" s="18" t="s">
        <v>1033</v>
      </c>
      <c r="E135" s="18">
        <v>1982</v>
      </c>
      <c r="F135" s="18">
        <v>6</v>
      </c>
      <c r="G135" s="18" t="s">
        <v>402</v>
      </c>
      <c r="H135" s="18" t="s">
        <v>402</v>
      </c>
      <c r="I135" s="18" t="s">
        <v>1030</v>
      </c>
      <c r="J135" s="18" t="s">
        <v>637</v>
      </c>
      <c r="K135" s="18" t="s">
        <v>438</v>
      </c>
    </row>
    <row r="136" spans="1:11" ht="13">
      <c r="A136" s="18" t="s">
        <v>1027</v>
      </c>
      <c r="B136" s="18" t="s">
        <v>434</v>
      </c>
      <c r="C136" s="18" t="s">
        <v>1032</v>
      </c>
      <c r="D136" s="18" t="s">
        <v>1033</v>
      </c>
      <c r="E136" s="18">
        <v>1984</v>
      </c>
      <c r="F136" s="18">
        <v>7</v>
      </c>
      <c r="G136" s="18" t="s">
        <v>402</v>
      </c>
      <c r="H136" s="18" t="s">
        <v>402</v>
      </c>
      <c r="I136" s="18" t="s">
        <v>1030</v>
      </c>
      <c r="J136" s="18" t="s">
        <v>637</v>
      </c>
      <c r="K136" s="18" t="s">
        <v>438</v>
      </c>
    </row>
    <row r="137" spans="1:11" ht="13">
      <c r="A137" s="18" t="s">
        <v>1027</v>
      </c>
      <c r="B137" s="18" t="s">
        <v>434</v>
      </c>
      <c r="C137" s="18" t="s">
        <v>1032</v>
      </c>
      <c r="D137" s="18" t="s">
        <v>1033</v>
      </c>
      <c r="E137" s="18">
        <v>1985</v>
      </c>
      <c r="F137" s="18">
        <v>7</v>
      </c>
      <c r="G137" s="18" t="s">
        <v>402</v>
      </c>
      <c r="H137" s="18" t="s">
        <v>402</v>
      </c>
      <c r="I137" s="18" t="s">
        <v>1030</v>
      </c>
      <c r="J137" s="18" t="s">
        <v>637</v>
      </c>
      <c r="K137" s="18" t="s">
        <v>438</v>
      </c>
    </row>
    <row r="138" spans="1:11" ht="13">
      <c r="A138" s="18" t="s">
        <v>1027</v>
      </c>
      <c r="B138" s="18" t="s">
        <v>434</v>
      </c>
      <c r="C138" s="18" t="s">
        <v>1032</v>
      </c>
      <c r="D138" s="18" t="s">
        <v>1033</v>
      </c>
      <c r="E138" s="18">
        <v>1986</v>
      </c>
      <c r="F138" s="18">
        <v>7</v>
      </c>
      <c r="G138" s="18" t="s">
        <v>402</v>
      </c>
      <c r="H138" s="18" t="s">
        <v>402</v>
      </c>
      <c r="I138" s="18" t="s">
        <v>1030</v>
      </c>
      <c r="J138" s="18" t="s">
        <v>637</v>
      </c>
      <c r="K138" s="18" t="s">
        <v>438</v>
      </c>
    </row>
    <row r="139" spans="1:11" ht="13">
      <c r="A139" s="18" t="s">
        <v>1027</v>
      </c>
      <c r="B139" s="18" t="s">
        <v>434</v>
      </c>
      <c r="C139" s="18" t="s">
        <v>1032</v>
      </c>
      <c r="D139" s="18" t="s">
        <v>1033</v>
      </c>
      <c r="E139" s="18">
        <v>1987</v>
      </c>
      <c r="F139" s="18">
        <v>8</v>
      </c>
      <c r="G139" s="18" t="s">
        <v>402</v>
      </c>
      <c r="H139" s="18" t="s">
        <v>402</v>
      </c>
      <c r="I139" s="18" t="s">
        <v>1030</v>
      </c>
      <c r="J139" s="18" t="s">
        <v>637</v>
      </c>
      <c r="K139" s="18" t="s">
        <v>438</v>
      </c>
    </row>
    <row r="140" spans="1:11" ht="13">
      <c r="A140" s="18" t="s">
        <v>1027</v>
      </c>
      <c r="B140" s="18" t="s">
        <v>434</v>
      </c>
      <c r="C140" s="18" t="s">
        <v>1032</v>
      </c>
      <c r="D140" s="18" t="s">
        <v>1033</v>
      </c>
      <c r="E140" s="18">
        <v>1988</v>
      </c>
      <c r="F140" s="18">
        <v>8</v>
      </c>
      <c r="G140" s="18" t="s">
        <v>402</v>
      </c>
      <c r="H140" s="18" t="s">
        <v>402</v>
      </c>
      <c r="I140" s="18" t="s">
        <v>1030</v>
      </c>
      <c r="J140" s="18" t="s">
        <v>637</v>
      </c>
      <c r="K140" s="18" t="s">
        <v>438</v>
      </c>
    </row>
    <row r="141" spans="1:11" ht="13">
      <c r="A141" s="18" t="s">
        <v>1027</v>
      </c>
      <c r="B141" s="18" t="s">
        <v>434</v>
      </c>
      <c r="C141" s="18" t="s">
        <v>1032</v>
      </c>
      <c r="D141" s="18" t="s">
        <v>1033</v>
      </c>
      <c r="E141" s="18">
        <v>1989</v>
      </c>
      <c r="F141" s="18">
        <v>8</v>
      </c>
      <c r="G141" s="18" t="s">
        <v>402</v>
      </c>
      <c r="H141" s="18" t="s">
        <v>402</v>
      </c>
      <c r="I141" s="18" t="s">
        <v>1030</v>
      </c>
      <c r="J141" s="18" t="s">
        <v>637</v>
      </c>
      <c r="K141" s="18" t="s">
        <v>438</v>
      </c>
    </row>
    <row r="142" spans="1:11" ht="13">
      <c r="A142" s="18" t="s">
        <v>1027</v>
      </c>
      <c r="B142" s="18" t="s">
        <v>434</v>
      </c>
      <c r="C142" s="18" t="s">
        <v>1032</v>
      </c>
      <c r="D142" s="18" t="s">
        <v>1033</v>
      </c>
      <c r="E142" s="18">
        <v>1990</v>
      </c>
      <c r="F142" s="18">
        <v>8</v>
      </c>
      <c r="G142" s="18" t="s">
        <v>402</v>
      </c>
      <c r="H142" s="18" t="s">
        <v>402</v>
      </c>
      <c r="I142" s="18" t="s">
        <v>1030</v>
      </c>
      <c r="J142" s="18" t="s">
        <v>637</v>
      </c>
      <c r="K142" s="18" t="s">
        <v>438</v>
      </c>
    </row>
    <row r="143" spans="1:11" ht="13">
      <c r="A143" s="18" t="s">
        <v>1027</v>
      </c>
      <c r="B143" s="18" t="s">
        <v>434</v>
      </c>
      <c r="C143" s="18" t="s">
        <v>1032</v>
      </c>
      <c r="D143" s="18" t="s">
        <v>1033</v>
      </c>
      <c r="E143" s="18">
        <v>1991</v>
      </c>
      <c r="F143" s="18">
        <v>8</v>
      </c>
      <c r="G143" s="18" t="s">
        <v>402</v>
      </c>
      <c r="H143" s="18" t="s">
        <v>402</v>
      </c>
      <c r="I143" s="18" t="s">
        <v>1030</v>
      </c>
      <c r="J143" s="18" t="s">
        <v>637</v>
      </c>
      <c r="K143" s="18" t="s">
        <v>438</v>
      </c>
    </row>
    <row r="144" spans="1:11" ht="13">
      <c r="A144" s="18" t="s">
        <v>1027</v>
      </c>
      <c r="B144" s="18" t="s">
        <v>434</v>
      </c>
      <c r="C144" s="18" t="s">
        <v>1032</v>
      </c>
      <c r="D144" s="18" t="s">
        <v>1033</v>
      </c>
      <c r="E144" s="18">
        <v>1992</v>
      </c>
      <c r="F144" s="18">
        <v>9</v>
      </c>
      <c r="G144" s="18" t="s">
        <v>402</v>
      </c>
      <c r="H144" s="18" t="s">
        <v>402</v>
      </c>
      <c r="I144" s="18" t="s">
        <v>1030</v>
      </c>
      <c r="J144" s="18" t="s">
        <v>637</v>
      </c>
      <c r="K144" s="18" t="s">
        <v>438</v>
      </c>
    </row>
    <row r="145" spans="1:11" ht="13">
      <c r="A145" s="18" t="s">
        <v>1027</v>
      </c>
      <c r="B145" s="18" t="s">
        <v>434</v>
      </c>
      <c r="C145" s="18" t="s">
        <v>1032</v>
      </c>
      <c r="D145" s="18" t="s">
        <v>1033</v>
      </c>
      <c r="E145" s="18">
        <v>1993</v>
      </c>
      <c r="F145" s="18">
        <v>7</v>
      </c>
      <c r="G145" s="18" t="s">
        <v>402</v>
      </c>
      <c r="H145" s="18" t="s">
        <v>402</v>
      </c>
      <c r="I145" s="18" t="s">
        <v>1030</v>
      </c>
      <c r="J145" s="18" t="s">
        <v>637</v>
      </c>
      <c r="K145" s="18" t="s">
        <v>438</v>
      </c>
    </row>
    <row r="146" spans="1:11" ht="13">
      <c r="A146" s="18" t="s">
        <v>1027</v>
      </c>
      <c r="B146" s="18" t="s">
        <v>434</v>
      </c>
      <c r="C146" s="18" t="s">
        <v>1032</v>
      </c>
      <c r="D146" s="18" t="s">
        <v>1033</v>
      </c>
      <c r="E146" s="18">
        <v>1994</v>
      </c>
      <c r="F146" s="18">
        <v>10</v>
      </c>
      <c r="G146" s="18" t="s">
        <v>402</v>
      </c>
      <c r="H146" s="18" t="s">
        <v>402</v>
      </c>
      <c r="I146" s="18" t="s">
        <v>1030</v>
      </c>
      <c r="J146" s="18" t="s">
        <v>637</v>
      </c>
      <c r="K146" s="18" t="s">
        <v>438</v>
      </c>
    </row>
    <row r="147" spans="1:11" ht="13">
      <c r="A147" s="18" t="s">
        <v>1027</v>
      </c>
      <c r="B147" s="18" t="s">
        <v>434</v>
      </c>
      <c r="C147" s="18" t="s">
        <v>1032</v>
      </c>
      <c r="D147" s="18" t="s">
        <v>1033</v>
      </c>
      <c r="E147" s="18">
        <v>1997</v>
      </c>
      <c r="F147" s="18">
        <v>8</v>
      </c>
      <c r="G147" s="18" t="s">
        <v>402</v>
      </c>
      <c r="H147" s="18" t="s">
        <v>402</v>
      </c>
      <c r="I147" s="18" t="s">
        <v>1030</v>
      </c>
      <c r="J147" s="18" t="s">
        <v>637</v>
      </c>
      <c r="K147" s="18" t="s">
        <v>438</v>
      </c>
    </row>
    <row r="148" spans="1:11" ht="13">
      <c r="A148" s="18" t="s">
        <v>1027</v>
      </c>
      <c r="B148" s="18" t="s">
        <v>434</v>
      </c>
      <c r="C148" s="18" t="s">
        <v>1032</v>
      </c>
      <c r="D148" s="18" t="s">
        <v>1033</v>
      </c>
      <c r="E148" s="18">
        <v>1996</v>
      </c>
      <c r="F148" s="18">
        <v>11</v>
      </c>
      <c r="G148" s="18" t="s">
        <v>402</v>
      </c>
      <c r="H148" s="18" t="s">
        <v>402</v>
      </c>
      <c r="I148" s="18" t="s">
        <v>1030</v>
      </c>
      <c r="J148" s="18" t="s">
        <v>637</v>
      </c>
      <c r="K148" s="18" t="s">
        <v>438</v>
      </c>
    </row>
    <row r="149" spans="1:11" ht="13">
      <c r="A149" s="18" t="s">
        <v>1027</v>
      </c>
      <c r="B149" s="18" t="s">
        <v>434</v>
      </c>
      <c r="C149" s="18" t="s">
        <v>1032</v>
      </c>
      <c r="D149" s="18" t="s">
        <v>1033</v>
      </c>
      <c r="E149" s="18">
        <v>1998</v>
      </c>
      <c r="F149" s="18">
        <v>8</v>
      </c>
      <c r="G149" s="18" t="s">
        <v>402</v>
      </c>
      <c r="H149" s="18" t="s">
        <v>402</v>
      </c>
      <c r="I149" s="18" t="s">
        <v>1030</v>
      </c>
      <c r="J149" s="18" t="s">
        <v>637</v>
      </c>
      <c r="K149" s="18" t="s">
        <v>438</v>
      </c>
    </row>
    <row r="150" spans="1:11" ht="13">
      <c r="A150" s="18" t="s">
        <v>1027</v>
      </c>
      <c r="B150" s="18" t="s">
        <v>434</v>
      </c>
      <c r="C150" s="18" t="s">
        <v>1032</v>
      </c>
      <c r="D150" s="18" t="s">
        <v>1033</v>
      </c>
      <c r="E150" s="18">
        <v>1995</v>
      </c>
      <c r="F150" s="18">
        <v>2</v>
      </c>
      <c r="G150" s="18" t="s">
        <v>402</v>
      </c>
      <c r="H150" s="18" t="s">
        <v>402</v>
      </c>
      <c r="I150" s="18" t="s">
        <v>1030</v>
      </c>
      <c r="J150" s="18" t="s">
        <v>637</v>
      </c>
      <c r="K150" s="18" t="s">
        <v>438</v>
      </c>
    </row>
    <row r="151" spans="1:11" ht="13">
      <c r="A151" s="18" t="s">
        <v>1027</v>
      </c>
      <c r="B151" s="18" t="s">
        <v>434</v>
      </c>
      <c r="C151" s="18" t="s">
        <v>1032</v>
      </c>
      <c r="D151" s="18" t="s">
        <v>1033</v>
      </c>
      <c r="E151" s="18">
        <v>1999</v>
      </c>
      <c r="F151" s="18">
        <v>3</v>
      </c>
      <c r="G151" s="18" t="s">
        <v>402</v>
      </c>
      <c r="H151" s="18" t="s">
        <v>402</v>
      </c>
      <c r="I151" s="18" t="s">
        <v>1030</v>
      </c>
      <c r="J151" s="18" t="s">
        <v>637</v>
      </c>
      <c r="K151" s="18" t="s">
        <v>438</v>
      </c>
    </row>
    <row r="152" spans="1:11" ht="13">
      <c r="A152" s="18" t="s">
        <v>1027</v>
      </c>
      <c r="B152" s="18" t="s">
        <v>434</v>
      </c>
      <c r="C152" s="18" t="s">
        <v>1032</v>
      </c>
      <c r="D152" s="18" t="s">
        <v>1033</v>
      </c>
      <c r="E152" s="18">
        <v>2002</v>
      </c>
      <c r="F152" s="18">
        <v>6</v>
      </c>
      <c r="G152" s="18" t="s">
        <v>402</v>
      </c>
      <c r="H152" s="18" t="s">
        <v>402</v>
      </c>
      <c r="I152" s="18" t="s">
        <v>1030</v>
      </c>
      <c r="J152" s="18" t="s">
        <v>637</v>
      </c>
      <c r="K152" s="18" t="s">
        <v>438</v>
      </c>
    </row>
    <row r="153" spans="1:11" ht="13">
      <c r="A153" s="18" t="s">
        <v>1027</v>
      </c>
      <c r="B153" s="18" t="s">
        <v>434</v>
      </c>
      <c r="C153" s="18" t="s">
        <v>1032</v>
      </c>
      <c r="D153" s="18" t="s">
        <v>1033</v>
      </c>
      <c r="E153" s="18">
        <v>2000</v>
      </c>
      <c r="F153" s="18">
        <v>9</v>
      </c>
      <c r="G153" s="18" t="s">
        <v>402</v>
      </c>
      <c r="H153" s="18" t="s">
        <v>402</v>
      </c>
      <c r="I153" s="18" t="s">
        <v>1030</v>
      </c>
      <c r="J153" s="18" t="s">
        <v>637</v>
      </c>
      <c r="K153" s="18" t="s">
        <v>438</v>
      </c>
    </row>
    <row r="154" spans="1:11" ht="13">
      <c r="A154" s="18" t="s">
        <v>1027</v>
      </c>
      <c r="B154" s="18" t="s">
        <v>434</v>
      </c>
      <c r="C154" s="18" t="s">
        <v>1032</v>
      </c>
      <c r="D154" s="18" t="s">
        <v>1033</v>
      </c>
      <c r="E154" s="18">
        <v>2001</v>
      </c>
      <c r="F154" s="18">
        <v>9</v>
      </c>
      <c r="G154" s="18" t="s">
        <v>402</v>
      </c>
      <c r="H154" s="18" t="s">
        <v>402</v>
      </c>
      <c r="I154" s="18" t="s">
        <v>1030</v>
      </c>
      <c r="J154" s="18" t="s">
        <v>637</v>
      </c>
      <c r="K154" s="18" t="s">
        <v>438</v>
      </c>
    </row>
    <row r="155" spans="1:11" ht="13">
      <c r="A155" s="18" t="s">
        <v>1027</v>
      </c>
      <c r="B155" s="18" t="s">
        <v>434</v>
      </c>
      <c r="C155" s="18" t="s">
        <v>1032</v>
      </c>
      <c r="D155" s="18" t="s">
        <v>1033</v>
      </c>
      <c r="E155" s="18">
        <v>2003</v>
      </c>
      <c r="F155" s="18">
        <v>13</v>
      </c>
      <c r="G155" s="18" t="s">
        <v>402</v>
      </c>
      <c r="H155" s="18" t="s">
        <v>402</v>
      </c>
      <c r="I155" s="18" t="s">
        <v>1030</v>
      </c>
      <c r="J155" s="18" t="s">
        <v>637</v>
      </c>
      <c r="K155" s="18" t="s">
        <v>438</v>
      </c>
    </row>
    <row r="156" spans="1:11" ht="13">
      <c r="A156" s="18" t="s">
        <v>1027</v>
      </c>
      <c r="B156" s="18" t="s">
        <v>434</v>
      </c>
      <c r="C156" s="18" t="s">
        <v>1032</v>
      </c>
      <c r="D156" s="18" t="s">
        <v>1033</v>
      </c>
      <c r="E156" s="18">
        <v>2004</v>
      </c>
      <c r="F156" s="18">
        <v>13</v>
      </c>
      <c r="G156" s="18" t="s">
        <v>402</v>
      </c>
      <c r="H156" s="18" t="s">
        <v>402</v>
      </c>
      <c r="I156" s="18" t="s">
        <v>1030</v>
      </c>
      <c r="J156" s="18" t="s">
        <v>637</v>
      </c>
      <c r="K156" s="18" t="s">
        <v>438</v>
      </c>
    </row>
    <row r="157" spans="1:11" ht="13">
      <c r="A157" s="18" t="s">
        <v>1027</v>
      </c>
      <c r="B157" s="18" t="s">
        <v>434</v>
      </c>
      <c r="C157" s="18" t="s">
        <v>1032</v>
      </c>
      <c r="D157" s="18" t="s">
        <v>1033</v>
      </c>
      <c r="E157" s="18">
        <v>2005</v>
      </c>
      <c r="F157" s="18">
        <v>11</v>
      </c>
      <c r="G157" s="18" t="s">
        <v>402</v>
      </c>
      <c r="H157" s="18" t="s">
        <v>402</v>
      </c>
      <c r="I157" s="18" t="s">
        <v>1030</v>
      </c>
      <c r="J157" s="18" t="s">
        <v>637</v>
      </c>
      <c r="K157" s="18" t="s">
        <v>438</v>
      </c>
    </row>
    <row r="158" spans="1:11" ht="13">
      <c r="A158" s="18" t="s">
        <v>1027</v>
      </c>
      <c r="B158" s="18" t="s">
        <v>434</v>
      </c>
      <c r="C158" s="18" t="s">
        <v>1032</v>
      </c>
      <c r="D158" s="18" t="s">
        <v>1033</v>
      </c>
      <c r="E158" s="18">
        <v>2006</v>
      </c>
      <c r="F158" s="18">
        <v>6</v>
      </c>
      <c r="G158" s="18" t="s">
        <v>402</v>
      </c>
      <c r="H158" s="18" t="s">
        <v>402</v>
      </c>
      <c r="I158" s="18" t="s">
        <v>1030</v>
      </c>
      <c r="J158" s="18" t="s">
        <v>637</v>
      </c>
      <c r="K158" s="18" t="s">
        <v>438</v>
      </c>
    </row>
    <row r="159" spans="1:11" ht="13">
      <c r="A159" s="18" t="s">
        <v>1027</v>
      </c>
      <c r="B159" s="18" t="s">
        <v>434</v>
      </c>
      <c r="C159" s="18" t="s">
        <v>1032</v>
      </c>
      <c r="D159" s="18" t="s">
        <v>1033</v>
      </c>
      <c r="E159" s="18">
        <v>2007</v>
      </c>
      <c r="F159" s="18">
        <v>10</v>
      </c>
      <c r="G159" s="18" t="s">
        <v>402</v>
      </c>
      <c r="H159" s="18" t="s">
        <v>402</v>
      </c>
      <c r="I159" s="18" t="s">
        <v>1030</v>
      </c>
      <c r="J159" s="18" t="s">
        <v>637</v>
      </c>
      <c r="K159" s="18" t="s">
        <v>438</v>
      </c>
    </row>
    <row r="160" spans="1:11" ht="13">
      <c r="A160" s="18" t="s">
        <v>1027</v>
      </c>
      <c r="B160" s="18" t="s">
        <v>434</v>
      </c>
      <c r="C160" s="18" t="s">
        <v>1032</v>
      </c>
      <c r="D160" s="18" t="s">
        <v>1033</v>
      </c>
      <c r="E160" s="18">
        <v>2008</v>
      </c>
      <c r="F160" s="18">
        <v>11</v>
      </c>
      <c r="G160" s="18" t="s">
        <v>402</v>
      </c>
      <c r="H160" s="18" t="s">
        <v>402</v>
      </c>
      <c r="I160" s="18" t="s">
        <v>1030</v>
      </c>
      <c r="J160" s="18" t="s">
        <v>637</v>
      </c>
      <c r="K160" s="18" t="s">
        <v>438</v>
      </c>
    </row>
    <row r="161" spans="1:11" ht="13">
      <c r="A161" s="18" t="s">
        <v>1027</v>
      </c>
      <c r="B161" s="18" t="s">
        <v>434</v>
      </c>
      <c r="C161" s="18" t="s">
        <v>1032</v>
      </c>
      <c r="D161" s="18" t="s">
        <v>1033</v>
      </c>
      <c r="E161" s="18">
        <v>2009</v>
      </c>
      <c r="F161" s="18">
        <v>14</v>
      </c>
      <c r="G161" s="18" t="s">
        <v>402</v>
      </c>
      <c r="H161" s="18" t="s">
        <v>402</v>
      </c>
      <c r="I161" s="18" t="s">
        <v>1030</v>
      </c>
      <c r="J161" s="18" t="s">
        <v>637</v>
      </c>
      <c r="K161" s="18" t="s">
        <v>438</v>
      </c>
    </row>
    <row r="162" spans="1:11" ht="13">
      <c r="A162" s="18" t="s">
        <v>1027</v>
      </c>
      <c r="B162" s="18" t="s">
        <v>434</v>
      </c>
      <c r="C162" s="18" t="s">
        <v>1032</v>
      </c>
      <c r="D162" s="18" t="s">
        <v>1033</v>
      </c>
      <c r="E162" s="18">
        <v>2010</v>
      </c>
      <c r="F162" s="18">
        <v>12</v>
      </c>
      <c r="G162" s="18" t="s">
        <v>402</v>
      </c>
      <c r="H162" s="18" t="s">
        <v>402</v>
      </c>
      <c r="I162" s="18" t="s">
        <v>1030</v>
      </c>
      <c r="J162" s="18" t="s">
        <v>637</v>
      </c>
      <c r="K162" s="18" t="s">
        <v>438</v>
      </c>
    </row>
    <row r="163" spans="1:11" ht="13">
      <c r="A163" s="18" t="s">
        <v>1027</v>
      </c>
      <c r="B163" s="18" t="s">
        <v>434</v>
      </c>
      <c r="C163" s="18" t="s">
        <v>1032</v>
      </c>
      <c r="D163" s="18" t="s">
        <v>1033</v>
      </c>
      <c r="E163" s="18">
        <v>2011</v>
      </c>
      <c r="F163" s="18">
        <v>15</v>
      </c>
      <c r="G163" s="18" t="s">
        <v>402</v>
      </c>
      <c r="H163" s="18" t="s">
        <v>402</v>
      </c>
      <c r="I163" s="18" t="s">
        <v>1030</v>
      </c>
      <c r="J163" s="18" t="s">
        <v>637</v>
      </c>
      <c r="K163" s="18" t="s">
        <v>438</v>
      </c>
    </row>
    <row r="164" spans="1:11" ht="13">
      <c r="A164" s="18" t="s">
        <v>1027</v>
      </c>
      <c r="B164" s="18" t="s">
        <v>434</v>
      </c>
      <c r="C164" s="18" t="s">
        <v>1032</v>
      </c>
      <c r="D164" s="18" t="s">
        <v>1033</v>
      </c>
      <c r="E164" s="18">
        <v>2012</v>
      </c>
      <c r="F164" s="18">
        <v>15</v>
      </c>
      <c r="G164" s="18" t="s">
        <v>402</v>
      </c>
      <c r="H164" s="18" t="s">
        <v>402</v>
      </c>
      <c r="I164" s="18" t="s">
        <v>1030</v>
      </c>
      <c r="J164" s="18" t="s">
        <v>637</v>
      </c>
      <c r="K164" s="18" t="s">
        <v>438</v>
      </c>
    </row>
    <row r="165" spans="1:11" ht="13">
      <c r="A165" s="18" t="s">
        <v>1027</v>
      </c>
      <c r="B165" s="18" t="s">
        <v>434</v>
      </c>
      <c r="C165" s="18" t="s">
        <v>1032</v>
      </c>
      <c r="D165" s="18" t="s">
        <v>1033</v>
      </c>
      <c r="E165" s="18">
        <v>2013</v>
      </c>
      <c r="F165" s="18">
        <v>14</v>
      </c>
      <c r="G165" s="18" t="s">
        <v>402</v>
      </c>
      <c r="H165" s="18" t="s">
        <v>402</v>
      </c>
      <c r="I165" s="18" t="s">
        <v>1030</v>
      </c>
      <c r="J165" s="18" t="s">
        <v>637</v>
      </c>
      <c r="K165" s="18" t="s">
        <v>438</v>
      </c>
    </row>
    <row r="166" spans="1:11" ht="13">
      <c r="A166" s="18" t="s">
        <v>1027</v>
      </c>
      <c r="B166" s="18" t="s">
        <v>434</v>
      </c>
      <c r="C166" s="18" t="s">
        <v>1032</v>
      </c>
      <c r="D166" s="18" t="s">
        <v>1033</v>
      </c>
      <c r="E166" s="18">
        <v>2014</v>
      </c>
      <c r="F166" s="18">
        <v>15</v>
      </c>
      <c r="G166" s="18" t="s">
        <v>402</v>
      </c>
      <c r="H166" s="18" t="s">
        <v>402</v>
      </c>
      <c r="I166" s="18" t="s">
        <v>1030</v>
      </c>
      <c r="J166" s="18" t="s">
        <v>637</v>
      </c>
      <c r="K166" s="18" t="s">
        <v>438</v>
      </c>
    </row>
    <row r="167" spans="1:11" ht="13">
      <c r="A167" s="18" t="s">
        <v>1027</v>
      </c>
      <c r="B167" s="18" t="s">
        <v>434</v>
      </c>
      <c r="C167" s="18" t="s">
        <v>1032</v>
      </c>
      <c r="D167" s="18" t="s">
        <v>1033</v>
      </c>
      <c r="E167" s="18">
        <v>2015</v>
      </c>
      <c r="F167" s="18">
        <v>15</v>
      </c>
      <c r="G167" s="18" t="s">
        <v>402</v>
      </c>
      <c r="H167" s="18" t="s">
        <v>402</v>
      </c>
      <c r="I167" s="18" t="s">
        <v>1030</v>
      </c>
      <c r="J167" s="18" t="s">
        <v>637</v>
      </c>
      <c r="K167" s="18" t="s">
        <v>438</v>
      </c>
    </row>
    <row r="168" spans="1:11" ht="13">
      <c r="A168" s="18" t="s">
        <v>1027</v>
      </c>
      <c r="B168" s="18" t="s">
        <v>434</v>
      </c>
      <c r="C168" s="18" t="s">
        <v>1032</v>
      </c>
      <c r="D168" s="18" t="s">
        <v>1033</v>
      </c>
      <c r="E168" s="18">
        <v>2016</v>
      </c>
      <c r="F168" s="18">
        <v>15</v>
      </c>
      <c r="G168" s="18" t="s">
        <v>402</v>
      </c>
      <c r="H168" s="18" t="s">
        <v>402</v>
      </c>
      <c r="I168" s="18" t="s">
        <v>1030</v>
      </c>
      <c r="J168" s="18" t="s">
        <v>637</v>
      </c>
      <c r="K168" s="18" t="s">
        <v>438</v>
      </c>
    </row>
    <row r="169" spans="1:11" ht="13">
      <c r="A169" s="18" t="s">
        <v>1027</v>
      </c>
      <c r="B169" s="18" t="s">
        <v>434</v>
      </c>
      <c r="C169" s="18" t="s">
        <v>1032</v>
      </c>
      <c r="D169" s="18" t="s">
        <v>1033</v>
      </c>
      <c r="E169" s="18">
        <v>2017</v>
      </c>
      <c r="F169" s="18">
        <v>15</v>
      </c>
      <c r="G169" s="18" t="s">
        <v>402</v>
      </c>
      <c r="H169" s="18" t="s">
        <v>402</v>
      </c>
      <c r="I169" s="18" t="s">
        <v>1030</v>
      </c>
      <c r="J169" s="18" t="s">
        <v>637</v>
      </c>
      <c r="K169" s="18" t="s">
        <v>438</v>
      </c>
    </row>
    <row r="170" spans="1:11" ht="13">
      <c r="A170" s="18" t="s">
        <v>1027</v>
      </c>
      <c r="B170" s="18" t="s">
        <v>434</v>
      </c>
      <c r="C170" s="18" t="s">
        <v>1032</v>
      </c>
      <c r="D170" s="18" t="s">
        <v>1033</v>
      </c>
      <c r="E170" s="18">
        <v>2018</v>
      </c>
      <c r="F170" s="18">
        <v>15</v>
      </c>
      <c r="G170" s="18" t="s">
        <v>402</v>
      </c>
      <c r="H170" s="18" t="s">
        <v>402</v>
      </c>
      <c r="I170" s="18" t="s">
        <v>1030</v>
      </c>
      <c r="J170" s="18" t="s">
        <v>637</v>
      </c>
      <c r="K170" s="18" t="s">
        <v>438</v>
      </c>
    </row>
    <row r="171" spans="1:11" ht="13">
      <c r="A171" s="18" t="s">
        <v>1027</v>
      </c>
      <c r="B171" s="18" t="s">
        <v>434</v>
      </c>
      <c r="C171" s="18" t="s">
        <v>1032</v>
      </c>
      <c r="D171" s="18" t="s">
        <v>1033</v>
      </c>
      <c r="E171" s="18">
        <v>2019</v>
      </c>
      <c r="F171" s="18">
        <v>15</v>
      </c>
      <c r="G171" s="18" t="s">
        <v>402</v>
      </c>
      <c r="H171" s="18" t="s">
        <v>402</v>
      </c>
      <c r="I171" s="18" t="s">
        <v>1030</v>
      </c>
      <c r="J171" s="18" t="s">
        <v>637</v>
      </c>
      <c r="K171" s="18" t="s">
        <v>438</v>
      </c>
    </row>
    <row r="172" spans="1:11" ht="13">
      <c r="A172" s="18" t="s">
        <v>1027</v>
      </c>
      <c r="B172" s="18" t="s">
        <v>434</v>
      </c>
      <c r="C172" s="18" t="s">
        <v>1032</v>
      </c>
      <c r="D172" s="18" t="s">
        <v>1033</v>
      </c>
      <c r="E172" s="18">
        <v>2020</v>
      </c>
      <c r="F172" s="18">
        <v>15</v>
      </c>
      <c r="G172" s="18" t="s">
        <v>402</v>
      </c>
      <c r="H172" s="18" t="s">
        <v>402</v>
      </c>
      <c r="I172" s="18" t="s">
        <v>1030</v>
      </c>
      <c r="J172" s="18" t="s">
        <v>637</v>
      </c>
      <c r="K172" s="18" t="s">
        <v>438</v>
      </c>
    </row>
    <row r="173" spans="1:11" ht="13">
      <c r="A173" s="18" t="s">
        <v>1027</v>
      </c>
      <c r="B173" s="18" t="s">
        <v>434</v>
      </c>
      <c r="C173" s="18" t="s">
        <v>1032</v>
      </c>
      <c r="D173" s="18" t="s">
        <v>1033</v>
      </c>
      <c r="E173" s="18">
        <v>2021</v>
      </c>
      <c r="F173" s="18">
        <v>16</v>
      </c>
      <c r="G173" s="18" t="s">
        <v>402</v>
      </c>
      <c r="H173" s="18" t="s">
        <v>402</v>
      </c>
      <c r="I173" s="18" t="s">
        <v>1030</v>
      </c>
      <c r="J173" s="18" t="s">
        <v>637</v>
      </c>
      <c r="K173" s="18" t="s">
        <v>438</v>
      </c>
    </row>
    <row r="174" spans="1:11" ht="13">
      <c r="A174" s="18" t="s">
        <v>1027</v>
      </c>
      <c r="B174" s="18" t="s">
        <v>434</v>
      </c>
      <c r="C174" s="18" t="s">
        <v>1035</v>
      </c>
      <c r="D174" s="18" t="s">
        <v>1033</v>
      </c>
      <c r="E174" s="18">
        <v>1960</v>
      </c>
      <c r="F174" s="18">
        <v>2</v>
      </c>
      <c r="G174" s="18" t="s">
        <v>402</v>
      </c>
      <c r="H174" s="18" t="s">
        <v>402</v>
      </c>
      <c r="I174" s="18" t="s">
        <v>1030</v>
      </c>
      <c r="J174" s="18" t="s">
        <v>637</v>
      </c>
      <c r="K174" s="18" t="s">
        <v>438</v>
      </c>
    </row>
    <row r="175" spans="1:11" ht="13">
      <c r="A175" s="18" t="s">
        <v>1027</v>
      </c>
      <c r="B175" s="18" t="s">
        <v>434</v>
      </c>
      <c r="C175" s="18" t="s">
        <v>1035</v>
      </c>
      <c r="D175" s="18" t="s">
        <v>1033</v>
      </c>
      <c r="E175" s="18">
        <v>1961</v>
      </c>
      <c r="F175" s="18">
        <v>2</v>
      </c>
      <c r="G175" s="18" t="s">
        <v>402</v>
      </c>
      <c r="H175" s="18" t="s">
        <v>402</v>
      </c>
      <c r="I175" s="18" t="s">
        <v>1030</v>
      </c>
      <c r="J175" s="18" t="s">
        <v>637</v>
      </c>
      <c r="K175" s="18" t="s">
        <v>438</v>
      </c>
    </row>
    <row r="176" spans="1:11" ht="13">
      <c r="A176" s="18" t="s">
        <v>1027</v>
      </c>
      <c r="B176" s="18" t="s">
        <v>434</v>
      </c>
      <c r="C176" s="18" t="s">
        <v>1035</v>
      </c>
      <c r="D176" s="18" t="s">
        <v>1033</v>
      </c>
      <c r="E176" s="18">
        <v>1962</v>
      </c>
      <c r="F176" s="18">
        <v>2</v>
      </c>
      <c r="G176" s="18" t="s">
        <v>402</v>
      </c>
      <c r="H176" s="18" t="s">
        <v>402</v>
      </c>
      <c r="I176" s="18" t="s">
        <v>1030</v>
      </c>
      <c r="J176" s="18" t="s">
        <v>637</v>
      </c>
      <c r="K176" s="18" t="s">
        <v>438</v>
      </c>
    </row>
    <row r="177" spans="1:11" ht="13">
      <c r="A177" s="18" t="s">
        <v>1027</v>
      </c>
      <c r="B177" s="18" t="s">
        <v>434</v>
      </c>
      <c r="C177" s="18" t="s">
        <v>1035</v>
      </c>
      <c r="D177" s="18" t="s">
        <v>1033</v>
      </c>
      <c r="E177" s="18">
        <v>1963</v>
      </c>
      <c r="F177" s="18">
        <v>2</v>
      </c>
      <c r="G177" s="18" t="s">
        <v>402</v>
      </c>
      <c r="H177" s="18" t="s">
        <v>402</v>
      </c>
      <c r="I177" s="18" t="s">
        <v>1030</v>
      </c>
      <c r="J177" s="18" t="s">
        <v>637</v>
      </c>
      <c r="K177" s="18" t="s">
        <v>438</v>
      </c>
    </row>
    <row r="178" spans="1:11" ht="13">
      <c r="A178" s="18" t="s">
        <v>1027</v>
      </c>
      <c r="B178" s="18" t="s">
        <v>434</v>
      </c>
      <c r="C178" s="18" t="s">
        <v>1035</v>
      </c>
      <c r="D178" s="18" t="s">
        <v>1033</v>
      </c>
      <c r="E178" s="18">
        <v>1964</v>
      </c>
      <c r="F178" s="18">
        <v>2</v>
      </c>
      <c r="G178" s="18" t="s">
        <v>402</v>
      </c>
      <c r="H178" s="18" t="s">
        <v>402</v>
      </c>
      <c r="I178" s="18" t="s">
        <v>1030</v>
      </c>
      <c r="J178" s="18" t="s">
        <v>637</v>
      </c>
      <c r="K178" s="18" t="s">
        <v>438</v>
      </c>
    </row>
    <row r="179" spans="1:11" ht="13">
      <c r="A179" s="18" t="s">
        <v>1027</v>
      </c>
      <c r="B179" s="18" t="s">
        <v>434</v>
      </c>
      <c r="C179" s="18" t="s">
        <v>1035</v>
      </c>
      <c r="D179" s="18" t="s">
        <v>1033</v>
      </c>
      <c r="E179" s="18">
        <v>1965</v>
      </c>
      <c r="F179" s="18">
        <v>1</v>
      </c>
      <c r="G179" s="18" t="s">
        <v>402</v>
      </c>
      <c r="H179" s="18" t="s">
        <v>402</v>
      </c>
      <c r="I179" s="18" t="s">
        <v>1030</v>
      </c>
      <c r="J179" s="18" t="s">
        <v>637</v>
      </c>
      <c r="K179" s="18" t="s">
        <v>438</v>
      </c>
    </row>
    <row r="180" spans="1:11" ht="13">
      <c r="A180" s="18" t="s">
        <v>1027</v>
      </c>
      <c r="B180" s="18" t="s">
        <v>434</v>
      </c>
      <c r="C180" s="18" t="s">
        <v>1035</v>
      </c>
      <c r="D180" s="18" t="s">
        <v>1033</v>
      </c>
      <c r="E180" s="18">
        <v>1966</v>
      </c>
      <c r="F180" s="18">
        <v>2</v>
      </c>
      <c r="G180" s="18" t="s">
        <v>402</v>
      </c>
      <c r="H180" s="18" t="s">
        <v>402</v>
      </c>
      <c r="I180" s="18" t="s">
        <v>1030</v>
      </c>
      <c r="J180" s="18" t="s">
        <v>637</v>
      </c>
      <c r="K180" s="18" t="s">
        <v>438</v>
      </c>
    </row>
    <row r="181" spans="1:11" ht="13">
      <c r="A181" s="18" t="s">
        <v>1027</v>
      </c>
      <c r="B181" s="18" t="s">
        <v>434</v>
      </c>
      <c r="C181" s="18" t="s">
        <v>1035</v>
      </c>
      <c r="D181" s="18" t="s">
        <v>1033</v>
      </c>
      <c r="E181" s="18">
        <v>1967</v>
      </c>
      <c r="F181" s="18">
        <v>2</v>
      </c>
      <c r="G181" s="18" t="s">
        <v>402</v>
      </c>
      <c r="H181" s="18" t="s">
        <v>402</v>
      </c>
      <c r="I181" s="18" t="s">
        <v>1030</v>
      </c>
      <c r="J181" s="18" t="s">
        <v>637</v>
      </c>
      <c r="K181" s="18" t="s">
        <v>438</v>
      </c>
    </row>
    <row r="182" spans="1:11" ht="13">
      <c r="A182" s="18" t="s">
        <v>1027</v>
      </c>
      <c r="B182" s="18" t="s">
        <v>434</v>
      </c>
      <c r="C182" s="18" t="s">
        <v>1035</v>
      </c>
      <c r="D182" s="18" t="s">
        <v>1033</v>
      </c>
      <c r="E182" s="18">
        <v>1968</v>
      </c>
      <c r="F182" s="18">
        <v>2</v>
      </c>
      <c r="G182" s="18" t="s">
        <v>402</v>
      </c>
      <c r="H182" s="18" t="s">
        <v>402</v>
      </c>
      <c r="I182" s="18" t="s">
        <v>1030</v>
      </c>
      <c r="J182" s="18" t="s">
        <v>637</v>
      </c>
      <c r="K182" s="18" t="s">
        <v>438</v>
      </c>
    </row>
    <row r="183" spans="1:11" ht="13">
      <c r="A183" s="18" t="s">
        <v>1027</v>
      </c>
      <c r="B183" s="18" t="s">
        <v>434</v>
      </c>
      <c r="C183" s="18" t="s">
        <v>1035</v>
      </c>
      <c r="D183" s="18" t="s">
        <v>1033</v>
      </c>
      <c r="E183" s="18">
        <v>1969</v>
      </c>
      <c r="F183" s="18">
        <v>3</v>
      </c>
      <c r="G183" s="18" t="s">
        <v>402</v>
      </c>
      <c r="H183" s="18" t="s">
        <v>402</v>
      </c>
      <c r="I183" s="18" t="s">
        <v>1030</v>
      </c>
      <c r="J183" s="18" t="s">
        <v>637</v>
      </c>
      <c r="K183" s="18" t="s">
        <v>438</v>
      </c>
    </row>
    <row r="184" spans="1:11" ht="13">
      <c r="A184" s="18" t="s">
        <v>1027</v>
      </c>
      <c r="B184" s="18" t="s">
        <v>434</v>
      </c>
      <c r="C184" s="18" t="s">
        <v>1035</v>
      </c>
      <c r="D184" s="18" t="s">
        <v>1033</v>
      </c>
      <c r="E184" s="18">
        <v>1970</v>
      </c>
      <c r="F184" s="18">
        <v>4</v>
      </c>
      <c r="G184" s="18" t="s">
        <v>402</v>
      </c>
      <c r="H184" s="18" t="s">
        <v>402</v>
      </c>
      <c r="I184" s="18" t="s">
        <v>1030</v>
      </c>
      <c r="J184" s="18" t="s">
        <v>637</v>
      </c>
      <c r="K184" s="18" t="s">
        <v>438</v>
      </c>
    </row>
    <row r="185" spans="1:11" ht="13">
      <c r="A185" s="18" t="s">
        <v>1027</v>
      </c>
      <c r="B185" s="18" t="s">
        <v>434</v>
      </c>
      <c r="C185" s="18" t="s">
        <v>1035</v>
      </c>
      <c r="D185" s="18" t="s">
        <v>1033</v>
      </c>
      <c r="E185" s="18">
        <v>1971</v>
      </c>
      <c r="F185" s="18">
        <v>4</v>
      </c>
      <c r="G185" s="18" t="s">
        <v>402</v>
      </c>
      <c r="H185" s="18" t="s">
        <v>402</v>
      </c>
      <c r="I185" s="18" t="s">
        <v>1030</v>
      </c>
      <c r="J185" s="18" t="s">
        <v>637</v>
      </c>
      <c r="K185" s="18" t="s">
        <v>438</v>
      </c>
    </row>
    <row r="186" spans="1:11" ht="13">
      <c r="A186" s="18" t="s">
        <v>1027</v>
      </c>
      <c r="B186" s="18" t="s">
        <v>434</v>
      </c>
      <c r="C186" s="18" t="s">
        <v>1035</v>
      </c>
      <c r="D186" s="18" t="s">
        <v>1033</v>
      </c>
      <c r="E186" s="18">
        <v>1972</v>
      </c>
      <c r="F186" s="18">
        <v>4</v>
      </c>
      <c r="G186" s="18" t="s">
        <v>402</v>
      </c>
      <c r="H186" s="18" t="s">
        <v>402</v>
      </c>
      <c r="I186" s="18" t="s">
        <v>1030</v>
      </c>
      <c r="J186" s="18" t="s">
        <v>637</v>
      </c>
      <c r="K186" s="18" t="s">
        <v>438</v>
      </c>
    </row>
    <row r="187" spans="1:11" ht="13">
      <c r="A187" s="18" t="s">
        <v>1027</v>
      </c>
      <c r="B187" s="18" t="s">
        <v>434</v>
      </c>
      <c r="C187" s="18" t="s">
        <v>1035</v>
      </c>
      <c r="D187" s="18" t="s">
        <v>1033</v>
      </c>
      <c r="E187" s="18">
        <v>1973</v>
      </c>
      <c r="F187" s="18">
        <v>5</v>
      </c>
      <c r="G187" s="18" t="s">
        <v>402</v>
      </c>
      <c r="H187" s="18" t="s">
        <v>402</v>
      </c>
      <c r="I187" s="18" t="s">
        <v>1030</v>
      </c>
      <c r="J187" s="18" t="s">
        <v>637</v>
      </c>
      <c r="K187" s="18" t="s">
        <v>438</v>
      </c>
    </row>
    <row r="188" spans="1:11" ht="13">
      <c r="A188" s="18" t="s">
        <v>1027</v>
      </c>
      <c r="B188" s="18" t="s">
        <v>434</v>
      </c>
      <c r="C188" s="18" t="s">
        <v>1035</v>
      </c>
      <c r="D188" s="18" t="s">
        <v>1033</v>
      </c>
      <c r="E188" s="18">
        <v>1974</v>
      </c>
      <c r="F188" s="18">
        <v>5</v>
      </c>
      <c r="G188" s="18" t="s">
        <v>402</v>
      </c>
      <c r="H188" s="18" t="s">
        <v>402</v>
      </c>
      <c r="I188" s="18" t="s">
        <v>1030</v>
      </c>
      <c r="J188" s="18" t="s">
        <v>637</v>
      </c>
      <c r="K188" s="18" t="s">
        <v>438</v>
      </c>
    </row>
    <row r="189" spans="1:11" ht="13">
      <c r="A189" s="18" t="s">
        <v>1027</v>
      </c>
      <c r="B189" s="18" t="s">
        <v>434</v>
      </c>
      <c r="C189" s="18" t="s">
        <v>1035</v>
      </c>
      <c r="D189" s="18" t="s">
        <v>1033</v>
      </c>
      <c r="E189" s="18">
        <v>1975</v>
      </c>
      <c r="F189" s="18">
        <v>4</v>
      </c>
      <c r="G189" s="18" t="s">
        <v>402</v>
      </c>
      <c r="H189" s="18" t="s">
        <v>402</v>
      </c>
      <c r="I189" s="18" t="s">
        <v>1030</v>
      </c>
      <c r="J189" s="18" t="s">
        <v>637</v>
      </c>
      <c r="K189" s="18" t="s">
        <v>438</v>
      </c>
    </row>
    <row r="190" spans="1:11" ht="13">
      <c r="A190" s="18" t="s">
        <v>1027</v>
      </c>
      <c r="B190" s="18" t="s">
        <v>434</v>
      </c>
      <c r="C190" s="18" t="s">
        <v>1035</v>
      </c>
      <c r="D190" s="18" t="s">
        <v>1033</v>
      </c>
      <c r="E190" s="18">
        <v>1976</v>
      </c>
      <c r="F190" s="18">
        <v>5</v>
      </c>
      <c r="G190" s="18" t="s">
        <v>402</v>
      </c>
      <c r="H190" s="18" t="s">
        <v>402</v>
      </c>
      <c r="I190" s="18" t="s">
        <v>1030</v>
      </c>
      <c r="J190" s="18" t="s">
        <v>637</v>
      </c>
      <c r="K190" s="18" t="s">
        <v>438</v>
      </c>
    </row>
    <row r="191" spans="1:11" ht="13">
      <c r="A191" s="18" t="s">
        <v>1027</v>
      </c>
      <c r="B191" s="18" t="s">
        <v>434</v>
      </c>
      <c r="C191" s="18" t="s">
        <v>1035</v>
      </c>
      <c r="D191" s="18" t="s">
        <v>1033</v>
      </c>
      <c r="E191" s="18">
        <v>1977</v>
      </c>
      <c r="F191" s="18">
        <v>7</v>
      </c>
      <c r="G191" s="18" t="s">
        <v>402</v>
      </c>
      <c r="H191" s="18" t="s">
        <v>402</v>
      </c>
      <c r="I191" s="18" t="s">
        <v>1030</v>
      </c>
      <c r="J191" s="18" t="s">
        <v>637</v>
      </c>
      <c r="K191" s="18" t="s">
        <v>438</v>
      </c>
    </row>
    <row r="192" spans="1:11" ht="13">
      <c r="A192" s="18" t="s">
        <v>1027</v>
      </c>
      <c r="B192" s="18" t="s">
        <v>434</v>
      </c>
      <c r="C192" s="18" t="s">
        <v>1035</v>
      </c>
      <c r="D192" s="18" t="s">
        <v>1033</v>
      </c>
      <c r="E192" s="18">
        <v>1978</v>
      </c>
      <c r="F192" s="18">
        <v>5</v>
      </c>
      <c r="G192" s="18" t="s">
        <v>402</v>
      </c>
      <c r="H192" s="18" t="s">
        <v>402</v>
      </c>
      <c r="I192" s="18" t="s">
        <v>1030</v>
      </c>
      <c r="J192" s="18" t="s">
        <v>637</v>
      </c>
      <c r="K192" s="18" t="s">
        <v>438</v>
      </c>
    </row>
    <row r="193" spans="1:11" ht="13">
      <c r="A193" s="18" t="s">
        <v>1027</v>
      </c>
      <c r="B193" s="18" t="s">
        <v>434</v>
      </c>
      <c r="C193" s="18" t="s">
        <v>1035</v>
      </c>
      <c r="D193" s="18" t="s">
        <v>1033</v>
      </c>
      <c r="E193" s="18">
        <v>1979</v>
      </c>
      <c r="F193" s="18">
        <v>9</v>
      </c>
      <c r="G193" s="18" t="s">
        <v>402</v>
      </c>
      <c r="H193" s="18" t="s">
        <v>402</v>
      </c>
      <c r="I193" s="18" t="s">
        <v>1030</v>
      </c>
      <c r="J193" s="18" t="s">
        <v>637</v>
      </c>
      <c r="K193" s="18" t="s">
        <v>438</v>
      </c>
    </row>
    <row r="194" spans="1:11" ht="13">
      <c r="A194" s="18" t="s">
        <v>1027</v>
      </c>
      <c r="B194" s="18" t="s">
        <v>434</v>
      </c>
      <c r="C194" s="18" t="s">
        <v>1035</v>
      </c>
      <c r="D194" s="18" t="s">
        <v>1033</v>
      </c>
      <c r="E194" s="18">
        <v>1980</v>
      </c>
      <c r="F194" s="18">
        <v>8</v>
      </c>
      <c r="G194" s="18" t="s">
        <v>402</v>
      </c>
      <c r="H194" s="18" t="s">
        <v>402</v>
      </c>
      <c r="I194" s="18" t="s">
        <v>1030</v>
      </c>
      <c r="J194" s="18" t="s">
        <v>637</v>
      </c>
      <c r="K194" s="18" t="s">
        <v>438</v>
      </c>
    </row>
    <row r="195" spans="1:11" ht="13">
      <c r="A195" s="18" t="s">
        <v>1027</v>
      </c>
      <c r="B195" s="18" t="s">
        <v>434</v>
      </c>
      <c r="C195" s="18" t="s">
        <v>1035</v>
      </c>
      <c r="D195" s="18" t="s">
        <v>1033</v>
      </c>
      <c r="E195" s="18">
        <v>1981</v>
      </c>
      <c r="F195" s="18">
        <v>9</v>
      </c>
      <c r="G195" s="18" t="s">
        <v>402</v>
      </c>
      <c r="H195" s="18" t="s">
        <v>402</v>
      </c>
      <c r="I195" s="18" t="s">
        <v>1030</v>
      </c>
      <c r="J195" s="18" t="s">
        <v>637</v>
      </c>
      <c r="K195" s="18" t="s">
        <v>438</v>
      </c>
    </row>
    <row r="196" spans="1:11" ht="13">
      <c r="A196" s="18" t="s">
        <v>1027</v>
      </c>
      <c r="B196" s="18" t="s">
        <v>434</v>
      </c>
      <c r="C196" s="18" t="s">
        <v>1035</v>
      </c>
      <c r="D196" s="18" t="s">
        <v>1033</v>
      </c>
      <c r="E196" s="18">
        <v>1982</v>
      </c>
      <c r="F196" s="18">
        <v>10</v>
      </c>
      <c r="G196" s="18" t="s">
        <v>402</v>
      </c>
      <c r="H196" s="18" t="s">
        <v>402</v>
      </c>
      <c r="I196" s="18" t="s">
        <v>1030</v>
      </c>
      <c r="J196" s="18" t="s">
        <v>637</v>
      </c>
      <c r="K196" s="18" t="s">
        <v>438</v>
      </c>
    </row>
    <row r="197" spans="1:11" ht="13">
      <c r="A197" s="18" t="s">
        <v>1027</v>
      </c>
      <c r="B197" s="18" t="s">
        <v>434</v>
      </c>
      <c r="C197" s="18" t="s">
        <v>1035</v>
      </c>
      <c r="D197" s="18" t="s">
        <v>1033</v>
      </c>
      <c r="E197" s="18">
        <v>1983</v>
      </c>
      <c r="F197" s="18">
        <v>8</v>
      </c>
      <c r="G197" s="18" t="s">
        <v>402</v>
      </c>
      <c r="H197" s="18" t="s">
        <v>402</v>
      </c>
      <c r="I197" s="18" t="s">
        <v>1030</v>
      </c>
      <c r="J197" s="18" t="s">
        <v>637</v>
      </c>
      <c r="K197" s="18" t="s">
        <v>438</v>
      </c>
    </row>
    <row r="198" spans="1:11" ht="13">
      <c r="A198" s="18" t="s">
        <v>1027</v>
      </c>
      <c r="B198" s="18" t="s">
        <v>434</v>
      </c>
      <c r="C198" s="18" t="s">
        <v>1035</v>
      </c>
      <c r="D198" s="18" t="s">
        <v>1033</v>
      </c>
      <c r="E198" s="18">
        <v>1984</v>
      </c>
      <c r="F198" s="18">
        <v>12</v>
      </c>
      <c r="G198" s="18" t="s">
        <v>402</v>
      </c>
      <c r="H198" s="18" t="s">
        <v>402</v>
      </c>
      <c r="I198" s="18" t="s">
        <v>1030</v>
      </c>
      <c r="J198" s="18" t="s">
        <v>637</v>
      </c>
      <c r="K198" s="18" t="s">
        <v>438</v>
      </c>
    </row>
    <row r="199" spans="1:11" ht="13">
      <c r="A199" s="18" t="s">
        <v>1027</v>
      </c>
      <c r="B199" s="18" t="s">
        <v>434</v>
      </c>
      <c r="C199" s="18" t="s">
        <v>1035</v>
      </c>
      <c r="D199" s="18" t="s">
        <v>1033</v>
      </c>
      <c r="E199" s="18">
        <v>1985</v>
      </c>
      <c r="F199" s="18">
        <v>13</v>
      </c>
      <c r="G199" s="18" t="s">
        <v>402</v>
      </c>
      <c r="H199" s="18" t="s">
        <v>402</v>
      </c>
      <c r="I199" s="18" t="s">
        <v>1030</v>
      </c>
      <c r="J199" s="18" t="s">
        <v>637</v>
      </c>
      <c r="K199" s="18" t="s">
        <v>438</v>
      </c>
    </row>
    <row r="200" spans="1:11" ht="13">
      <c r="A200" s="18" t="s">
        <v>1027</v>
      </c>
      <c r="B200" s="18" t="s">
        <v>434</v>
      </c>
      <c r="C200" s="18" t="s">
        <v>1035</v>
      </c>
      <c r="D200" s="18" t="s">
        <v>1033</v>
      </c>
      <c r="E200" s="18">
        <v>1986</v>
      </c>
      <c r="F200" s="18">
        <v>14</v>
      </c>
      <c r="G200" s="18" t="s">
        <v>402</v>
      </c>
      <c r="H200" s="18" t="s">
        <v>402</v>
      </c>
      <c r="I200" s="18" t="s">
        <v>1030</v>
      </c>
      <c r="J200" s="18" t="s">
        <v>637</v>
      </c>
      <c r="K200" s="18" t="s">
        <v>438</v>
      </c>
    </row>
    <row r="201" spans="1:11" ht="13">
      <c r="A201" s="18" t="s">
        <v>1027</v>
      </c>
      <c r="B201" s="18" t="s">
        <v>434</v>
      </c>
      <c r="C201" s="18" t="s">
        <v>1035</v>
      </c>
      <c r="D201" s="18" t="s">
        <v>1033</v>
      </c>
      <c r="E201" s="18">
        <v>1987</v>
      </c>
      <c r="F201" s="18">
        <v>15</v>
      </c>
      <c r="G201" s="18" t="s">
        <v>402</v>
      </c>
      <c r="H201" s="18" t="s">
        <v>402</v>
      </c>
      <c r="I201" s="18" t="s">
        <v>1030</v>
      </c>
      <c r="J201" s="18" t="s">
        <v>637</v>
      </c>
      <c r="K201" s="18" t="s">
        <v>438</v>
      </c>
    </row>
    <row r="202" spans="1:11" ht="13">
      <c r="A202" s="18" t="s">
        <v>1027</v>
      </c>
      <c r="B202" s="18" t="s">
        <v>434</v>
      </c>
      <c r="C202" s="18" t="s">
        <v>1035</v>
      </c>
      <c r="D202" s="18" t="s">
        <v>1033</v>
      </c>
      <c r="E202" s="18">
        <v>1988</v>
      </c>
      <c r="F202" s="18">
        <v>16</v>
      </c>
      <c r="G202" s="18" t="s">
        <v>402</v>
      </c>
      <c r="H202" s="18" t="s">
        <v>402</v>
      </c>
      <c r="I202" s="18" t="s">
        <v>1030</v>
      </c>
      <c r="J202" s="18" t="s">
        <v>637</v>
      </c>
      <c r="K202" s="18" t="s">
        <v>438</v>
      </c>
    </row>
    <row r="203" spans="1:11" ht="13">
      <c r="A203" s="18" t="s">
        <v>1027</v>
      </c>
      <c r="B203" s="18" t="s">
        <v>434</v>
      </c>
      <c r="C203" s="18" t="s">
        <v>1035</v>
      </c>
      <c r="D203" s="18" t="s">
        <v>1033</v>
      </c>
      <c r="E203" s="18">
        <v>1989</v>
      </c>
      <c r="F203" s="18">
        <v>18</v>
      </c>
      <c r="G203" s="18" t="s">
        <v>402</v>
      </c>
      <c r="H203" s="18" t="s">
        <v>402</v>
      </c>
      <c r="I203" s="18" t="s">
        <v>1030</v>
      </c>
      <c r="J203" s="18" t="s">
        <v>637</v>
      </c>
      <c r="K203" s="18" t="s">
        <v>438</v>
      </c>
    </row>
    <row r="204" spans="1:11" ht="13">
      <c r="A204" s="18" t="s">
        <v>1027</v>
      </c>
      <c r="B204" s="18" t="s">
        <v>434</v>
      </c>
      <c r="C204" s="18" t="s">
        <v>1035</v>
      </c>
      <c r="D204" s="18" t="s">
        <v>1033</v>
      </c>
      <c r="E204" s="18">
        <v>1990</v>
      </c>
      <c r="F204" s="18">
        <v>20</v>
      </c>
      <c r="G204" s="18" t="s">
        <v>402</v>
      </c>
      <c r="H204" s="18" t="s">
        <v>402</v>
      </c>
      <c r="I204" s="18" t="s">
        <v>1030</v>
      </c>
      <c r="J204" s="18" t="s">
        <v>637</v>
      </c>
      <c r="K204" s="18" t="s">
        <v>438</v>
      </c>
    </row>
    <row r="205" spans="1:11" ht="13">
      <c r="A205" s="18" t="s">
        <v>1027</v>
      </c>
      <c r="B205" s="18" t="s">
        <v>434</v>
      </c>
      <c r="C205" s="18" t="s">
        <v>1035</v>
      </c>
      <c r="D205" s="18" t="s">
        <v>1033</v>
      </c>
      <c r="E205" s="18">
        <v>1991</v>
      </c>
      <c r="F205" s="18">
        <v>21</v>
      </c>
      <c r="G205" s="18" t="s">
        <v>402</v>
      </c>
      <c r="H205" s="18" t="s">
        <v>402</v>
      </c>
      <c r="I205" s="18" t="s">
        <v>1030</v>
      </c>
      <c r="J205" s="18" t="s">
        <v>637</v>
      </c>
      <c r="K205" s="18" t="s">
        <v>438</v>
      </c>
    </row>
    <row r="206" spans="1:11" ht="13">
      <c r="A206" s="18" t="s">
        <v>1027</v>
      </c>
      <c r="B206" s="18" t="s">
        <v>434</v>
      </c>
      <c r="C206" s="18" t="s">
        <v>1035</v>
      </c>
      <c r="D206" s="18" t="s">
        <v>1033</v>
      </c>
      <c r="E206" s="18">
        <v>1992</v>
      </c>
      <c r="F206" s="18">
        <v>23</v>
      </c>
      <c r="G206" s="18" t="s">
        <v>402</v>
      </c>
      <c r="H206" s="18" t="s">
        <v>402</v>
      </c>
      <c r="I206" s="18" t="s">
        <v>1030</v>
      </c>
      <c r="J206" s="18" t="s">
        <v>637</v>
      </c>
      <c r="K206" s="18" t="s">
        <v>438</v>
      </c>
    </row>
    <row r="207" spans="1:11" ht="13">
      <c r="A207" s="18" t="s">
        <v>1027</v>
      </c>
      <c r="B207" s="18" t="s">
        <v>434</v>
      </c>
      <c r="C207" s="18" t="s">
        <v>1035</v>
      </c>
      <c r="D207" s="18" t="s">
        <v>1033</v>
      </c>
      <c r="E207" s="18">
        <v>1993</v>
      </c>
      <c r="F207" s="18">
        <v>24</v>
      </c>
      <c r="G207" s="18" t="s">
        <v>402</v>
      </c>
      <c r="H207" s="18" t="s">
        <v>402</v>
      </c>
      <c r="I207" s="18" t="s">
        <v>1030</v>
      </c>
      <c r="J207" s="18" t="s">
        <v>637</v>
      </c>
      <c r="K207" s="18" t="s">
        <v>438</v>
      </c>
    </row>
    <row r="208" spans="1:11" ht="13">
      <c r="A208" s="18" t="s">
        <v>1027</v>
      </c>
      <c r="B208" s="18" t="s">
        <v>434</v>
      </c>
      <c r="C208" s="18" t="s">
        <v>1035</v>
      </c>
      <c r="D208" s="18" t="s">
        <v>1033</v>
      </c>
      <c r="E208" s="18">
        <v>1995</v>
      </c>
      <c r="F208" s="18">
        <v>23</v>
      </c>
      <c r="G208" s="18" t="s">
        <v>402</v>
      </c>
      <c r="H208" s="18" t="s">
        <v>402</v>
      </c>
      <c r="I208" s="18" t="s">
        <v>1030</v>
      </c>
      <c r="J208" s="18" t="s">
        <v>637</v>
      </c>
      <c r="K208" s="18" t="s">
        <v>438</v>
      </c>
    </row>
    <row r="209" spans="1:11" ht="13">
      <c r="A209" s="18" t="s">
        <v>1027</v>
      </c>
      <c r="B209" s="18" t="s">
        <v>434</v>
      </c>
      <c r="C209" s="18" t="s">
        <v>1035</v>
      </c>
      <c r="D209" s="18" t="s">
        <v>1033</v>
      </c>
      <c r="E209" s="18">
        <v>1994</v>
      </c>
      <c r="F209" s="18">
        <v>29</v>
      </c>
      <c r="G209" s="18" t="s">
        <v>402</v>
      </c>
      <c r="H209" s="18" t="s">
        <v>402</v>
      </c>
      <c r="I209" s="18" t="s">
        <v>1030</v>
      </c>
      <c r="J209" s="18" t="s">
        <v>637</v>
      </c>
      <c r="K209" s="18" t="s">
        <v>438</v>
      </c>
    </row>
    <row r="210" spans="1:11" ht="13">
      <c r="A210" s="18" t="s">
        <v>1027</v>
      </c>
      <c r="B210" s="18" t="s">
        <v>434</v>
      </c>
      <c r="C210" s="18" t="s">
        <v>1035</v>
      </c>
      <c r="D210" s="18" t="s">
        <v>1033</v>
      </c>
      <c r="E210" s="18">
        <v>1996</v>
      </c>
      <c r="F210" s="18">
        <v>34</v>
      </c>
      <c r="G210" s="18" t="s">
        <v>402</v>
      </c>
      <c r="H210" s="18" t="s">
        <v>402</v>
      </c>
      <c r="I210" s="18" t="s">
        <v>1030</v>
      </c>
      <c r="J210" s="18" t="s">
        <v>637</v>
      </c>
      <c r="K210" s="18" t="s">
        <v>438</v>
      </c>
    </row>
    <row r="211" spans="1:11" ht="13">
      <c r="A211" s="18" t="s">
        <v>1027</v>
      </c>
      <c r="B211" s="18" t="s">
        <v>434</v>
      </c>
      <c r="C211" s="18" t="s">
        <v>1035</v>
      </c>
      <c r="D211" s="18" t="s">
        <v>1033</v>
      </c>
      <c r="E211" s="18">
        <v>1997</v>
      </c>
      <c r="F211" s="18">
        <v>34</v>
      </c>
      <c r="G211" s="18" t="s">
        <v>402</v>
      </c>
      <c r="H211" s="18" t="s">
        <v>402</v>
      </c>
      <c r="I211" s="18" t="s">
        <v>1030</v>
      </c>
      <c r="J211" s="18" t="s">
        <v>637</v>
      </c>
      <c r="K211" s="18" t="s">
        <v>438</v>
      </c>
    </row>
    <row r="212" spans="1:11" ht="13">
      <c r="A212" s="18" t="s">
        <v>1027</v>
      </c>
      <c r="B212" s="18" t="s">
        <v>434</v>
      </c>
      <c r="C212" s="18" t="s">
        <v>1035</v>
      </c>
      <c r="D212" s="18" t="s">
        <v>1033</v>
      </c>
      <c r="E212" s="18">
        <v>1998</v>
      </c>
      <c r="F212" s="18">
        <v>37</v>
      </c>
      <c r="G212" s="18" t="s">
        <v>402</v>
      </c>
      <c r="H212" s="18" t="s">
        <v>402</v>
      </c>
      <c r="I212" s="18" t="s">
        <v>1030</v>
      </c>
      <c r="J212" s="18" t="s">
        <v>637</v>
      </c>
      <c r="K212" s="18" t="s">
        <v>438</v>
      </c>
    </row>
    <row r="213" spans="1:11" ht="13">
      <c r="A213" s="18" t="s">
        <v>1027</v>
      </c>
      <c r="B213" s="18" t="s">
        <v>434</v>
      </c>
      <c r="C213" s="18" t="s">
        <v>1035</v>
      </c>
      <c r="D213" s="18" t="s">
        <v>1033</v>
      </c>
      <c r="E213" s="18">
        <v>1999</v>
      </c>
      <c r="F213" s="18">
        <v>35</v>
      </c>
      <c r="G213" s="18" t="s">
        <v>402</v>
      </c>
      <c r="H213" s="18" t="s">
        <v>402</v>
      </c>
      <c r="I213" s="18" t="s">
        <v>1030</v>
      </c>
      <c r="J213" s="18" t="s">
        <v>637</v>
      </c>
      <c r="K213" s="18" t="s">
        <v>438</v>
      </c>
    </row>
    <row r="214" spans="1:11" ht="13">
      <c r="A214" s="18" t="s">
        <v>1027</v>
      </c>
      <c r="B214" s="18" t="s">
        <v>434</v>
      </c>
      <c r="C214" s="18" t="s">
        <v>1035</v>
      </c>
      <c r="D214" s="18" t="s">
        <v>1033</v>
      </c>
      <c r="E214" s="18">
        <v>2000</v>
      </c>
      <c r="F214" s="18">
        <v>45</v>
      </c>
      <c r="G214" s="18" t="s">
        <v>402</v>
      </c>
      <c r="H214" s="18" t="s">
        <v>402</v>
      </c>
      <c r="I214" s="18" t="s">
        <v>1030</v>
      </c>
      <c r="J214" s="18" t="s">
        <v>637</v>
      </c>
      <c r="K214" s="18" t="s">
        <v>438</v>
      </c>
    </row>
    <row r="215" spans="1:11" ht="13">
      <c r="A215" s="18" t="s">
        <v>1027</v>
      </c>
      <c r="B215" s="18" t="s">
        <v>434</v>
      </c>
      <c r="C215" s="18" t="s">
        <v>1035</v>
      </c>
      <c r="D215" s="18" t="s">
        <v>1033</v>
      </c>
      <c r="E215" s="18">
        <v>2001</v>
      </c>
      <c r="F215" s="18">
        <v>48</v>
      </c>
      <c r="G215" s="18" t="s">
        <v>402</v>
      </c>
      <c r="H215" s="18" t="s">
        <v>402</v>
      </c>
      <c r="I215" s="18" t="s">
        <v>1030</v>
      </c>
      <c r="J215" s="18" t="s">
        <v>637</v>
      </c>
      <c r="K215" s="18" t="s">
        <v>438</v>
      </c>
    </row>
    <row r="216" spans="1:11" ht="13">
      <c r="A216" s="18" t="s">
        <v>1027</v>
      </c>
      <c r="B216" s="18" t="s">
        <v>434</v>
      </c>
      <c r="C216" s="18" t="s">
        <v>1035</v>
      </c>
      <c r="D216" s="18" t="s">
        <v>1033</v>
      </c>
      <c r="E216" s="18">
        <v>2002</v>
      </c>
      <c r="F216" s="18">
        <v>48</v>
      </c>
      <c r="G216" s="18" t="s">
        <v>402</v>
      </c>
      <c r="H216" s="18" t="s">
        <v>402</v>
      </c>
      <c r="I216" s="18" t="s">
        <v>1030</v>
      </c>
      <c r="J216" s="18" t="s">
        <v>637</v>
      </c>
      <c r="K216" s="18" t="s">
        <v>438</v>
      </c>
    </row>
    <row r="217" spans="1:11" ht="13">
      <c r="A217" s="18" t="s">
        <v>1027</v>
      </c>
      <c r="B217" s="18" t="s">
        <v>434</v>
      </c>
      <c r="C217" s="18" t="s">
        <v>1035</v>
      </c>
      <c r="D217" s="18" t="s">
        <v>1033</v>
      </c>
      <c r="E217" s="18">
        <v>2003</v>
      </c>
      <c r="F217" s="18">
        <v>58</v>
      </c>
      <c r="G217" s="18" t="s">
        <v>402</v>
      </c>
      <c r="H217" s="18" t="s">
        <v>402</v>
      </c>
      <c r="I217" s="18" t="s">
        <v>1030</v>
      </c>
      <c r="J217" s="18" t="s">
        <v>637</v>
      </c>
      <c r="K217" s="18" t="s">
        <v>438</v>
      </c>
    </row>
    <row r="218" spans="1:11" ht="13">
      <c r="A218" s="18" t="s">
        <v>1027</v>
      </c>
      <c r="B218" s="18" t="s">
        <v>434</v>
      </c>
      <c r="C218" s="18" t="s">
        <v>1035</v>
      </c>
      <c r="D218" s="18" t="s">
        <v>1033</v>
      </c>
      <c r="E218" s="18">
        <v>2004</v>
      </c>
      <c r="F218" s="18">
        <v>60</v>
      </c>
      <c r="G218" s="18" t="s">
        <v>402</v>
      </c>
      <c r="H218" s="18" t="s">
        <v>402</v>
      </c>
      <c r="I218" s="18" t="s">
        <v>1030</v>
      </c>
      <c r="J218" s="18" t="s">
        <v>637</v>
      </c>
      <c r="K218" s="18" t="s">
        <v>438</v>
      </c>
    </row>
    <row r="219" spans="1:11" ht="13">
      <c r="A219" s="18" t="s">
        <v>1027</v>
      </c>
      <c r="B219" s="18" t="s">
        <v>434</v>
      </c>
      <c r="C219" s="18" t="s">
        <v>1035</v>
      </c>
      <c r="D219" s="18" t="s">
        <v>1033</v>
      </c>
      <c r="E219" s="18">
        <v>2005</v>
      </c>
      <c r="F219" s="18">
        <v>61</v>
      </c>
      <c r="G219" s="18" t="s">
        <v>402</v>
      </c>
      <c r="H219" s="18" t="s">
        <v>402</v>
      </c>
      <c r="I219" s="18" t="s">
        <v>1030</v>
      </c>
      <c r="J219" s="18" t="s">
        <v>637</v>
      </c>
      <c r="K219" s="18" t="s">
        <v>438</v>
      </c>
    </row>
    <row r="220" spans="1:11" ht="13">
      <c r="A220" s="18" t="s">
        <v>1027</v>
      </c>
      <c r="B220" s="18" t="s">
        <v>434</v>
      </c>
      <c r="C220" s="18" t="s">
        <v>1035</v>
      </c>
      <c r="D220" s="18" t="s">
        <v>1033</v>
      </c>
      <c r="E220" s="18">
        <v>2006</v>
      </c>
      <c r="F220" s="18">
        <v>59</v>
      </c>
      <c r="G220" s="18" t="s">
        <v>402</v>
      </c>
      <c r="H220" s="18" t="s">
        <v>402</v>
      </c>
      <c r="I220" s="18" t="s">
        <v>1030</v>
      </c>
      <c r="J220" s="18" t="s">
        <v>637</v>
      </c>
      <c r="K220" s="18" t="s">
        <v>438</v>
      </c>
    </row>
    <row r="221" spans="1:11" ht="13">
      <c r="A221" s="18" t="s">
        <v>1027</v>
      </c>
      <c r="B221" s="18" t="s">
        <v>434</v>
      </c>
      <c r="C221" s="18" t="s">
        <v>1035</v>
      </c>
      <c r="D221" s="18" t="s">
        <v>1033</v>
      </c>
      <c r="E221" s="18">
        <v>2007</v>
      </c>
      <c r="F221" s="18">
        <v>66</v>
      </c>
      <c r="G221" s="18" t="s">
        <v>402</v>
      </c>
      <c r="H221" s="18" t="s">
        <v>402</v>
      </c>
      <c r="I221" s="18" t="s">
        <v>1030</v>
      </c>
      <c r="J221" s="18" t="s">
        <v>637</v>
      </c>
      <c r="K221" s="18" t="s">
        <v>438</v>
      </c>
    </row>
    <row r="222" spans="1:11" ht="13">
      <c r="A222" s="18" t="s">
        <v>1027</v>
      </c>
      <c r="B222" s="18" t="s">
        <v>434</v>
      </c>
      <c r="C222" s="18" t="s">
        <v>1035</v>
      </c>
      <c r="D222" s="18" t="s">
        <v>1033</v>
      </c>
      <c r="E222" s="18">
        <v>2008</v>
      </c>
      <c r="F222" s="18">
        <v>70</v>
      </c>
      <c r="G222" s="18" t="s">
        <v>402</v>
      </c>
      <c r="H222" s="18" t="s">
        <v>402</v>
      </c>
      <c r="I222" s="18" t="s">
        <v>1030</v>
      </c>
      <c r="J222" s="18" t="s">
        <v>637</v>
      </c>
      <c r="K222" s="18" t="s">
        <v>438</v>
      </c>
    </row>
    <row r="223" spans="1:11" ht="13">
      <c r="A223" s="18" t="s">
        <v>1027</v>
      </c>
      <c r="B223" s="18" t="s">
        <v>434</v>
      </c>
      <c r="C223" s="18" t="s">
        <v>1035</v>
      </c>
      <c r="D223" s="18" t="s">
        <v>1033</v>
      </c>
      <c r="E223" s="18">
        <v>2009</v>
      </c>
      <c r="F223" s="18">
        <v>76</v>
      </c>
      <c r="G223" s="18" t="s">
        <v>402</v>
      </c>
      <c r="H223" s="18" t="s">
        <v>402</v>
      </c>
      <c r="I223" s="18" t="s">
        <v>1030</v>
      </c>
      <c r="J223" s="18" t="s">
        <v>637</v>
      </c>
      <c r="K223" s="18" t="s">
        <v>438</v>
      </c>
    </row>
    <row r="224" spans="1:11" ht="13">
      <c r="A224" s="18" t="s">
        <v>1027</v>
      </c>
      <c r="B224" s="18" t="s">
        <v>434</v>
      </c>
      <c r="C224" s="18" t="s">
        <v>1035</v>
      </c>
      <c r="D224" s="18" t="s">
        <v>1033</v>
      </c>
      <c r="E224" s="18">
        <v>2010</v>
      </c>
      <c r="F224" s="18">
        <v>76</v>
      </c>
      <c r="G224" s="18" t="s">
        <v>402</v>
      </c>
      <c r="H224" s="18" t="s">
        <v>402</v>
      </c>
      <c r="I224" s="18" t="s">
        <v>1030</v>
      </c>
      <c r="J224" s="18" t="s">
        <v>637</v>
      </c>
      <c r="K224" s="18" t="s">
        <v>438</v>
      </c>
    </row>
    <row r="225" spans="1:11" ht="13">
      <c r="A225" s="18" t="s">
        <v>1027</v>
      </c>
      <c r="B225" s="18" t="s">
        <v>434</v>
      </c>
      <c r="C225" s="18" t="s">
        <v>1035</v>
      </c>
      <c r="D225" s="18" t="s">
        <v>1033</v>
      </c>
      <c r="E225" s="18">
        <v>2011</v>
      </c>
      <c r="F225" s="18">
        <v>80</v>
      </c>
      <c r="G225" s="18" t="s">
        <v>402</v>
      </c>
      <c r="H225" s="18" t="s">
        <v>402</v>
      </c>
      <c r="I225" s="18" t="s">
        <v>1030</v>
      </c>
      <c r="J225" s="18" t="s">
        <v>637</v>
      </c>
      <c r="K225" s="18" t="s">
        <v>438</v>
      </c>
    </row>
    <row r="226" spans="1:11" ht="13">
      <c r="A226" s="18" t="s">
        <v>1027</v>
      </c>
      <c r="B226" s="18" t="s">
        <v>434</v>
      </c>
      <c r="C226" s="18" t="s">
        <v>1035</v>
      </c>
      <c r="D226" s="18" t="s">
        <v>1033</v>
      </c>
      <c r="E226" s="18">
        <v>2012</v>
      </c>
      <c r="F226" s="18">
        <v>84</v>
      </c>
      <c r="G226" s="18" t="s">
        <v>402</v>
      </c>
      <c r="H226" s="18" t="s">
        <v>402</v>
      </c>
      <c r="I226" s="18" t="s">
        <v>1030</v>
      </c>
      <c r="J226" s="18" t="s">
        <v>637</v>
      </c>
      <c r="K226" s="18" t="s">
        <v>438</v>
      </c>
    </row>
    <row r="227" spans="1:11" ht="13">
      <c r="A227" s="18" t="s">
        <v>1027</v>
      </c>
      <c r="B227" s="18" t="s">
        <v>434</v>
      </c>
      <c r="C227" s="18" t="s">
        <v>1035</v>
      </c>
      <c r="D227" s="18" t="s">
        <v>1033</v>
      </c>
      <c r="E227" s="18">
        <v>2013</v>
      </c>
      <c r="F227" s="18">
        <v>85</v>
      </c>
      <c r="G227" s="18" t="s">
        <v>402</v>
      </c>
      <c r="H227" s="18" t="s">
        <v>402</v>
      </c>
      <c r="I227" s="18" t="s">
        <v>1030</v>
      </c>
      <c r="J227" s="18" t="s">
        <v>637</v>
      </c>
      <c r="K227" s="18" t="s">
        <v>438</v>
      </c>
    </row>
    <row r="228" spans="1:11" ht="13">
      <c r="A228" s="18" t="s">
        <v>1027</v>
      </c>
      <c r="B228" s="18" t="s">
        <v>434</v>
      </c>
      <c r="C228" s="18" t="s">
        <v>1035</v>
      </c>
      <c r="D228" s="18" t="s">
        <v>1033</v>
      </c>
      <c r="E228" s="18">
        <v>2014</v>
      </c>
      <c r="F228" s="18">
        <v>87</v>
      </c>
      <c r="G228" s="18" t="s">
        <v>402</v>
      </c>
      <c r="H228" s="18" t="s">
        <v>402</v>
      </c>
      <c r="I228" s="18" t="s">
        <v>1030</v>
      </c>
      <c r="J228" s="18" t="s">
        <v>637</v>
      </c>
      <c r="K228" s="18" t="s">
        <v>438</v>
      </c>
    </row>
    <row r="229" spans="1:11" ht="13">
      <c r="A229" s="18" t="s">
        <v>1027</v>
      </c>
      <c r="B229" s="18" t="s">
        <v>434</v>
      </c>
      <c r="C229" s="18" t="s">
        <v>1035</v>
      </c>
      <c r="D229" s="18" t="s">
        <v>1033</v>
      </c>
      <c r="E229" s="18">
        <v>2015</v>
      </c>
      <c r="F229" s="18">
        <v>90</v>
      </c>
      <c r="G229" s="18" t="s">
        <v>402</v>
      </c>
      <c r="H229" s="18" t="s">
        <v>402</v>
      </c>
      <c r="I229" s="18" t="s">
        <v>1030</v>
      </c>
      <c r="J229" s="18" t="s">
        <v>637</v>
      </c>
      <c r="K229" s="18" t="s">
        <v>438</v>
      </c>
    </row>
    <row r="230" spans="1:11" ht="13">
      <c r="A230" s="18" t="s">
        <v>1027</v>
      </c>
      <c r="B230" s="18" t="s">
        <v>434</v>
      </c>
      <c r="C230" s="18" t="s">
        <v>1035</v>
      </c>
      <c r="D230" s="18" t="s">
        <v>1033</v>
      </c>
      <c r="E230" s="18">
        <v>2016</v>
      </c>
      <c r="F230" s="18">
        <v>92</v>
      </c>
      <c r="G230" s="18" t="s">
        <v>402</v>
      </c>
      <c r="H230" s="18" t="s">
        <v>402</v>
      </c>
      <c r="I230" s="18" t="s">
        <v>1030</v>
      </c>
      <c r="J230" s="18" t="s">
        <v>637</v>
      </c>
      <c r="K230" s="18" t="s">
        <v>438</v>
      </c>
    </row>
    <row r="231" spans="1:11" ht="13">
      <c r="A231" s="18" t="s">
        <v>1027</v>
      </c>
      <c r="B231" s="18" t="s">
        <v>434</v>
      </c>
      <c r="C231" s="18" t="s">
        <v>1035</v>
      </c>
      <c r="D231" s="18" t="s">
        <v>1033</v>
      </c>
      <c r="E231" s="18">
        <v>2017</v>
      </c>
      <c r="F231" s="18">
        <v>95</v>
      </c>
      <c r="G231" s="18" t="s">
        <v>402</v>
      </c>
      <c r="H231" s="18" t="s">
        <v>402</v>
      </c>
      <c r="I231" s="18" t="s">
        <v>1030</v>
      </c>
      <c r="J231" s="18" t="s">
        <v>637</v>
      </c>
      <c r="K231" s="18" t="s">
        <v>438</v>
      </c>
    </row>
    <row r="232" spans="1:11" ht="13">
      <c r="A232" s="18" t="s">
        <v>1027</v>
      </c>
      <c r="B232" s="18" t="s">
        <v>434</v>
      </c>
      <c r="C232" s="18" t="s">
        <v>1035</v>
      </c>
      <c r="D232" s="18" t="s">
        <v>1033</v>
      </c>
      <c r="E232" s="18">
        <v>2018</v>
      </c>
      <c r="F232" s="18">
        <v>95</v>
      </c>
      <c r="G232" s="18" t="s">
        <v>402</v>
      </c>
      <c r="H232" s="18" t="s">
        <v>402</v>
      </c>
      <c r="I232" s="18" t="s">
        <v>1030</v>
      </c>
      <c r="J232" s="18" t="s">
        <v>637</v>
      </c>
      <c r="K232" s="18" t="s">
        <v>438</v>
      </c>
    </row>
    <row r="233" spans="1:11" ht="13">
      <c r="A233" s="18" t="s">
        <v>1027</v>
      </c>
      <c r="B233" s="18" t="s">
        <v>434</v>
      </c>
      <c r="C233" s="18" t="s">
        <v>1035</v>
      </c>
      <c r="D233" s="18" t="s">
        <v>1033</v>
      </c>
      <c r="E233" s="18">
        <v>2019</v>
      </c>
      <c r="F233" s="18">
        <v>97</v>
      </c>
      <c r="G233" s="18" t="s">
        <v>402</v>
      </c>
      <c r="H233" s="18" t="s">
        <v>402</v>
      </c>
      <c r="I233" s="18" t="s">
        <v>1030</v>
      </c>
      <c r="J233" s="18" t="s">
        <v>637</v>
      </c>
      <c r="K233" s="18" t="s">
        <v>438</v>
      </c>
    </row>
    <row r="234" spans="1:11" ht="13">
      <c r="A234" s="18" t="s">
        <v>1027</v>
      </c>
      <c r="B234" s="18" t="s">
        <v>434</v>
      </c>
      <c r="C234" s="18" t="s">
        <v>1035</v>
      </c>
      <c r="D234" s="18" t="s">
        <v>1033</v>
      </c>
      <c r="E234" s="18">
        <v>2020</v>
      </c>
      <c r="F234" s="18">
        <v>99</v>
      </c>
      <c r="G234" s="18" t="s">
        <v>402</v>
      </c>
      <c r="H234" s="18" t="s">
        <v>402</v>
      </c>
      <c r="I234" s="18" t="s">
        <v>1030</v>
      </c>
      <c r="J234" s="18" t="s">
        <v>637</v>
      </c>
      <c r="K234" s="18" t="s">
        <v>438</v>
      </c>
    </row>
    <row r="235" spans="1:11" ht="13">
      <c r="A235" s="18" t="s">
        <v>1027</v>
      </c>
      <c r="B235" s="18" t="s">
        <v>434</v>
      </c>
      <c r="C235" s="18" t="s">
        <v>1035</v>
      </c>
      <c r="D235" s="18" t="s">
        <v>1033</v>
      </c>
      <c r="E235" s="18">
        <v>2021</v>
      </c>
      <c r="F235" s="18">
        <v>99</v>
      </c>
      <c r="G235" s="18" t="s">
        <v>402</v>
      </c>
      <c r="H235" s="18" t="s">
        <v>402</v>
      </c>
      <c r="I235" s="18" t="s">
        <v>1030</v>
      </c>
      <c r="J235" s="18" t="s">
        <v>637</v>
      </c>
      <c r="K235" s="18" t="s">
        <v>438</v>
      </c>
    </row>
    <row r="236" spans="1:11" ht="13">
      <c r="A236" s="18" t="s">
        <v>1027</v>
      </c>
      <c r="B236" s="18" t="s">
        <v>434</v>
      </c>
      <c r="C236" s="18" t="s">
        <v>1028</v>
      </c>
      <c r="D236" s="18" t="s">
        <v>1033</v>
      </c>
      <c r="E236" s="18">
        <v>1960</v>
      </c>
      <c r="F236" s="18">
        <v>4</v>
      </c>
      <c r="G236" s="18" t="s">
        <v>402</v>
      </c>
      <c r="H236" s="18" t="s">
        <v>402</v>
      </c>
      <c r="I236" s="18" t="s">
        <v>1036</v>
      </c>
      <c r="J236" s="18" t="s">
        <v>637</v>
      </c>
      <c r="K236" s="18" t="s">
        <v>438</v>
      </c>
    </row>
    <row r="237" spans="1:11" ht="13">
      <c r="A237" s="18" t="s">
        <v>1027</v>
      </c>
      <c r="B237" s="18" t="s">
        <v>434</v>
      </c>
      <c r="C237" s="18" t="s">
        <v>1028</v>
      </c>
      <c r="D237" s="18" t="s">
        <v>1033</v>
      </c>
      <c r="E237" s="18">
        <v>1961</v>
      </c>
      <c r="F237" s="18">
        <v>6</v>
      </c>
      <c r="G237" s="18" t="s">
        <v>402</v>
      </c>
      <c r="H237" s="18" t="s">
        <v>402</v>
      </c>
      <c r="I237" s="18" t="s">
        <v>1036</v>
      </c>
      <c r="J237" s="18" t="s">
        <v>637</v>
      </c>
      <c r="K237" s="18" t="s">
        <v>438</v>
      </c>
    </row>
    <row r="238" spans="1:11" ht="13">
      <c r="A238" s="18" t="s">
        <v>1027</v>
      </c>
      <c r="B238" s="18" t="s">
        <v>434</v>
      </c>
      <c r="C238" s="18" t="s">
        <v>1028</v>
      </c>
      <c r="D238" s="18" t="s">
        <v>1033</v>
      </c>
      <c r="E238" s="18">
        <v>1962</v>
      </c>
      <c r="F238" s="18">
        <v>6</v>
      </c>
      <c r="G238" s="18" t="s">
        <v>402</v>
      </c>
      <c r="H238" s="18" t="s">
        <v>402</v>
      </c>
      <c r="I238" s="18" t="s">
        <v>1036</v>
      </c>
      <c r="J238" s="18" t="s">
        <v>637</v>
      </c>
      <c r="K238" s="18" t="s">
        <v>438</v>
      </c>
    </row>
    <row r="239" spans="1:11" ht="13">
      <c r="A239" s="18" t="s">
        <v>1027</v>
      </c>
      <c r="B239" s="18" t="s">
        <v>434</v>
      </c>
      <c r="C239" s="18" t="s">
        <v>1028</v>
      </c>
      <c r="D239" s="18" t="s">
        <v>1033</v>
      </c>
      <c r="E239" s="18">
        <v>1963</v>
      </c>
      <c r="F239" s="18">
        <v>6</v>
      </c>
      <c r="G239" s="18" t="s">
        <v>402</v>
      </c>
      <c r="H239" s="18" t="s">
        <v>402</v>
      </c>
      <c r="I239" s="18" t="s">
        <v>1036</v>
      </c>
      <c r="J239" s="18" t="s">
        <v>637</v>
      </c>
      <c r="K239" s="18" t="s">
        <v>438</v>
      </c>
    </row>
    <row r="240" spans="1:11" ht="13">
      <c r="A240" s="18" t="s">
        <v>1027</v>
      </c>
      <c r="B240" s="18" t="s">
        <v>434</v>
      </c>
      <c r="C240" s="18" t="s">
        <v>1028</v>
      </c>
      <c r="D240" s="18" t="s">
        <v>1033</v>
      </c>
      <c r="E240" s="18">
        <v>1964</v>
      </c>
      <c r="F240" s="18">
        <v>6</v>
      </c>
      <c r="G240" s="18" t="s">
        <v>402</v>
      </c>
      <c r="H240" s="18" t="s">
        <v>402</v>
      </c>
      <c r="I240" s="18" t="s">
        <v>1036</v>
      </c>
      <c r="J240" s="18" t="s">
        <v>637</v>
      </c>
      <c r="K240" s="18" t="s">
        <v>438</v>
      </c>
    </row>
    <row r="241" spans="1:11" ht="13">
      <c r="A241" s="18" t="s">
        <v>1027</v>
      </c>
      <c r="B241" s="18" t="s">
        <v>434</v>
      </c>
      <c r="C241" s="18" t="s">
        <v>1028</v>
      </c>
      <c r="D241" s="18" t="s">
        <v>1033</v>
      </c>
      <c r="E241" s="18">
        <v>1966</v>
      </c>
      <c r="F241" s="18">
        <v>4</v>
      </c>
      <c r="G241" s="18" t="s">
        <v>402</v>
      </c>
      <c r="H241" s="18" t="s">
        <v>402</v>
      </c>
      <c r="I241" s="18" t="s">
        <v>1036</v>
      </c>
      <c r="J241" s="18" t="s">
        <v>637</v>
      </c>
      <c r="K241" s="18" t="s">
        <v>438</v>
      </c>
    </row>
    <row r="242" spans="1:11" ht="13">
      <c r="A242" s="18" t="s">
        <v>1027</v>
      </c>
      <c r="B242" s="18" t="s">
        <v>434</v>
      </c>
      <c r="C242" s="18" t="s">
        <v>1028</v>
      </c>
      <c r="D242" s="18" t="s">
        <v>1033</v>
      </c>
      <c r="E242" s="18">
        <v>1967</v>
      </c>
      <c r="F242" s="18">
        <v>6</v>
      </c>
      <c r="G242" s="18" t="s">
        <v>402</v>
      </c>
      <c r="H242" s="18" t="s">
        <v>402</v>
      </c>
      <c r="I242" s="18" t="s">
        <v>1036</v>
      </c>
      <c r="J242" s="18" t="s">
        <v>637</v>
      </c>
      <c r="K242" s="18" t="s">
        <v>438</v>
      </c>
    </row>
    <row r="243" spans="1:11" ht="13">
      <c r="A243" s="18" t="s">
        <v>1027</v>
      </c>
      <c r="B243" s="18" t="s">
        <v>434</v>
      </c>
      <c r="C243" s="18" t="s">
        <v>1028</v>
      </c>
      <c r="D243" s="18" t="s">
        <v>1033</v>
      </c>
      <c r="E243" s="18">
        <v>1968</v>
      </c>
      <c r="F243" s="18">
        <v>6</v>
      </c>
      <c r="G243" s="18" t="s">
        <v>402</v>
      </c>
      <c r="H243" s="18" t="s">
        <v>402</v>
      </c>
      <c r="I243" s="18" t="s">
        <v>1036</v>
      </c>
      <c r="J243" s="18" t="s">
        <v>637</v>
      </c>
      <c r="K243" s="18" t="s">
        <v>438</v>
      </c>
    </row>
    <row r="244" spans="1:11" ht="13">
      <c r="A244" s="18" t="s">
        <v>1027</v>
      </c>
      <c r="B244" s="18" t="s">
        <v>434</v>
      </c>
      <c r="C244" s="18" t="s">
        <v>1028</v>
      </c>
      <c r="D244" s="18" t="s">
        <v>1033</v>
      </c>
      <c r="E244" s="18">
        <v>1969</v>
      </c>
      <c r="F244" s="18">
        <v>6</v>
      </c>
      <c r="G244" s="18" t="s">
        <v>402</v>
      </c>
      <c r="H244" s="18" t="s">
        <v>402</v>
      </c>
      <c r="I244" s="18" t="s">
        <v>1036</v>
      </c>
      <c r="J244" s="18" t="s">
        <v>637</v>
      </c>
      <c r="K244" s="18" t="s">
        <v>438</v>
      </c>
    </row>
    <row r="245" spans="1:11" ht="13">
      <c r="A245" s="18" t="s">
        <v>1027</v>
      </c>
      <c r="B245" s="18" t="s">
        <v>434</v>
      </c>
      <c r="C245" s="18" t="s">
        <v>1028</v>
      </c>
      <c r="D245" s="18" t="s">
        <v>1033</v>
      </c>
      <c r="E245" s="18">
        <v>1970</v>
      </c>
      <c r="F245" s="18">
        <v>6</v>
      </c>
      <c r="G245" s="18" t="s">
        <v>402</v>
      </c>
      <c r="H245" s="18" t="s">
        <v>402</v>
      </c>
      <c r="I245" s="18" t="s">
        <v>1036</v>
      </c>
      <c r="J245" s="18" t="s">
        <v>637</v>
      </c>
      <c r="K245" s="18" t="s">
        <v>438</v>
      </c>
    </row>
    <row r="246" spans="1:11" ht="13">
      <c r="A246" s="18" t="s">
        <v>1027</v>
      </c>
      <c r="B246" s="18" t="s">
        <v>434</v>
      </c>
      <c r="C246" s="18" t="s">
        <v>1028</v>
      </c>
      <c r="D246" s="18" t="s">
        <v>1033</v>
      </c>
      <c r="E246" s="18">
        <v>1971</v>
      </c>
      <c r="F246" s="18">
        <v>8</v>
      </c>
      <c r="G246" s="18" t="s">
        <v>402</v>
      </c>
      <c r="H246" s="18" t="s">
        <v>402</v>
      </c>
      <c r="I246" s="18" t="s">
        <v>1036</v>
      </c>
      <c r="J246" s="18" t="s">
        <v>637</v>
      </c>
      <c r="K246" s="18" t="s">
        <v>438</v>
      </c>
    </row>
    <row r="247" spans="1:11" ht="13">
      <c r="A247" s="18" t="s">
        <v>1027</v>
      </c>
      <c r="B247" s="18" t="s">
        <v>434</v>
      </c>
      <c r="C247" s="18" t="s">
        <v>1028</v>
      </c>
      <c r="D247" s="18" t="s">
        <v>1033</v>
      </c>
      <c r="E247" s="18">
        <v>1973</v>
      </c>
      <c r="F247" s="18">
        <v>8</v>
      </c>
      <c r="G247" s="18" t="s">
        <v>402</v>
      </c>
      <c r="H247" s="18" t="s">
        <v>402</v>
      </c>
      <c r="I247" s="18" t="s">
        <v>1036</v>
      </c>
      <c r="J247" s="18" t="s">
        <v>637</v>
      </c>
      <c r="K247" s="18" t="s">
        <v>438</v>
      </c>
    </row>
    <row r="248" spans="1:11" ht="13">
      <c r="A248" s="18" t="s">
        <v>1027</v>
      </c>
      <c r="B248" s="18" t="s">
        <v>434</v>
      </c>
      <c r="C248" s="18" t="s">
        <v>1028</v>
      </c>
      <c r="D248" s="18" t="s">
        <v>1033</v>
      </c>
      <c r="E248" s="18">
        <v>1974</v>
      </c>
      <c r="F248" s="18">
        <v>8</v>
      </c>
      <c r="G248" s="18" t="s">
        <v>402</v>
      </c>
      <c r="H248" s="18" t="s">
        <v>402</v>
      </c>
      <c r="I248" s="18" t="s">
        <v>1036</v>
      </c>
      <c r="J248" s="18" t="s">
        <v>637</v>
      </c>
      <c r="K248" s="18" t="s">
        <v>438</v>
      </c>
    </row>
    <row r="249" spans="1:11" ht="13">
      <c r="A249" s="18" t="s">
        <v>1027</v>
      </c>
      <c r="B249" s="18" t="s">
        <v>434</v>
      </c>
      <c r="C249" s="18" t="s">
        <v>1028</v>
      </c>
      <c r="D249" s="18" t="s">
        <v>1033</v>
      </c>
      <c r="E249" s="18">
        <v>1975</v>
      </c>
      <c r="F249" s="18">
        <v>11</v>
      </c>
      <c r="G249" s="18" t="s">
        <v>402</v>
      </c>
      <c r="H249" s="18" t="s">
        <v>402</v>
      </c>
      <c r="I249" s="18" t="s">
        <v>1036</v>
      </c>
      <c r="J249" s="18" t="s">
        <v>637</v>
      </c>
      <c r="K249" s="18" t="s">
        <v>438</v>
      </c>
    </row>
    <row r="250" spans="1:11" ht="13">
      <c r="A250" s="18" t="s">
        <v>1027</v>
      </c>
      <c r="B250" s="18" t="s">
        <v>434</v>
      </c>
      <c r="C250" s="18" t="s">
        <v>1028</v>
      </c>
      <c r="D250" s="18" t="s">
        <v>1033</v>
      </c>
      <c r="E250" s="18">
        <v>1977</v>
      </c>
      <c r="F250" s="18">
        <v>15</v>
      </c>
      <c r="G250" s="18" t="s">
        <v>402</v>
      </c>
      <c r="H250" s="18" t="s">
        <v>402</v>
      </c>
      <c r="I250" s="18" t="s">
        <v>1036</v>
      </c>
      <c r="J250" s="18" t="s">
        <v>637</v>
      </c>
      <c r="K250" s="18" t="s">
        <v>438</v>
      </c>
    </row>
    <row r="251" spans="1:11" ht="13">
      <c r="A251" s="18" t="s">
        <v>1027</v>
      </c>
      <c r="B251" s="18" t="s">
        <v>434</v>
      </c>
      <c r="C251" s="18" t="s">
        <v>1028</v>
      </c>
      <c r="D251" s="18" t="s">
        <v>1033</v>
      </c>
      <c r="E251" s="18">
        <v>1978</v>
      </c>
      <c r="F251" s="18">
        <v>17</v>
      </c>
      <c r="G251" s="18" t="s">
        <v>402</v>
      </c>
      <c r="H251" s="18" t="s">
        <v>402</v>
      </c>
      <c r="I251" s="18" t="s">
        <v>1036</v>
      </c>
      <c r="J251" s="18" t="s">
        <v>637</v>
      </c>
      <c r="K251" s="18" t="s">
        <v>438</v>
      </c>
    </row>
    <row r="252" spans="1:11" ht="13">
      <c r="A252" s="18" t="s">
        <v>1027</v>
      </c>
      <c r="B252" s="18" t="s">
        <v>434</v>
      </c>
      <c r="C252" s="18" t="s">
        <v>1028</v>
      </c>
      <c r="D252" s="18" t="s">
        <v>1033</v>
      </c>
      <c r="E252" s="18">
        <v>1979</v>
      </c>
      <c r="F252" s="18">
        <v>17</v>
      </c>
      <c r="G252" s="18" t="s">
        <v>402</v>
      </c>
      <c r="H252" s="18" t="s">
        <v>402</v>
      </c>
      <c r="I252" s="18" t="s">
        <v>1036</v>
      </c>
      <c r="J252" s="18" t="s">
        <v>637</v>
      </c>
      <c r="K252" s="18" t="s">
        <v>438</v>
      </c>
    </row>
    <row r="253" spans="1:11" ht="13">
      <c r="A253" s="18" t="s">
        <v>1027</v>
      </c>
      <c r="B253" s="18" t="s">
        <v>434</v>
      </c>
      <c r="C253" s="18" t="s">
        <v>1028</v>
      </c>
      <c r="D253" s="18" t="s">
        <v>1033</v>
      </c>
      <c r="E253" s="18">
        <v>1980</v>
      </c>
      <c r="F253" s="18">
        <v>21</v>
      </c>
      <c r="G253" s="18" t="s">
        <v>402</v>
      </c>
      <c r="H253" s="18" t="s">
        <v>402</v>
      </c>
      <c r="I253" s="18" t="s">
        <v>1036</v>
      </c>
      <c r="J253" s="18" t="s">
        <v>637</v>
      </c>
      <c r="K253" s="18" t="s">
        <v>438</v>
      </c>
    </row>
    <row r="254" spans="1:11" ht="13">
      <c r="A254" s="18" t="s">
        <v>1027</v>
      </c>
      <c r="B254" s="18" t="s">
        <v>434</v>
      </c>
      <c r="C254" s="18" t="s">
        <v>1028</v>
      </c>
      <c r="D254" s="18" t="s">
        <v>1033</v>
      </c>
      <c r="E254" s="18">
        <v>1981</v>
      </c>
      <c r="F254" s="18">
        <v>21</v>
      </c>
      <c r="G254" s="18" t="s">
        <v>402</v>
      </c>
      <c r="H254" s="18" t="s">
        <v>402</v>
      </c>
      <c r="I254" s="18" t="s">
        <v>1036</v>
      </c>
      <c r="J254" s="18" t="s">
        <v>637</v>
      </c>
      <c r="K254" s="18" t="s">
        <v>438</v>
      </c>
    </row>
    <row r="255" spans="1:11" ht="13">
      <c r="A255" s="18" t="s">
        <v>1027</v>
      </c>
      <c r="B255" s="18" t="s">
        <v>434</v>
      </c>
      <c r="C255" s="18" t="s">
        <v>1028</v>
      </c>
      <c r="D255" s="18" t="s">
        <v>1033</v>
      </c>
      <c r="E255" s="18">
        <v>1982</v>
      </c>
      <c r="F255" s="18">
        <v>23</v>
      </c>
      <c r="G255" s="18" t="s">
        <v>402</v>
      </c>
      <c r="H255" s="18" t="s">
        <v>402</v>
      </c>
      <c r="I255" s="18" t="s">
        <v>1036</v>
      </c>
      <c r="J255" s="18" t="s">
        <v>637</v>
      </c>
      <c r="K255" s="18" t="s">
        <v>438</v>
      </c>
    </row>
    <row r="256" spans="1:11" ht="13">
      <c r="A256" s="18" t="s">
        <v>1027</v>
      </c>
      <c r="B256" s="18" t="s">
        <v>434</v>
      </c>
      <c r="C256" s="18" t="s">
        <v>1028</v>
      </c>
      <c r="D256" s="18" t="s">
        <v>1033</v>
      </c>
      <c r="E256" s="18">
        <v>1983</v>
      </c>
      <c r="F256" s="18">
        <v>25</v>
      </c>
      <c r="G256" s="18" t="s">
        <v>402</v>
      </c>
      <c r="H256" s="18" t="s">
        <v>402</v>
      </c>
      <c r="I256" s="18" t="s">
        <v>1036</v>
      </c>
      <c r="J256" s="18" t="s">
        <v>637</v>
      </c>
      <c r="K256" s="18" t="s">
        <v>438</v>
      </c>
    </row>
    <row r="257" spans="1:11" ht="13">
      <c r="A257" s="18" t="s">
        <v>1027</v>
      </c>
      <c r="B257" s="18" t="s">
        <v>434</v>
      </c>
      <c r="C257" s="18" t="s">
        <v>1028</v>
      </c>
      <c r="D257" s="18" t="s">
        <v>1033</v>
      </c>
      <c r="E257" s="18">
        <v>1984</v>
      </c>
      <c r="F257" s="18">
        <v>29</v>
      </c>
      <c r="G257" s="18" t="s">
        <v>402</v>
      </c>
      <c r="H257" s="18" t="s">
        <v>402</v>
      </c>
      <c r="I257" s="18" t="s">
        <v>1036</v>
      </c>
      <c r="J257" s="18" t="s">
        <v>637</v>
      </c>
      <c r="K257" s="18" t="s">
        <v>438</v>
      </c>
    </row>
    <row r="258" spans="1:11" ht="13">
      <c r="A258" s="18" t="s">
        <v>1027</v>
      </c>
      <c r="B258" s="18" t="s">
        <v>434</v>
      </c>
      <c r="C258" s="18" t="s">
        <v>1028</v>
      </c>
      <c r="D258" s="18" t="s">
        <v>1033</v>
      </c>
      <c r="E258" s="18">
        <v>1985</v>
      </c>
      <c r="F258" s="18">
        <v>34</v>
      </c>
      <c r="G258" s="18" t="s">
        <v>402</v>
      </c>
      <c r="H258" s="18" t="s">
        <v>402</v>
      </c>
      <c r="I258" s="18" t="s">
        <v>1036</v>
      </c>
      <c r="J258" s="18" t="s">
        <v>637</v>
      </c>
      <c r="K258" s="18" t="s">
        <v>438</v>
      </c>
    </row>
    <row r="259" spans="1:11" ht="13">
      <c r="A259" s="18" t="s">
        <v>1027</v>
      </c>
      <c r="B259" s="18" t="s">
        <v>434</v>
      </c>
      <c r="C259" s="18" t="s">
        <v>1028</v>
      </c>
      <c r="D259" s="18" t="s">
        <v>1033</v>
      </c>
      <c r="E259" s="18">
        <v>1986</v>
      </c>
      <c r="F259" s="18">
        <v>38</v>
      </c>
      <c r="G259" s="18" t="s">
        <v>402</v>
      </c>
      <c r="H259" s="18" t="s">
        <v>402</v>
      </c>
      <c r="I259" s="18" t="s">
        <v>1036</v>
      </c>
      <c r="J259" s="18" t="s">
        <v>637</v>
      </c>
      <c r="K259" s="18" t="s">
        <v>438</v>
      </c>
    </row>
    <row r="260" spans="1:11" ht="13">
      <c r="A260" s="18" t="s">
        <v>1027</v>
      </c>
      <c r="B260" s="18" t="s">
        <v>434</v>
      </c>
      <c r="C260" s="18" t="s">
        <v>1028</v>
      </c>
      <c r="D260" s="18" t="s">
        <v>1033</v>
      </c>
      <c r="E260" s="18">
        <v>1987</v>
      </c>
      <c r="F260" s="18">
        <v>42</v>
      </c>
      <c r="G260" s="18" t="s">
        <v>402</v>
      </c>
      <c r="H260" s="18" t="s">
        <v>402</v>
      </c>
      <c r="I260" s="18" t="s">
        <v>1036</v>
      </c>
      <c r="J260" s="18" t="s">
        <v>637</v>
      </c>
      <c r="K260" s="18" t="s">
        <v>438</v>
      </c>
    </row>
    <row r="261" spans="1:11" ht="13">
      <c r="A261" s="18" t="s">
        <v>1027</v>
      </c>
      <c r="B261" s="18" t="s">
        <v>434</v>
      </c>
      <c r="C261" s="18" t="s">
        <v>1028</v>
      </c>
      <c r="D261" s="18" t="s">
        <v>1033</v>
      </c>
      <c r="E261" s="18">
        <v>1988</v>
      </c>
      <c r="F261" s="18">
        <v>46</v>
      </c>
      <c r="G261" s="18" t="s">
        <v>402</v>
      </c>
      <c r="H261" s="18" t="s">
        <v>402</v>
      </c>
      <c r="I261" s="18" t="s">
        <v>1036</v>
      </c>
      <c r="J261" s="18" t="s">
        <v>637</v>
      </c>
      <c r="K261" s="18" t="s">
        <v>438</v>
      </c>
    </row>
    <row r="262" spans="1:11" ht="13">
      <c r="A262" s="18" t="s">
        <v>1027</v>
      </c>
      <c r="B262" s="18" t="s">
        <v>434</v>
      </c>
      <c r="C262" s="18" t="s">
        <v>1028</v>
      </c>
      <c r="D262" s="18" t="s">
        <v>1033</v>
      </c>
      <c r="E262" s="18">
        <v>1989</v>
      </c>
      <c r="F262" s="18">
        <v>55</v>
      </c>
      <c r="G262" s="18" t="s">
        <v>402</v>
      </c>
      <c r="H262" s="18" t="s">
        <v>402</v>
      </c>
      <c r="I262" s="18" t="s">
        <v>1036</v>
      </c>
      <c r="J262" s="18" t="s">
        <v>637</v>
      </c>
      <c r="K262" s="18" t="s">
        <v>438</v>
      </c>
    </row>
    <row r="263" spans="1:11" ht="13">
      <c r="A263" s="18" t="s">
        <v>1027</v>
      </c>
      <c r="B263" s="18" t="s">
        <v>434</v>
      </c>
      <c r="C263" s="18" t="s">
        <v>1028</v>
      </c>
      <c r="D263" s="18" t="s">
        <v>1033</v>
      </c>
      <c r="E263" s="18">
        <v>1990</v>
      </c>
      <c r="F263" s="18">
        <v>61</v>
      </c>
      <c r="G263" s="18" t="s">
        <v>402</v>
      </c>
      <c r="H263" s="18" t="s">
        <v>402</v>
      </c>
      <c r="I263" s="18" t="s">
        <v>1036</v>
      </c>
      <c r="J263" s="18" t="s">
        <v>637</v>
      </c>
      <c r="K263" s="18" t="s">
        <v>438</v>
      </c>
    </row>
    <row r="264" spans="1:11" ht="13">
      <c r="A264" s="18" t="s">
        <v>1027</v>
      </c>
      <c r="B264" s="18" t="s">
        <v>434</v>
      </c>
      <c r="C264" s="18" t="s">
        <v>1028</v>
      </c>
      <c r="D264" s="18" t="s">
        <v>1033</v>
      </c>
      <c r="E264" s="18">
        <v>1991</v>
      </c>
      <c r="F264" s="18">
        <v>67</v>
      </c>
      <c r="G264" s="18" t="s">
        <v>402</v>
      </c>
      <c r="H264" s="18" t="s">
        <v>402</v>
      </c>
      <c r="I264" s="18" t="s">
        <v>1036</v>
      </c>
      <c r="J264" s="18" t="s">
        <v>637</v>
      </c>
      <c r="K264" s="18" t="s">
        <v>438</v>
      </c>
    </row>
    <row r="265" spans="1:11" ht="13">
      <c r="A265" s="18" t="s">
        <v>1027</v>
      </c>
      <c r="B265" s="18" t="s">
        <v>434</v>
      </c>
      <c r="C265" s="18" t="s">
        <v>1028</v>
      </c>
      <c r="D265" s="18" t="s">
        <v>1033</v>
      </c>
      <c r="E265" s="18">
        <v>1992</v>
      </c>
      <c r="F265" s="18">
        <v>76</v>
      </c>
      <c r="G265" s="18" t="s">
        <v>402</v>
      </c>
      <c r="H265" s="18" t="s">
        <v>402</v>
      </c>
      <c r="I265" s="18" t="s">
        <v>1036</v>
      </c>
      <c r="J265" s="18" t="s">
        <v>637</v>
      </c>
      <c r="K265" s="18" t="s">
        <v>438</v>
      </c>
    </row>
    <row r="266" spans="1:11" ht="13">
      <c r="A266" s="18" t="s">
        <v>1027</v>
      </c>
      <c r="B266" s="18" t="s">
        <v>434</v>
      </c>
      <c r="C266" s="18" t="s">
        <v>1028</v>
      </c>
      <c r="D266" s="18" t="s">
        <v>1033</v>
      </c>
      <c r="E266" s="18">
        <v>1993</v>
      </c>
      <c r="F266" s="18">
        <v>84</v>
      </c>
      <c r="G266" s="18" t="s">
        <v>402</v>
      </c>
      <c r="H266" s="18" t="s">
        <v>402</v>
      </c>
      <c r="I266" s="18" t="s">
        <v>1036</v>
      </c>
      <c r="J266" s="18" t="s">
        <v>637</v>
      </c>
      <c r="K266" s="18" t="s">
        <v>438</v>
      </c>
    </row>
    <row r="267" spans="1:11" ht="13">
      <c r="A267" s="18" t="s">
        <v>1027</v>
      </c>
      <c r="B267" s="18" t="s">
        <v>434</v>
      </c>
      <c r="C267" s="18" t="s">
        <v>1028</v>
      </c>
      <c r="D267" s="18" t="s">
        <v>1033</v>
      </c>
      <c r="E267" s="18">
        <v>1994</v>
      </c>
      <c r="F267" s="18">
        <v>95</v>
      </c>
      <c r="G267" s="18" t="s">
        <v>402</v>
      </c>
      <c r="H267" s="18" t="s">
        <v>402</v>
      </c>
      <c r="I267" s="18" t="s">
        <v>1036</v>
      </c>
      <c r="J267" s="18" t="s">
        <v>637</v>
      </c>
      <c r="K267" s="18" t="s">
        <v>438</v>
      </c>
    </row>
    <row r="268" spans="1:11" ht="13">
      <c r="A268" s="18" t="s">
        <v>1027</v>
      </c>
      <c r="B268" s="18" t="s">
        <v>434</v>
      </c>
      <c r="C268" s="18" t="s">
        <v>1028</v>
      </c>
      <c r="D268" s="18" t="s">
        <v>1033</v>
      </c>
      <c r="E268" s="18">
        <v>1995</v>
      </c>
      <c r="F268" s="18">
        <v>105</v>
      </c>
      <c r="G268" s="18" t="s">
        <v>402</v>
      </c>
      <c r="H268" s="18" t="s">
        <v>402</v>
      </c>
      <c r="I268" s="18" t="s">
        <v>1036</v>
      </c>
      <c r="J268" s="18" t="s">
        <v>637</v>
      </c>
      <c r="K268" s="18" t="s">
        <v>438</v>
      </c>
    </row>
    <row r="269" spans="1:11" ht="13">
      <c r="A269" s="18" t="s">
        <v>1027</v>
      </c>
      <c r="B269" s="18" t="s">
        <v>434</v>
      </c>
      <c r="C269" s="18" t="s">
        <v>1028</v>
      </c>
      <c r="D269" s="18" t="s">
        <v>1033</v>
      </c>
      <c r="E269" s="18">
        <v>1996</v>
      </c>
      <c r="F269" s="18">
        <v>114</v>
      </c>
      <c r="G269" s="18" t="s">
        <v>402</v>
      </c>
      <c r="H269" s="18" t="s">
        <v>402</v>
      </c>
      <c r="I269" s="18" t="s">
        <v>1036</v>
      </c>
      <c r="J269" s="18" t="s">
        <v>637</v>
      </c>
      <c r="K269" s="18" t="s">
        <v>438</v>
      </c>
    </row>
    <row r="270" spans="1:11" ht="13">
      <c r="A270" s="18" t="s">
        <v>1027</v>
      </c>
      <c r="B270" s="18" t="s">
        <v>434</v>
      </c>
      <c r="C270" s="18" t="s">
        <v>1028</v>
      </c>
      <c r="D270" s="18" t="s">
        <v>1033</v>
      </c>
      <c r="E270" s="18">
        <v>1997</v>
      </c>
      <c r="F270" s="18">
        <v>124</v>
      </c>
      <c r="G270" s="18" t="s">
        <v>402</v>
      </c>
      <c r="H270" s="18" t="s">
        <v>402</v>
      </c>
      <c r="I270" s="18" t="s">
        <v>1036</v>
      </c>
      <c r="J270" s="18" t="s">
        <v>637</v>
      </c>
      <c r="K270" s="18" t="s">
        <v>438</v>
      </c>
    </row>
    <row r="271" spans="1:11" ht="13">
      <c r="A271" s="18" t="s">
        <v>1027</v>
      </c>
      <c r="B271" s="18" t="s">
        <v>434</v>
      </c>
      <c r="C271" s="18" t="s">
        <v>1028</v>
      </c>
      <c r="D271" s="18" t="s">
        <v>1033</v>
      </c>
      <c r="E271" s="18">
        <v>1998</v>
      </c>
      <c r="F271" s="18">
        <v>137</v>
      </c>
      <c r="G271" s="18" t="s">
        <v>402</v>
      </c>
      <c r="H271" s="18" t="s">
        <v>402</v>
      </c>
      <c r="I271" s="18" t="s">
        <v>1036</v>
      </c>
      <c r="J271" s="18" t="s">
        <v>637</v>
      </c>
      <c r="K271" s="18" t="s">
        <v>438</v>
      </c>
    </row>
    <row r="272" spans="1:11" ht="13">
      <c r="A272" s="18" t="s">
        <v>1027</v>
      </c>
      <c r="B272" s="18" t="s">
        <v>434</v>
      </c>
      <c r="C272" s="18" t="s">
        <v>1028</v>
      </c>
      <c r="D272" s="18" t="s">
        <v>1033</v>
      </c>
      <c r="E272" s="18">
        <v>1999</v>
      </c>
      <c r="F272" s="18">
        <v>147</v>
      </c>
      <c r="G272" s="18" t="s">
        <v>402</v>
      </c>
      <c r="H272" s="18" t="s">
        <v>402</v>
      </c>
      <c r="I272" s="18" t="s">
        <v>1036</v>
      </c>
      <c r="J272" s="18" t="s">
        <v>637</v>
      </c>
      <c r="K272" s="18" t="s">
        <v>438</v>
      </c>
    </row>
    <row r="273" spans="1:11" ht="13">
      <c r="A273" s="18" t="s">
        <v>1027</v>
      </c>
      <c r="B273" s="18" t="s">
        <v>434</v>
      </c>
      <c r="C273" s="18" t="s">
        <v>1028</v>
      </c>
      <c r="D273" s="18" t="s">
        <v>1033</v>
      </c>
      <c r="E273" s="18">
        <v>2000</v>
      </c>
      <c r="F273" s="18">
        <v>158</v>
      </c>
      <c r="G273" s="18" t="s">
        <v>402</v>
      </c>
      <c r="H273" s="18" t="s">
        <v>402</v>
      </c>
      <c r="I273" s="18" t="s">
        <v>1036</v>
      </c>
      <c r="J273" s="18" t="s">
        <v>637</v>
      </c>
      <c r="K273" s="18" t="s">
        <v>438</v>
      </c>
    </row>
    <row r="274" spans="1:11" ht="13">
      <c r="A274" s="18" t="s">
        <v>1027</v>
      </c>
      <c r="B274" s="18" t="s">
        <v>434</v>
      </c>
      <c r="C274" s="18" t="s">
        <v>1028</v>
      </c>
      <c r="D274" s="18" t="s">
        <v>1033</v>
      </c>
      <c r="E274" s="18">
        <v>2001</v>
      </c>
      <c r="F274" s="18">
        <v>166</v>
      </c>
      <c r="G274" s="18" t="s">
        <v>402</v>
      </c>
      <c r="H274" s="18" t="s">
        <v>402</v>
      </c>
      <c r="I274" s="18" t="s">
        <v>1036</v>
      </c>
      <c r="J274" s="18" t="s">
        <v>637</v>
      </c>
      <c r="K274" s="18" t="s">
        <v>438</v>
      </c>
    </row>
    <row r="275" spans="1:11" ht="13">
      <c r="A275" s="18" t="s">
        <v>1027</v>
      </c>
      <c r="B275" s="18" t="s">
        <v>434</v>
      </c>
      <c r="C275" s="18" t="s">
        <v>1028</v>
      </c>
      <c r="D275" s="18" t="s">
        <v>1033</v>
      </c>
      <c r="E275" s="18">
        <v>2002</v>
      </c>
      <c r="F275" s="18">
        <v>177</v>
      </c>
      <c r="G275" s="18" t="s">
        <v>402</v>
      </c>
      <c r="H275" s="18" t="s">
        <v>402</v>
      </c>
      <c r="I275" s="18" t="s">
        <v>1036</v>
      </c>
      <c r="J275" s="18" t="s">
        <v>637</v>
      </c>
      <c r="K275" s="18" t="s">
        <v>438</v>
      </c>
    </row>
    <row r="276" spans="1:11" ht="13">
      <c r="A276" s="18" t="s">
        <v>1027</v>
      </c>
      <c r="B276" s="18" t="s">
        <v>434</v>
      </c>
      <c r="C276" s="18" t="s">
        <v>1028</v>
      </c>
      <c r="D276" s="18" t="s">
        <v>1033</v>
      </c>
      <c r="E276" s="18">
        <v>2003</v>
      </c>
      <c r="F276" s="18">
        <v>187</v>
      </c>
      <c r="G276" s="18" t="s">
        <v>402</v>
      </c>
      <c r="H276" s="18" t="s">
        <v>402</v>
      </c>
      <c r="I276" s="18" t="s">
        <v>1036</v>
      </c>
      <c r="J276" s="18" t="s">
        <v>637</v>
      </c>
      <c r="K276" s="18" t="s">
        <v>438</v>
      </c>
    </row>
    <row r="277" spans="1:11" ht="13">
      <c r="A277" s="18" t="s">
        <v>1027</v>
      </c>
      <c r="B277" s="18" t="s">
        <v>434</v>
      </c>
      <c r="C277" s="18" t="s">
        <v>1028</v>
      </c>
      <c r="D277" s="18" t="s">
        <v>1033</v>
      </c>
      <c r="E277" s="18">
        <v>2004</v>
      </c>
      <c r="F277" s="18">
        <v>198</v>
      </c>
      <c r="G277" s="18" t="s">
        <v>402</v>
      </c>
      <c r="H277" s="18" t="s">
        <v>402</v>
      </c>
      <c r="I277" s="18" t="s">
        <v>1036</v>
      </c>
      <c r="J277" s="18" t="s">
        <v>637</v>
      </c>
      <c r="K277" s="18" t="s">
        <v>438</v>
      </c>
    </row>
    <row r="278" spans="1:11" ht="13">
      <c r="A278" s="18" t="s">
        <v>1027</v>
      </c>
      <c r="B278" s="18" t="s">
        <v>434</v>
      </c>
      <c r="C278" s="18" t="s">
        <v>1028</v>
      </c>
      <c r="D278" s="18" t="s">
        <v>1033</v>
      </c>
      <c r="E278" s="18">
        <v>2005</v>
      </c>
      <c r="F278" s="18">
        <v>208</v>
      </c>
      <c r="G278" s="18" t="s">
        <v>402</v>
      </c>
      <c r="H278" s="18" t="s">
        <v>402</v>
      </c>
      <c r="I278" s="18" t="s">
        <v>1036</v>
      </c>
      <c r="J278" s="18" t="s">
        <v>637</v>
      </c>
      <c r="K278" s="18" t="s">
        <v>438</v>
      </c>
    </row>
    <row r="279" spans="1:11" ht="13">
      <c r="A279" s="18" t="s">
        <v>1027</v>
      </c>
      <c r="B279" s="18" t="s">
        <v>434</v>
      </c>
      <c r="C279" s="18" t="s">
        <v>1028</v>
      </c>
      <c r="D279" s="18" t="s">
        <v>1033</v>
      </c>
      <c r="E279" s="18">
        <v>2006</v>
      </c>
      <c r="F279" s="18">
        <v>215</v>
      </c>
      <c r="G279" s="18" t="s">
        <v>402</v>
      </c>
      <c r="H279" s="18" t="s">
        <v>402</v>
      </c>
      <c r="I279" s="18" t="s">
        <v>1036</v>
      </c>
      <c r="J279" s="18" t="s">
        <v>637</v>
      </c>
      <c r="K279" s="18" t="s">
        <v>438</v>
      </c>
    </row>
    <row r="280" spans="1:11" ht="13">
      <c r="A280" s="18" t="s">
        <v>1027</v>
      </c>
      <c r="B280" s="18" t="s">
        <v>434</v>
      </c>
      <c r="C280" s="18" t="s">
        <v>1028</v>
      </c>
      <c r="D280" s="18" t="s">
        <v>1033</v>
      </c>
      <c r="E280" s="18">
        <v>2007</v>
      </c>
      <c r="F280" s="18">
        <v>223</v>
      </c>
      <c r="G280" s="18" t="s">
        <v>402</v>
      </c>
      <c r="H280" s="18" t="s">
        <v>402</v>
      </c>
      <c r="I280" s="18" t="s">
        <v>1036</v>
      </c>
      <c r="J280" s="18" t="s">
        <v>637</v>
      </c>
      <c r="K280" s="18" t="s">
        <v>438</v>
      </c>
    </row>
    <row r="281" spans="1:11" ht="13">
      <c r="A281" s="18" t="s">
        <v>1027</v>
      </c>
      <c r="B281" s="18" t="s">
        <v>434</v>
      </c>
      <c r="C281" s="18" t="s">
        <v>1028</v>
      </c>
      <c r="D281" s="18" t="s">
        <v>1033</v>
      </c>
      <c r="E281" s="18">
        <v>2008</v>
      </c>
      <c r="F281" s="18">
        <v>232</v>
      </c>
      <c r="G281" s="18" t="s">
        <v>402</v>
      </c>
      <c r="H281" s="18" t="s">
        <v>402</v>
      </c>
      <c r="I281" s="18" t="s">
        <v>1036</v>
      </c>
      <c r="J281" s="18" t="s">
        <v>637</v>
      </c>
      <c r="K281" s="18" t="s">
        <v>438</v>
      </c>
    </row>
    <row r="282" spans="1:11" ht="13">
      <c r="A282" s="18" t="s">
        <v>1027</v>
      </c>
      <c r="B282" s="18" t="s">
        <v>434</v>
      </c>
      <c r="C282" s="18" t="s">
        <v>1028</v>
      </c>
      <c r="D282" s="18" t="s">
        <v>1033</v>
      </c>
      <c r="E282" s="18">
        <v>2009</v>
      </c>
      <c r="F282" s="18">
        <v>240</v>
      </c>
      <c r="G282" s="18" t="s">
        <v>402</v>
      </c>
      <c r="H282" s="18" t="s">
        <v>402</v>
      </c>
      <c r="I282" s="18" t="s">
        <v>1036</v>
      </c>
      <c r="J282" s="18" t="s">
        <v>637</v>
      </c>
      <c r="K282" s="18" t="s">
        <v>438</v>
      </c>
    </row>
    <row r="283" spans="1:11" ht="13">
      <c r="A283" s="18" t="s">
        <v>1027</v>
      </c>
      <c r="B283" s="18" t="s">
        <v>434</v>
      </c>
      <c r="C283" s="18" t="s">
        <v>1028</v>
      </c>
      <c r="D283" s="18" t="s">
        <v>1033</v>
      </c>
      <c r="E283" s="18">
        <v>2010</v>
      </c>
      <c r="F283" s="18">
        <v>248</v>
      </c>
      <c r="G283" s="18" t="s">
        <v>402</v>
      </c>
      <c r="H283" s="18" t="s">
        <v>402</v>
      </c>
      <c r="I283" s="18" t="s">
        <v>1036</v>
      </c>
      <c r="J283" s="18" t="s">
        <v>637</v>
      </c>
      <c r="K283" s="18" t="s">
        <v>438</v>
      </c>
    </row>
    <row r="284" spans="1:11" ht="13">
      <c r="A284" s="18" t="s">
        <v>1027</v>
      </c>
      <c r="B284" s="18" t="s">
        <v>434</v>
      </c>
      <c r="C284" s="18" t="s">
        <v>1028</v>
      </c>
      <c r="D284" s="18" t="s">
        <v>1033</v>
      </c>
      <c r="E284" s="18">
        <v>2011</v>
      </c>
      <c r="F284" s="18">
        <v>259</v>
      </c>
      <c r="G284" s="18" t="s">
        <v>402</v>
      </c>
      <c r="H284" s="18" t="s">
        <v>402</v>
      </c>
      <c r="I284" s="18" t="s">
        <v>1036</v>
      </c>
      <c r="J284" s="18" t="s">
        <v>637</v>
      </c>
      <c r="K284" s="18" t="s">
        <v>438</v>
      </c>
    </row>
    <row r="285" spans="1:11" ht="13">
      <c r="A285" s="18" t="s">
        <v>1027</v>
      </c>
      <c r="B285" s="18" t="s">
        <v>434</v>
      </c>
      <c r="C285" s="18" t="s">
        <v>1028</v>
      </c>
      <c r="D285" s="18" t="s">
        <v>1033</v>
      </c>
      <c r="E285" s="18">
        <v>2012</v>
      </c>
      <c r="F285" s="18">
        <v>263</v>
      </c>
      <c r="G285" s="18" t="s">
        <v>402</v>
      </c>
      <c r="H285" s="18" t="s">
        <v>402</v>
      </c>
      <c r="I285" s="18" t="s">
        <v>1036</v>
      </c>
      <c r="J285" s="18" t="s">
        <v>637</v>
      </c>
      <c r="K285" s="18" t="s">
        <v>438</v>
      </c>
    </row>
    <row r="286" spans="1:11" ht="13">
      <c r="A286" s="18" t="s">
        <v>1027</v>
      </c>
      <c r="B286" s="18" t="s">
        <v>434</v>
      </c>
      <c r="C286" s="18" t="s">
        <v>1028</v>
      </c>
      <c r="D286" s="18" t="s">
        <v>1033</v>
      </c>
      <c r="E286" s="18">
        <v>2013</v>
      </c>
      <c r="F286" s="18">
        <v>269</v>
      </c>
      <c r="G286" s="18" t="s">
        <v>402</v>
      </c>
      <c r="H286" s="18" t="s">
        <v>402</v>
      </c>
      <c r="I286" s="18" t="s">
        <v>1036</v>
      </c>
      <c r="J286" s="18" t="s">
        <v>637</v>
      </c>
      <c r="K286" s="18" t="s">
        <v>438</v>
      </c>
    </row>
    <row r="287" spans="1:11" ht="13">
      <c r="A287" s="18" t="s">
        <v>1027</v>
      </c>
      <c r="B287" s="18" t="s">
        <v>434</v>
      </c>
      <c r="C287" s="18" t="s">
        <v>1028</v>
      </c>
      <c r="D287" s="18" t="s">
        <v>1033</v>
      </c>
      <c r="E287" s="18">
        <v>2014</v>
      </c>
      <c r="F287" s="18">
        <v>274</v>
      </c>
      <c r="G287" s="18" t="s">
        <v>402</v>
      </c>
      <c r="H287" s="18" t="s">
        <v>402</v>
      </c>
      <c r="I287" s="18" t="s">
        <v>1036</v>
      </c>
      <c r="J287" s="18" t="s">
        <v>637</v>
      </c>
      <c r="K287" s="18" t="s">
        <v>438</v>
      </c>
    </row>
    <row r="288" spans="1:11" ht="13">
      <c r="A288" s="18" t="s">
        <v>1027</v>
      </c>
      <c r="B288" s="18" t="s">
        <v>434</v>
      </c>
      <c r="C288" s="18" t="s">
        <v>1028</v>
      </c>
      <c r="D288" s="18" t="s">
        <v>1033</v>
      </c>
      <c r="E288" s="18">
        <v>2015</v>
      </c>
      <c r="F288" s="18">
        <v>284</v>
      </c>
      <c r="G288" s="18" t="s">
        <v>402</v>
      </c>
      <c r="H288" s="18" t="s">
        <v>402</v>
      </c>
      <c r="I288" s="18" t="s">
        <v>1036</v>
      </c>
      <c r="J288" s="18" t="s">
        <v>637</v>
      </c>
      <c r="K288" s="18" t="s">
        <v>438</v>
      </c>
    </row>
    <row r="289" spans="1:11" ht="13">
      <c r="A289" s="18" t="s">
        <v>1027</v>
      </c>
      <c r="B289" s="18" t="s">
        <v>434</v>
      </c>
      <c r="C289" s="18" t="s">
        <v>1028</v>
      </c>
      <c r="D289" s="18" t="s">
        <v>1033</v>
      </c>
      <c r="E289" s="18">
        <v>2016</v>
      </c>
      <c r="F289" s="18">
        <v>288</v>
      </c>
      <c r="G289" s="18" t="s">
        <v>402</v>
      </c>
      <c r="H289" s="18" t="s">
        <v>402</v>
      </c>
      <c r="I289" s="18" t="s">
        <v>1036</v>
      </c>
      <c r="J289" s="18" t="s">
        <v>637</v>
      </c>
      <c r="K289" s="18" t="s">
        <v>438</v>
      </c>
    </row>
    <row r="290" spans="1:11" ht="13">
      <c r="A290" s="18" t="s">
        <v>1027</v>
      </c>
      <c r="B290" s="18" t="s">
        <v>434</v>
      </c>
      <c r="C290" s="18" t="s">
        <v>1028</v>
      </c>
      <c r="D290" s="18" t="s">
        <v>1033</v>
      </c>
      <c r="E290" s="18">
        <v>2017</v>
      </c>
      <c r="F290" s="18">
        <v>293</v>
      </c>
      <c r="G290" s="18" t="s">
        <v>402</v>
      </c>
      <c r="H290" s="18" t="s">
        <v>402</v>
      </c>
      <c r="I290" s="18" t="s">
        <v>1036</v>
      </c>
      <c r="J290" s="18" t="s">
        <v>637</v>
      </c>
      <c r="K290" s="18" t="s">
        <v>438</v>
      </c>
    </row>
    <row r="291" spans="1:11" ht="13">
      <c r="A291" s="18" t="s">
        <v>1027</v>
      </c>
      <c r="B291" s="18" t="s">
        <v>434</v>
      </c>
      <c r="C291" s="18" t="s">
        <v>1028</v>
      </c>
      <c r="D291" s="18" t="s">
        <v>1033</v>
      </c>
      <c r="E291" s="18">
        <v>2018</v>
      </c>
      <c r="F291" s="18">
        <v>295</v>
      </c>
      <c r="G291" s="18" t="s">
        <v>402</v>
      </c>
      <c r="H291" s="18" t="s">
        <v>402</v>
      </c>
      <c r="I291" s="18" t="s">
        <v>1036</v>
      </c>
      <c r="J291" s="18" t="s">
        <v>637</v>
      </c>
      <c r="K291" s="18" t="s">
        <v>438</v>
      </c>
    </row>
    <row r="292" spans="1:11" ht="13">
      <c r="A292" s="18" t="s">
        <v>1027</v>
      </c>
      <c r="B292" s="18" t="s">
        <v>434</v>
      </c>
      <c r="C292" s="18" t="s">
        <v>1028</v>
      </c>
      <c r="D292" s="18" t="s">
        <v>1033</v>
      </c>
      <c r="E292" s="18">
        <v>2019</v>
      </c>
      <c r="F292" s="18">
        <v>299</v>
      </c>
      <c r="G292" s="18" t="s">
        <v>402</v>
      </c>
      <c r="H292" s="18" t="s">
        <v>402</v>
      </c>
      <c r="I292" s="18" t="s">
        <v>1036</v>
      </c>
      <c r="J292" s="18" t="s">
        <v>637</v>
      </c>
      <c r="K292" s="18" t="s">
        <v>438</v>
      </c>
    </row>
    <row r="293" spans="1:11" ht="13">
      <c r="A293" s="18" t="s">
        <v>1027</v>
      </c>
      <c r="B293" s="18" t="s">
        <v>434</v>
      </c>
      <c r="C293" s="18" t="s">
        <v>1028</v>
      </c>
      <c r="D293" s="18" t="s">
        <v>1033</v>
      </c>
      <c r="E293" s="18">
        <v>2020</v>
      </c>
      <c r="F293" s="18">
        <v>303</v>
      </c>
      <c r="G293" s="18" t="s">
        <v>402</v>
      </c>
      <c r="H293" s="18" t="s">
        <v>402</v>
      </c>
      <c r="I293" s="18" t="s">
        <v>1036</v>
      </c>
      <c r="J293" s="18" t="s">
        <v>637</v>
      </c>
      <c r="K293" s="18" t="s">
        <v>438</v>
      </c>
    </row>
    <row r="294" spans="1:11" ht="13">
      <c r="A294" s="18" t="s">
        <v>1027</v>
      </c>
      <c r="B294" s="18" t="s">
        <v>434</v>
      </c>
      <c r="C294" s="18" t="s">
        <v>1028</v>
      </c>
      <c r="D294" s="18" t="s">
        <v>1033</v>
      </c>
      <c r="E294" s="18">
        <v>2021</v>
      </c>
      <c r="F294" s="18">
        <v>312</v>
      </c>
      <c r="G294" s="18" t="s">
        <v>402</v>
      </c>
      <c r="H294" s="18" t="s">
        <v>402</v>
      </c>
      <c r="I294" s="18" t="s">
        <v>1036</v>
      </c>
      <c r="J294" s="18" t="s">
        <v>637</v>
      </c>
      <c r="K294" s="18" t="s">
        <v>438</v>
      </c>
    </row>
    <row r="295" spans="1:11" ht="13">
      <c r="A295" s="18" t="s">
        <v>1027</v>
      </c>
      <c r="B295" s="18" t="s">
        <v>434</v>
      </c>
      <c r="C295" s="18" t="s">
        <v>1032</v>
      </c>
      <c r="D295" s="18" t="s">
        <v>1033</v>
      </c>
      <c r="E295" s="18">
        <v>1960</v>
      </c>
      <c r="F295" s="18">
        <v>4</v>
      </c>
      <c r="G295" s="18" t="s">
        <v>402</v>
      </c>
      <c r="H295" s="18" t="s">
        <v>402</v>
      </c>
      <c r="I295" s="18" t="s">
        <v>1036</v>
      </c>
      <c r="J295" s="18" t="s">
        <v>637</v>
      </c>
      <c r="K295" s="18" t="s">
        <v>438</v>
      </c>
    </row>
    <row r="296" spans="1:11" ht="13">
      <c r="A296" s="18" t="s">
        <v>1027</v>
      </c>
      <c r="B296" s="18" t="s">
        <v>434</v>
      </c>
      <c r="C296" s="18" t="s">
        <v>1032</v>
      </c>
      <c r="D296" s="18" t="s">
        <v>1033</v>
      </c>
      <c r="E296" s="18">
        <v>1961</v>
      </c>
      <c r="F296" s="18">
        <v>5</v>
      </c>
      <c r="G296" s="18" t="s">
        <v>402</v>
      </c>
      <c r="H296" s="18" t="s">
        <v>402</v>
      </c>
      <c r="I296" s="18" t="s">
        <v>1036</v>
      </c>
      <c r="J296" s="18" t="s">
        <v>637</v>
      </c>
      <c r="K296" s="18" t="s">
        <v>438</v>
      </c>
    </row>
    <row r="297" spans="1:11" ht="13">
      <c r="A297" s="18" t="s">
        <v>1027</v>
      </c>
      <c r="B297" s="18" t="s">
        <v>434</v>
      </c>
      <c r="C297" s="18" t="s">
        <v>1032</v>
      </c>
      <c r="D297" s="18" t="s">
        <v>1033</v>
      </c>
      <c r="E297" s="18">
        <v>1962</v>
      </c>
      <c r="F297" s="18">
        <v>5</v>
      </c>
      <c r="G297" s="18" t="s">
        <v>402</v>
      </c>
      <c r="H297" s="18" t="s">
        <v>402</v>
      </c>
      <c r="I297" s="18" t="s">
        <v>1036</v>
      </c>
      <c r="J297" s="18" t="s">
        <v>637</v>
      </c>
      <c r="K297" s="18" t="s">
        <v>438</v>
      </c>
    </row>
    <row r="298" spans="1:11" ht="13">
      <c r="A298" s="18" t="s">
        <v>1027</v>
      </c>
      <c r="B298" s="18" t="s">
        <v>434</v>
      </c>
      <c r="C298" s="18" t="s">
        <v>1032</v>
      </c>
      <c r="D298" s="18" t="s">
        <v>1033</v>
      </c>
      <c r="E298" s="18">
        <v>1963</v>
      </c>
      <c r="F298" s="18">
        <v>6</v>
      </c>
      <c r="G298" s="18" t="s">
        <v>402</v>
      </c>
      <c r="H298" s="18" t="s">
        <v>402</v>
      </c>
      <c r="I298" s="18" t="s">
        <v>1036</v>
      </c>
      <c r="J298" s="18" t="s">
        <v>637</v>
      </c>
      <c r="K298" s="18" t="s">
        <v>438</v>
      </c>
    </row>
    <row r="299" spans="1:11" ht="13">
      <c r="A299" s="18" t="s">
        <v>1027</v>
      </c>
      <c r="B299" s="18" t="s">
        <v>434</v>
      </c>
      <c r="C299" s="18" t="s">
        <v>1032</v>
      </c>
      <c r="D299" s="18" t="s">
        <v>1033</v>
      </c>
      <c r="E299" s="18">
        <v>1964</v>
      </c>
      <c r="F299" s="18">
        <v>7</v>
      </c>
      <c r="G299" s="18" t="s">
        <v>402</v>
      </c>
      <c r="H299" s="18" t="s">
        <v>402</v>
      </c>
      <c r="I299" s="18" t="s">
        <v>1036</v>
      </c>
      <c r="J299" s="18" t="s">
        <v>637</v>
      </c>
      <c r="K299" s="18" t="s">
        <v>438</v>
      </c>
    </row>
    <row r="300" spans="1:11" ht="13">
      <c r="A300" s="18" t="s">
        <v>1027</v>
      </c>
      <c r="B300" s="18" t="s">
        <v>434</v>
      </c>
      <c r="C300" s="18" t="s">
        <v>1032</v>
      </c>
      <c r="D300" s="18" t="s">
        <v>1033</v>
      </c>
      <c r="E300" s="18">
        <v>1965</v>
      </c>
      <c r="F300" s="18">
        <v>7</v>
      </c>
      <c r="G300" s="18" t="s">
        <v>402</v>
      </c>
      <c r="H300" s="18" t="s">
        <v>402</v>
      </c>
      <c r="I300" s="18" t="s">
        <v>1036</v>
      </c>
      <c r="J300" s="18" t="s">
        <v>637</v>
      </c>
      <c r="K300" s="18" t="s">
        <v>438</v>
      </c>
    </row>
    <row r="301" spans="1:11" ht="13">
      <c r="A301" s="18" t="s">
        <v>1027</v>
      </c>
      <c r="B301" s="18" t="s">
        <v>434</v>
      </c>
      <c r="C301" s="18" t="s">
        <v>1032</v>
      </c>
      <c r="D301" s="18" t="s">
        <v>1033</v>
      </c>
      <c r="E301" s="18">
        <v>1966</v>
      </c>
      <c r="F301" s="18">
        <v>8</v>
      </c>
      <c r="G301" s="18" t="s">
        <v>402</v>
      </c>
      <c r="H301" s="18" t="s">
        <v>402</v>
      </c>
      <c r="I301" s="18" t="s">
        <v>1036</v>
      </c>
      <c r="J301" s="18" t="s">
        <v>637</v>
      </c>
      <c r="K301" s="18" t="s">
        <v>438</v>
      </c>
    </row>
    <row r="302" spans="1:11" ht="13">
      <c r="A302" s="18" t="s">
        <v>1027</v>
      </c>
      <c r="B302" s="18" t="s">
        <v>434</v>
      </c>
      <c r="C302" s="18" t="s">
        <v>1032</v>
      </c>
      <c r="D302" s="18" t="s">
        <v>1033</v>
      </c>
      <c r="E302" s="18">
        <v>1967</v>
      </c>
      <c r="F302" s="18">
        <v>9</v>
      </c>
      <c r="G302" s="18" t="s">
        <v>402</v>
      </c>
      <c r="H302" s="18" t="s">
        <v>402</v>
      </c>
      <c r="I302" s="18" t="s">
        <v>1036</v>
      </c>
      <c r="J302" s="18" t="s">
        <v>637</v>
      </c>
      <c r="K302" s="18" t="s">
        <v>438</v>
      </c>
    </row>
    <row r="303" spans="1:11" ht="13">
      <c r="A303" s="18" t="s">
        <v>1027</v>
      </c>
      <c r="B303" s="18" t="s">
        <v>434</v>
      </c>
      <c r="C303" s="18" t="s">
        <v>1032</v>
      </c>
      <c r="D303" s="18" t="s">
        <v>1033</v>
      </c>
      <c r="E303" s="18">
        <v>1968</v>
      </c>
      <c r="F303" s="18">
        <v>10</v>
      </c>
      <c r="G303" s="18" t="s">
        <v>402</v>
      </c>
      <c r="H303" s="18" t="s">
        <v>402</v>
      </c>
      <c r="I303" s="18" t="s">
        <v>1036</v>
      </c>
      <c r="J303" s="18" t="s">
        <v>637</v>
      </c>
      <c r="K303" s="18" t="s">
        <v>438</v>
      </c>
    </row>
    <row r="304" spans="1:11" ht="13">
      <c r="A304" s="18" t="s">
        <v>1027</v>
      </c>
      <c r="B304" s="18" t="s">
        <v>434</v>
      </c>
      <c r="C304" s="18" t="s">
        <v>1032</v>
      </c>
      <c r="D304" s="18" t="s">
        <v>1033</v>
      </c>
      <c r="E304" s="18">
        <v>1969</v>
      </c>
      <c r="F304" s="18">
        <v>10</v>
      </c>
      <c r="G304" s="18" t="s">
        <v>402</v>
      </c>
      <c r="H304" s="18" t="s">
        <v>402</v>
      </c>
      <c r="I304" s="18" t="s">
        <v>1036</v>
      </c>
      <c r="J304" s="18" t="s">
        <v>637</v>
      </c>
      <c r="K304" s="18" t="s">
        <v>438</v>
      </c>
    </row>
    <row r="305" spans="1:11" ht="13">
      <c r="A305" s="18" t="s">
        <v>1027</v>
      </c>
      <c r="B305" s="18" t="s">
        <v>434</v>
      </c>
      <c r="C305" s="18" t="s">
        <v>1032</v>
      </c>
      <c r="D305" s="18" t="s">
        <v>1033</v>
      </c>
      <c r="E305" s="18">
        <v>1970</v>
      </c>
      <c r="F305" s="18">
        <v>12</v>
      </c>
      <c r="G305" s="18" t="s">
        <v>402</v>
      </c>
      <c r="H305" s="18" t="s">
        <v>402</v>
      </c>
      <c r="I305" s="18" t="s">
        <v>1036</v>
      </c>
      <c r="J305" s="18" t="s">
        <v>637</v>
      </c>
      <c r="K305" s="18" t="s">
        <v>438</v>
      </c>
    </row>
    <row r="306" spans="1:11" ht="13">
      <c r="A306" s="18" t="s">
        <v>1027</v>
      </c>
      <c r="B306" s="18" t="s">
        <v>434</v>
      </c>
      <c r="C306" s="18" t="s">
        <v>1032</v>
      </c>
      <c r="D306" s="18" t="s">
        <v>1033</v>
      </c>
      <c r="E306" s="18">
        <v>1971</v>
      </c>
      <c r="F306" s="18">
        <v>13</v>
      </c>
      <c r="G306" s="18" t="s">
        <v>402</v>
      </c>
      <c r="H306" s="18" t="s">
        <v>402</v>
      </c>
      <c r="I306" s="18" t="s">
        <v>1036</v>
      </c>
      <c r="J306" s="18" t="s">
        <v>637</v>
      </c>
      <c r="K306" s="18" t="s">
        <v>438</v>
      </c>
    </row>
    <row r="307" spans="1:11" ht="13">
      <c r="A307" s="18" t="s">
        <v>1027</v>
      </c>
      <c r="B307" s="18" t="s">
        <v>434</v>
      </c>
      <c r="C307" s="18" t="s">
        <v>1032</v>
      </c>
      <c r="D307" s="18" t="s">
        <v>1033</v>
      </c>
      <c r="E307" s="18">
        <v>1972</v>
      </c>
      <c r="F307" s="18">
        <v>14</v>
      </c>
      <c r="G307" s="18" t="s">
        <v>402</v>
      </c>
      <c r="H307" s="18" t="s">
        <v>402</v>
      </c>
      <c r="I307" s="18" t="s">
        <v>1036</v>
      </c>
      <c r="J307" s="18" t="s">
        <v>637</v>
      </c>
      <c r="K307" s="18" t="s">
        <v>438</v>
      </c>
    </row>
    <row r="308" spans="1:11" ht="13">
      <c r="A308" s="18" t="s">
        <v>1027</v>
      </c>
      <c r="B308" s="18" t="s">
        <v>434</v>
      </c>
      <c r="C308" s="18" t="s">
        <v>1032</v>
      </c>
      <c r="D308" s="18" t="s">
        <v>1033</v>
      </c>
      <c r="E308" s="18">
        <v>1973</v>
      </c>
      <c r="F308" s="18">
        <v>15</v>
      </c>
      <c r="G308" s="18" t="s">
        <v>402</v>
      </c>
      <c r="H308" s="18" t="s">
        <v>402</v>
      </c>
      <c r="I308" s="18" t="s">
        <v>1036</v>
      </c>
      <c r="J308" s="18" t="s">
        <v>637</v>
      </c>
      <c r="K308" s="18" t="s">
        <v>438</v>
      </c>
    </row>
    <row r="309" spans="1:11" ht="13">
      <c r="A309" s="18" t="s">
        <v>1027</v>
      </c>
      <c r="B309" s="18" t="s">
        <v>434</v>
      </c>
      <c r="C309" s="18" t="s">
        <v>1032</v>
      </c>
      <c r="D309" s="18" t="s">
        <v>1033</v>
      </c>
      <c r="E309" s="18">
        <v>1974</v>
      </c>
      <c r="F309" s="18">
        <v>16</v>
      </c>
      <c r="G309" s="18" t="s">
        <v>402</v>
      </c>
      <c r="H309" s="18" t="s">
        <v>402</v>
      </c>
      <c r="I309" s="18" t="s">
        <v>1036</v>
      </c>
      <c r="J309" s="18" t="s">
        <v>637</v>
      </c>
      <c r="K309" s="18" t="s">
        <v>438</v>
      </c>
    </row>
    <row r="310" spans="1:11" ht="13">
      <c r="A310" s="18" t="s">
        <v>1027</v>
      </c>
      <c r="B310" s="18" t="s">
        <v>434</v>
      </c>
      <c r="C310" s="18" t="s">
        <v>1032</v>
      </c>
      <c r="D310" s="18" t="s">
        <v>1033</v>
      </c>
      <c r="E310" s="18">
        <v>1975</v>
      </c>
      <c r="F310" s="18">
        <v>15</v>
      </c>
      <c r="G310" s="18" t="s">
        <v>402</v>
      </c>
      <c r="H310" s="18" t="s">
        <v>402</v>
      </c>
      <c r="I310" s="18" t="s">
        <v>1036</v>
      </c>
      <c r="J310" s="18" t="s">
        <v>637</v>
      </c>
      <c r="K310" s="18" t="s">
        <v>438</v>
      </c>
    </row>
    <row r="311" spans="1:11" ht="13">
      <c r="A311" s="18" t="s">
        <v>1027</v>
      </c>
      <c r="B311" s="18" t="s">
        <v>434</v>
      </c>
      <c r="C311" s="18" t="s">
        <v>1032</v>
      </c>
      <c r="D311" s="18" t="s">
        <v>1033</v>
      </c>
      <c r="E311" s="18">
        <v>1976</v>
      </c>
      <c r="F311" s="18">
        <v>17</v>
      </c>
      <c r="G311" s="18" t="s">
        <v>402</v>
      </c>
      <c r="H311" s="18" t="s">
        <v>402</v>
      </c>
      <c r="I311" s="18" t="s">
        <v>1036</v>
      </c>
      <c r="J311" s="18" t="s">
        <v>637</v>
      </c>
      <c r="K311" s="18" t="s">
        <v>438</v>
      </c>
    </row>
    <row r="312" spans="1:11" ht="13">
      <c r="A312" s="18" t="s">
        <v>1027</v>
      </c>
      <c r="B312" s="18" t="s">
        <v>434</v>
      </c>
      <c r="C312" s="18" t="s">
        <v>1032</v>
      </c>
      <c r="D312" s="18" t="s">
        <v>1033</v>
      </c>
      <c r="E312" s="18">
        <v>1977</v>
      </c>
      <c r="F312" s="18">
        <v>19</v>
      </c>
      <c r="G312" s="18" t="s">
        <v>402</v>
      </c>
      <c r="H312" s="18" t="s">
        <v>402</v>
      </c>
      <c r="I312" s="18" t="s">
        <v>1036</v>
      </c>
      <c r="J312" s="18" t="s">
        <v>637</v>
      </c>
      <c r="K312" s="18" t="s">
        <v>438</v>
      </c>
    </row>
    <row r="313" spans="1:11" ht="13">
      <c r="A313" s="18" t="s">
        <v>1027</v>
      </c>
      <c r="B313" s="18" t="s">
        <v>434</v>
      </c>
      <c r="C313" s="18" t="s">
        <v>1032</v>
      </c>
      <c r="D313" s="18" t="s">
        <v>1033</v>
      </c>
      <c r="E313" s="18">
        <v>1978</v>
      </c>
      <c r="F313" s="18">
        <v>18</v>
      </c>
      <c r="G313" s="18" t="s">
        <v>402</v>
      </c>
      <c r="H313" s="18" t="s">
        <v>402</v>
      </c>
      <c r="I313" s="18" t="s">
        <v>1036</v>
      </c>
      <c r="J313" s="18" t="s">
        <v>637</v>
      </c>
      <c r="K313" s="18" t="s">
        <v>438</v>
      </c>
    </row>
    <row r="314" spans="1:11" ht="13">
      <c r="A314" s="18" t="s">
        <v>1027</v>
      </c>
      <c r="B314" s="18" t="s">
        <v>434</v>
      </c>
      <c r="C314" s="18" t="s">
        <v>1032</v>
      </c>
      <c r="D314" s="18" t="s">
        <v>1033</v>
      </c>
      <c r="E314" s="18">
        <v>1979</v>
      </c>
      <c r="F314" s="18">
        <v>21</v>
      </c>
      <c r="G314" s="18" t="s">
        <v>402</v>
      </c>
      <c r="H314" s="18" t="s">
        <v>402</v>
      </c>
      <c r="I314" s="18" t="s">
        <v>1036</v>
      </c>
      <c r="J314" s="18" t="s">
        <v>637</v>
      </c>
      <c r="K314" s="18" t="s">
        <v>438</v>
      </c>
    </row>
    <row r="315" spans="1:11" ht="13">
      <c r="A315" s="18" t="s">
        <v>1027</v>
      </c>
      <c r="B315" s="18" t="s">
        <v>434</v>
      </c>
      <c r="C315" s="18" t="s">
        <v>1032</v>
      </c>
      <c r="D315" s="18" t="s">
        <v>1033</v>
      </c>
      <c r="E315" s="18">
        <v>1980</v>
      </c>
      <c r="F315" s="18">
        <v>21</v>
      </c>
      <c r="G315" s="18" t="s">
        <v>402</v>
      </c>
      <c r="H315" s="18" t="s">
        <v>402</v>
      </c>
      <c r="I315" s="18" t="s">
        <v>1036</v>
      </c>
      <c r="J315" s="18" t="s">
        <v>637</v>
      </c>
      <c r="K315" s="18" t="s">
        <v>438</v>
      </c>
    </row>
    <row r="316" spans="1:11" ht="13">
      <c r="A316" s="18" t="s">
        <v>1027</v>
      </c>
      <c r="B316" s="18" t="s">
        <v>434</v>
      </c>
      <c r="C316" s="18" t="s">
        <v>1032</v>
      </c>
      <c r="D316" s="18" t="s">
        <v>1033</v>
      </c>
      <c r="E316" s="18">
        <v>1981</v>
      </c>
      <c r="F316" s="18">
        <v>23</v>
      </c>
      <c r="G316" s="18" t="s">
        <v>402</v>
      </c>
      <c r="H316" s="18" t="s">
        <v>402</v>
      </c>
      <c r="I316" s="18" t="s">
        <v>1036</v>
      </c>
      <c r="J316" s="18" t="s">
        <v>637</v>
      </c>
      <c r="K316" s="18" t="s">
        <v>438</v>
      </c>
    </row>
    <row r="317" spans="1:11" ht="13">
      <c r="A317" s="18" t="s">
        <v>1027</v>
      </c>
      <c r="B317" s="18" t="s">
        <v>434</v>
      </c>
      <c r="C317" s="18" t="s">
        <v>1032</v>
      </c>
      <c r="D317" s="18" t="s">
        <v>1033</v>
      </c>
      <c r="E317" s="18">
        <v>1982</v>
      </c>
      <c r="F317" s="18">
        <v>25</v>
      </c>
      <c r="G317" s="18" t="s">
        <v>402</v>
      </c>
      <c r="H317" s="18" t="s">
        <v>402</v>
      </c>
      <c r="I317" s="18" t="s">
        <v>1036</v>
      </c>
      <c r="J317" s="18" t="s">
        <v>637</v>
      </c>
      <c r="K317" s="18" t="s">
        <v>438</v>
      </c>
    </row>
    <row r="318" spans="1:11" ht="13">
      <c r="A318" s="18" t="s">
        <v>1027</v>
      </c>
      <c r="B318" s="18" t="s">
        <v>434</v>
      </c>
      <c r="C318" s="18" t="s">
        <v>1032</v>
      </c>
      <c r="D318" s="18" t="s">
        <v>1033</v>
      </c>
      <c r="E318" s="18">
        <v>1983</v>
      </c>
      <c r="F318" s="18">
        <v>21</v>
      </c>
      <c r="G318" s="18" t="s">
        <v>402</v>
      </c>
      <c r="H318" s="18" t="s">
        <v>402</v>
      </c>
      <c r="I318" s="18" t="s">
        <v>1036</v>
      </c>
      <c r="J318" s="18" t="s">
        <v>637</v>
      </c>
      <c r="K318" s="18" t="s">
        <v>438</v>
      </c>
    </row>
    <row r="319" spans="1:11" ht="13">
      <c r="A319" s="18" t="s">
        <v>1027</v>
      </c>
      <c r="B319" s="18" t="s">
        <v>434</v>
      </c>
      <c r="C319" s="18" t="s">
        <v>1032</v>
      </c>
      <c r="D319" s="18" t="s">
        <v>1033</v>
      </c>
      <c r="E319" s="18">
        <v>1984</v>
      </c>
      <c r="F319" s="18">
        <v>26</v>
      </c>
      <c r="G319" s="18" t="s">
        <v>402</v>
      </c>
      <c r="H319" s="18" t="s">
        <v>402</v>
      </c>
      <c r="I319" s="18" t="s">
        <v>1036</v>
      </c>
      <c r="J319" s="18" t="s">
        <v>637</v>
      </c>
      <c r="K319" s="18" t="s">
        <v>438</v>
      </c>
    </row>
    <row r="320" spans="1:11" ht="13">
      <c r="A320" s="18" t="s">
        <v>1027</v>
      </c>
      <c r="B320" s="18" t="s">
        <v>434</v>
      </c>
      <c r="C320" s="18" t="s">
        <v>1032</v>
      </c>
      <c r="D320" s="18" t="s">
        <v>1033</v>
      </c>
      <c r="E320" s="18">
        <v>1985</v>
      </c>
      <c r="F320" s="18">
        <v>27</v>
      </c>
      <c r="G320" s="18" t="s">
        <v>402</v>
      </c>
      <c r="H320" s="18" t="s">
        <v>402</v>
      </c>
      <c r="I320" s="18" t="s">
        <v>1036</v>
      </c>
      <c r="J320" s="18" t="s">
        <v>637</v>
      </c>
      <c r="K320" s="18" t="s">
        <v>438</v>
      </c>
    </row>
    <row r="321" spans="1:11" ht="13">
      <c r="A321" s="18" t="s">
        <v>1027</v>
      </c>
      <c r="B321" s="18" t="s">
        <v>434</v>
      </c>
      <c r="C321" s="18" t="s">
        <v>1032</v>
      </c>
      <c r="D321" s="18" t="s">
        <v>1033</v>
      </c>
      <c r="E321" s="18">
        <v>1986</v>
      </c>
      <c r="F321" s="18">
        <v>29</v>
      </c>
      <c r="G321" s="18" t="s">
        <v>402</v>
      </c>
      <c r="H321" s="18" t="s">
        <v>402</v>
      </c>
      <c r="I321" s="18" t="s">
        <v>1036</v>
      </c>
      <c r="J321" s="18" t="s">
        <v>637</v>
      </c>
      <c r="K321" s="18" t="s">
        <v>438</v>
      </c>
    </row>
    <row r="322" spans="1:11" ht="13">
      <c r="A322" s="18" t="s">
        <v>1027</v>
      </c>
      <c r="B322" s="18" t="s">
        <v>434</v>
      </c>
      <c r="C322" s="18" t="s">
        <v>1032</v>
      </c>
      <c r="D322" s="18" t="s">
        <v>1033</v>
      </c>
      <c r="E322" s="18">
        <v>1987</v>
      </c>
      <c r="F322" s="18">
        <v>29</v>
      </c>
      <c r="G322" s="18" t="s">
        <v>402</v>
      </c>
      <c r="H322" s="18" t="s">
        <v>402</v>
      </c>
      <c r="I322" s="18" t="s">
        <v>1036</v>
      </c>
      <c r="J322" s="18" t="s">
        <v>637</v>
      </c>
      <c r="K322" s="18" t="s">
        <v>438</v>
      </c>
    </row>
    <row r="323" spans="1:11" ht="13">
      <c r="A323" s="18" t="s">
        <v>1027</v>
      </c>
      <c r="B323" s="18" t="s">
        <v>434</v>
      </c>
      <c r="C323" s="18" t="s">
        <v>1032</v>
      </c>
      <c r="D323" s="18" t="s">
        <v>1033</v>
      </c>
      <c r="E323" s="18">
        <v>1988</v>
      </c>
      <c r="F323" s="18">
        <v>31</v>
      </c>
      <c r="G323" s="18" t="s">
        <v>402</v>
      </c>
      <c r="H323" s="18" t="s">
        <v>402</v>
      </c>
      <c r="I323" s="18" t="s">
        <v>1036</v>
      </c>
      <c r="J323" s="18" t="s">
        <v>637</v>
      </c>
      <c r="K323" s="18" t="s">
        <v>438</v>
      </c>
    </row>
    <row r="324" spans="1:11" ht="13">
      <c r="A324" s="18" t="s">
        <v>1027</v>
      </c>
      <c r="B324" s="18" t="s">
        <v>434</v>
      </c>
      <c r="C324" s="18" t="s">
        <v>1032</v>
      </c>
      <c r="D324" s="18" t="s">
        <v>1033</v>
      </c>
      <c r="E324" s="18">
        <v>1989</v>
      </c>
      <c r="F324" s="18">
        <v>30</v>
      </c>
      <c r="G324" s="18" t="s">
        <v>402</v>
      </c>
      <c r="H324" s="18" t="s">
        <v>402</v>
      </c>
      <c r="I324" s="18" t="s">
        <v>1036</v>
      </c>
      <c r="J324" s="18" t="s">
        <v>637</v>
      </c>
      <c r="K324" s="18" t="s">
        <v>438</v>
      </c>
    </row>
    <row r="325" spans="1:11" ht="13">
      <c r="A325" s="18" t="s">
        <v>1027</v>
      </c>
      <c r="B325" s="18" t="s">
        <v>434</v>
      </c>
      <c r="C325" s="18" t="s">
        <v>1032</v>
      </c>
      <c r="D325" s="18" t="s">
        <v>1033</v>
      </c>
      <c r="E325" s="18">
        <v>1990</v>
      </c>
      <c r="F325" s="18">
        <v>33</v>
      </c>
      <c r="G325" s="18" t="s">
        <v>402</v>
      </c>
      <c r="H325" s="18" t="s">
        <v>402</v>
      </c>
      <c r="I325" s="18" t="s">
        <v>1036</v>
      </c>
      <c r="J325" s="18" t="s">
        <v>637</v>
      </c>
      <c r="K325" s="18" t="s">
        <v>438</v>
      </c>
    </row>
    <row r="326" spans="1:11" ht="13">
      <c r="A326" s="18" t="s">
        <v>1027</v>
      </c>
      <c r="B326" s="18" t="s">
        <v>434</v>
      </c>
      <c r="C326" s="18" t="s">
        <v>1032</v>
      </c>
      <c r="D326" s="18" t="s">
        <v>1033</v>
      </c>
      <c r="E326" s="18">
        <v>1991</v>
      </c>
      <c r="F326" s="18">
        <v>33</v>
      </c>
      <c r="G326" s="18" t="s">
        <v>402</v>
      </c>
      <c r="H326" s="18" t="s">
        <v>402</v>
      </c>
      <c r="I326" s="18" t="s">
        <v>1036</v>
      </c>
      <c r="J326" s="18" t="s">
        <v>637</v>
      </c>
      <c r="K326" s="18" t="s">
        <v>438</v>
      </c>
    </row>
    <row r="327" spans="1:11" ht="13">
      <c r="A327" s="18" t="s">
        <v>1027</v>
      </c>
      <c r="B327" s="18" t="s">
        <v>434</v>
      </c>
      <c r="C327" s="18" t="s">
        <v>1032</v>
      </c>
      <c r="D327" s="18" t="s">
        <v>1033</v>
      </c>
      <c r="E327" s="18">
        <v>1992</v>
      </c>
      <c r="F327" s="18">
        <v>35</v>
      </c>
      <c r="G327" s="18" t="s">
        <v>402</v>
      </c>
      <c r="H327" s="18" t="s">
        <v>402</v>
      </c>
      <c r="I327" s="18" t="s">
        <v>1036</v>
      </c>
      <c r="J327" s="18" t="s">
        <v>637</v>
      </c>
      <c r="K327" s="18" t="s">
        <v>438</v>
      </c>
    </row>
    <row r="328" spans="1:11" ht="13">
      <c r="A328" s="18" t="s">
        <v>1027</v>
      </c>
      <c r="B328" s="18" t="s">
        <v>434</v>
      </c>
      <c r="C328" s="18" t="s">
        <v>1032</v>
      </c>
      <c r="D328" s="18" t="s">
        <v>1033</v>
      </c>
      <c r="E328" s="18">
        <v>1993</v>
      </c>
      <c r="F328" s="18">
        <v>35</v>
      </c>
      <c r="G328" s="18" t="s">
        <v>402</v>
      </c>
      <c r="H328" s="18" t="s">
        <v>402</v>
      </c>
      <c r="I328" s="18" t="s">
        <v>1036</v>
      </c>
      <c r="J328" s="18" t="s">
        <v>637</v>
      </c>
      <c r="K328" s="18" t="s">
        <v>438</v>
      </c>
    </row>
    <row r="329" spans="1:11" ht="13">
      <c r="A329" s="18" t="s">
        <v>1027</v>
      </c>
      <c r="B329" s="18" t="s">
        <v>434</v>
      </c>
      <c r="C329" s="18" t="s">
        <v>1032</v>
      </c>
      <c r="D329" s="18" t="s">
        <v>1033</v>
      </c>
      <c r="E329" s="18">
        <v>1994</v>
      </c>
      <c r="F329" s="18">
        <v>38</v>
      </c>
      <c r="G329" s="18" t="s">
        <v>402</v>
      </c>
      <c r="H329" s="18" t="s">
        <v>402</v>
      </c>
      <c r="I329" s="18" t="s">
        <v>1036</v>
      </c>
      <c r="J329" s="18" t="s">
        <v>637</v>
      </c>
      <c r="K329" s="18" t="s">
        <v>438</v>
      </c>
    </row>
    <row r="330" spans="1:11" ht="13">
      <c r="A330" s="18" t="s">
        <v>1027</v>
      </c>
      <c r="B330" s="18" t="s">
        <v>434</v>
      </c>
      <c r="C330" s="18" t="s">
        <v>1032</v>
      </c>
      <c r="D330" s="18" t="s">
        <v>1033</v>
      </c>
      <c r="E330" s="18">
        <v>1995</v>
      </c>
      <c r="F330" s="18">
        <v>32</v>
      </c>
      <c r="G330" s="18" t="s">
        <v>402</v>
      </c>
      <c r="H330" s="18" t="s">
        <v>402</v>
      </c>
      <c r="I330" s="18" t="s">
        <v>1036</v>
      </c>
      <c r="J330" s="18" t="s">
        <v>637</v>
      </c>
      <c r="K330" s="18" t="s">
        <v>438</v>
      </c>
    </row>
    <row r="331" spans="1:11" ht="13">
      <c r="A331" s="18" t="s">
        <v>1027</v>
      </c>
      <c r="B331" s="18" t="s">
        <v>434</v>
      </c>
      <c r="C331" s="18" t="s">
        <v>1032</v>
      </c>
      <c r="D331" s="18" t="s">
        <v>1033</v>
      </c>
      <c r="E331" s="18">
        <v>1996</v>
      </c>
      <c r="F331" s="18">
        <v>40</v>
      </c>
      <c r="G331" s="18" t="s">
        <v>402</v>
      </c>
      <c r="H331" s="18" t="s">
        <v>402</v>
      </c>
      <c r="I331" s="18" t="s">
        <v>1036</v>
      </c>
      <c r="J331" s="18" t="s">
        <v>637</v>
      </c>
      <c r="K331" s="18" t="s">
        <v>438</v>
      </c>
    </row>
    <row r="332" spans="1:11" ht="13">
      <c r="A332" s="18" t="s">
        <v>1027</v>
      </c>
      <c r="B332" s="18" t="s">
        <v>434</v>
      </c>
      <c r="C332" s="18" t="s">
        <v>1032</v>
      </c>
      <c r="D332" s="18" t="s">
        <v>1033</v>
      </c>
      <c r="E332" s="18">
        <v>1997</v>
      </c>
      <c r="F332" s="18">
        <v>39</v>
      </c>
      <c r="G332" s="18" t="s">
        <v>402</v>
      </c>
      <c r="H332" s="18" t="s">
        <v>402</v>
      </c>
      <c r="I332" s="18" t="s">
        <v>1036</v>
      </c>
      <c r="J332" s="18" t="s">
        <v>637</v>
      </c>
      <c r="K332" s="18" t="s">
        <v>438</v>
      </c>
    </row>
    <row r="333" spans="1:11" ht="13">
      <c r="A333" s="18" t="s">
        <v>1027</v>
      </c>
      <c r="B333" s="18" t="s">
        <v>434</v>
      </c>
      <c r="C333" s="18" t="s">
        <v>1032</v>
      </c>
      <c r="D333" s="18" t="s">
        <v>1033</v>
      </c>
      <c r="E333" s="18">
        <v>1998</v>
      </c>
      <c r="F333" s="18">
        <v>40</v>
      </c>
      <c r="G333" s="18" t="s">
        <v>402</v>
      </c>
      <c r="H333" s="18" t="s">
        <v>402</v>
      </c>
      <c r="I333" s="18" t="s">
        <v>1036</v>
      </c>
      <c r="J333" s="18" t="s">
        <v>637</v>
      </c>
      <c r="K333" s="18" t="s">
        <v>438</v>
      </c>
    </row>
    <row r="334" spans="1:11" ht="13">
      <c r="A334" s="18" t="s">
        <v>1027</v>
      </c>
      <c r="B334" s="18" t="s">
        <v>434</v>
      </c>
      <c r="C334" s="18" t="s">
        <v>1032</v>
      </c>
      <c r="D334" s="18" t="s">
        <v>1033</v>
      </c>
      <c r="E334" s="18">
        <v>1999</v>
      </c>
      <c r="F334" s="18">
        <v>36</v>
      </c>
      <c r="G334" s="18" t="s">
        <v>402</v>
      </c>
      <c r="H334" s="18" t="s">
        <v>402</v>
      </c>
      <c r="I334" s="18" t="s">
        <v>1036</v>
      </c>
      <c r="J334" s="18" t="s">
        <v>637</v>
      </c>
      <c r="K334" s="18" t="s">
        <v>438</v>
      </c>
    </row>
    <row r="335" spans="1:11" ht="13">
      <c r="A335" s="18" t="s">
        <v>1027</v>
      </c>
      <c r="B335" s="18" t="s">
        <v>434</v>
      </c>
      <c r="C335" s="18" t="s">
        <v>1032</v>
      </c>
      <c r="D335" s="18" t="s">
        <v>1033</v>
      </c>
      <c r="E335" s="18">
        <v>2000</v>
      </c>
      <c r="F335" s="18">
        <v>41</v>
      </c>
      <c r="G335" s="18" t="s">
        <v>402</v>
      </c>
      <c r="H335" s="18" t="s">
        <v>402</v>
      </c>
      <c r="I335" s="18" t="s">
        <v>1036</v>
      </c>
      <c r="J335" s="18" t="s">
        <v>637</v>
      </c>
      <c r="K335" s="18" t="s">
        <v>438</v>
      </c>
    </row>
    <row r="336" spans="1:11" ht="13">
      <c r="A336" s="18" t="s">
        <v>1027</v>
      </c>
      <c r="B336" s="18" t="s">
        <v>434</v>
      </c>
      <c r="C336" s="18" t="s">
        <v>1032</v>
      </c>
      <c r="D336" s="18" t="s">
        <v>1033</v>
      </c>
      <c r="E336" s="18">
        <v>2001</v>
      </c>
      <c r="F336" s="18">
        <v>42</v>
      </c>
      <c r="G336" s="18" t="s">
        <v>402</v>
      </c>
      <c r="H336" s="18" t="s">
        <v>402</v>
      </c>
      <c r="I336" s="18" t="s">
        <v>1036</v>
      </c>
      <c r="J336" s="18" t="s">
        <v>637</v>
      </c>
      <c r="K336" s="18" t="s">
        <v>438</v>
      </c>
    </row>
    <row r="337" spans="1:11" ht="13">
      <c r="A337" s="18" t="s">
        <v>1027</v>
      </c>
      <c r="B337" s="18" t="s">
        <v>434</v>
      </c>
      <c r="C337" s="18" t="s">
        <v>1032</v>
      </c>
      <c r="D337" s="18" t="s">
        <v>1033</v>
      </c>
      <c r="E337" s="18">
        <v>2002</v>
      </c>
      <c r="F337" s="18">
        <v>40</v>
      </c>
      <c r="G337" s="18" t="s">
        <v>402</v>
      </c>
      <c r="H337" s="18" t="s">
        <v>402</v>
      </c>
      <c r="I337" s="18" t="s">
        <v>1036</v>
      </c>
      <c r="J337" s="18" t="s">
        <v>637</v>
      </c>
      <c r="K337" s="18" t="s">
        <v>438</v>
      </c>
    </row>
    <row r="338" spans="1:11" ht="13">
      <c r="A338" s="18" t="s">
        <v>1027</v>
      </c>
      <c r="B338" s="18" t="s">
        <v>434</v>
      </c>
      <c r="C338" s="18" t="s">
        <v>1032</v>
      </c>
      <c r="D338" s="18" t="s">
        <v>1033</v>
      </c>
      <c r="E338" s="18">
        <v>2003</v>
      </c>
      <c r="F338" s="18">
        <v>47</v>
      </c>
      <c r="G338" s="18" t="s">
        <v>402</v>
      </c>
      <c r="H338" s="18" t="s">
        <v>402</v>
      </c>
      <c r="I338" s="18" t="s">
        <v>1036</v>
      </c>
      <c r="J338" s="18" t="s">
        <v>637</v>
      </c>
      <c r="K338" s="18" t="s">
        <v>438</v>
      </c>
    </row>
    <row r="339" spans="1:11" ht="13">
      <c r="A339" s="18" t="s">
        <v>1027</v>
      </c>
      <c r="B339" s="18" t="s">
        <v>434</v>
      </c>
      <c r="C339" s="18" t="s">
        <v>1032</v>
      </c>
      <c r="D339" s="18" t="s">
        <v>1033</v>
      </c>
      <c r="E339" s="18">
        <v>2004</v>
      </c>
      <c r="F339" s="18">
        <v>48</v>
      </c>
      <c r="G339" s="18" t="s">
        <v>402</v>
      </c>
      <c r="H339" s="18" t="s">
        <v>402</v>
      </c>
      <c r="I339" s="18" t="s">
        <v>1036</v>
      </c>
      <c r="J339" s="18" t="s">
        <v>637</v>
      </c>
      <c r="K339" s="18" t="s">
        <v>438</v>
      </c>
    </row>
    <row r="340" spans="1:11" ht="13">
      <c r="A340" s="18" t="s">
        <v>1027</v>
      </c>
      <c r="B340" s="18" t="s">
        <v>434</v>
      </c>
      <c r="C340" s="18" t="s">
        <v>1032</v>
      </c>
      <c r="D340" s="18" t="s">
        <v>1033</v>
      </c>
      <c r="E340" s="18">
        <v>2005</v>
      </c>
      <c r="F340" s="18">
        <v>46</v>
      </c>
      <c r="G340" s="18" t="s">
        <v>402</v>
      </c>
      <c r="H340" s="18" t="s">
        <v>402</v>
      </c>
      <c r="I340" s="18" t="s">
        <v>1036</v>
      </c>
      <c r="J340" s="18" t="s">
        <v>637</v>
      </c>
      <c r="K340" s="18" t="s">
        <v>438</v>
      </c>
    </row>
    <row r="341" spans="1:11" ht="13">
      <c r="A341" s="18" t="s">
        <v>1027</v>
      </c>
      <c r="B341" s="18" t="s">
        <v>434</v>
      </c>
      <c r="C341" s="18" t="s">
        <v>1032</v>
      </c>
      <c r="D341" s="18" t="s">
        <v>1033</v>
      </c>
      <c r="E341" s="18">
        <v>2006</v>
      </c>
      <c r="F341" s="18">
        <v>41</v>
      </c>
      <c r="G341" s="18" t="s">
        <v>402</v>
      </c>
      <c r="H341" s="18" t="s">
        <v>402</v>
      </c>
      <c r="I341" s="18" t="s">
        <v>1036</v>
      </c>
      <c r="J341" s="18" t="s">
        <v>637</v>
      </c>
      <c r="K341" s="18" t="s">
        <v>438</v>
      </c>
    </row>
    <row r="342" spans="1:11" ht="13">
      <c r="A342" s="18" t="s">
        <v>1027</v>
      </c>
      <c r="B342" s="18" t="s">
        <v>434</v>
      </c>
      <c r="C342" s="18" t="s">
        <v>1032</v>
      </c>
      <c r="D342" s="18" t="s">
        <v>1033</v>
      </c>
      <c r="E342" s="18">
        <v>2007</v>
      </c>
      <c r="F342" s="18">
        <v>46</v>
      </c>
      <c r="G342" s="18" t="s">
        <v>402</v>
      </c>
      <c r="H342" s="18" t="s">
        <v>402</v>
      </c>
      <c r="I342" s="18" t="s">
        <v>1036</v>
      </c>
      <c r="J342" s="18" t="s">
        <v>637</v>
      </c>
      <c r="K342" s="18" t="s">
        <v>438</v>
      </c>
    </row>
    <row r="343" spans="1:11" ht="13">
      <c r="A343" s="18" t="s">
        <v>1027</v>
      </c>
      <c r="B343" s="18" t="s">
        <v>434</v>
      </c>
      <c r="C343" s="18" t="s">
        <v>1032</v>
      </c>
      <c r="D343" s="18" t="s">
        <v>1033</v>
      </c>
      <c r="E343" s="18">
        <v>2008</v>
      </c>
      <c r="F343" s="18">
        <v>47</v>
      </c>
      <c r="G343" s="18" t="s">
        <v>402</v>
      </c>
      <c r="H343" s="18" t="s">
        <v>402</v>
      </c>
      <c r="I343" s="18" t="s">
        <v>1036</v>
      </c>
      <c r="J343" s="18" t="s">
        <v>637</v>
      </c>
      <c r="K343" s="18" t="s">
        <v>438</v>
      </c>
    </row>
    <row r="344" spans="1:11" ht="13">
      <c r="A344" s="18" t="s">
        <v>1027</v>
      </c>
      <c r="B344" s="18" t="s">
        <v>434</v>
      </c>
      <c r="C344" s="18" t="s">
        <v>1032</v>
      </c>
      <c r="D344" s="18" t="s">
        <v>1033</v>
      </c>
      <c r="E344" s="18">
        <v>2009</v>
      </c>
      <c r="F344" s="18">
        <v>51</v>
      </c>
      <c r="G344" s="18" t="s">
        <v>402</v>
      </c>
      <c r="H344" s="18" t="s">
        <v>402</v>
      </c>
      <c r="I344" s="18" t="s">
        <v>1036</v>
      </c>
      <c r="J344" s="18" t="s">
        <v>637</v>
      </c>
      <c r="K344" s="18" t="s">
        <v>438</v>
      </c>
    </row>
    <row r="345" spans="1:11" ht="13">
      <c r="A345" s="18" t="s">
        <v>1027</v>
      </c>
      <c r="B345" s="18" t="s">
        <v>434</v>
      </c>
      <c r="C345" s="18" t="s">
        <v>1032</v>
      </c>
      <c r="D345" s="18" t="s">
        <v>1033</v>
      </c>
      <c r="E345" s="18">
        <v>2010</v>
      </c>
      <c r="F345" s="18">
        <v>50</v>
      </c>
      <c r="G345" s="18" t="s">
        <v>402</v>
      </c>
      <c r="H345" s="18" t="s">
        <v>402</v>
      </c>
      <c r="I345" s="18" t="s">
        <v>1036</v>
      </c>
      <c r="J345" s="18" t="s">
        <v>637</v>
      </c>
      <c r="K345" s="18" t="s">
        <v>438</v>
      </c>
    </row>
    <row r="346" spans="1:11" ht="13">
      <c r="A346" s="18" t="s">
        <v>1027</v>
      </c>
      <c r="B346" s="18" t="s">
        <v>434</v>
      </c>
      <c r="C346" s="18" t="s">
        <v>1032</v>
      </c>
      <c r="D346" s="18" t="s">
        <v>1033</v>
      </c>
      <c r="E346" s="18">
        <v>2011</v>
      </c>
      <c r="F346" s="18">
        <v>53</v>
      </c>
      <c r="G346" s="18" t="s">
        <v>402</v>
      </c>
      <c r="H346" s="18" t="s">
        <v>402</v>
      </c>
      <c r="I346" s="18" t="s">
        <v>1036</v>
      </c>
      <c r="J346" s="18" t="s">
        <v>637</v>
      </c>
      <c r="K346" s="18" t="s">
        <v>438</v>
      </c>
    </row>
    <row r="347" spans="1:11" ht="13">
      <c r="A347" s="18" t="s">
        <v>1027</v>
      </c>
      <c r="B347" s="18" t="s">
        <v>434</v>
      </c>
      <c r="C347" s="18" t="s">
        <v>1032</v>
      </c>
      <c r="D347" s="18" t="s">
        <v>1033</v>
      </c>
      <c r="E347" s="18">
        <v>2012</v>
      </c>
      <c r="F347" s="18">
        <v>53</v>
      </c>
      <c r="G347" s="18" t="s">
        <v>402</v>
      </c>
      <c r="H347" s="18" t="s">
        <v>402</v>
      </c>
      <c r="I347" s="18" t="s">
        <v>1036</v>
      </c>
      <c r="J347" s="18" t="s">
        <v>637</v>
      </c>
      <c r="K347" s="18" t="s">
        <v>438</v>
      </c>
    </row>
    <row r="348" spans="1:11" ht="13">
      <c r="A348" s="18" t="s">
        <v>1027</v>
      </c>
      <c r="B348" s="18" t="s">
        <v>434</v>
      </c>
      <c r="C348" s="18" t="s">
        <v>1032</v>
      </c>
      <c r="D348" s="18" t="s">
        <v>1033</v>
      </c>
      <c r="E348" s="18">
        <v>2013</v>
      </c>
      <c r="F348" s="18">
        <v>53</v>
      </c>
      <c r="G348" s="18" t="s">
        <v>402</v>
      </c>
      <c r="H348" s="18" t="s">
        <v>402</v>
      </c>
      <c r="I348" s="18" t="s">
        <v>1036</v>
      </c>
      <c r="J348" s="18" t="s">
        <v>637</v>
      </c>
      <c r="K348" s="18" t="s">
        <v>438</v>
      </c>
    </row>
    <row r="349" spans="1:11" ht="13">
      <c r="A349" s="18" t="s">
        <v>1027</v>
      </c>
      <c r="B349" s="18" t="s">
        <v>434</v>
      </c>
      <c r="C349" s="18" t="s">
        <v>1032</v>
      </c>
      <c r="D349" s="18" t="s">
        <v>1033</v>
      </c>
      <c r="E349" s="18">
        <v>2014</v>
      </c>
      <c r="F349" s="18">
        <v>55</v>
      </c>
      <c r="G349" s="18" t="s">
        <v>402</v>
      </c>
      <c r="H349" s="18" t="s">
        <v>402</v>
      </c>
      <c r="I349" s="18" t="s">
        <v>1036</v>
      </c>
      <c r="J349" s="18" t="s">
        <v>637</v>
      </c>
      <c r="K349" s="18" t="s">
        <v>438</v>
      </c>
    </row>
    <row r="350" spans="1:11" ht="13">
      <c r="A350" s="18" t="s">
        <v>1027</v>
      </c>
      <c r="B350" s="18" t="s">
        <v>434</v>
      </c>
      <c r="C350" s="18" t="s">
        <v>1032</v>
      </c>
      <c r="D350" s="18" t="s">
        <v>1033</v>
      </c>
      <c r="E350" s="18">
        <v>2015</v>
      </c>
      <c r="F350" s="18">
        <v>54</v>
      </c>
      <c r="G350" s="18" t="s">
        <v>402</v>
      </c>
      <c r="H350" s="18" t="s">
        <v>402</v>
      </c>
      <c r="I350" s="18" t="s">
        <v>1036</v>
      </c>
      <c r="J350" s="18" t="s">
        <v>637</v>
      </c>
      <c r="K350" s="18" t="s">
        <v>438</v>
      </c>
    </row>
    <row r="351" spans="1:11" ht="13">
      <c r="A351" s="18" t="s">
        <v>1027</v>
      </c>
      <c r="B351" s="18" t="s">
        <v>434</v>
      </c>
      <c r="C351" s="18" t="s">
        <v>1032</v>
      </c>
      <c r="D351" s="18" t="s">
        <v>1033</v>
      </c>
      <c r="E351" s="18">
        <v>2016</v>
      </c>
      <c r="F351" s="18">
        <v>54</v>
      </c>
      <c r="G351" s="18" t="s">
        <v>402</v>
      </c>
      <c r="H351" s="18" t="s">
        <v>402</v>
      </c>
      <c r="I351" s="18" t="s">
        <v>1036</v>
      </c>
      <c r="J351" s="18" t="s">
        <v>637</v>
      </c>
      <c r="K351" s="18" t="s">
        <v>438</v>
      </c>
    </row>
    <row r="352" spans="1:11" ht="13">
      <c r="A352" s="18" t="s">
        <v>1027</v>
      </c>
      <c r="B352" s="18" t="s">
        <v>434</v>
      </c>
      <c r="C352" s="18" t="s">
        <v>1032</v>
      </c>
      <c r="D352" s="18" t="s">
        <v>1033</v>
      </c>
      <c r="E352" s="18">
        <v>2017</v>
      </c>
      <c r="F352" s="18">
        <v>54</v>
      </c>
      <c r="G352" s="18" t="s">
        <v>402</v>
      </c>
      <c r="H352" s="18" t="s">
        <v>402</v>
      </c>
      <c r="I352" s="18" t="s">
        <v>1036</v>
      </c>
      <c r="J352" s="18" t="s">
        <v>637</v>
      </c>
      <c r="K352" s="18" t="s">
        <v>438</v>
      </c>
    </row>
    <row r="353" spans="1:11" ht="13">
      <c r="A353" s="18" t="s">
        <v>1027</v>
      </c>
      <c r="B353" s="18" t="s">
        <v>434</v>
      </c>
      <c r="C353" s="18" t="s">
        <v>1032</v>
      </c>
      <c r="D353" s="18" t="s">
        <v>1033</v>
      </c>
      <c r="E353" s="18">
        <v>2018</v>
      </c>
      <c r="F353" s="18">
        <v>56</v>
      </c>
      <c r="G353" s="18" t="s">
        <v>402</v>
      </c>
      <c r="H353" s="18" t="s">
        <v>402</v>
      </c>
      <c r="I353" s="18" t="s">
        <v>1036</v>
      </c>
      <c r="J353" s="18" t="s">
        <v>637</v>
      </c>
      <c r="K353" s="18" t="s">
        <v>438</v>
      </c>
    </row>
    <row r="354" spans="1:11" ht="13">
      <c r="A354" s="18" t="s">
        <v>1027</v>
      </c>
      <c r="B354" s="18" t="s">
        <v>434</v>
      </c>
      <c r="C354" s="18" t="s">
        <v>1032</v>
      </c>
      <c r="D354" s="18" t="s">
        <v>1033</v>
      </c>
      <c r="E354" s="18">
        <v>2019</v>
      </c>
      <c r="F354" s="18">
        <v>55</v>
      </c>
      <c r="G354" s="18" t="s">
        <v>402</v>
      </c>
      <c r="H354" s="18" t="s">
        <v>402</v>
      </c>
      <c r="I354" s="18" t="s">
        <v>1036</v>
      </c>
      <c r="J354" s="18" t="s">
        <v>637</v>
      </c>
      <c r="K354" s="18" t="s">
        <v>438</v>
      </c>
    </row>
    <row r="355" spans="1:11" ht="13">
      <c r="A355" s="18" t="s">
        <v>1027</v>
      </c>
      <c r="B355" s="18" t="s">
        <v>434</v>
      </c>
      <c r="C355" s="18" t="s">
        <v>1032</v>
      </c>
      <c r="D355" s="18" t="s">
        <v>1033</v>
      </c>
      <c r="E355" s="18">
        <v>2020</v>
      </c>
      <c r="F355" s="18">
        <v>54</v>
      </c>
      <c r="G355" s="18" t="s">
        <v>402</v>
      </c>
      <c r="H355" s="18" t="s">
        <v>402</v>
      </c>
      <c r="I355" s="18" t="s">
        <v>1036</v>
      </c>
      <c r="J355" s="18" t="s">
        <v>637</v>
      </c>
      <c r="K355" s="18" t="s">
        <v>438</v>
      </c>
    </row>
    <row r="356" spans="1:11" ht="13">
      <c r="A356" s="18" t="s">
        <v>1027</v>
      </c>
      <c r="B356" s="18" t="s">
        <v>434</v>
      </c>
      <c r="C356" s="18" t="s">
        <v>1032</v>
      </c>
      <c r="D356" s="18" t="s">
        <v>1033</v>
      </c>
      <c r="E356" s="18">
        <v>2021</v>
      </c>
      <c r="F356" s="18">
        <v>56</v>
      </c>
      <c r="G356" s="18" t="s">
        <v>402</v>
      </c>
      <c r="H356" s="18" t="s">
        <v>402</v>
      </c>
      <c r="I356" s="18" t="s">
        <v>1036</v>
      </c>
      <c r="J356" s="18" t="s">
        <v>637</v>
      </c>
      <c r="K356" s="18" t="s">
        <v>438</v>
      </c>
    </row>
    <row r="357" spans="1:11" ht="13">
      <c r="A357" s="18" t="s">
        <v>1027</v>
      </c>
      <c r="B357" s="18" t="s">
        <v>434</v>
      </c>
      <c r="C357" s="18" t="s">
        <v>1035</v>
      </c>
      <c r="D357" s="18" t="s">
        <v>1033</v>
      </c>
      <c r="E357" s="18">
        <v>1960</v>
      </c>
      <c r="F357" s="18">
        <v>7</v>
      </c>
      <c r="G357" s="18" t="s">
        <v>402</v>
      </c>
      <c r="H357" s="18" t="s">
        <v>402</v>
      </c>
      <c r="I357" s="18" t="s">
        <v>1036</v>
      </c>
      <c r="J357" s="18" t="s">
        <v>637</v>
      </c>
      <c r="K357" s="18" t="s">
        <v>438</v>
      </c>
    </row>
    <row r="358" spans="1:11" ht="13">
      <c r="A358" s="18" t="s">
        <v>1027</v>
      </c>
      <c r="B358" s="18" t="s">
        <v>434</v>
      </c>
      <c r="C358" s="18" t="s">
        <v>1035</v>
      </c>
      <c r="D358" s="18" t="s">
        <v>1033</v>
      </c>
      <c r="E358" s="18">
        <v>1961</v>
      </c>
      <c r="F358" s="18">
        <v>7</v>
      </c>
      <c r="G358" s="18" t="s">
        <v>402</v>
      </c>
      <c r="H358" s="18" t="s">
        <v>402</v>
      </c>
      <c r="I358" s="18" t="s">
        <v>1036</v>
      </c>
      <c r="J358" s="18" t="s">
        <v>637</v>
      </c>
      <c r="K358" s="18" t="s">
        <v>438</v>
      </c>
    </row>
    <row r="359" spans="1:11" ht="13">
      <c r="A359" s="18" t="s">
        <v>1027</v>
      </c>
      <c r="B359" s="18" t="s">
        <v>434</v>
      </c>
      <c r="C359" s="18" t="s">
        <v>1035</v>
      </c>
      <c r="D359" s="18" t="s">
        <v>1033</v>
      </c>
      <c r="E359" s="18">
        <v>1962</v>
      </c>
      <c r="F359" s="18">
        <v>9</v>
      </c>
      <c r="G359" s="18" t="s">
        <v>402</v>
      </c>
      <c r="H359" s="18" t="s">
        <v>402</v>
      </c>
      <c r="I359" s="18" t="s">
        <v>1036</v>
      </c>
      <c r="J359" s="18" t="s">
        <v>637</v>
      </c>
      <c r="K359" s="18" t="s">
        <v>438</v>
      </c>
    </row>
    <row r="360" spans="1:11" ht="13">
      <c r="A360" s="18" t="s">
        <v>1027</v>
      </c>
      <c r="B360" s="18" t="s">
        <v>434</v>
      </c>
      <c r="C360" s="18" t="s">
        <v>1035</v>
      </c>
      <c r="D360" s="18" t="s">
        <v>1033</v>
      </c>
      <c r="E360" s="18">
        <v>1963</v>
      </c>
      <c r="F360" s="18">
        <v>7</v>
      </c>
      <c r="G360" s="18" t="s">
        <v>402</v>
      </c>
      <c r="H360" s="18" t="s">
        <v>402</v>
      </c>
      <c r="I360" s="18" t="s">
        <v>1036</v>
      </c>
      <c r="J360" s="18" t="s">
        <v>637</v>
      </c>
      <c r="K360" s="18" t="s">
        <v>438</v>
      </c>
    </row>
    <row r="361" spans="1:11" ht="13">
      <c r="A361" s="18" t="s">
        <v>1027</v>
      </c>
      <c r="B361" s="18" t="s">
        <v>434</v>
      </c>
      <c r="C361" s="18" t="s">
        <v>1035</v>
      </c>
      <c r="D361" s="18" t="s">
        <v>1033</v>
      </c>
      <c r="E361" s="18">
        <v>1964</v>
      </c>
      <c r="F361" s="18">
        <v>7</v>
      </c>
      <c r="G361" s="18" t="s">
        <v>402</v>
      </c>
      <c r="H361" s="18" t="s">
        <v>402</v>
      </c>
      <c r="I361" s="18" t="s">
        <v>1036</v>
      </c>
      <c r="J361" s="18" t="s">
        <v>637</v>
      </c>
      <c r="K361" s="18" t="s">
        <v>438</v>
      </c>
    </row>
    <row r="362" spans="1:11" ht="13">
      <c r="A362" s="18" t="s">
        <v>1027</v>
      </c>
      <c r="B362" s="18" t="s">
        <v>434</v>
      </c>
      <c r="C362" s="18" t="s">
        <v>1035</v>
      </c>
      <c r="D362" s="18" t="s">
        <v>1033</v>
      </c>
      <c r="E362" s="18">
        <v>1965</v>
      </c>
      <c r="F362" s="18">
        <v>7</v>
      </c>
      <c r="G362" s="18" t="s">
        <v>402</v>
      </c>
      <c r="H362" s="18" t="s">
        <v>402</v>
      </c>
      <c r="I362" s="18" t="s">
        <v>1036</v>
      </c>
      <c r="J362" s="18" t="s">
        <v>637</v>
      </c>
      <c r="K362" s="18" t="s">
        <v>438</v>
      </c>
    </row>
    <row r="363" spans="1:11" ht="13">
      <c r="A363" s="18" t="s">
        <v>1027</v>
      </c>
      <c r="B363" s="18" t="s">
        <v>434</v>
      </c>
      <c r="C363" s="18" t="s">
        <v>1035</v>
      </c>
      <c r="D363" s="18" t="s">
        <v>1033</v>
      </c>
      <c r="E363" s="18">
        <v>1966</v>
      </c>
      <c r="F363" s="18">
        <v>9</v>
      </c>
      <c r="G363" s="18" t="s">
        <v>402</v>
      </c>
      <c r="H363" s="18" t="s">
        <v>402</v>
      </c>
      <c r="I363" s="18" t="s">
        <v>1036</v>
      </c>
      <c r="J363" s="18" t="s">
        <v>637</v>
      </c>
      <c r="K363" s="18" t="s">
        <v>438</v>
      </c>
    </row>
    <row r="364" spans="1:11" ht="13">
      <c r="A364" s="18" t="s">
        <v>1027</v>
      </c>
      <c r="B364" s="18" t="s">
        <v>434</v>
      </c>
      <c r="C364" s="18" t="s">
        <v>1035</v>
      </c>
      <c r="D364" s="18" t="s">
        <v>1033</v>
      </c>
      <c r="E364" s="18">
        <v>1967</v>
      </c>
      <c r="F364" s="18">
        <v>9</v>
      </c>
      <c r="G364" s="18" t="s">
        <v>402</v>
      </c>
      <c r="H364" s="18" t="s">
        <v>402</v>
      </c>
      <c r="I364" s="18" t="s">
        <v>1036</v>
      </c>
      <c r="J364" s="18" t="s">
        <v>637</v>
      </c>
      <c r="K364" s="18" t="s">
        <v>438</v>
      </c>
    </row>
    <row r="365" spans="1:11" ht="13">
      <c r="A365" s="18" t="s">
        <v>1027</v>
      </c>
      <c r="B365" s="18" t="s">
        <v>434</v>
      </c>
      <c r="C365" s="18" t="s">
        <v>1035</v>
      </c>
      <c r="D365" s="18" t="s">
        <v>1033</v>
      </c>
      <c r="E365" s="18">
        <v>1968</v>
      </c>
      <c r="F365" s="18">
        <v>14</v>
      </c>
      <c r="G365" s="18" t="s">
        <v>402</v>
      </c>
      <c r="H365" s="18" t="s">
        <v>402</v>
      </c>
      <c r="I365" s="18" t="s">
        <v>1036</v>
      </c>
      <c r="J365" s="18" t="s">
        <v>637</v>
      </c>
      <c r="K365" s="18" t="s">
        <v>438</v>
      </c>
    </row>
    <row r="366" spans="1:11" ht="13">
      <c r="A366" s="18" t="s">
        <v>1027</v>
      </c>
      <c r="B366" s="18" t="s">
        <v>434</v>
      </c>
      <c r="C366" s="18" t="s">
        <v>1035</v>
      </c>
      <c r="D366" s="18" t="s">
        <v>1033</v>
      </c>
      <c r="E366" s="18">
        <v>1969</v>
      </c>
      <c r="F366" s="18">
        <v>16</v>
      </c>
      <c r="G366" s="18" t="s">
        <v>402</v>
      </c>
      <c r="H366" s="18" t="s">
        <v>402</v>
      </c>
      <c r="I366" s="18" t="s">
        <v>1036</v>
      </c>
      <c r="J366" s="18" t="s">
        <v>637</v>
      </c>
      <c r="K366" s="18" t="s">
        <v>438</v>
      </c>
    </row>
    <row r="367" spans="1:11" ht="13">
      <c r="A367" s="18" t="s">
        <v>1027</v>
      </c>
      <c r="B367" s="18" t="s">
        <v>434</v>
      </c>
      <c r="C367" s="18" t="s">
        <v>1035</v>
      </c>
      <c r="D367" s="18" t="s">
        <v>1033</v>
      </c>
      <c r="E367" s="18">
        <v>1970</v>
      </c>
      <c r="F367" s="18">
        <v>16</v>
      </c>
      <c r="G367" s="18" t="s">
        <v>402</v>
      </c>
      <c r="H367" s="18" t="s">
        <v>402</v>
      </c>
      <c r="I367" s="18" t="s">
        <v>1036</v>
      </c>
      <c r="J367" s="18" t="s">
        <v>637</v>
      </c>
      <c r="K367" s="18" t="s">
        <v>438</v>
      </c>
    </row>
    <row r="368" spans="1:11" ht="13">
      <c r="A368" s="18" t="s">
        <v>1027</v>
      </c>
      <c r="B368" s="18" t="s">
        <v>434</v>
      </c>
      <c r="C368" s="18" t="s">
        <v>1035</v>
      </c>
      <c r="D368" s="18" t="s">
        <v>1033</v>
      </c>
      <c r="E368" s="18">
        <v>1971</v>
      </c>
      <c r="F368" s="18">
        <v>21</v>
      </c>
      <c r="G368" s="18" t="s">
        <v>402</v>
      </c>
      <c r="H368" s="18" t="s">
        <v>402</v>
      </c>
      <c r="I368" s="18" t="s">
        <v>1036</v>
      </c>
      <c r="J368" s="18" t="s">
        <v>637</v>
      </c>
      <c r="K368" s="18" t="s">
        <v>438</v>
      </c>
    </row>
    <row r="369" spans="1:11" ht="13">
      <c r="A369" s="18" t="s">
        <v>1027</v>
      </c>
      <c r="B369" s="18" t="s">
        <v>434</v>
      </c>
      <c r="C369" s="18" t="s">
        <v>1035</v>
      </c>
      <c r="D369" s="18" t="s">
        <v>1033</v>
      </c>
      <c r="E369" s="18">
        <v>1972</v>
      </c>
      <c r="F369" s="18">
        <v>21</v>
      </c>
      <c r="G369" s="18" t="s">
        <v>402</v>
      </c>
      <c r="H369" s="18" t="s">
        <v>402</v>
      </c>
      <c r="I369" s="18" t="s">
        <v>1036</v>
      </c>
      <c r="J369" s="18" t="s">
        <v>637</v>
      </c>
      <c r="K369" s="18" t="s">
        <v>438</v>
      </c>
    </row>
    <row r="370" spans="1:11" ht="13">
      <c r="A370" s="18" t="s">
        <v>1027</v>
      </c>
      <c r="B370" s="18" t="s">
        <v>434</v>
      </c>
      <c r="C370" s="18" t="s">
        <v>1035</v>
      </c>
      <c r="D370" s="18" t="s">
        <v>1033</v>
      </c>
      <c r="E370" s="18">
        <v>1973</v>
      </c>
      <c r="F370" s="18">
        <v>23</v>
      </c>
      <c r="G370" s="18" t="s">
        <v>402</v>
      </c>
      <c r="H370" s="18" t="s">
        <v>402</v>
      </c>
      <c r="I370" s="18" t="s">
        <v>1036</v>
      </c>
      <c r="J370" s="18" t="s">
        <v>637</v>
      </c>
      <c r="K370" s="18" t="s">
        <v>438</v>
      </c>
    </row>
    <row r="371" spans="1:11" ht="13">
      <c r="A371" s="18" t="s">
        <v>1027</v>
      </c>
      <c r="B371" s="18" t="s">
        <v>434</v>
      </c>
      <c r="C371" s="18" t="s">
        <v>1035</v>
      </c>
      <c r="D371" s="18" t="s">
        <v>1033</v>
      </c>
      <c r="E371" s="18">
        <v>1975</v>
      </c>
      <c r="F371" s="18">
        <v>26</v>
      </c>
      <c r="G371" s="18" t="s">
        <v>402</v>
      </c>
      <c r="H371" s="18" t="s">
        <v>402</v>
      </c>
      <c r="I371" s="18" t="s">
        <v>1036</v>
      </c>
      <c r="J371" s="18" t="s">
        <v>637</v>
      </c>
      <c r="K371" s="18" t="s">
        <v>438</v>
      </c>
    </row>
    <row r="372" spans="1:11" ht="13">
      <c r="A372" s="18" t="s">
        <v>1027</v>
      </c>
      <c r="B372" s="18" t="s">
        <v>434</v>
      </c>
      <c r="C372" s="18" t="s">
        <v>1035</v>
      </c>
      <c r="D372" s="18" t="s">
        <v>1033</v>
      </c>
      <c r="E372" s="18">
        <v>1976</v>
      </c>
      <c r="F372" s="18">
        <v>28</v>
      </c>
      <c r="G372" s="18" t="s">
        <v>402</v>
      </c>
      <c r="H372" s="18" t="s">
        <v>402</v>
      </c>
      <c r="I372" s="18" t="s">
        <v>1036</v>
      </c>
      <c r="J372" s="18" t="s">
        <v>637</v>
      </c>
      <c r="K372" s="18" t="s">
        <v>438</v>
      </c>
    </row>
    <row r="373" spans="1:11" ht="13">
      <c r="A373" s="18" t="s">
        <v>1027</v>
      </c>
      <c r="B373" s="18" t="s">
        <v>434</v>
      </c>
      <c r="C373" s="18" t="s">
        <v>1035</v>
      </c>
      <c r="D373" s="18" t="s">
        <v>1033</v>
      </c>
      <c r="E373" s="18">
        <v>1977</v>
      </c>
      <c r="F373" s="18">
        <v>30</v>
      </c>
      <c r="G373" s="18" t="s">
        <v>402</v>
      </c>
      <c r="H373" s="18" t="s">
        <v>402</v>
      </c>
      <c r="I373" s="18" t="s">
        <v>1036</v>
      </c>
      <c r="J373" s="18" t="s">
        <v>637</v>
      </c>
      <c r="K373" s="18" t="s">
        <v>438</v>
      </c>
    </row>
    <row r="374" spans="1:11" ht="13">
      <c r="A374" s="18" t="s">
        <v>1027</v>
      </c>
      <c r="B374" s="18" t="s">
        <v>434</v>
      </c>
      <c r="C374" s="18" t="s">
        <v>1035</v>
      </c>
      <c r="D374" s="18" t="s">
        <v>1033</v>
      </c>
      <c r="E374" s="18">
        <v>1978</v>
      </c>
      <c r="F374" s="18">
        <v>30</v>
      </c>
      <c r="G374" s="18" t="s">
        <v>402</v>
      </c>
      <c r="H374" s="18" t="s">
        <v>402</v>
      </c>
      <c r="I374" s="18" t="s">
        <v>1036</v>
      </c>
      <c r="J374" s="18" t="s">
        <v>637</v>
      </c>
      <c r="K374" s="18" t="s">
        <v>438</v>
      </c>
    </row>
    <row r="375" spans="1:11" ht="13">
      <c r="A375" s="18" t="s">
        <v>1027</v>
      </c>
      <c r="B375" s="18" t="s">
        <v>434</v>
      </c>
      <c r="C375" s="18" t="s">
        <v>1035</v>
      </c>
      <c r="D375" s="18" t="s">
        <v>1033</v>
      </c>
      <c r="E375" s="18">
        <v>1979</v>
      </c>
      <c r="F375" s="18">
        <v>35</v>
      </c>
      <c r="G375" s="18" t="s">
        <v>402</v>
      </c>
      <c r="H375" s="18" t="s">
        <v>402</v>
      </c>
      <c r="I375" s="18" t="s">
        <v>1036</v>
      </c>
      <c r="J375" s="18" t="s">
        <v>637</v>
      </c>
      <c r="K375" s="18" t="s">
        <v>438</v>
      </c>
    </row>
    <row r="376" spans="1:11" ht="13">
      <c r="A376" s="18" t="s">
        <v>1027</v>
      </c>
      <c r="B376" s="18" t="s">
        <v>434</v>
      </c>
      <c r="C376" s="18" t="s">
        <v>1035</v>
      </c>
      <c r="D376" s="18" t="s">
        <v>1033</v>
      </c>
      <c r="E376" s="18">
        <v>1980</v>
      </c>
      <c r="F376" s="18">
        <v>37</v>
      </c>
      <c r="G376" s="18" t="s">
        <v>402</v>
      </c>
      <c r="H376" s="18" t="s">
        <v>402</v>
      </c>
      <c r="I376" s="18" t="s">
        <v>1036</v>
      </c>
      <c r="J376" s="18" t="s">
        <v>637</v>
      </c>
      <c r="K376" s="18" t="s">
        <v>438</v>
      </c>
    </row>
    <row r="377" spans="1:11" ht="13">
      <c r="A377" s="18" t="s">
        <v>1027</v>
      </c>
      <c r="B377" s="18" t="s">
        <v>434</v>
      </c>
      <c r="C377" s="18" t="s">
        <v>1035</v>
      </c>
      <c r="D377" s="18" t="s">
        <v>1033</v>
      </c>
      <c r="E377" s="18">
        <v>1981</v>
      </c>
      <c r="F377" s="18">
        <v>40</v>
      </c>
      <c r="G377" s="18" t="s">
        <v>402</v>
      </c>
      <c r="H377" s="18" t="s">
        <v>402</v>
      </c>
      <c r="I377" s="18" t="s">
        <v>1036</v>
      </c>
      <c r="J377" s="18" t="s">
        <v>637</v>
      </c>
      <c r="K377" s="18" t="s">
        <v>438</v>
      </c>
    </row>
    <row r="378" spans="1:11" ht="13">
      <c r="A378" s="18" t="s">
        <v>1027</v>
      </c>
      <c r="B378" s="18" t="s">
        <v>434</v>
      </c>
      <c r="C378" s="18" t="s">
        <v>1035</v>
      </c>
      <c r="D378" s="18" t="s">
        <v>1033</v>
      </c>
      <c r="E378" s="18">
        <v>1982</v>
      </c>
      <c r="F378" s="18">
        <v>44</v>
      </c>
      <c r="G378" s="18" t="s">
        <v>402</v>
      </c>
      <c r="H378" s="18" t="s">
        <v>402</v>
      </c>
      <c r="I378" s="18" t="s">
        <v>1036</v>
      </c>
      <c r="J378" s="18" t="s">
        <v>637</v>
      </c>
      <c r="K378" s="18" t="s">
        <v>438</v>
      </c>
    </row>
    <row r="379" spans="1:11" ht="13">
      <c r="A379" s="18" t="s">
        <v>1027</v>
      </c>
      <c r="B379" s="18" t="s">
        <v>434</v>
      </c>
      <c r="C379" s="18" t="s">
        <v>1035</v>
      </c>
      <c r="D379" s="18" t="s">
        <v>1033</v>
      </c>
      <c r="E379" s="18">
        <v>1983</v>
      </c>
      <c r="F379" s="18">
        <v>44</v>
      </c>
      <c r="G379" s="18" t="s">
        <v>402</v>
      </c>
      <c r="H379" s="18" t="s">
        <v>402</v>
      </c>
      <c r="I379" s="18" t="s">
        <v>1036</v>
      </c>
      <c r="J379" s="18" t="s">
        <v>637</v>
      </c>
      <c r="K379" s="18" t="s">
        <v>438</v>
      </c>
    </row>
    <row r="380" spans="1:11" ht="13">
      <c r="A380" s="18" t="s">
        <v>1027</v>
      </c>
      <c r="B380" s="18" t="s">
        <v>434</v>
      </c>
      <c r="C380" s="18" t="s">
        <v>1035</v>
      </c>
      <c r="D380" s="18" t="s">
        <v>1033</v>
      </c>
      <c r="E380" s="18">
        <v>1984</v>
      </c>
      <c r="F380" s="18">
        <v>51</v>
      </c>
      <c r="G380" s="18" t="s">
        <v>402</v>
      </c>
      <c r="H380" s="18" t="s">
        <v>402</v>
      </c>
      <c r="I380" s="18" t="s">
        <v>1036</v>
      </c>
      <c r="J380" s="18" t="s">
        <v>637</v>
      </c>
      <c r="K380" s="18" t="s">
        <v>438</v>
      </c>
    </row>
    <row r="381" spans="1:11" ht="13">
      <c r="A381" s="18" t="s">
        <v>1027</v>
      </c>
      <c r="B381" s="18" t="s">
        <v>434</v>
      </c>
      <c r="C381" s="18" t="s">
        <v>1035</v>
      </c>
      <c r="D381" s="18" t="s">
        <v>1033</v>
      </c>
      <c r="E381" s="18">
        <v>1985</v>
      </c>
      <c r="F381" s="18">
        <v>58</v>
      </c>
      <c r="G381" s="18" t="s">
        <v>402</v>
      </c>
      <c r="H381" s="18" t="s">
        <v>402</v>
      </c>
      <c r="I381" s="18" t="s">
        <v>1036</v>
      </c>
      <c r="J381" s="18" t="s">
        <v>637</v>
      </c>
      <c r="K381" s="18" t="s">
        <v>438</v>
      </c>
    </row>
    <row r="382" spans="1:11" ht="13">
      <c r="A382" s="18" t="s">
        <v>1027</v>
      </c>
      <c r="B382" s="18" t="s">
        <v>434</v>
      </c>
      <c r="C382" s="18" t="s">
        <v>1035</v>
      </c>
      <c r="D382" s="18" t="s">
        <v>1033</v>
      </c>
      <c r="E382" s="18">
        <v>1986</v>
      </c>
      <c r="F382" s="18">
        <v>63</v>
      </c>
      <c r="G382" s="18" t="s">
        <v>402</v>
      </c>
      <c r="H382" s="18" t="s">
        <v>402</v>
      </c>
      <c r="I382" s="18" t="s">
        <v>1036</v>
      </c>
      <c r="J382" s="18" t="s">
        <v>637</v>
      </c>
      <c r="K382" s="18" t="s">
        <v>438</v>
      </c>
    </row>
    <row r="383" spans="1:11" ht="13">
      <c r="A383" s="18" t="s">
        <v>1027</v>
      </c>
      <c r="B383" s="18" t="s">
        <v>434</v>
      </c>
      <c r="C383" s="18" t="s">
        <v>1035</v>
      </c>
      <c r="D383" s="18" t="s">
        <v>1033</v>
      </c>
      <c r="E383" s="18">
        <v>1987</v>
      </c>
      <c r="F383" s="18">
        <v>70</v>
      </c>
      <c r="G383" s="18" t="s">
        <v>402</v>
      </c>
      <c r="H383" s="18" t="s">
        <v>402</v>
      </c>
      <c r="I383" s="18" t="s">
        <v>1036</v>
      </c>
      <c r="J383" s="18" t="s">
        <v>637</v>
      </c>
      <c r="K383" s="18" t="s">
        <v>438</v>
      </c>
    </row>
    <row r="384" spans="1:11" ht="13">
      <c r="A384" s="18" t="s">
        <v>1027</v>
      </c>
      <c r="B384" s="18" t="s">
        <v>434</v>
      </c>
      <c r="C384" s="18" t="s">
        <v>1035</v>
      </c>
      <c r="D384" s="18" t="s">
        <v>1033</v>
      </c>
      <c r="E384" s="18">
        <v>1988</v>
      </c>
      <c r="F384" s="18">
        <v>77</v>
      </c>
      <c r="G384" s="18" t="s">
        <v>402</v>
      </c>
      <c r="H384" s="18" t="s">
        <v>402</v>
      </c>
      <c r="I384" s="18" t="s">
        <v>1036</v>
      </c>
      <c r="J384" s="18" t="s">
        <v>637</v>
      </c>
      <c r="K384" s="18" t="s">
        <v>438</v>
      </c>
    </row>
    <row r="385" spans="1:11" ht="13">
      <c r="A385" s="18" t="s">
        <v>1027</v>
      </c>
      <c r="B385" s="18" t="s">
        <v>434</v>
      </c>
      <c r="C385" s="18" t="s">
        <v>1035</v>
      </c>
      <c r="D385" s="18" t="s">
        <v>1033</v>
      </c>
      <c r="E385" s="18">
        <v>1989</v>
      </c>
      <c r="F385" s="18">
        <v>82</v>
      </c>
      <c r="G385" s="18" t="s">
        <v>402</v>
      </c>
      <c r="H385" s="18" t="s">
        <v>402</v>
      </c>
      <c r="I385" s="18" t="s">
        <v>1036</v>
      </c>
      <c r="J385" s="18" t="s">
        <v>637</v>
      </c>
      <c r="K385" s="18" t="s">
        <v>438</v>
      </c>
    </row>
    <row r="386" spans="1:11" ht="13">
      <c r="A386" s="18" t="s">
        <v>1027</v>
      </c>
      <c r="B386" s="18" t="s">
        <v>434</v>
      </c>
      <c r="C386" s="18" t="s">
        <v>1035</v>
      </c>
      <c r="D386" s="18" t="s">
        <v>1033</v>
      </c>
      <c r="E386" s="18">
        <v>1990</v>
      </c>
      <c r="F386" s="18">
        <v>91</v>
      </c>
      <c r="G386" s="18" t="s">
        <v>402</v>
      </c>
      <c r="H386" s="18" t="s">
        <v>402</v>
      </c>
      <c r="I386" s="18" t="s">
        <v>1036</v>
      </c>
      <c r="J386" s="18" t="s">
        <v>637</v>
      </c>
      <c r="K386" s="18" t="s">
        <v>438</v>
      </c>
    </row>
    <row r="387" spans="1:11" ht="13">
      <c r="A387" s="18" t="s">
        <v>1027</v>
      </c>
      <c r="B387" s="18" t="s">
        <v>434</v>
      </c>
      <c r="C387" s="18" t="s">
        <v>1035</v>
      </c>
      <c r="D387" s="18" t="s">
        <v>1033</v>
      </c>
      <c r="E387" s="18">
        <v>1991</v>
      </c>
      <c r="F387" s="18">
        <v>101</v>
      </c>
      <c r="G387" s="18" t="s">
        <v>402</v>
      </c>
      <c r="H387" s="18" t="s">
        <v>402</v>
      </c>
      <c r="I387" s="18" t="s">
        <v>1036</v>
      </c>
      <c r="J387" s="18" t="s">
        <v>637</v>
      </c>
      <c r="K387" s="18" t="s">
        <v>438</v>
      </c>
    </row>
    <row r="388" spans="1:11" ht="13">
      <c r="A388" s="18" t="s">
        <v>1027</v>
      </c>
      <c r="B388" s="18" t="s">
        <v>434</v>
      </c>
      <c r="C388" s="18" t="s">
        <v>1035</v>
      </c>
      <c r="D388" s="18" t="s">
        <v>1033</v>
      </c>
      <c r="E388" s="18">
        <v>1992</v>
      </c>
      <c r="F388" s="18">
        <v>110</v>
      </c>
      <c r="G388" s="18" t="s">
        <v>402</v>
      </c>
      <c r="H388" s="18" t="s">
        <v>402</v>
      </c>
      <c r="I388" s="18" t="s">
        <v>1036</v>
      </c>
      <c r="J388" s="18" t="s">
        <v>637</v>
      </c>
      <c r="K388" s="18" t="s">
        <v>438</v>
      </c>
    </row>
    <row r="389" spans="1:11" ht="13">
      <c r="A389" s="18" t="s">
        <v>1027</v>
      </c>
      <c r="B389" s="18" t="s">
        <v>434</v>
      </c>
      <c r="C389" s="18" t="s">
        <v>1035</v>
      </c>
      <c r="D389" s="18" t="s">
        <v>1033</v>
      </c>
      <c r="E389" s="18">
        <v>1993</v>
      </c>
      <c r="F389" s="18">
        <v>119</v>
      </c>
      <c r="G389" s="18" t="s">
        <v>402</v>
      </c>
      <c r="H389" s="18" t="s">
        <v>402</v>
      </c>
      <c r="I389" s="18" t="s">
        <v>1036</v>
      </c>
      <c r="J389" s="18" t="s">
        <v>637</v>
      </c>
      <c r="K389" s="18" t="s">
        <v>438</v>
      </c>
    </row>
    <row r="390" spans="1:11" ht="13">
      <c r="A390" s="18" t="s">
        <v>1027</v>
      </c>
      <c r="B390" s="18" t="s">
        <v>434</v>
      </c>
      <c r="C390" s="18" t="s">
        <v>1035</v>
      </c>
      <c r="D390" s="18" t="s">
        <v>1033</v>
      </c>
      <c r="E390" s="18">
        <v>1994</v>
      </c>
      <c r="F390" s="18">
        <v>131</v>
      </c>
      <c r="G390" s="18" t="s">
        <v>402</v>
      </c>
      <c r="H390" s="18" t="s">
        <v>402</v>
      </c>
      <c r="I390" s="18" t="s">
        <v>1036</v>
      </c>
      <c r="J390" s="18" t="s">
        <v>637</v>
      </c>
      <c r="K390" s="18" t="s">
        <v>438</v>
      </c>
    </row>
    <row r="391" spans="1:11" ht="13">
      <c r="A391" s="18" t="s">
        <v>1027</v>
      </c>
      <c r="B391" s="18" t="s">
        <v>434</v>
      </c>
      <c r="C391" s="18" t="s">
        <v>1035</v>
      </c>
      <c r="D391" s="18" t="s">
        <v>1033</v>
      </c>
      <c r="E391" s="18">
        <v>1995</v>
      </c>
      <c r="F391" s="18">
        <v>136</v>
      </c>
      <c r="G391" s="18" t="s">
        <v>402</v>
      </c>
      <c r="H391" s="18" t="s">
        <v>402</v>
      </c>
      <c r="I391" s="18" t="s">
        <v>1036</v>
      </c>
      <c r="J391" s="18" t="s">
        <v>637</v>
      </c>
      <c r="K391" s="18" t="s">
        <v>438</v>
      </c>
    </row>
    <row r="392" spans="1:11" ht="13">
      <c r="A392" s="18" t="s">
        <v>1027</v>
      </c>
      <c r="B392" s="18" t="s">
        <v>434</v>
      </c>
      <c r="C392" s="18" t="s">
        <v>1035</v>
      </c>
      <c r="D392" s="18" t="s">
        <v>1033</v>
      </c>
      <c r="E392" s="18">
        <v>1996</v>
      </c>
      <c r="F392" s="18">
        <v>152</v>
      </c>
      <c r="G392" s="18" t="s">
        <v>402</v>
      </c>
      <c r="H392" s="18" t="s">
        <v>402</v>
      </c>
      <c r="I392" s="18" t="s">
        <v>1036</v>
      </c>
      <c r="J392" s="18" t="s">
        <v>637</v>
      </c>
      <c r="K392" s="18" t="s">
        <v>438</v>
      </c>
    </row>
    <row r="393" spans="1:11" ht="13">
      <c r="A393" s="18" t="s">
        <v>1027</v>
      </c>
      <c r="B393" s="18" t="s">
        <v>434</v>
      </c>
      <c r="C393" s="18" t="s">
        <v>1035</v>
      </c>
      <c r="D393" s="18" t="s">
        <v>1033</v>
      </c>
      <c r="E393" s="18">
        <v>1997</v>
      </c>
      <c r="F393" s="18">
        <v>164</v>
      </c>
      <c r="G393" s="18" t="s">
        <v>402</v>
      </c>
      <c r="H393" s="18" t="s">
        <v>402</v>
      </c>
      <c r="I393" s="18" t="s">
        <v>1036</v>
      </c>
      <c r="J393" s="18" t="s">
        <v>637</v>
      </c>
      <c r="K393" s="18" t="s">
        <v>438</v>
      </c>
    </row>
    <row r="394" spans="1:11" ht="13">
      <c r="A394" s="18" t="s">
        <v>1027</v>
      </c>
      <c r="B394" s="18" t="s">
        <v>434</v>
      </c>
      <c r="C394" s="18" t="s">
        <v>1035</v>
      </c>
      <c r="D394" s="18" t="s">
        <v>1033</v>
      </c>
      <c r="E394" s="18">
        <v>1998</v>
      </c>
      <c r="F394" s="18">
        <v>175</v>
      </c>
      <c r="G394" s="18" t="s">
        <v>402</v>
      </c>
      <c r="H394" s="18" t="s">
        <v>402</v>
      </c>
      <c r="I394" s="18" t="s">
        <v>1036</v>
      </c>
      <c r="J394" s="18" t="s">
        <v>637</v>
      </c>
      <c r="K394" s="18" t="s">
        <v>438</v>
      </c>
    </row>
    <row r="395" spans="1:11" ht="13">
      <c r="A395" s="18" t="s">
        <v>1027</v>
      </c>
      <c r="B395" s="18" t="s">
        <v>434</v>
      </c>
      <c r="C395" s="18" t="s">
        <v>1035</v>
      </c>
      <c r="D395" s="18" t="s">
        <v>1033</v>
      </c>
      <c r="E395" s="18">
        <v>1999</v>
      </c>
      <c r="F395" s="18">
        <v>182</v>
      </c>
      <c r="G395" s="18" t="s">
        <v>402</v>
      </c>
      <c r="H395" s="18" t="s">
        <v>402</v>
      </c>
      <c r="I395" s="18" t="s">
        <v>1036</v>
      </c>
      <c r="J395" s="18" t="s">
        <v>637</v>
      </c>
      <c r="K395" s="18" t="s">
        <v>438</v>
      </c>
    </row>
    <row r="396" spans="1:11" ht="13">
      <c r="A396" s="18" t="s">
        <v>1027</v>
      </c>
      <c r="B396" s="18" t="s">
        <v>434</v>
      </c>
      <c r="C396" s="18" t="s">
        <v>1035</v>
      </c>
      <c r="D396" s="18" t="s">
        <v>1033</v>
      </c>
      <c r="E396" s="18">
        <v>2000</v>
      </c>
      <c r="F396" s="18">
        <v>199</v>
      </c>
      <c r="G396" s="18" t="s">
        <v>402</v>
      </c>
      <c r="H396" s="18" t="s">
        <v>402</v>
      </c>
      <c r="I396" s="18" t="s">
        <v>1036</v>
      </c>
      <c r="J396" s="18" t="s">
        <v>637</v>
      </c>
      <c r="K396" s="18" t="s">
        <v>438</v>
      </c>
    </row>
    <row r="397" spans="1:11" ht="13">
      <c r="A397" s="18" t="s">
        <v>1027</v>
      </c>
      <c r="B397" s="18" t="s">
        <v>434</v>
      </c>
      <c r="C397" s="18" t="s">
        <v>1035</v>
      </c>
      <c r="D397" s="18" t="s">
        <v>1033</v>
      </c>
      <c r="E397" s="18">
        <v>2001</v>
      </c>
      <c r="F397" s="18">
        <v>208</v>
      </c>
      <c r="G397" s="18" t="s">
        <v>402</v>
      </c>
      <c r="H397" s="18" t="s">
        <v>402</v>
      </c>
      <c r="I397" s="18" t="s">
        <v>1036</v>
      </c>
      <c r="J397" s="18" t="s">
        <v>637</v>
      </c>
      <c r="K397" s="18" t="s">
        <v>438</v>
      </c>
    </row>
    <row r="398" spans="1:11" ht="13">
      <c r="A398" s="18" t="s">
        <v>1027</v>
      </c>
      <c r="B398" s="18" t="s">
        <v>434</v>
      </c>
      <c r="C398" s="18" t="s">
        <v>1035</v>
      </c>
      <c r="D398" s="18" t="s">
        <v>1033</v>
      </c>
      <c r="E398" s="18">
        <v>2002</v>
      </c>
      <c r="F398" s="18">
        <v>218</v>
      </c>
      <c r="G398" s="18" t="s">
        <v>402</v>
      </c>
      <c r="H398" s="18" t="s">
        <v>402</v>
      </c>
      <c r="I398" s="18" t="s">
        <v>1036</v>
      </c>
      <c r="J398" s="18" t="s">
        <v>637</v>
      </c>
      <c r="K398" s="18" t="s">
        <v>438</v>
      </c>
    </row>
    <row r="399" spans="1:11" ht="13">
      <c r="A399" s="18" t="s">
        <v>1027</v>
      </c>
      <c r="B399" s="18" t="s">
        <v>434</v>
      </c>
      <c r="C399" s="18" t="s">
        <v>1035</v>
      </c>
      <c r="D399" s="18" t="s">
        <v>1033</v>
      </c>
      <c r="E399" s="18">
        <v>2003</v>
      </c>
      <c r="F399" s="18">
        <v>234</v>
      </c>
      <c r="G399" s="18" t="s">
        <v>402</v>
      </c>
      <c r="H399" s="18" t="s">
        <v>402</v>
      </c>
      <c r="I399" s="18" t="s">
        <v>1036</v>
      </c>
      <c r="J399" s="18" t="s">
        <v>637</v>
      </c>
      <c r="K399" s="18" t="s">
        <v>438</v>
      </c>
    </row>
    <row r="400" spans="1:11" ht="13">
      <c r="A400" s="18" t="s">
        <v>1027</v>
      </c>
      <c r="B400" s="18" t="s">
        <v>434</v>
      </c>
      <c r="C400" s="18" t="s">
        <v>1035</v>
      </c>
      <c r="D400" s="18" t="s">
        <v>1033</v>
      </c>
      <c r="E400" s="18">
        <v>2004</v>
      </c>
      <c r="F400" s="18">
        <v>246</v>
      </c>
      <c r="G400" s="18" t="s">
        <v>402</v>
      </c>
      <c r="H400" s="18" t="s">
        <v>402</v>
      </c>
      <c r="I400" s="18" t="s">
        <v>1036</v>
      </c>
      <c r="J400" s="18" t="s">
        <v>637</v>
      </c>
      <c r="K400" s="18" t="s">
        <v>438</v>
      </c>
    </row>
    <row r="401" spans="1:11" ht="13">
      <c r="A401" s="18" t="s">
        <v>1027</v>
      </c>
      <c r="B401" s="18" t="s">
        <v>434</v>
      </c>
      <c r="C401" s="18" t="s">
        <v>1035</v>
      </c>
      <c r="D401" s="18" t="s">
        <v>1033</v>
      </c>
      <c r="E401" s="18">
        <v>2005</v>
      </c>
      <c r="F401" s="18">
        <v>253</v>
      </c>
      <c r="G401" s="18" t="s">
        <v>402</v>
      </c>
      <c r="H401" s="18" t="s">
        <v>402</v>
      </c>
      <c r="I401" s="18" t="s">
        <v>1036</v>
      </c>
      <c r="J401" s="18" t="s">
        <v>637</v>
      </c>
      <c r="K401" s="18" t="s">
        <v>438</v>
      </c>
    </row>
    <row r="402" spans="1:11" ht="13">
      <c r="A402" s="18" t="s">
        <v>1027</v>
      </c>
      <c r="B402" s="18" t="s">
        <v>434</v>
      </c>
      <c r="C402" s="18" t="s">
        <v>1035</v>
      </c>
      <c r="D402" s="18" t="s">
        <v>1033</v>
      </c>
      <c r="E402" s="18">
        <v>2006</v>
      </c>
      <c r="F402" s="18">
        <v>255</v>
      </c>
      <c r="G402" s="18" t="s">
        <v>402</v>
      </c>
      <c r="H402" s="18" t="s">
        <v>402</v>
      </c>
      <c r="I402" s="18" t="s">
        <v>1036</v>
      </c>
      <c r="J402" s="18" t="s">
        <v>637</v>
      </c>
      <c r="K402" s="18" t="s">
        <v>438</v>
      </c>
    </row>
    <row r="403" spans="1:11" ht="13">
      <c r="A403" s="18" t="s">
        <v>1027</v>
      </c>
      <c r="B403" s="18" t="s">
        <v>434</v>
      </c>
      <c r="C403" s="18" t="s">
        <v>1035</v>
      </c>
      <c r="D403" s="18" t="s">
        <v>1033</v>
      </c>
      <c r="E403" s="18">
        <v>2007</v>
      </c>
      <c r="F403" s="18">
        <v>269</v>
      </c>
      <c r="G403" s="18" t="s">
        <v>402</v>
      </c>
      <c r="H403" s="18" t="s">
        <v>402</v>
      </c>
      <c r="I403" s="18" t="s">
        <v>1036</v>
      </c>
      <c r="J403" s="18" t="s">
        <v>637</v>
      </c>
      <c r="K403" s="18" t="s">
        <v>438</v>
      </c>
    </row>
    <row r="404" spans="1:11" ht="13">
      <c r="A404" s="18" t="s">
        <v>1027</v>
      </c>
      <c r="B404" s="18" t="s">
        <v>434</v>
      </c>
      <c r="C404" s="18" t="s">
        <v>1035</v>
      </c>
      <c r="D404" s="18" t="s">
        <v>1033</v>
      </c>
      <c r="E404" s="18">
        <v>2008</v>
      </c>
      <c r="F404" s="18">
        <v>278</v>
      </c>
      <c r="G404" s="18" t="s">
        <v>402</v>
      </c>
      <c r="H404" s="18" t="s">
        <v>402</v>
      </c>
      <c r="I404" s="18" t="s">
        <v>1036</v>
      </c>
      <c r="J404" s="18" t="s">
        <v>637</v>
      </c>
      <c r="K404" s="18" t="s">
        <v>438</v>
      </c>
    </row>
    <row r="405" spans="1:11" ht="13">
      <c r="A405" s="18" t="s">
        <v>1027</v>
      </c>
      <c r="B405" s="18" t="s">
        <v>434</v>
      </c>
      <c r="C405" s="18" t="s">
        <v>1035</v>
      </c>
      <c r="D405" s="18" t="s">
        <v>1033</v>
      </c>
      <c r="E405" s="18">
        <v>2009</v>
      </c>
      <c r="F405" s="18">
        <v>292</v>
      </c>
      <c r="G405" s="18" t="s">
        <v>402</v>
      </c>
      <c r="H405" s="18" t="s">
        <v>402</v>
      </c>
      <c r="I405" s="18" t="s">
        <v>1036</v>
      </c>
      <c r="J405" s="18" t="s">
        <v>637</v>
      </c>
      <c r="K405" s="18" t="s">
        <v>438</v>
      </c>
    </row>
    <row r="406" spans="1:11" ht="13">
      <c r="A406" s="18" t="s">
        <v>1027</v>
      </c>
      <c r="B406" s="18" t="s">
        <v>434</v>
      </c>
      <c r="C406" s="18" t="s">
        <v>1035</v>
      </c>
      <c r="D406" s="18" t="s">
        <v>1033</v>
      </c>
      <c r="E406" s="18">
        <v>2010</v>
      </c>
      <c r="F406" s="18">
        <v>297</v>
      </c>
      <c r="G406" s="18" t="s">
        <v>402</v>
      </c>
      <c r="H406" s="18" t="s">
        <v>402</v>
      </c>
      <c r="I406" s="18" t="s">
        <v>1036</v>
      </c>
      <c r="J406" s="18" t="s">
        <v>637</v>
      </c>
      <c r="K406" s="18" t="s">
        <v>438</v>
      </c>
    </row>
    <row r="407" spans="1:11" ht="13">
      <c r="A407" s="18" t="s">
        <v>1027</v>
      </c>
      <c r="B407" s="18" t="s">
        <v>434</v>
      </c>
      <c r="C407" s="18" t="s">
        <v>1035</v>
      </c>
      <c r="D407" s="18" t="s">
        <v>1033</v>
      </c>
      <c r="E407" s="18">
        <v>2011</v>
      </c>
      <c r="F407" s="18">
        <v>309</v>
      </c>
      <c r="G407" s="18" t="s">
        <v>402</v>
      </c>
      <c r="H407" s="18" t="s">
        <v>402</v>
      </c>
      <c r="I407" s="18" t="s">
        <v>1036</v>
      </c>
      <c r="J407" s="18" t="s">
        <v>637</v>
      </c>
      <c r="K407" s="18" t="s">
        <v>438</v>
      </c>
    </row>
    <row r="408" spans="1:11" ht="13">
      <c r="A408" s="18" t="s">
        <v>1027</v>
      </c>
      <c r="B408" s="18" t="s">
        <v>434</v>
      </c>
      <c r="C408" s="18" t="s">
        <v>1035</v>
      </c>
      <c r="D408" s="18" t="s">
        <v>1033</v>
      </c>
      <c r="E408" s="18">
        <v>2012</v>
      </c>
      <c r="F408" s="18">
        <v>313</v>
      </c>
      <c r="G408" s="18" t="s">
        <v>402</v>
      </c>
      <c r="H408" s="18" t="s">
        <v>402</v>
      </c>
      <c r="I408" s="18" t="s">
        <v>1036</v>
      </c>
      <c r="J408" s="18" t="s">
        <v>637</v>
      </c>
      <c r="K408" s="18" t="s">
        <v>438</v>
      </c>
    </row>
    <row r="409" spans="1:11" ht="13">
      <c r="A409" s="18" t="s">
        <v>1027</v>
      </c>
      <c r="B409" s="18" t="s">
        <v>434</v>
      </c>
      <c r="C409" s="18" t="s">
        <v>1035</v>
      </c>
      <c r="D409" s="18" t="s">
        <v>1033</v>
      </c>
      <c r="E409" s="18">
        <v>2013</v>
      </c>
      <c r="F409" s="18">
        <v>323</v>
      </c>
      <c r="G409" s="18" t="s">
        <v>402</v>
      </c>
      <c r="H409" s="18" t="s">
        <v>402</v>
      </c>
      <c r="I409" s="18" t="s">
        <v>1036</v>
      </c>
      <c r="J409" s="18" t="s">
        <v>637</v>
      </c>
      <c r="K409" s="18" t="s">
        <v>438</v>
      </c>
    </row>
    <row r="410" spans="1:11" ht="13">
      <c r="A410" s="18" t="s">
        <v>1027</v>
      </c>
      <c r="B410" s="18" t="s">
        <v>434</v>
      </c>
      <c r="C410" s="18" t="s">
        <v>1035</v>
      </c>
      <c r="D410" s="18" t="s">
        <v>1033</v>
      </c>
      <c r="E410" s="18">
        <v>2014</v>
      </c>
      <c r="F410" s="18">
        <v>330</v>
      </c>
      <c r="G410" s="18" t="s">
        <v>402</v>
      </c>
      <c r="H410" s="18" t="s">
        <v>402</v>
      </c>
      <c r="I410" s="18" t="s">
        <v>1036</v>
      </c>
      <c r="J410" s="18" t="s">
        <v>637</v>
      </c>
      <c r="K410" s="18" t="s">
        <v>438</v>
      </c>
    </row>
    <row r="411" spans="1:11" ht="13">
      <c r="A411" s="18" t="s">
        <v>1027</v>
      </c>
      <c r="B411" s="18" t="s">
        <v>434</v>
      </c>
      <c r="C411" s="18" t="s">
        <v>1035</v>
      </c>
      <c r="D411" s="18" t="s">
        <v>1033</v>
      </c>
      <c r="E411" s="18">
        <v>2015</v>
      </c>
      <c r="F411" s="18">
        <v>335</v>
      </c>
      <c r="G411" s="18" t="s">
        <v>402</v>
      </c>
      <c r="H411" s="18" t="s">
        <v>402</v>
      </c>
      <c r="I411" s="18" t="s">
        <v>1036</v>
      </c>
      <c r="J411" s="18" t="s">
        <v>637</v>
      </c>
      <c r="K411" s="18" t="s">
        <v>438</v>
      </c>
    </row>
    <row r="412" spans="1:11" ht="13">
      <c r="A412" s="18" t="s">
        <v>1027</v>
      </c>
      <c r="B412" s="18" t="s">
        <v>434</v>
      </c>
      <c r="C412" s="18" t="s">
        <v>1035</v>
      </c>
      <c r="D412" s="18" t="s">
        <v>1033</v>
      </c>
      <c r="E412" s="18">
        <v>2016</v>
      </c>
      <c r="F412" s="18">
        <v>342</v>
      </c>
      <c r="G412" s="18" t="s">
        <v>402</v>
      </c>
      <c r="H412" s="18" t="s">
        <v>402</v>
      </c>
      <c r="I412" s="18" t="s">
        <v>1036</v>
      </c>
      <c r="J412" s="18" t="s">
        <v>637</v>
      </c>
      <c r="K412" s="18" t="s">
        <v>438</v>
      </c>
    </row>
    <row r="413" spans="1:11" ht="13">
      <c r="A413" s="18" t="s">
        <v>1027</v>
      </c>
      <c r="B413" s="18" t="s">
        <v>434</v>
      </c>
      <c r="C413" s="18" t="s">
        <v>1035</v>
      </c>
      <c r="D413" s="18" t="s">
        <v>1033</v>
      </c>
      <c r="E413" s="18">
        <v>2017</v>
      </c>
      <c r="F413" s="18">
        <v>346</v>
      </c>
      <c r="G413" s="18" t="s">
        <v>402</v>
      </c>
      <c r="H413" s="18" t="s">
        <v>402</v>
      </c>
      <c r="I413" s="18" t="s">
        <v>1036</v>
      </c>
      <c r="J413" s="18" t="s">
        <v>637</v>
      </c>
      <c r="K413" s="18" t="s">
        <v>438</v>
      </c>
    </row>
    <row r="414" spans="1:11" ht="13">
      <c r="A414" s="18" t="s">
        <v>1027</v>
      </c>
      <c r="B414" s="18" t="s">
        <v>434</v>
      </c>
      <c r="C414" s="18" t="s">
        <v>1035</v>
      </c>
      <c r="D414" s="18" t="s">
        <v>1033</v>
      </c>
      <c r="E414" s="18">
        <v>2018</v>
      </c>
      <c r="F414" s="18">
        <v>353</v>
      </c>
      <c r="G414" s="18" t="s">
        <v>402</v>
      </c>
      <c r="H414" s="18" t="s">
        <v>402</v>
      </c>
      <c r="I414" s="18" t="s">
        <v>1036</v>
      </c>
      <c r="J414" s="18" t="s">
        <v>637</v>
      </c>
      <c r="K414" s="18" t="s">
        <v>438</v>
      </c>
    </row>
    <row r="415" spans="1:11" ht="13">
      <c r="A415" s="18" t="s">
        <v>1027</v>
      </c>
      <c r="B415" s="18" t="s">
        <v>434</v>
      </c>
      <c r="C415" s="18" t="s">
        <v>1035</v>
      </c>
      <c r="D415" s="18" t="s">
        <v>1033</v>
      </c>
      <c r="E415" s="18">
        <v>2019</v>
      </c>
      <c r="F415" s="18">
        <v>356</v>
      </c>
      <c r="G415" s="18" t="s">
        <v>402</v>
      </c>
      <c r="H415" s="18" t="s">
        <v>402</v>
      </c>
      <c r="I415" s="18" t="s">
        <v>1036</v>
      </c>
      <c r="J415" s="18" t="s">
        <v>637</v>
      </c>
      <c r="K415" s="18" t="s">
        <v>438</v>
      </c>
    </row>
    <row r="416" spans="1:11" ht="13">
      <c r="A416" s="18" t="s">
        <v>1027</v>
      </c>
      <c r="B416" s="18" t="s">
        <v>434</v>
      </c>
      <c r="C416" s="18" t="s">
        <v>1035</v>
      </c>
      <c r="D416" s="18" t="s">
        <v>1033</v>
      </c>
      <c r="E416" s="18">
        <v>2020</v>
      </c>
      <c r="F416" s="18">
        <v>356</v>
      </c>
      <c r="G416" s="18" t="s">
        <v>402</v>
      </c>
      <c r="H416" s="18" t="s">
        <v>402</v>
      </c>
      <c r="I416" s="18" t="s">
        <v>1036</v>
      </c>
      <c r="J416" s="18" t="s">
        <v>637</v>
      </c>
      <c r="K416" s="18" t="s">
        <v>438</v>
      </c>
    </row>
    <row r="417" spans="1:12" ht="13">
      <c r="A417" s="18" t="s">
        <v>1027</v>
      </c>
      <c r="B417" s="18" t="s">
        <v>434</v>
      </c>
      <c r="C417" s="18" t="s">
        <v>1035</v>
      </c>
      <c r="D417" s="18" t="s">
        <v>1033</v>
      </c>
      <c r="E417" s="18">
        <v>2021</v>
      </c>
      <c r="F417" s="18">
        <v>363</v>
      </c>
      <c r="G417" s="18" t="s">
        <v>402</v>
      </c>
      <c r="H417" s="18" t="s">
        <v>402</v>
      </c>
      <c r="I417" s="18" t="s">
        <v>1036</v>
      </c>
      <c r="J417" s="18" t="s">
        <v>637</v>
      </c>
      <c r="K417" s="18" t="s">
        <v>438</v>
      </c>
    </row>
    <row r="418" spans="1:12" ht="14">
      <c r="A418" s="18" t="s">
        <v>314</v>
      </c>
      <c r="B418" s="18" t="s">
        <v>440</v>
      </c>
      <c r="C418" s="9" t="s">
        <v>1037</v>
      </c>
      <c r="D418" s="18" t="s">
        <v>632</v>
      </c>
      <c r="E418" s="18">
        <v>1990</v>
      </c>
      <c r="F418" s="18">
        <v>1184</v>
      </c>
      <c r="G418" s="18">
        <v>964</v>
      </c>
      <c r="H418" s="18">
        <v>1443</v>
      </c>
      <c r="I418" s="18" t="s">
        <v>622</v>
      </c>
      <c r="J418" s="18" t="s">
        <v>637</v>
      </c>
      <c r="K418" s="18" t="s">
        <v>443</v>
      </c>
    </row>
    <row r="419" spans="1:12" ht="14">
      <c r="A419" s="18" t="s">
        <v>314</v>
      </c>
      <c r="B419" s="18" t="s">
        <v>440</v>
      </c>
      <c r="C419" s="9" t="s">
        <v>1037</v>
      </c>
      <c r="D419" s="18" t="s">
        <v>632</v>
      </c>
      <c r="E419" s="18">
        <v>1999</v>
      </c>
      <c r="F419" s="18">
        <v>2272</v>
      </c>
      <c r="G419" s="18">
        <v>1896</v>
      </c>
      <c r="H419" s="18">
        <v>2731</v>
      </c>
      <c r="I419" s="18" t="s">
        <v>622</v>
      </c>
      <c r="J419" s="18" t="s">
        <v>637</v>
      </c>
      <c r="K419" s="18" t="s">
        <v>443</v>
      </c>
    </row>
    <row r="420" spans="1:12" ht="14">
      <c r="A420" s="18" t="s">
        <v>314</v>
      </c>
      <c r="B420" s="18" t="s">
        <v>440</v>
      </c>
      <c r="C420" s="9" t="s">
        <v>1037</v>
      </c>
      <c r="D420" s="18" t="s">
        <v>632</v>
      </c>
      <c r="E420" s="18">
        <v>2009</v>
      </c>
      <c r="F420" s="18">
        <v>848</v>
      </c>
      <c r="G420" s="18">
        <v>414</v>
      </c>
      <c r="H420" s="18">
        <v>1741</v>
      </c>
      <c r="I420" s="18" t="s">
        <v>622</v>
      </c>
      <c r="J420" s="18" t="s">
        <v>637</v>
      </c>
      <c r="K420" s="18" t="s">
        <v>443</v>
      </c>
    </row>
    <row r="421" spans="1:12" ht="14">
      <c r="A421" s="18" t="s">
        <v>314</v>
      </c>
      <c r="B421" s="18" t="s">
        <v>440</v>
      </c>
      <c r="C421" s="9" t="s">
        <v>1037</v>
      </c>
      <c r="D421" s="18" t="s">
        <v>632</v>
      </c>
      <c r="E421" s="18">
        <v>2014</v>
      </c>
      <c r="F421" s="18">
        <v>1152</v>
      </c>
      <c r="G421" s="18">
        <v>757</v>
      </c>
      <c r="H421" s="18">
        <v>1741</v>
      </c>
      <c r="I421" s="18" t="s">
        <v>622</v>
      </c>
      <c r="J421" s="18" t="s">
        <v>637</v>
      </c>
      <c r="K421" s="18" t="s">
        <v>443</v>
      </c>
    </row>
    <row r="422" spans="1:12" ht="14">
      <c r="A422" s="18" t="s">
        <v>314</v>
      </c>
      <c r="B422" s="18" t="s">
        <v>440</v>
      </c>
      <c r="C422" s="9" t="s">
        <v>1037</v>
      </c>
      <c r="D422" s="18" t="s">
        <v>632</v>
      </c>
      <c r="E422" s="18">
        <v>2017</v>
      </c>
      <c r="F422" s="18">
        <v>1379</v>
      </c>
      <c r="G422" s="18">
        <v>1269</v>
      </c>
      <c r="H422" s="18">
        <v>1502</v>
      </c>
      <c r="I422" s="18" t="s">
        <v>622</v>
      </c>
      <c r="J422" s="18" t="s">
        <v>637</v>
      </c>
      <c r="K422" s="18" t="s">
        <v>443</v>
      </c>
    </row>
    <row r="423" spans="1:12" ht="14">
      <c r="A423" s="18" t="s">
        <v>345</v>
      </c>
      <c r="B423" s="18" t="s">
        <v>444</v>
      </c>
      <c r="C423" s="9" t="s">
        <v>1038</v>
      </c>
      <c r="D423" s="18" t="s">
        <v>841</v>
      </c>
      <c r="E423" s="18">
        <v>1970</v>
      </c>
      <c r="F423" s="18">
        <v>936</v>
      </c>
      <c r="G423" s="18" t="s">
        <v>402</v>
      </c>
      <c r="H423" s="18" t="s">
        <v>402</v>
      </c>
      <c r="I423" s="18" t="s">
        <v>690</v>
      </c>
      <c r="J423" s="18" t="s">
        <v>637</v>
      </c>
      <c r="K423" s="18" t="s">
        <v>446</v>
      </c>
      <c r="L423" s="18" t="s">
        <v>1039</v>
      </c>
    </row>
    <row r="424" spans="1:12" ht="14">
      <c r="A424" s="18" t="s">
        <v>345</v>
      </c>
      <c r="B424" s="18" t="s">
        <v>444</v>
      </c>
      <c r="C424" s="9" t="s">
        <v>1038</v>
      </c>
      <c r="D424" s="18" t="s">
        <v>841</v>
      </c>
      <c r="E424" s="18">
        <v>1972</v>
      </c>
      <c r="F424" s="18">
        <v>992</v>
      </c>
      <c r="G424" s="18" t="s">
        <v>402</v>
      </c>
      <c r="H424" s="18" t="s">
        <v>402</v>
      </c>
      <c r="I424" s="18" t="s">
        <v>690</v>
      </c>
      <c r="J424" s="18" t="s">
        <v>637</v>
      </c>
      <c r="K424" s="18" t="s">
        <v>446</v>
      </c>
    </row>
    <row r="425" spans="1:12" ht="14">
      <c r="A425" s="18" t="s">
        <v>345</v>
      </c>
      <c r="B425" s="18" t="s">
        <v>444</v>
      </c>
      <c r="C425" s="9" t="s">
        <v>1038</v>
      </c>
      <c r="D425" s="18" t="s">
        <v>841</v>
      </c>
      <c r="E425" s="18">
        <v>1977</v>
      </c>
      <c r="F425" s="18">
        <v>936</v>
      </c>
      <c r="G425" s="18" t="s">
        <v>402</v>
      </c>
      <c r="H425" s="18" t="s">
        <v>402</v>
      </c>
      <c r="I425" s="18" t="s">
        <v>690</v>
      </c>
      <c r="J425" s="18" t="s">
        <v>637</v>
      </c>
      <c r="K425" s="18" t="s">
        <v>446</v>
      </c>
    </row>
    <row r="426" spans="1:12" ht="14">
      <c r="A426" s="18" t="s">
        <v>345</v>
      </c>
      <c r="B426" s="18" t="s">
        <v>444</v>
      </c>
      <c r="C426" s="9" t="s">
        <v>1038</v>
      </c>
      <c r="D426" s="18" t="s">
        <v>841</v>
      </c>
      <c r="E426" s="18">
        <v>1982</v>
      </c>
      <c r="F426" s="18">
        <v>1218</v>
      </c>
      <c r="G426" s="18" t="s">
        <v>402</v>
      </c>
      <c r="H426" s="18" t="s">
        <v>402</v>
      </c>
      <c r="I426" s="18" t="s">
        <v>690</v>
      </c>
      <c r="J426" s="18" t="s">
        <v>637</v>
      </c>
      <c r="K426" s="18" t="s">
        <v>446</v>
      </c>
    </row>
    <row r="427" spans="1:12" ht="14">
      <c r="A427" s="18" t="s">
        <v>345</v>
      </c>
      <c r="B427" s="18" t="s">
        <v>444</v>
      </c>
      <c r="C427" s="9" t="s">
        <v>1038</v>
      </c>
      <c r="D427" s="18" t="s">
        <v>841</v>
      </c>
      <c r="E427" s="18">
        <v>1987</v>
      </c>
      <c r="F427" s="18">
        <v>1077</v>
      </c>
      <c r="G427" s="18" t="s">
        <v>402</v>
      </c>
      <c r="H427" s="18" t="s">
        <v>402</v>
      </c>
      <c r="I427" s="18" t="s">
        <v>690</v>
      </c>
      <c r="J427" s="18" t="s">
        <v>637</v>
      </c>
      <c r="K427" s="18" t="s">
        <v>446</v>
      </c>
    </row>
    <row r="428" spans="1:12" ht="14">
      <c r="A428" s="18" t="s">
        <v>345</v>
      </c>
      <c r="B428" s="18" t="s">
        <v>444</v>
      </c>
      <c r="C428" s="9" t="s">
        <v>1038</v>
      </c>
      <c r="D428" s="18" t="s">
        <v>841</v>
      </c>
      <c r="E428" s="18">
        <v>1992</v>
      </c>
      <c r="F428" s="18">
        <v>1471</v>
      </c>
      <c r="G428" s="18" t="s">
        <v>402</v>
      </c>
      <c r="H428" s="18" t="s">
        <v>402</v>
      </c>
      <c r="I428" s="18" t="s">
        <v>690</v>
      </c>
      <c r="J428" s="18" t="s">
        <v>637</v>
      </c>
      <c r="K428" s="18" t="s">
        <v>446</v>
      </c>
    </row>
    <row r="429" spans="1:12" ht="14">
      <c r="A429" s="18" t="s">
        <v>345</v>
      </c>
      <c r="B429" s="18" t="s">
        <v>444</v>
      </c>
      <c r="C429" s="9" t="s">
        <v>1038</v>
      </c>
      <c r="D429" s="18" t="s">
        <v>841</v>
      </c>
      <c r="E429" s="18">
        <v>1994</v>
      </c>
      <c r="F429" s="18">
        <v>1161</v>
      </c>
      <c r="G429" s="18" t="s">
        <v>402</v>
      </c>
      <c r="H429" s="18" t="s">
        <v>402</v>
      </c>
      <c r="I429" s="18" t="s">
        <v>690</v>
      </c>
      <c r="J429" s="18" t="s">
        <v>637</v>
      </c>
      <c r="K429" s="18" t="s">
        <v>446</v>
      </c>
    </row>
    <row r="430" spans="1:12" ht="14">
      <c r="A430" s="18" t="s">
        <v>345</v>
      </c>
      <c r="B430" s="18" t="s">
        <v>444</v>
      </c>
      <c r="C430" s="9" t="s">
        <v>1038</v>
      </c>
      <c r="D430" s="18" t="s">
        <v>841</v>
      </c>
      <c r="E430" s="18">
        <v>1998</v>
      </c>
      <c r="F430" s="18">
        <v>2064</v>
      </c>
      <c r="G430" s="18" t="s">
        <v>402</v>
      </c>
      <c r="H430" s="18" t="s">
        <v>402</v>
      </c>
      <c r="I430" s="18" t="s">
        <v>690</v>
      </c>
      <c r="J430" s="18" t="s">
        <v>637</v>
      </c>
      <c r="K430" s="18" t="s">
        <v>446</v>
      </c>
    </row>
    <row r="431" spans="1:12" ht="14">
      <c r="A431" s="18" t="s">
        <v>345</v>
      </c>
      <c r="B431" s="18" t="s">
        <v>444</v>
      </c>
      <c r="C431" s="9" t="s">
        <v>1038</v>
      </c>
      <c r="D431" s="18" t="s">
        <v>841</v>
      </c>
      <c r="E431" s="18">
        <v>2002</v>
      </c>
      <c r="F431" s="18">
        <v>3276</v>
      </c>
      <c r="G431" s="18" t="s">
        <v>402</v>
      </c>
      <c r="H431" s="18" t="s">
        <v>402</v>
      </c>
      <c r="I431" s="18" t="s">
        <v>690</v>
      </c>
      <c r="J431" s="18" t="s">
        <v>637</v>
      </c>
      <c r="K431" s="18" t="s">
        <v>446</v>
      </c>
    </row>
    <row r="432" spans="1:12" ht="14">
      <c r="A432" s="18" t="s">
        <v>345</v>
      </c>
      <c r="B432" s="18" t="s">
        <v>444</v>
      </c>
      <c r="C432" s="9" t="s">
        <v>1038</v>
      </c>
      <c r="D432" s="18" t="s">
        <v>841</v>
      </c>
      <c r="E432" s="18">
        <v>2006</v>
      </c>
      <c r="F432" s="18">
        <v>4094</v>
      </c>
      <c r="G432" s="18" t="s">
        <v>402</v>
      </c>
      <c r="H432" s="18" t="s">
        <v>402</v>
      </c>
      <c r="I432" s="18" t="s">
        <v>690</v>
      </c>
      <c r="J432" s="18" t="s">
        <v>637</v>
      </c>
      <c r="K432" s="18" t="s">
        <v>446</v>
      </c>
    </row>
    <row r="433" spans="1:11" ht="14">
      <c r="A433" s="18" t="s">
        <v>345</v>
      </c>
      <c r="B433" s="18" t="s">
        <v>444</v>
      </c>
      <c r="C433" s="9" t="s">
        <v>1038</v>
      </c>
      <c r="D433" s="18" t="s">
        <v>841</v>
      </c>
      <c r="E433" s="18">
        <v>2008</v>
      </c>
      <c r="F433" s="18">
        <v>4065</v>
      </c>
      <c r="G433" s="18" t="s">
        <v>402</v>
      </c>
      <c r="H433" s="18" t="s">
        <v>402</v>
      </c>
      <c r="I433" s="18" t="s">
        <v>690</v>
      </c>
      <c r="J433" s="18" t="s">
        <v>637</v>
      </c>
      <c r="K433" s="18" t="s">
        <v>446</v>
      </c>
    </row>
    <row r="434" spans="1:11" ht="14">
      <c r="A434" s="18" t="s">
        <v>345</v>
      </c>
      <c r="B434" s="18" t="s">
        <v>444</v>
      </c>
      <c r="C434" s="9" t="s">
        <v>1038</v>
      </c>
      <c r="D434" s="18" t="s">
        <v>841</v>
      </c>
      <c r="E434" s="18">
        <v>2010</v>
      </c>
      <c r="F434" s="18">
        <v>5475</v>
      </c>
      <c r="G434" s="18" t="s">
        <v>402</v>
      </c>
      <c r="H434" s="18" t="s">
        <v>402</v>
      </c>
      <c r="I434" s="18" t="s">
        <v>690</v>
      </c>
      <c r="J434" s="18" t="s">
        <v>637</v>
      </c>
      <c r="K434" s="18" t="s">
        <v>446</v>
      </c>
    </row>
    <row r="435" spans="1:11" ht="14">
      <c r="A435" s="18" t="s">
        <v>345</v>
      </c>
      <c r="B435" s="18" t="s">
        <v>444</v>
      </c>
      <c r="C435" s="9" t="s">
        <v>1038</v>
      </c>
      <c r="D435" s="18" t="s">
        <v>841</v>
      </c>
      <c r="E435" s="18">
        <v>2013</v>
      </c>
      <c r="F435" s="18">
        <v>6293</v>
      </c>
      <c r="G435" s="18" t="s">
        <v>402</v>
      </c>
      <c r="H435" s="18" t="s">
        <v>402</v>
      </c>
      <c r="I435" s="18" t="s">
        <v>690</v>
      </c>
      <c r="J435" s="18" t="s">
        <v>637</v>
      </c>
      <c r="K435" s="18" t="s">
        <v>446</v>
      </c>
    </row>
    <row r="436" spans="1:11" ht="14">
      <c r="A436" s="18" t="s">
        <v>345</v>
      </c>
      <c r="B436" s="18" t="s">
        <v>444</v>
      </c>
      <c r="C436" s="9" t="s">
        <v>1038</v>
      </c>
      <c r="D436" s="18" t="s">
        <v>841</v>
      </c>
      <c r="E436" s="18">
        <v>2017</v>
      </c>
      <c r="F436" s="18">
        <v>6631</v>
      </c>
      <c r="G436" s="18" t="s">
        <v>402</v>
      </c>
      <c r="H436" s="18" t="s">
        <v>402</v>
      </c>
      <c r="I436" s="18" t="s">
        <v>690</v>
      </c>
      <c r="J436" s="18" t="s">
        <v>637</v>
      </c>
      <c r="K436" s="18" t="s">
        <v>446</v>
      </c>
    </row>
    <row r="437" spans="1:11" ht="14">
      <c r="A437" s="18" t="s">
        <v>345</v>
      </c>
      <c r="B437" s="18" t="s">
        <v>444</v>
      </c>
      <c r="C437" s="9" t="s">
        <v>1038</v>
      </c>
      <c r="D437" s="18" t="s">
        <v>841</v>
      </c>
      <c r="E437" s="18">
        <v>1971</v>
      </c>
      <c r="F437" s="18">
        <v>4919</v>
      </c>
      <c r="G437" s="18" t="s">
        <v>402</v>
      </c>
      <c r="H437" s="18" t="s">
        <v>402</v>
      </c>
      <c r="I437" s="18" t="s">
        <v>1040</v>
      </c>
      <c r="J437" s="18" t="s">
        <v>637</v>
      </c>
      <c r="K437" s="18" t="s">
        <v>446</v>
      </c>
    </row>
    <row r="438" spans="1:11" ht="14">
      <c r="A438" s="18" t="s">
        <v>345</v>
      </c>
      <c r="B438" s="18" t="s">
        <v>444</v>
      </c>
      <c r="C438" s="9" t="s">
        <v>1038</v>
      </c>
      <c r="D438" s="18" t="s">
        <v>841</v>
      </c>
      <c r="E438" s="18">
        <v>1973</v>
      </c>
      <c r="F438" s="18">
        <v>4716</v>
      </c>
      <c r="G438" s="18" t="s">
        <v>402</v>
      </c>
      <c r="H438" s="18" t="s">
        <v>402</v>
      </c>
      <c r="I438" s="18" t="s">
        <v>1040</v>
      </c>
      <c r="J438" s="18" t="s">
        <v>637</v>
      </c>
      <c r="K438" s="18" t="s">
        <v>446</v>
      </c>
    </row>
    <row r="439" spans="1:11" ht="14">
      <c r="A439" s="18" t="s">
        <v>345</v>
      </c>
      <c r="B439" s="18" t="s">
        <v>444</v>
      </c>
      <c r="C439" s="9" t="s">
        <v>1038</v>
      </c>
      <c r="D439" s="18" t="s">
        <v>841</v>
      </c>
      <c r="E439" s="18">
        <v>1977</v>
      </c>
      <c r="F439" s="18">
        <v>5223</v>
      </c>
      <c r="G439" s="18" t="s">
        <v>402</v>
      </c>
      <c r="H439" s="18" t="s">
        <v>402</v>
      </c>
      <c r="I439" s="18" t="s">
        <v>1040</v>
      </c>
      <c r="J439" s="18" t="s">
        <v>637</v>
      </c>
      <c r="K439" s="18" t="s">
        <v>446</v>
      </c>
    </row>
    <row r="440" spans="1:11" ht="14">
      <c r="A440" s="18" t="s">
        <v>345</v>
      </c>
      <c r="B440" s="18" t="s">
        <v>444</v>
      </c>
      <c r="C440" s="9" t="s">
        <v>1038</v>
      </c>
      <c r="D440" s="18" t="s">
        <v>841</v>
      </c>
      <c r="E440" s="18">
        <v>1982</v>
      </c>
      <c r="F440" s="18">
        <v>4615</v>
      </c>
      <c r="G440" s="18" t="s">
        <v>402</v>
      </c>
      <c r="H440" s="18" t="s">
        <v>402</v>
      </c>
      <c r="I440" s="18" t="s">
        <v>1040</v>
      </c>
      <c r="J440" s="18" t="s">
        <v>637</v>
      </c>
      <c r="K440" s="18" t="s">
        <v>446</v>
      </c>
    </row>
    <row r="441" spans="1:11" ht="14">
      <c r="A441" s="18" t="s">
        <v>345</v>
      </c>
      <c r="B441" s="18" t="s">
        <v>444</v>
      </c>
      <c r="C441" s="9" t="s">
        <v>1038</v>
      </c>
      <c r="D441" s="18" t="s">
        <v>841</v>
      </c>
      <c r="E441" s="18">
        <v>1987</v>
      </c>
      <c r="F441" s="18">
        <v>6135</v>
      </c>
      <c r="G441" s="18" t="s">
        <v>402</v>
      </c>
      <c r="H441" s="18" t="s">
        <v>402</v>
      </c>
      <c r="I441" s="18" t="s">
        <v>1040</v>
      </c>
      <c r="J441" s="18" t="s">
        <v>637</v>
      </c>
      <c r="K441" s="18" t="s">
        <v>446</v>
      </c>
    </row>
    <row r="442" spans="1:11" ht="14">
      <c r="A442" s="18" t="s">
        <v>345</v>
      </c>
      <c r="B442" s="18" t="s">
        <v>444</v>
      </c>
      <c r="C442" s="9" t="s">
        <v>1038</v>
      </c>
      <c r="D442" s="18" t="s">
        <v>841</v>
      </c>
      <c r="E442" s="18">
        <v>1992</v>
      </c>
      <c r="F442" s="18">
        <v>7351</v>
      </c>
      <c r="G442" s="18" t="s">
        <v>402</v>
      </c>
      <c r="H442" s="18" t="s">
        <v>402</v>
      </c>
      <c r="I442" s="18" t="s">
        <v>1040</v>
      </c>
      <c r="J442" s="18" t="s">
        <v>637</v>
      </c>
      <c r="K442" s="18" t="s">
        <v>446</v>
      </c>
    </row>
    <row r="443" spans="1:11" ht="14">
      <c r="A443" s="18" t="s">
        <v>345</v>
      </c>
      <c r="B443" s="18" t="s">
        <v>444</v>
      </c>
      <c r="C443" s="9" t="s">
        <v>1038</v>
      </c>
      <c r="D443" s="18" t="s">
        <v>841</v>
      </c>
      <c r="E443" s="18">
        <v>1994</v>
      </c>
      <c r="F443" s="18">
        <v>8061</v>
      </c>
      <c r="G443" s="18" t="s">
        <v>402</v>
      </c>
      <c r="H443" s="18" t="s">
        <v>402</v>
      </c>
      <c r="I443" s="18" t="s">
        <v>1040</v>
      </c>
      <c r="J443" s="18" t="s">
        <v>637</v>
      </c>
      <c r="K443" s="18" t="s">
        <v>446</v>
      </c>
    </row>
    <row r="444" spans="1:11" ht="14">
      <c r="A444" s="18" t="s">
        <v>345</v>
      </c>
      <c r="B444" s="18" t="s">
        <v>444</v>
      </c>
      <c r="C444" s="9" t="s">
        <v>1038</v>
      </c>
      <c r="D444" s="18" t="s">
        <v>841</v>
      </c>
      <c r="E444" s="18">
        <v>1998</v>
      </c>
      <c r="F444" s="18">
        <v>9784</v>
      </c>
      <c r="G444" s="18" t="s">
        <v>402</v>
      </c>
      <c r="H444" s="18" t="s">
        <v>402</v>
      </c>
      <c r="I444" s="18" t="s">
        <v>1040</v>
      </c>
      <c r="J444" s="18" t="s">
        <v>637</v>
      </c>
      <c r="K444" s="18" t="s">
        <v>446</v>
      </c>
    </row>
    <row r="445" spans="1:11" ht="14">
      <c r="A445" s="18" t="s">
        <v>345</v>
      </c>
      <c r="B445" s="18" t="s">
        <v>444</v>
      </c>
      <c r="C445" s="9" t="s">
        <v>1038</v>
      </c>
      <c r="D445" s="18" t="s">
        <v>841</v>
      </c>
      <c r="E445" s="18">
        <v>2002</v>
      </c>
      <c r="F445" s="18">
        <v>12115</v>
      </c>
      <c r="G445" s="18" t="s">
        <v>402</v>
      </c>
      <c r="H445" s="18" t="s">
        <v>402</v>
      </c>
      <c r="I445" s="18" t="s">
        <v>1040</v>
      </c>
      <c r="J445" s="18" t="s">
        <v>637</v>
      </c>
      <c r="K445" s="18" t="s">
        <v>446</v>
      </c>
    </row>
    <row r="446" spans="1:11" ht="14">
      <c r="A446" s="18" t="s">
        <v>345</v>
      </c>
      <c r="B446" s="18" t="s">
        <v>444</v>
      </c>
      <c r="C446" s="9" t="s">
        <v>1038</v>
      </c>
      <c r="D446" s="18" t="s">
        <v>841</v>
      </c>
      <c r="E446" s="18">
        <v>2006</v>
      </c>
      <c r="F446" s="18">
        <v>15662</v>
      </c>
      <c r="G446" s="18" t="s">
        <v>402</v>
      </c>
      <c r="H446" s="18" t="s">
        <v>402</v>
      </c>
      <c r="I446" s="18" t="s">
        <v>1040</v>
      </c>
      <c r="J446" s="18" t="s">
        <v>637</v>
      </c>
      <c r="K446" s="18" t="s">
        <v>446</v>
      </c>
    </row>
    <row r="447" spans="1:11" ht="14">
      <c r="A447" s="18" t="s">
        <v>345</v>
      </c>
      <c r="B447" s="18" t="s">
        <v>444</v>
      </c>
      <c r="C447" s="9" t="s">
        <v>1038</v>
      </c>
      <c r="D447" s="18" t="s">
        <v>841</v>
      </c>
      <c r="E447" s="18">
        <v>2008</v>
      </c>
      <c r="F447" s="18">
        <v>15054</v>
      </c>
      <c r="G447" s="18" t="s">
        <v>402</v>
      </c>
      <c r="H447" s="18" t="s">
        <v>402</v>
      </c>
      <c r="I447" s="18" t="s">
        <v>1040</v>
      </c>
      <c r="J447" s="18" t="s">
        <v>637</v>
      </c>
      <c r="K447" s="18" t="s">
        <v>446</v>
      </c>
    </row>
    <row r="448" spans="1:11" ht="14">
      <c r="A448" s="18" t="s">
        <v>345</v>
      </c>
      <c r="B448" s="18" t="s">
        <v>444</v>
      </c>
      <c r="C448" s="9" t="s">
        <v>1038</v>
      </c>
      <c r="D448" s="18" t="s">
        <v>841</v>
      </c>
      <c r="E448" s="18">
        <v>2010</v>
      </c>
      <c r="F448" s="18">
        <v>17993</v>
      </c>
      <c r="G448" s="18" t="s">
        <v>402</v>
      </c>
      <c r="H448" s="18" t="s">
        <v>402</v>
      </c>
      <c r="I448" s="18" t="s">
        <v>1040</v>
      </c>
      <c r="J448" s="18" t="s">
        <v>637</v>
      </c>
      <c r="K448" s="18" t="s">
        <v>446</v>
      </c>
    </row>
    <row r="449" spans="1:12" ht="14">
      <c r="A449" s="18" t="s">
        <v>345</v>
      </c>
      <c r="B449" s="18" t="s">
        <v>444</v>
      </c>
      <c r="C449" s="9" t="s">
        <v>1038</v>
      </c>
      <c r="D449" s="18" t="s">
        <v>841</v>
      </c>
      <c r="E449" s="18">
        <v>2013</v>
      </c>
      <c r="F449" s="18">
        <v>22149</v>
      </c>
      <c r="G449" s="18" t="s">
        <v>402</v>
      </c>
      <c r="H449" s="18" t="s">
        <v>402</v>
      </c>
      <c r="I449" s="18" t="s">
        <v>1040</v>
      </c>
      <c r="J449" s="18" t="s">
        <v>637</v>
      </c>
      <c r="K449" s="18" t="s">
        <v>446</v>
      </c>
    </row>
    <row r="450" spans="1:12" ht="14">
      <c r="A450" s="18" t="s">
        <v>345</v>
      </c>
      <c r="B450" s="18" t="s">
        <v>444</v>
      </c>
      <c r="C450" s="9" t="s">
        <v>1038</v>
      </c>
      <c r="D450" s="18" t="s">
        <v>841</v>
      </c>
      <c r="E450" s="18">
        <v>2017</v>
      </c>
      <c r="F450" s="18">
        <v>25088</v>
      </c>
      <c r="G450" s="18" t="s">
        <v>402</v>
      </c>
      <c r="H450" s="18" t="s">
        <v>402</v>
      </c>
      <c r="I450" s="18" t="s">
        <v>1040</v>
      </c>
      <c r="J450" s="18" t="s">
        <v>637</v>
      </c>
      <c r="K450" s="18" t="s">
        <v>446</v>
      </c>
    </row>
    <row r="451" spans="1:12" ht="14">
      <c r="A451" s="18" t="s">
        <v>1041</v>
      </c>
      <c r="B451" s="33" t="s">
        <v>1042</v>
      </c>
      <c r="C451" s="9" t="s">
        <v>1043</v>
      </c>
      <c r="D451" s="18" t="s">
        <v>632</v>
      </c>
      <c r="E451" s="18">
        <v>2013</v>
      </c>
      <c r="F451" s="18">
        <v>16</v>
      </c>
      <c r="G451" s="18">
        <v>5</v>
      </c>
      <c r="H451" s="18">
        <v>47</v>
      </c>
      <c r="I451" s="18" t="s">
        <v>611</v>
      </c>
      <c r="J451" s="18" t="s">
        <v>637</v>
      </c>
      <c r="K451" s="18" t="s">
        <v>452</v>
      </c>
      <c r="L451" s="18" t="s">
        <v>1044</v>
      </c>
    </row>
    <row r="452" spans="1:12" ht="14">
      <c r="A452" s="18" t="s">
        <v>1041</v>
      </c>
      <c r="B452" s="33" t="s">
        <v>1042</v>
      </c>
      <c r="C452" s="9" t="s">
        <v>1045</v>
      </c>
      <c r="D452" s="18" t="s">
        <v>632</v>
      </c>
      <c r="E452" s="18">
        <v>2013</v>
      </c>
      <c r="F452" s="18">
        <v>12</v>
      </c>
      <c r="G452" s="18">
        <v>7</v>
      </c>
      <c r="H452" s="18">
        <v>21</v>
      </c>
      <c r="I452" s="18" t="s">
        <v>611</v>
      </c>
      <c r="J452" s="18" t="s">
        <v>637</v>
      </c>
      <c r="K452" s="18" t="s">
        <v>452</v>
      </c>
    </row>
    <row r="453" spans="1:12" ht="14">
      <c r="A453" s="18" t="s">
        <v>1041</v>
      </c>
      <c r="B453" s="33" t="s">
        <v>1042</v>
      </c>
      <c r="C453" s="9" t="s">
        <v>1046</v>
      </c>
      <c r="D453" s="18" t="s">
        <v>632</v>
      </c>
      <c r="E453" s="18">
        <v>1985</v>
      </c>
      <c r="F453" s="18">
        <v>9</v>
      </c>
      <c r="G453" s="18">
        <v>7</v>
      </c>
      <c r="H453" s="18">
        <v>11</v>
      </c>
      <c r="I453" s="18" t="s">
        <v>611</v>
      </c>
      <c r="J453" s="18" t="s">
        <v>637</v>
      </c>
      <c r="K453" s="18" t="s">
        <v>452</v>
      </c>
    </row>
    <row r="454" spans="1:12" ht="14">
      <c r="A454" s="18" t="s">
        <v>1041</v>
      </c>
      <c r="B454" s="33" t="s">
        <v>1042</v>
      </c>
      <c r="C454" s="9" t="s">
        <v>1046</v>
      </c>
      <c r="D454" s="18" t="s">
        <v>632</v>
      </c>
      <c r="E454" s="18">
        <v>1986</v>
      </c>
      <c r="F454" s="18">
        <v>8</v>
      </c>
      <c r="G454" s="18">
        <v>5</v>
      </c>
      <c r="H454" s="18">
        <v>12</v>
      </c>
      <c r="I454" s="18" t="s">
        <v>611</v>
      </c>
      <c r="J454" s="18" t="s">
        <v>637</v>
      </c>
      <c r="K454" s="18" t="s">
        <v>452</v>
      </c>
    </row>
    <row r="455" spans="1:12" ht="14">
      <c r="A455" s="18" t="s">
        <v>1041</v>
      </c>
      <c r="B455" s="33" t="s">
        <v>1042</v>
      </c>
      <c r="C455" s="9" t="s">
        <v>1046</v>
      </c>
      <c r="D455" s="18" t="s">
        <v>632</v>
      </c>
      <c r="E455" s="18">
        <v>2001</v>
      </c>
      <c r="F455" s="18">
        <v>7</v>
      </c>
      <c r="G455" s="18">
        <v>4</v>
      </c>
      <c r="H455" s="18">
        <v>12</v>
      </c>
      <c r="I455" s="18" t="s">
        <v>611</v>
      </c>
      <c r="J455" s="18" t="s">
        <v>637</v>
      </c>
      <c r="K455" s="18" t="s">
        <v>452</v>
      </c>
    </row>
    <row r="456" spans="1:12" ht="14">
      <c r="A456" s="18" t="s">
        <v>1041</v>
      </c>
      <c r="B456" s="33" t="s">
        <v>1042</v>
      </c>
      <c r="C456" s="9" t="s">
        <v>1046</v>
      </c>
      <c r="D456" s="18" t="s">
        <v>632</v>
      </c>
      <c r="E456" s="18">
        <v>2002</v>
      </c>
      <c r="F456" s="18">
        <v>4</v>
      </c>
      <c r="G456" s="18">
        <v>3</v>
      </c>
      <c r="H456" s="18">
        <v>6</v>
      </c>
      <c r="I456" s="18" t="s">
        <v>611</v>
      </c>
      <c r="J456" s="18" t="s">
        <v>637</v>
      </c>
      <c r="K456" s="18" t="s">
        <v>452</v>
      </c>
    </row>
    <row r="457" spans="1:12" ht="14">
      <c r="A457" s="18" t="s">
        <v>1041</v>
      </c>
      <c r="B457" s="33" t="s">
        <v>1042</v>
      </c>
      <c r="C457" s="9" t="s">
        <v>1046</v>
      </c>
      <c r="D457" s="18" t="s">
        <v>632</v>
      </c>
      <c r="E457" s="18">
        <v>2007</v>
      </c>
      <c r="F457" s="18">
        <v>8</v>
      </c>
      <c r="G457" s="18">
        <v>5</v>
      </c>
      <c r="H457" s="18">
        <v>12</v>
      </c>
      <c r="I457" s="18" t="s">
        <v>611</v>
      </c>
      <c r="J457" s="18" t="s">
        <v>637</v>
      </c>
      <c r="K457" s="18" t="s">
        <v>452</v>
      </c>
    </row>
    <row r="458" spans="1:12" ht="14">
      <c r="A458" s="18" t="s">
        <v>1041</v>
      </c>
      <c r="B458" s="33" t="s">
        <v>1042</v>
      </c>
      <c r="C458" s="9" t="s">
        <v>1047</v>
      </c>
      <c r="D458" s="18" t="s">
        <v>632</v>
      </c>
      <c r="E458" s="18">
        <v>2007</v>
      </c>
      <c r="F458" s="18">
        <v>6</v>
      </c>
      <c r="G458" s="18">
        <v>1</v>
      </c>
      <c r="H458" s="18">
        <v>8</v>
      </c>
      <c r="I458" s="18" t="s">
        <v>611</v>
      </c>
      <c r="J458" s="18" t="s">
        <v>637</v>
      </c>
      <c r="K458" s="18" t="s">
        <v>452</v>
      </c>
    </row>
    <row r="459" spans="1:12" ht="14">
      <c r="A459" s="18" t="s">
        <v>1041</v>
      </c>
      <c r="B459" s="33" t="s">
        <v>1042</v>
      </c>
      <c r="C459" s="9" t="s">
        <v>1047</v>
      </c>
      <c r="D459" s="18" t="s">
        <v>632</v>
      </c>
      <c r="E459" s="18">
        <v>2012</v>
      </c>
      <c r="F459" s="18">
        <v>3</v>
      </c>
      <c r="G459" s="18">
        <v>1</v>
      </c>
      <c r="H459" s="18">
        <v>5</v>
      </c>
      <c r="I459" s="18" t="s">
        <v>611</v>
      </c>
      <c r="J459" s="18" t="s">
        <v>637</v>
      </c>
      <c r="K459" s="18" t="s">
        <v>452</v>
      </c>
    </row>
    <row r="460" spans="1:12" ht="14">
      <c r="A460" s="18" t="s">
        <v>1041</v>
      </c>
      <c r="B460" s="33" t="s">
        <v>1042</v>
      </c>
      <c r="C460" s="9" t="s">
        <v>1047</v>
      </c>
      <c r="D460" s="18" t="s">
        <v>632</v>
      </c>
      <c r="E460" s="18">
        <v>2014</v>
      </c>
      <c r="F460" s="18">
        <v>3</v>
      </c>
      <c r="G460" s="18">
        <v>1</v>
      </c>
      <c r="H460" s="18">
        <v>7</v>
      </c>
      <c r="I460" s="18" t="s">
        <v>611</v>
      </c>
      <c r="J460" s="18" t="s">
        <v>637</v>
      </c>
      <c r="K460" s="18" t="s">
        <v>452</v>
      </c>
    </row>
    <row r="461" spans="1:12" ht="14">
      <c r="A461" s="18" t="s">
        <v>1041</v>
      </c>
      <c r="B461" s="33" t="s">
        <v>1042</v>
      </c>
      <c r="C461" s="9" t="s">
        <v>1048</v>
      </c>
      <c r="D461" s="18" t="s">
        <v>632</v>
      </c>
      <c r="E461" s="18">
        <v>1981</v>
      </c>
      <c r="F461" s="18">
        <v>30</v>
      </c>
      <c r="G461" s="18">
        <v>26</v>
      </c>
      <c r="H461" s="18">
        <v>36</v>
      </c>
      <c r="I461" s="18" t="s">
        <v>611</v>
      </c>
      <c r="J461" s="18" t="s">
        <v>637</v>
      </c>
      <c r="K461" s="18" t="s">
        <v>452</v>
      </c>
    </row>
    <row r="462" spans="1:12" ht="14">
      <c r="A462" s="18" t="s">
        <v>1041</v>
      </c>
      <c r="B462" s="33" t="s">
        <v>1042</v>
      </c>
      <c r="C462" s="9" t="s">
        <v>1048</v>
      </c>
      <c r="D462" s="18" t="s">
        <v>632</v>
      </c>
      <c r="E462" s="18">
        <v>1996</v>
      </c>
      <c r="F462" s="18">
        <v>42</v>
      </c>
      <c r="G462" s="18">
        <v>25</v>
      </c>
      <c r="H462" s="18">
        <v>75</v>
      </c>
      <c r="I462" s="18" t="s">
        <v>611</v>
      </c>
      <c r="J462" s="18" t="s">
        <v>637</v>
      </c>
      <c r="K462" s="18" t="s">
        <v>452</v>
      </c>
    </row>
    <row r="463" spans="1:12" ht="14">
      <c r="A463" s="18" t="s">
        <v>1041</v>
      </c>
      <c r="B463" s="33" t="s">
        <v>1042</v>
      </c>
      <c r="C463" s="9" t="s">
        <v>1048</v>
      </c>
      <c r="D463" s="18" t="s">
        <v>632</v>
      </c>
      <c r="E463" s="18">
        <v>2002</v>
      </c>
      <c r="F463" s="18">
        <v>34</v>
      </c>
      <c r="G463" s="18">
        <v>18</v>
      </c>
      <c r="H463" s="18">
        <v>69</v>
      </c>
      <c r="I463" s="18" t="s">
        <v>611</v>
      </c>
      <c r="J463" s="18" t="s">
        <v>637</v>
      </c>
      <c r="K463" s="18" t="s">
        <v>452</v>
      </c>
    </row>
    <row r="464" spans="1:12" ht="14">
      <c r="A464" s="18" t="s">
        <v>1041</v>
      </c>
      <c r="B464" s="33" t="s">
        <v>1042</v>
      </c>
      <c r="C464" s="9" t="s">
        <v>1048</v>
      </c>
      <c r="D464" s="18" t="s">
        <v>632</v>
      </c>
      <c r="E464" s="18">
        <v>2013</v>
      </c>
      <c r="F464" s="18">
        <v>48</v>
      </c>
      <c r="G464" s="18">
        <v>34</v>
      </c>
      <c r="H464" s="18">
        <v>67</v>
      </c>
      <c r="I464" s="18" t="s">
        <v>611</v>
      </c>
      <c r="J464" s="18" t="s">
        <v>637</v>
      </c>
      <c r="K464" s="18" t="s">
        <v>452</v>
      </c>
    </row>
    <row r="465" spans="1:11" ht="14">
      <c r="A465" s="18" t="s">
        <v>1041</v>
      </c>
      <c r="B465" s="33" t="s">
        <v>1042</v>
      </c>
      <c r="C465" s="9" t="s">
        <v>1049</v>
      </c>
      <c r="D465" s="18" t="s">
        <v>632</v>
      </c>
      <c r="E465" s="18">
        <v>1975</v>
      </c>
      <c r="F465" s="18">
        <v>27</v>
      </c>
      <c r="G465" s="18">
        <v>19</v>
      </c>
      <c r="H465" s="18">
        <v>40</v>
      </c>
      <c r="I465" s="18" t="s">
        <v>611</v>
      </c>
      <c r="J465" s="18" t="s">
        <v>637</v>
      </c>
      <c r="K465" s="18" t="s">
        <v>452</v>
      </c>
    </row>
    <row r="466" spans="1:11" ht="14">
      <c r="A466" s="18" t="s">
        <v>1041</v>
      </c>
      <c r="B466" s="33" t="s">
        <v>1042</v>
      </c>
      <c r="C466" s="9" t="s">
        <v>1049</v>
      </c>
      <c r="D466" s="18" t="s">
        <v>632</v>
      </c>
      <c r="E466" s="18">
        <v>1985</v>
      </c>
      <c r="F466" s="18">
        <v>16</v>
      </c>
      <c r="G466" s="18">
        <v>8</v>
      </c>
      <c r="H466" s="18">
        <v>32</v>
      </c>
      <c r="I466" s="18" t="s">
        <v>611</v>
      </c>
      <c r="J466" s="18" t="s">
        <v>637</v>
      </c>
      <c r="K466" s="18" t="s">
        <v>452</v>
      </c>
    </row>
    <row r="467" spans="1:11" ht="14">
      <c r="A467" s="18" t="s">
        <v>1041</v>
      </c>
      <c r="B467" s="33" t="s">
        <v>1042</v>
      </c>
      <c r="C467" s="9" t="s">
        <v>1049</v>
      </c>
      <c r="D467" s="18" t="s">
        <v>632</v>
      </c>
      <c r="E467" s="18">
        <v>2003</v>
      </c>
      <c r="F467" s="18">
        <v>5</v>
      </c>
      <c r="G467" s="18">
        <v>2</v>
      </c>
      <c r="H467" s="18">
        <v>12</v>
      </c>
      <c r="I467" s="18" t="s">
        <v>611</v>
      </c>
      <c r="J467" s="18" t="s">
        <v>637</v>
      </c>
      <c r="K467" s="18" t="s">
        <v>452</v>
      </c>
    </row>
    <row r="468" spans="1:11" ht="14">
      <c r="A468" s="18" t="s">
        <v>1041</v>
      </c>
      <c r="B468" s="33" t="s">
        <v>1042</v>
      </c>
      <c r="C468" s="9" t="s">
        <v>1049</v>
      </c>
      <c r="D468" s="18" t="s">
        <v>632</v>
      </c>
      <c r="E468" s="18">
        <v>2010</v>
      </c>
      <c r="F468" s="18">
        <v>17</v>
      </c>
      <c r="G468" s="18">
        <v>12</v>
      </c>
      <c r="H468" s="18">
        <v>25</v>
      </c>
      <c r="I468" s="18" t="s">
        <v>611</v>
      </c>
      <c r="J468" s="18" t="s">
        <v>637</v>
      </c>
      <c r="K468" s="18" t="s">
        <v>452</v>
      </c>
    </row>
    <row r="469" spans="1:11" ht="14">
      <c r="A469" s="18" t="s">
        <v>1041</v>
      </c>
      <c r="B469" s="33" t="s">
        <v>1042</v>
      </c>
      <c r="C469" s="9" t="s">
        <v>1049</v>
      </c>
      <c r="D469" s="18" t="s">
        <v>632</v>
      </c>
      <c r="E469" s="18">
        <v>2013</v>
      </c>
      <c r="F469" s="18">
        <v>34</v>
      </c>
      <c r="G469" s="18">
        <v>17</v>
      </c>
      <c r="H469" s="18">
        <v>40</v>
      </c>
      <c r="I469" s="18" t="s">
        <v>611</v>
      </c>
      <c r="J469" s="18" t="s">
        <v>637</v>
      </c>
      <c r="K469" s="18" t="s">
        <v>452</v>
      </c>
    </row>
    <row r="470" spans="1:11" ht="14">
      <c r="A470" s="18" t="s">
        <v>1041</v>
      </c>
      <c r="B470" s="33" t="s">
        <v>1042</v>
      </c>
      <c r="C470" s="9" t="s">
        <v>1050</v>
      </c>
      <c r="D470" s="18" t="s">
        <v>632</v>
      </c>
      <c r="E470" s="18">
        <v>2004</v>
      </c>
      <c r="F470" s="18">
        <v>19</v>
      </c>
      <c r="G470" s="18">
        <v>10</v>
      </c>
      <c r="H470" s="18">
        <v>24</v>
      </c>
      <c r="I470" s="18" t="s">
        <v>611</v>
      </c>
      <c r="J470" s="18" t="s">
        <v>637</v>
      </c>
      <c r="K470" s="18" t="s">
        <v>452</v>
      </c>
    </row>
    <row r="471" spans="1:11" ht="14">
      <c r="A471" s="18" t="s">
        <v>1041</v>
      </c>
      <c r="B471" s="33" t="s">
        <v>1042</v>
      </c>
      <c r="C471" s="9" t="s">
        <v>1050</v>
      </c>
      <c r="D471" s="18" t="s">
        <v>632</v>
      </c>
      <c r="E471" s="18">
        <v>2013</v>
      </c>
      <c r="F471" s="18">
        <v>10</v>
      </c>
      <c r="G471" s="18">
        <v>6</v>
      </c>
      <c r="H471" s="18">
        <v>14</v>
      </c>
      <c r="I471" s="18" t="s">
        <v>611</v>
      </c>
      <c r="J471" s="18" t="s">
        <v>637</v>
      </c>
      <c r="K471" s="18" t="s">
        <v>452</v>
      </c>
    </row>
    <row r="472" spans="1:11" ht="14">
      <c r="A472" s="18" t="s">
        <v>1041</v>
      </c>
      <c r="B472" s="33" t="s">
        <v>1042</v>
      </c>
      <c r="C472" s="9" t="s">
        <v>1051</v>
      </c>
      <c r="D472" s="18" t="s">
        <v>632</v>
      </c>
      <c r="E472" s="18">
        <v>2003</v>
      </c>
      <c r="F472" s="18">
        <v>10</v>
      </c>
      <c r="G472" s="18">
        <v>6</v>
      </c>
      <c r="H472" s="18">
        <v>16</v>
      </c>
      <c r="I472" s="18" t="s">
        <v>611</v>
      </c>
      <c r="J472" s="18" t="s">
        <v>637</v>
      </c>
      <c r="K472" s="18" t="s">
        <v>452</v>
      </c>
    </row>
    <row r="473" spans="1:11" ht="14">
      <c r="A473" s="18" t="s">
        <v>1041</v>
      </c>
      <c r="B473" s="33" t="s">
        <v>1042</v>
      </c>
      <c r="C473" s="9" t="s">
        <v>1051</v>
      </c>
      <c r="D473" s="18" t="s">
        <v>632</v>
      </c>
      <c r="E473" s="18">
        <v>2013</v>
      </c>
      <c r="F473" s="18">
        <v>17</v>
      </c>
      <c r="G473" s="18">
        <v>9</v>
      </c>
      <c r="H473" s="18">
        <v>24</v>
      </c>
      <c r="I473" s="18" t="s">
        <v>611</v>
      </c>
      <c r="J473" s="18" t="s">
        <v>637</v>
      </c>
      <c r="K473" s="18" t="s">
        <v>452</v>
      </c>
    </row>
    <row r="474" spans="1:11" ht="14">
      <c r="A474" s="18" t="s">
        <v>314</v>
      </c>
      <c r="B474" s="18" t="s">
        <v>1052</v>
      </c>
      <c r="C474" s="9" t="s">
        <v>1053</v>
      </c>
      <c r="D474" s="18" t="s">
        <v>632</v>
      </c>
      <c r="E474" s="18">
        <v>1990</v>
      </c>
      <c r="F474" s="18">
        <v>1521</v>
      </c>
      <c r="G474" s="18">
        <v>822</v>
      </c>
      <c r="H474" s="18">
        <v>2828</v>
      </c>
      <c r="I474" s="18" t="s">
        <v>622</v>
      </c>
      <c r="J474" s="18" t="s">
        <v>637</v>
      </c>
      <c r="K474" s="18" t="s">
        <v>456</v>
      </c>
    </row>
    <row r="475" spans="1:11" ht="14">
      <c r="A475" s="18" t="s">
        <v>314</v>
      </c>
      <c r="B475" s="18" t="s">
        <v>1052</v>
      </c>
      <c r="C475" s="9" t="s">
        <v>1053</v>
      </c>
      <c r="D475" s="18" t="s">
        <v>632</v>
      </c>
      <c r="E475" s="18">
        <v>1992</v>
      </c>
      <c r="F475" s="18">
        <v>1429</v>
      </c>
      <c r="G475" s="18">
        <v>1080</v>
      </c>
      <c r="H475" s="18">
        <v>1908</v>
      </c>
      <c r="I475" s="18" t="s">
        <v>622</v>
      </c>
      <c r="J475" s="18" t="s">
        <v>637</v>
      </c>
      <c r="K475" s="18" t="s">
        <v>456</v>
      </c>
    </row>
    <row r="476" spans="1:11" ht="14">
      <c r="A476" s="18" t="s">
        <v>314</v>
      </c>
      <c r="B476" s="18" t="s">
        <v>1052</v>
      </c>
      <c r="C476" s="9" t="s">
        <v>1053</v>
      </c>
      <c r="D476" s="18" t="s">
        <v>632</v>
      </c>
      <c r="E476" s="18">
        <v>1995</v>
      </c>
      <c r="F476" s="18">
        <v>1632</v>
      </c>
      <c r="G476" s="18">
        <v>1227</v>
      </c>
      <c r="H476" s="18">
        <v>2166</v>
      </c>
      <c r="I476" s="18" t="s">
        <v>622</v>
      </c>
      <c r="J476" s="18" t="s">
        <v>637</v>
      </c>
      <c r="K476" s="18" t="s">
        <v>456</v>
      </c>
    </row>
    <row r="477" spans="1:11" ht="14">
      <c r="A477" s="18" t="s">
        <v>314</v>
      </c>
      <c r="B477" s="18" t="s">
        <v>1052</v>
      </c>
      <c r="C477" s="9" t="s">
        <v>1053</v>
      </c>
      <c r="D477" s="18" t="s">
        <v>632</v>
      </c>
      <c r="E477" s="18">
        <v>1997</v>
      </c>
      <c r="F477" s="18">
        <v>1687</v>
      </c>
      <c r="G477" s="18">
        <v>1301</v>
      </c>
      <c r="H477" s="18">
        <v>2202</v>
      </c>
      <c r="I477" s="18" t="s">
        <v>622</v>
      </c>
      <c r="J477" s="18" t="s">
        <v>637</v>
      </c>
      <c r="K477" s="18" t="s">
        <v>456</v>
      </c>
    </row>
    <row r="478" spans="1:11" ht="14">
      <c r="A478" s="18" t="s">
        <v>314</v>
      </c>
      <c r="B478" s="18" t="s">
        <v>1052</v>
      </c>
      <c r="C478" s="9" t="s">
        <v>1053</v>
      </c>
      <c r="D478" s="18" t="s">
        <v>632</v>
      </c>
      <c r="E478" s="18">
        <v>2000</v>
      </c>
      <c r="F478" s="18">
        <v>1319</v>
      </c>
      <c r="G478" s="18">
        <v>1043</v>
      </c>
      <c r="H478" s="18">
        <v>1687</v>
      </c>
      <c r="I478" s="18" t="s">
        <v>622</v>
      </c>
      <c r="J478" s="18" t="s">
        <v>637</v>
      </c>
      <c r="K478" s="18" t="s">
        <v>456</v>
      </c>
    </row>
    <row r="479" spans="1:11" ht="14">
      <c r="A479" s="18" t="s">
        <v>314</v>
      </c>
      <c r="B479" s="18" t="s">
        <v>1052</v>
      </c>
      <c r="C479" s="9" t="s">
        <v>1053</v>
      </c>
      <c r="D479" s="18" t="s">
        <v>632</v>
      </c>
      <c r="E479" s="18">
        <v>2001</v>
      </c>
      <c r="F479" s="18">
        <v>3049</v>
      </c>
      <c r="G479" s="18">
        <v>1319</v>
      </c>
      <c r="H479" s="18">
        <v>6988</v>
      </c>
      <c r="I479" s="18" t="s">
        <v>622</v>
      </c>
      <c r="J479" s="18" t="s">
        <v>637</v>
      </c>
      <c r="K479" s="18" t="s">
        <v>456</v>
      </c>
    </row>
    <row r="480" spans="1:11" ht="14">
      <c r="A480" s="18" t="s">
        <v>314</v>
      </c>
      <c r="B480" s="18" t="s">
        <v>1052</v>
      </c>
      <c r="C480" s="9" t="s">
        <v>1053</v>
      </c>
      <c r="D480" s="18" t="s">
        <v>632</v>
      </c>
      <c r="E480" s="18">
        <v>2003</v>
      </c>
      <c r="F480" s="18">
        <v>3104</v>
      </c>
      <c r="G480" s="18">
        <v>2074</v>
      </c>
      <c r="H480" s="18">
        <v>4650</v>
      </c>
      <c r="I480" s="18" t="s">
        <v>622</v>
      </c>
      <c r="J480" s="18" t="s">
        <v>637</v>
      </c>
      <c r="K480" s="18" t="s">
        <v>456</v>
      </c>
    </row>
    <row r="481" spans="1:12" ht="14">
      <c r="A481" s="18" t="s">
        <v>314</v>
      </c>
      <c r="B481" s="18" t="s">
        <v>1052</v>
      </c>
      <c r="C481" s="9" t="s">
        <v>1053</v>
      </c>
      <c r="D481" s="18" t="s">
        <v>632</v>
      </c>
      <c r="E481" s="18">
        <v>2003</v>
      </c>
      <c r="F481" s="18">
        <v>1761</v>
      </c>
      <c r="G481" s="18">
        <v>1264</v>
      </c>
      <c r="H481" s="18">
        <v>2460</v>
      </c>
      <c r="I481" s="18" t="s">
        <v>622</v>
      </c>
      <c r="J481" s="18" t="s">
        <v>637</v>
      </c>
      <c r="K481" s="18" t="s">
        <v>456</v>
      </c>
    </row>
    <row r="482" spans="1:12" ht="14">
      <c r="A482" s="18" t="s">
        <v>314</v>
      </c>
      <c r="B482" s="18" t="s">
        <v>1052</v>
      </c>
      <c r="C482" s="9" t="s">
        <v>1053</v>
      </c>
      <c r="D482" s="18" t="s">
        <v>632</v>
      </c>
      <c r="E482" s="18">
        <v>2005</v>
      </c>
      <c r="F482" s="18">
        <v>1871</v>
      </c>
      <c r="G482" s="18">
        <v>1337</v>
      </c>
      <c r="H482" s="18">
        <v>2626</v>
      </c>
      <c r="I482" s="18" t="s">
        <v>622</v>
      </c>
      <c r="J482" s="18" t="s">
        <v>637</v>
      </c>
      <c r="K482" s="18" t="s">
        <v>456</v>
      </c>
    </row>
    <row r="483" spans="1:12" ht="14">
      <c r="A483" s="18" t="s">
        <v>314</v>
      </c>
      <c r="B483" s="18" t="s">
        <v>1052</v>
      </c>
      <c r="C483" s="9" t="s">
        <v>1053</v>
      </c>
      <c r="D483" s="18" t="s">
        <v>632</v>
      </c>
      <c r="E483" s="18">
        <v>2007</v>
      </c>
      <c r="F483" s="18">
        <v>2607</v>
      </c>
      <c r="G483" s="18">
        <v>1319</v>
      </c>
      <c r="H483" s="18">
        <v>5202</v>
      </c>
      <c r="I483" s="18" t="s">
        <v>622</v>
      </c>
      <c r="J483" s="18" t="s">
        <v>637</v>
      </c>
      <c r="K483" s="18" t="s">
        <v>456</v>
      </c>
    </row>
    <row r="484" spans="1:12" ht="14">
      <c r="A484" s="18" t="s">
        <v>314</v>
      </c>
      <c r="B484" s="18" t="s">
        <v>1052</v>
      </c>
      <c r="C484" s="9" t="s">
        <v>1053</v>
      </c>
      <c r="D484" s="18" t="s">
        <v>632</v>
      </c>
      <c r="E484" s="18">
        <v>2008</v>
      </c>
      <c r="F484" s="18">
        <v>1890</v>
      </c>
      <c r="G484" s="18">
        <v>840</v>
      </c>
      <c r="H484" s="18">
        <v>4301</v>
      </c>
      <c r="I484" s="18" t="s">
        <v>622</v>
      </c>
      <c r="J484" s="18" t="s">
        <v>637</v>
      </c>
      <c r="K484" s="18" t="s">
        <v>456</v>
      </c>
    </row>
    <row r="485" spans="1:12" ht="14">
      <c r="A485" s="18" t="s">
        <v>314</v>
      </c>
      <c r="B485" s="18" t="s">
        <v>1052</v>
      </c>
      <c r="C485" s="9" t="s">
        <v>1053</v>
      </c>
      <c r="D485" s="18" t="s">
        <v>632</v>
      </c>
      <c r="E485" s="18">
        <v>2009</v>
      </c>
      <c r="F485" s="18">
        <v>1687</v>
      </c>
      <c r="G485" s="18">
        <v>1153</v>
      </c>
      <c r="H485" s="18">
        <v>2534</v>
      </c>
      <c r="I485" s="18" t="s">
        <v>622</v>
      </c>
      <c r="J485" s="18" t="s">
        <v>637</v>
      </c>
      <c r="K485" s="18" t="s">
        <v>456</v>
      </c>
    </row>
    <row r="486" spans="1:12" ht="14">
      <c r="A486" s="18" t="s">
        <v>314</v>
      </c>
      <c r="B486" s="18" t="s">
        <v>1052</v>
      </c>
      <c r="C486" s="9" t="s">
        <v>1053</v>
      </c>
      <c r="D486" s="18" t="s">
        <v>632</v>
      </c>
      <c r="E486" s="18">
        <v>2009</v>
      </c>
      <c r="F486" s="18">
        <v>951</v>
      </c>
      <c r="G486" s="18">
        <v>748</v>
      </c>
      <c r="H486" s="18">
        <v>1227</v>
      </c>
      <c r="I486" s="18" t="s">
        <v>622</v>
      </c>
      <c r="J486" s="18" t="s">
        <v>637</v>
      </c>
      <c r="K486" s="18" t="s">
        <v>456</v>
      </c>
    </row>
    <row r="487" spans="1:12" ht="14">
      <c r="A487" s="18" t="s">
        <v>314</v>
      </c>
      <c r="B487" s="18" t="s">
        <v>1052</v>
      </c>
      <c r="C487" s="9" t="s">
        <v>1053</v>
      </c>
      <c r="D487" s="18" t="s">
        <v>632</v>
      </c>
      <c r="E487" s="18">
        <v>2014</v>
      </c>
      <c r="F487" s="18">
        <v>2442</v>
      </c>
      <c r="G487" s="18">
        <v>1687</v>
      </c>
      <c r="H487" s="18">
        <v>3546</v>
      </c>
      <c r="I487" s="18" t="s">
        <v>622</v>
      </c>
      <c r="J487" s="18" t="s">
        <v>637</v>
      </c>
      <c r="K487" s="18" t="s">
        <v>456</v>
      </c>
    </row>
    <row r="488" spans="1:12" ht="14">
      <c r="A488" s="18" t="s">
        <v>314</v>
      </c>
      <c r="B488" s="18" t="s">
        <v>1052</v>
      </c>
      <c r="C488" s="9" t="s">
        <v>1053</v>
      </c>
      <c r="D488" s="18" t="s">
        <v>632</v>
      </c>
      <c r="E488" s="18">
        <v>2015</v>
      </c>
      <c r="F488" s="18">
        <v>3785</v>
      </c>
      <c r="G488" s="18">
        <v>1834</v>
      </c>
      <c r="H488" s="18">
        <v>7779</v>
      </c>
      <c r="I488" s="18" t="s">
        <v>622</v>
      </c>
      <c r="J488" s="18" t="s">
        <v>637</v>
      </c>
      <c r="K488" s="18" t="s">
        <v>456</v>
      </c>
    </row>
    <row r="489" spans="1:12" ht="14">
      <c r="A489" s="18" t="s">
        <v>314</v>
      </c>
      <c r="B489" s="18" t="s">
        <v>1052</v>
      </c>
      <c r="C489" s="9" t="s">
        <v>1053</v>
      </c>
      <c r="D489" s="18" t="s">
        <v>632</v>
      </c>
      <c r="E489" s="18">
        <v>2016</v>
      </c>
      <c r="F489" s="18">
        <v>3620</v>
      </c>
      <c r="G489" s="18">
        <v>1816</v>
      </c>
      <c r="H489" s="18">
        <v>7190</v>
      </c>
      <c r="I489" s="18" t="s">
        <v>622</v>
      </c>
      <c r="J489" s="18" t="s">
        <v>637</v>
      </c>
      <c r="K489" s="18" t="s">
        <v>456</v>
      </c>
    </row>
    <row r="490" spans="1:12" ht="14">
      <c r="A490" s="18" t="s">
        <v>314</v>
      </c>
      <c r="B490" s="18" t="s">
        <v>1052</v>
      </c>
      <c r="C490" s="9" t="s">
        <v>1053</v>
      </c>
      <c r="D490" s="18" t="s">
        <v>632</v>
      </c>
      <c r="E490" s="18">
        <v>2018</v>
      </c>
      <c r="F490" s="18">
        <v>4982</v>
      </c>
      <c r="G490" s="18">
        <v>3012</v>
      </c>
      <c r="H490" s="18">
        <v>8276</v>
      </c>
      <c r="I490" s="18" t="s">
        <v>622</v>
      </c>
      <c r="J490" s="18" t="s">
        <v>637</v>
      </c>
      <c r="K490" s="18" t="s">
        <v>456</v>
      </c>
    </row>
    <row r="491" spans="1:12" ht="14">
      <c r="A491" s="18" t="s">
        <v>314</v>
      </c>
      <c r="B491" s="18" t="s">
        <v>1052</v>
      </c>
      <c r="C491" s="9" t="s">
        <v>1053</v>
      </c>
      <c r="D491" s="18" t="s">
        <v>632</v>
      </c>
      <c r="E491" s="18">
        <v>2019</v>
      </c>
      <c r="F491" s="18">
        <v>1963</v>
      </c>
      <c r="G491" s="18">
        <v>1374</v>
      </c>
      <c r="H491" s="18">
        <v>2810</v>
      </c>
      <c r="I491" s="18" t="s">
        <v>622</v>
      </c>
      <c r="J491" s="18" t="s">
        <v>637</v>
      </c>
      <c r="K491" s="18" t="s">
        <v>456</v>
      </c>
    </row>
    <row r="492" spans="1:12" ht="14">
      <c r="A492" s="18" t="s">
        <v>314</v>
      </c>
      <c r="B492" s="18" t="s">
        <v>1052</v>
      </c>
      <c r="C492" s="9" t="s">
        <v>1053</v>
      </c>
      <c r="D492" s="18" t="s">
        <v>632</v>
      </c>
      <c r="E492" s="18">
        <v>2019</v>
      </c>
      <c r="F492" s="18">
        <v>2110</v>
      </c>
      <c r="G492" s="18">
        <v>1669</v>
      </c>
      <c r="H492" s="18">
        <v>2699</v>
      </c>
      <c r="I492" s="18" t="s">
        <v>622</v>
      </c>
      <c r="J492" s="18" t="s">
        <v>637</v>
      </c>
      <c r="K492" s="18" t="s">
        <v>456</v>
      </c>
    </row>
    <row r="493" spans="1:12" ht="14">
      <c r="A493" s="18" t="s">
        <v>314</v>
      </c>
      <c r="B493" s="18" t="s">
        <v>1052</v>
      </c>
      <c r="C493" s="9" t="s">
        <v>1053</v>
      </c>
      <c r="D493" s="18" t="s">
        <v>632</v>
      </c>
      <c r="E493" s="18">
        <v>2020</v>
      </c>
      <c r="F493" s="18">
        <v>2736</v>
      </c>
      <c r="G493" s="18">
        <v>1172</v>
      </c>
      <c r="H493" s="18">
        <v>6417</v>
      </c>
      <c r="I493" s="18" t="s">
        <v>622</v>
      </c>
      <c r="J493" s="18" t="s">
        <v>637</v>
      </c>
      <c r="K493" s="18" t="s">
        <v>456</v>
      </c>
    </row>
    <row r="494" spans="1:12" ht="14">
      <c r="A494" s="18" t="s">
        <v>314</v>
      </c>
      <c r="B494" s="18" t="s">
        <v>1052</v>
      </c>
      <c r="C494" s="9" t="s">
        <v>1053</v>
      </c>
      <c r="D494" s="18" t="s">
        <v>632</v>
      </c>
      <c r="E494" s="18">
        <v>2021</v>
      </c>
      <c r="F494" s="18">
        <v>2276</v>
      </c>
      <c r="G494" s="18">
        <v>1080</v>
      </c>
      <c r="H494" s="18">
        <v>4724</v>
      </c>
      <c r="I494" s="18" t="s">
        <v>622</v>
      </c>
      <c r="J494" s="18" t="s">
        <v>637</v>
      </c>
      <c r="K494" s="18" t="s">
        <v>456</v>
      </c>
    </row>
    <row r="495" spans="1:12" ht="14">
      <c r="A495" s="18" t="s">
        <v>314</v>
      </c>
      <c r="B495" s="18" t="s">
        <v>1052</v>
      </c>
      <c r="C495" s="9" t="s">
        <v>1053</v>
      </c>
      <c r="D495" s="18" t="s">
        <v>632</v>
      </c>
      <c r="E495" s="18">
        <v>2022</v>
      </c>
      <c r="F495" s="18">
        <v>1264</v>
      </c>
      <c r="G495" s="18">
        <v>638</v>
      </c>
      <c r="H495" s="18">
        <v>2460</v>
      </c>
      <c r="I495" s="18" t="s">
        <v>622</v>
      </c>
      <c r="J495" s="18" t="s">
        <v>637</v>
      </c>
      <c r="K495" s="18" t="s">
        <v>456</v>
      </c>
    </row>
    <row r="496" spans="1:12" ht="14">
      <c r="A496" s="18" t="s">
        <v>262</v>
      </c>
      <c r="B496" s="18" t="s">
        <v>444</v>
      </c>
      <c r="C496" s="9" t="s">
        <v>467</v>
      </c>
      <c r="D496" s="18" t="s">
        <v>841</v>
      </c>
      <c r="E496" s="18">
        <v>2009</v>
      </c>
      <c r="F496" s="18">
        <v>4173</v>
      </c>
      <c r="G496" s="18">
        <v>3581</v>
      </c>
      <c r="H496" s="18">
        <v>4934</v>
      </c>
      <c r="I496" s="18" t="s">
        <v>622</v>
      </c>
      <c r="J496" s="18" t="s">
        <v>637</v>
      </c>
      <c r="K496" s="18" t="s">
        <v>458</v>
      </c>
      <c r="L496" s="18" t="s">
        <v>1054</v>
      </c>
    </row>
    <row r="497" spans="1:12" ht="14">
      <c r="A497" s="18" t="s">
        <v>262</v>
      </c>
      <c r="B497" s="18" t="s">
        <v>444</v>
      </c>
      <c r="C497" s="9" t="s">
        <v>467</v>
      </c>
      <c r="D497" s="18" t="s">
        <v>841</v>
      </c>
      <c r="E497" s="18">
        <v>2017</v>
      </c>
      <c r="F497" s="18">
        <v>11786</v>
      </c>
      <c r="G497" s="18">
        <v>9897</v>
      </c>
      <c r="H497" s="18">
        <v>14041</v>
      </c>
      <c r="I497" s="18" t="s">
        <v>622</v>
      </c>
      <c r="J497" s="18" t="s">
        <v>637</v>
      </c>
      <c r="K497" s="18" t="s">
        <v>458</v>
      </c>
    </row>
    <row r="498" spans="1:12" ht="14">
      <c r="A498" s="18" t="s">
        <v>262</v>
      </c>
      <c r="B498" s="18" t="s">
        <v>444</v>
      </c>
      <c r="C498" s="9" t="s">
        <v>467</v>
      </c>
      <c r="D498" s="18" t="s">
        <v>841</v>
      </c>
      <c r="E498" s="18">
        <v>2021</v>
      </c>
      <c r="F498" s="18">
        <v>13562</v>
      </c>
      <c r="G498" s="18">
        <v>11306</v>
      </c>
      <c r="H498" s="18">
        <v>16353</v>
      </c>
      <c r="I498" s="18" t="s">
        <v>622</v>
      </c>
      <c r="J498" s="18" t="s">
        <v>637</v>
      </c>
      <c r="K498" s="18" t="s">
        <v>458</v>
      </c>
    </row>
    <row r="499" spans="1:12" ht="14">
      <c r="A499" s="18" t="s">
        <v>464</v>
      </c>
      <c r="B499" s="18" t="s">
        <v>1055</v>
      </c>
      <c r="C499" s="9" t="s">
        <v>1056</v>
      </c>
      <c r="D499" s="18" t="s">
        <v>402</v>
      </c>
      <c r="E499" s="18">
        <v>1973</v>
      </c>
      <c r="F499" s="18">
        <v>3678</v>
      </c>
      <c r="G499" s="18" t="s">
        <v>402</v>
      </c>
      <c r="H499" s="18" t="s">
        <v>402</v>
      </c>
      <c r="I499" s="18" t="s">
        <v>622</v>
      </c>
      <c r="J499" s="18" t="s">
        <v>637</v>
      </c>
      <c r="K499" s="30" t="s">
        <v>1057</v>
      </c>
      <c r="L499" s="30"/>
    </row>
    <row r="500" spans="1:12" ht="14">
      <c r="A500" s="18" t="s">
        <v>464</v>
      </c>
      <c r="B500" s="18" t="s">
        <v>1055</v>
      </c>
      <c r="C500" s="9" t="s">
        <v>1056</v>
      </c>
      <c r="D500" s="18" t="s">
        <v>402</v>
      </c>
      <c r="E500" s="18">
        <v>1974</v>
      </c>
      <c r="F500" s="18">
        <v>3924</v>
      </c>
      <c r="G500" s="18" t="s">
        <v>402</v>
      </c>
      <c r="H500" s="18" t="s">
        <v>402</v>
      </c>
      <c r="I500" s="18" t="s">
        <v>622</v>
      </c>
      <c r="J500" s="18" t="s">
        <v>637</v>
      </c>
      <c r="K500" s="30" t="s">
        <v>466</v>
      </c>
    </row>
    <row r="501" spans="1:12" ht="14">
      <c r="A501" s="18" t="s">
        <v>464</v>
      </c>
      <c r="B501" s="18" t="s">
        <v>1055</v>
      </c>
      <c r="C501" s="9" t="s">
        <v>1056</v>
      </c>
      <c r="D501" s="18" t="s">
        <v>402</v>
      </c>
      <c r="E501" s="18">
        <v>1976</v>
      </c>
      <c r="F501" s="18">
        <v>5027</v>
      </c>
      <c r="G501" s="18" t="s">
        <v>402</v>
      </c>
      <c r="H501" s="18" t="s">
        <v>402</v>
      </c>
      <c r="I501" s="18" t="s">
        <v>622</v>
      </c>
      <c r="J501" s="18" t="s">
        <v>637</v>
      </c>
      <c r="K501" s="30" t="s">
        <v>466</v>
      </c>
    </row>
    <row r="502" spans="1:12" ht="14">
      <c r="A502" s="18" t="s">
        <v>464</v>
      </c>
      <c r="B502" s="18" t="s">
        <v>1055</v>
      </c>
      <c r="C502" s="9" t="s">
        <v>1056</v>
      </c>
      <c r="D502" s="18" t="s">
        <v>402</v>
      </c>
      <c r="E502" s="18">
        <v>1982</v>
      </c>
      <c r="F502" s="18">
        <v>9809</v>
      </c>
      <c r="G502" s="18" t="s">
        <v>402</v>
      </c>
      <c r="H502" s="18" t="s">
        <v>402</v>
      </c>
      <c r="I502" s="18" t="s">
        <v>622</v>
      </c>
      <c r="J502" s="18" t="s">
        <v>637</v>
      </c>
      <c r="K502" s="30" t="s">
        <v>466</v>
      </c>
    </row>
    <row r="503" spans="1:12" ht="14">
      <c r="A503" s="18" t="s">
        <v>464</v>
      </c>
      <c r="B503" s="18" t="s">
        <v>1055</v>
      </c>
      <c r="C503" s="9" t="s">
        <v>1056</v>
      </c>
      <c r="D503" s="18" t="s">
        <v>402</v>
      </c>
      <c r="E503" s="18">
        <v>1983</v>
      </c>
      <c r="F503" s="18">
        <v>11158</v>
      </c>
      <c r="G503" s="18" t="s">
        <v>402</v>
      </c>
      <c r="H503" s="18" t="s">
        <v>402</v>
      </c>
      <c r="I503" s="18" t="s">
        <v>622</v>
      </c>
      <c r="J503" s="18" t="s">
        <v>637</v>
      </c>
      <c r="K503" s="30" t="s">
        <v>466</v>
      </c>
    </row>
    <row r="504" spans="1:12" ht="14">
      <c r="A504" s="18" t="s">
        <v>464</v>
      </c>
      <c r="B504" s="18" t="s">
        <v>1055</v>
      </c>
      <c r="C504" s="9" t="s">
        <v>1056</v>
      </c>
      <c r="D504" s="18" t="s">
        <v>402</v>
      </c>
      <c r="E504" s="18">
        <v>1984</v>
      </c>
      <c r="F504" s="18">
        <v>12997</v>
      </c>
      <c r="G504" s="18" t="s">
        <v>402</v>
      </c>
      <c r="H504" s="18" t="s">
        <v>402</v>
      </c>
      <c r="I504" s="18" t="s">
        <v>622</v>
      </c>
      <c r="J504" s="18" t="s">
        <v>637</v>
      </c>
      <c r="K504" s="30" t="s">
        <v>466</v>
      </c>
    </row>
    <row r="505" spans="1:12" ht="14">
      <c r="A505" s="18" t="s">
        <v>464</v>
      </c>
      <c r="B505" s="18" t="s">
        <v>1055</v>
      </c>
      <c r="C505" s="9" t="s">
        <v>1056</v>
      </c>
      <c r="D505" s="18" t="s">
        <v>402</v>
      </c>
      <c r="E505" s="18">
        <v>1985</v>
      </c>
      <c r="F505" s="18">
        <v>14469</v>
      </c>
      <c r="G505" s="18" t="s">
        <v>402</v>
      </c>
      <c r="H505" s="18" t="s">
        <v>402</v>
      </c>
      <c r="I505" s="18" t="s">
        <v>622</v>
      </c>
      <c r="J505" s="18" t="s">
        <v>637</v>
      </c>
      <c r="K505" s="30" t="s">
        <v>466</v>
      </c>
    </row>
    <row r="506" spans="1:12" ht="14">
      <c r="A506" s="18" t="s">
        <v>464</v>
      </c>
      <c r="B506" s="18" t="s">
        <v>1055</v>
      </c>
      <c r="C506" s="9" t="s">
        <v>1056</v>
      </c>
      <c r="D506" s="18" t="s">
        <v>402</v>
      </c>
      <c r="E506" s="18">
        <v>1986</v>
      </c>
      <c r="F506" s="18">
        <v>16185</v>
      </c>
      <c r="G506" s="18" t="s">
        <v>402</v>
      </c>
      <c r="H506" s="18" t="s">
        <v>402</v>
      </c>
      <c r="I506" s="18" t="s">
        <v>622</v>
      </c>
      <c r="J506" s="18" t="s">
        <v>637</v>
      </c>
      <c r="K506" s="30" t="s">
        <v>466</v>
      </c>
    </row>
    <row r="507" spans="1:12" ht="14">
      <c r="A507" s="18" t="s">
        <v>464</v>
      </c>
      <c r="B507" s="18" t="s">
        <v>1055</v>
      </c>
      <c r="C507" s="9" t="s">
        <v>1056</v>
      </c>
      <c r="D507" s="18" t="s">
        <v>402</v>
      </c>
      <c r="E507" s="18">
        <v>1987</v>
      </c>
      <c r="F507" s="18">
        <v>19496</v>
      </c>
      <c r="G507" s="18" t="s">
        <v>402</v>
      </c>
      <c r="H507" s="18" t="s">
        <v>402</v>
      </c>
      <c r="I507" s="18" t="s">
        <v>622</v>
      </c>
      <c r="J507" s="18" t="s">
        <v>637</v>
      </c>
      <c r="K507" s="30" t="s">
        <v>466</v>
      </c>
    </row>
    <row r="508" spans="1:12" ht="14">
      <c r="A508" s="18" t="s">
        <v>464</v>
      </c>
      <c r="B508" s="18" t="s">
        <v>1055</v>
      </c>
      <c r="C508" s="9" t="s">
        <v>1056</v>
      </c>
      <c r="D508" s="18" t="s">
        <v>402</v>
      </c>
      <c r="E508" s="18">
        <v>1988</v>
      </c>
      <c r="F508" s="18">
        <v>21703</v>
      </c>
      <c r="G508" s="18" t="s">
        <v>402</v>
      </c>
      <c r="H508" s="18" t="s">
        <v>402</v>
      </c>
      <c r="I508" s="18" t="s">
        <v>622</v>
      </c>
      <c r="J508" s="18" t="s">
        <v>637</v>
      </c>
      <c r="K508" s="30" t="s">
        <v>466</v>
      </c>
    </row>
    <row r="509" spans="1:12" ht="14">
      <c r="A509" s="18" t="s">
        <v>464</v>
      </c>
      <c r="B509" s="18" t="s">
        <v>1055</v>
      </c>
      <c r="C509" s="9" t="s">
        <v>1056</v>
      </c>
      <c r="D509" s="18" t="s">
        <v>402</v>
      </c>
      <c r="E509" s="18">
        <v>1990</v>
      </c>
      <c r="F509" s="18">
        <v>28937</v>
      </c>
      <c r="G509" s="18" t="s">
        <v>402</v>
      </c>
      <c r="H509" s="18" t="s">
        <v>402</v>
      </c>
      <c r="I509" s="18" t="s">
        <v>622</v>
      </c>
      <c r="J509" s="18" t="s">
        <v>637</v>
      </c>
      <c r="K509" s="30" t="s">
        <v>466</v>
      </c>
    </row>
    <row r="510" spans="1:12" ht="14">
      <c r="A510" s="18" t="s">
        <v>464</v>
      </c>
      <c r="B510" s="18" t="s">
        <v>1055</v>
      </c>
      <c r="C510" s="9" t="s">
        <v>1056</v>
      </c>
      <c r="D510" s="18" t="s">
        <v>402</v>
      </c>
      <c r="E510" s="18">
        <v>1992</v>
      </c>
      <c r="F510" s="18">
        <v>26608</v>
      </c>
      <c r="G510" s="18" t="s">
        <v>402</v>
      </c>
      <c r="H510" s="18" t="s">
        <v>402</v>
      </c>
      <c r="I510" s="18" t="s">
        <v>622</v>
      </c>
      <c r="J510" s="18" t="s">
        <v>637</v>
      </c>
      <c r="K510" s="30" t="s">
        <v>466</v>
      </c>
    </row>
    <row r="511" spans="1:12" ht="14">
      <c r="A511" s="18" t="s">
        <v>464</v>
      </c>
      <c r="B511" s="18" t="s">
        <v>1055</v>
      </c>
      <c r="C511" s="9" t="s">
        <v>1056</v>
      </c>
      <c r="D511" s="18" t="s">
        <v>402</v>
      </c>
      <c r="E511" s="18">
        <v>1994</v>
      </c>
      <c r="F511" s="18">
        <v>41076</v>
      </c>
      <c r="G511" s="18" t="s">
        <v>402</v>
      </c>
      <c r="H511" s="18" t="s">
        <v>402</v>
      </c>
      <c r="I511" s="18" t="s">
        <v>622</v>
      </c>
      <c r="J511" s="18" t="s">
        <v>637</v>
      </c>
      <c r="K511" s="30" t="s">
        <v>466</v>
      </c>
    </row>
    <row r="512" spans="1:12" ht="14">
      <c r="A512" s="18" t="s">
        <v>464</v>
      </c>
      <c r="B512" s="18" t="s">
        <v>1055</v>
      </c>
      <c r="C512" s="9" t="s">
        <v>1056</v>
      </c>
      <c r="D512" s="18" t="s">
        <v>402</v>
      </c>
      <c r="E512" s="18">
        <v>1996</v>
      </c>
      <c r="F512" s="18">
        <v>41475</v>
      </c>
      <c r="G512" s="18" t="s">
        <v>402</v>
      </c>
      <c r="H512" s="18" t="s">
        <v>402</v>
      </c>
      <c r="I512" s="18" t="s">
        <v>622</v>
      </c>
      <c r="J512" s="18" t="s">
        <v>637</v>
      </c>
      <c r="K512" s="30" t="s">
        <v>466</v>
      </c>
    </row>
    <row r="513" spans="1:12" ht="14">
      <c r="A513" s="18" t="s">
        <v>464</v>
      </c>
      <c r="B513" s="18" t="s">
        <v>1055</v>
      </c>
      <c r="C513" s="9" t="s">
        <v>1056</v>
      </c>
      <c r="D513" s="18" t="s">
        <v>402</v>
      </c>
      <c r="E513" s="18">
        <v>1998</v>
      </c>
      <c r="F513" s="18">
        <v>32371</v>
      </c>
      <c r="G513" s="18" t="s">
        <v>402</v>
      </c>
      <c r="H513" s="18" t="s">
        <v>402</v>
      </c>
      <c r="I513" s="18" t="s">
        <v>622</v>
      </c>
      <c r="J513" s="18" t="s">
        <v>637</v>
      </c>
      <c r="K513" s="30" t="s">
        <v>466</v>
      </c>
    </row>
    <row r="514" spans="1:12" ht="14">
      <c r="A514" s="18" t="s">
        <v>464</v>
      </c>
      <c r="B514" s="18" t="s">
        <v>1055</v>
      </c>
      <c r="C514" s="9" t="s">
        <v>1056</v>
      </c>
      <c r="D514" s="18" t="s">
        <v>402</v>
      </c>
      <c r="E514" s="18">
        <v>2000</v>
      </c>
      <c r="F514" s="18">
        <v>41567</v>
      </c>
      <c r="G514" s="18" t="s">
        <v>402</v>
      </c>
      <c r="H514" s="18" t="s">
        <v>402</v>
      </c>
      <c r="I514" s="18" t="s">
        <v>622</v>
      </c>
      <c r="J514" s="18" t="s">
        <v>637</v>
      </c>
      <c r="K514" s="30" t="s">
        <v>466</v>
      </c>
    </row>
    <row r="515" spans="1:12" ht="14">
      <c r="A515" s="18" t="s">
        <v>464</v>
      </c>
      <c r="B515" s="18" t="s">
        <v>1055</v>
      </c>
      <c r="C515" s="9" t="s">
        <v>1056</v>
      </c>
      <c r="D515" s="18" t="s">
        <v>402</v>
      </c>
      <c r="E515" s="18">
        <v>2003</v>
      </c>
      <c r="F515" s="18">
        <v>42916</v>
      </c>
      <c r="G515" s="18" t="s">
        <v>402</v>
      </c>
      <c r="H515" s="18" t="s">
        <v>402</v>
      </c>
      <c r="I515" s="18" t="s">
        <v>622</v>
      </c>
      <c r="J515" s="18" t="s">
        <v>637</v>
      </c>
      <c r="K515" s="30" t="s">
        <v>466</v>
      </c>
    </row>
    <row r="516" spans="1:12" ht="14">
      <c r="A516" s="18" t="s">
        <v>464</v>
      </c>
      <c r="B516" s="18" t="s">
        <v>1055</v>
      </c>
      <c r="C516" s="9" t="s">
        <v>1056</v>
      </c>
      <c r="D516" s="18" t="s">
        <v>402</v>
      </c>
      <c r="E516" s="18">
        <v>2008</v>
      </c>
      <c r="F516" s="18">
        <v>37643</v>
      </c>
      <c r="G516" s="18" t="s">
        <v>402</v>
      </c>
      <c r="H516" s="18" t="s">
        <v>402</v>
      </c>
      <c r="I516" s="18" t="s">
        <v>622</v>
      </c>
      <c r="J516" s="18" t="s">
        <v>637</v>
      </c>
      <c r="K516" s="30" t="s">
        <v>466</v>
      </c>
    </row>
    <row r="517" spans="1:12" ht="14">
      <c r="A517" s="18" t="s">
        <v>464</v>
      </c>
      <c r="B517" s="18" t="s">
        <v>1055</v>
      </c>
      <c r="C517" s="9" t="s">
        <v>1056</v>
      </c>
      <c r="D517" s="18" t="s">
        <v>402</v>
      </c>
      <c r="E517" s="18">
        <v>2014</v>
      </c>
      <c r="F517" s="18">
        <v>39482</v>
      </c>
      <c r="G517" s="18" t="s">
        <v>402</v>
      </c>
      <c r="H517" s="18" t="s">
        <v>402</v>
      </c>
      <c r="I517" s="18" t="s">
        <v>622</v>
      </c>
      <c r="J517" s="18" t="s">
        <v>637</v>
      </c>
      <c r="K517" s="30" t="s">
        <v>466</v>
      </c>
    </row>
    <row r="518" spans="1:12" ht="14">
      <c r="A518" s="18" t="s">
        <v>345</v>
      </c>
      <c r="B518" s="18" t="s">
        <v>1055</v>
      </c>
      <c r="C518" s="9" t="s">
        <v>1058</v>
      </c>
      <c r="D518" s="18" t="s">
        <v>841</v>
      </c>
      <c r="E518" s="18">
        <v>1961</v>
      </c>
      <c r="F518" s="18">
        <v>2181</v>
      </c>
      <c r="G518" s="18" t="s">
        <v>402</v>
      </c>
      <c r="H518" s="18" t="s">
        <v>402</v>
      </c>
      <c r="I518" s="18" t="s">
        <v>690</v>
      </c>
      <c r="J518" s="18" t="s">
        <v>637</v>
      </c>
      <c r="K518" s="30" t="s">
        <v>466</v>
      </c>
      <c r="L518" s="18" t="s">
        <v>468</v>
      </c>
    </row>
    <row r="519" spans="1:12" ht="14">
      <c r="A519" s="18" t="s">
        <v>345</v>
      </c>
      <c r="B519" s="18" t="s">
        <v>1055</v>
      </c>
      <c r="C519" s="9" t="s">
        <v>1058</v>
      </c>
      <c r="D519" s="18" t="s">
        <v>841</v>
      </c>
      <c r="E519" s="18">
        <v>1971</v>
      </c>
      <c r="F519" s="18">
        <v>2955</v>
      </c>
      <c r="G519" s="18" t="s">
        <v>402</v>
      </c>
      <c r="H519" s="18" t="s">
        <v>402</v>
      </c>
      <c r="I519" s="18" t="s">
        <v>690</v>
      </c>
      <c r="J519" s="18" t="s">
        <v>637</v>
      </c>
      <c r="K519" s="30" t="s">
        <v>466</v>
      </c>
    </row>
    <row r="520" spans="1:12" ht="14">
      <c r="A520" s="18" t="s">
        <v>345</v>
      </c>
      <c r="B520" s="18" t="s">
        <v>1055</v>
      </c>
      <c r="C520" s="9" t="s">
        <v>1058</v>
      </c>
      <c r="D520" s="18" t="s">
        <v>841</v>
      </c>
      <c r="E520" s="18">
        <v>1973</v>
      </c>
      <c r="F520" s="18">
        <v>3430</v>
      </c>
      <c r="G520" s="18" t="s">
        <v>402</v>
      </c>
      <c r="H520" s="18" t="s">
        <v>402</v>
      </c>
      <c r="I520" s="18" t="s">
        <v>690</v>
      </c>
      <c r="J520" s="18" t="s">
        <v>637</v>
      </c>
      <c r="K520" s="30" t="s">
        <v>466</v>
      </c>
    </row>
    <row r="521" spans="1:12" ht="14">
      <c r="A521" s="18" t="s">
        <v>345</v>
      </c>
      <c r="B521" s="18" t="s">
        <v>1055</v>
      </c>
      <c r="C521" s="9" t="s">
        <v>1058</v>
      </c>
      <c r="D521" s="18" t="s">
        <v>841</v>
      </c>
      <c r="E521" s="18">
        <v>1977</v>
      </c>
      <c r="F521" s="18">
        <v>3155</v>
      </c>
      <c r="G521" s="18" t="s">
        <v>402</v>
      </c>
      <c r="H521" s="18" t="s">
        <v>402</v>
      </c>
      <c r="I521" s="18" t="s">
        <v>690</v>
      </c>
      <c r="J521" s="18" t="s">
        <v>637</v>
      </c>
      <c r="K521" s="30" t="s">
        <v>466</v>
      </c>
    </row>
    <row r="522" spans="1:12" ht="14">
      <c r="A522" s="18" t="s">
        <v>345</v>
      </c>
      <c r="B522" s="18" t="s">
        <v>1055</v>
      </c>
      <c r="C522" s="9" t="s">
        <v>1058</v>
      </c>
      <c r="D522" s="18" t="s">
        <v>841</v>
      </c>
      <c r="E522" s="18">
        <v>1979</v>
      </c>
      <c r="F522" s="18">
        <v>3253</v>
      </c>
      <c r="G522" s="18" t="s">
        <v>402</v>
      </c>
      <c r="H522" s="18" t="s">
        <v>402</v>
      </c>
      <c r="I522" s="18" t="s">
        <v>690</v>
      </c>
      <c r="J522" s="18" t="s">
        <v>637</v>
      </c>
      <c r="K522" s="30" t="s">
        <v>466</v>
      </c>
    </row>
    <row r="523" spans="1:12" ht="14">
      <c r="A523" s="18" t="s">
        <v>345</v>
      </c>
      <c r="B523" s="18" t="s">
        <v>1055</v>
      </c>
      <c r="C523" s="9" t="s">
        <v>1058</v>
      </c>
      <c r="D523" s="18" t="s">
        <v>841</v>
      </c>
      <c r="E523" s="18">
        <v>1982</v>
      </c>
      <c r="F523" s="18">
        <v>3447</v>
      </c>
      <c r="G523" s="18" t="s">
        <v>402</v>
      </c>
      <c r="H523" s="18" t="s">
        <v>402</v>
      </c>
      <c r="I523" s="18" t="s">
        <v>690</v>
      </c>
      <c r="J523" s="18" t="s">
        <v>637</v>
      </c>
      <c r="K523" s="30" t="s">
        <v>466</v>
      </c>
    </row>
    <row r="524" spans="1:12" ht="14">
      <c r="A524" s="18" t="s">
        <v>345</v>
      </c>
      <c r="B524" s="18" t="s">
        <v>1055</v>
      </c>
      <c r="C524" s="9" t="s">
        <v>1058</v>
      </c>
      <c r="D524" s="18" t="s">
        <v>841</v>
      </c>
      <c r="E524" s="18">
        <v>1987</v>
      </c>
      <c r="F524" s="18">
        <v>3457</v>
      </c>
      <c r="G524" s="18" t="s">
        <v>402</v>
      </c>
      <c r="H524" s="18" t="s">
        <v>402</v>
      </c>
      <c r="I524" s="18" t="s">
        <v>690</v>
      </c>
      <c r="J524" s="18" t="s">
        <v>637</v>
      </c>
      <c r="K524" s="30" t="s">
        <v>466</v>
      </c>
    </row>
    <row r="525" spans="1:12" ht="14">
      <c r="A525" s="18" t="s">
        <v>345</v>
      </c>
      <c r="B525" s="18" t="s">
        <v>1055</v>
      </c>
      <c r="C525" s="9" t="s">
        <v>1058</v>
      </c>
      <c r="D525" s="18" t="s">
        <v>841</v>
      </c>
      <c r="E525" s="18">
        <v>1990</v>
      </c>
      <c r="F525" s="18">
        <v>4877</v>
      </c>
      <c r="G525" s="18" t="s">
        <v>402</v>
      </c>
      <c r="H525" s="18" t="s">
        <v>402</v>
      </c>
      <c r="I525" s="18" t="s">
        <v>690</v>
      </c>
      <c r="J525" s="18" t="s">
        <v>637</v>
      </c>
      <c r="K525" s="30" t="s">
        <v>466</v>
      </c>
    </row>
    <row r="526" spans="1:12" ht="14">
      <c r="A526" s="18" t="s">
        <v>345</v>
      </c>
      <c r="B526" s="18" t="s">
        <v>1055</v>
      </c>
      <c r="C526" s="9" t="s">
        <v>1058</v>
      </c>
      <c r="D526" s="18" t="s">
        <v>841</v>
      </c>
      <c r="E526" s="18">
        <v>1991</v>
      </c>
      <c r="F526" s="18">
        <v>5540</v>
      </c>
      <c r="G526" s="18" t="s">
        <v>402</v>
      </c>
      <c r="H526" s="18" t="s">
        <v>402</v>
      </c>
      <c r="I526" s="18" t="s">
        <v>690</v>
      </c>
      <c r="J526" s="18" t="s">
        <v>637</v>
      </c>
      <c r="K526" s="30" t="s">
        <v>466</v>
      </c>
    </row>
    <row r="527" spans="1:12" ht="14">
      <c r="A527" s="18" t="s">
        <v>345</v>
      </c>
      <c r="B527" s="18" t="s">
        <v>1055</v>
      </c>
      <c r="C527" s="9" t="s">
        <v>1058</v>
      </c>
      <c r="D527" s="18" t="s">
        <v>841</v>
      </c>
      <c r="E527" s="18">
        <v>1992</v>
      </c>
      <c r="F527" s="18">
        <v>5447</v>
      </c>
      <c r="G527" s="18" t="s">
        <v>402</v>
      </c>
      <c r="H527" s="18" t="s">
        <v>402</v>
      </c>
      <c r="I527" s="18" t="s">
        <v>690</v>
      </c>
      <c r="J527" s="18" t="s">
        <v>637</v>
      </c>
      <c r="K527" s="30" t="s">
        <v>466</v>
      </c>
    </row>
    <row r="528" spans="1:12" ht="14">
      <c r="A528" s="18" t="s">
        <v>345</v>
      </c>
      <c r="B528" s="18" t="s">
        <v>1055</v>
      </c>
      <c r="C528" s="9" t="s">
        <v>1058</v>
      </c>
      <c r="D528" s="18" t="s">
        <v>841</v>
      </c>
      <c r="E528" s="18">
        <v>1994</v>
      </c>
      <c r="F528" s="18">
        <v>4979</v>
      </c>
      <c r="G528" s="18" t="s">
        <v>402</v>
      </c>
      <c r="H528" s="18" t="s">
        <v>402</v>
      </c>
      <c r="I528" s="18" t="s">
        <v>690</v>
      </c>
      <c r="J528" s="18" t="s">
        <v>637</v>
      </c>
      <c r="K528" s="30" t="s">
        <v>466</v>
      </c>
    </row>
    <row r="529" spans="1:11" ht="14">
      <c r="A529" s="18" t="s">
        <v>345</v>
      </c>
      <c r="B529" s="18" t="s">
        <v>1055</v>
      </c>
      <c r="C529" s="9" t="s">
        <v>1058</v>
      </c>
      <c r="D529" s="18" t="s">
        <v>841</v>
      </c>
      <c r="E529" s="18">
        <v>1996</v>
      </c>
      <c r="F529" s="18">
        <v>5266</v>
      </c>
      <c r="G529" s="18" t="s">
        <v>402</v>
      </c>
      <c r="H529" s="18" t="s">
        <v>402</v>
      </c>
      <c r="I529" s="18" t="s">
        <v>690</v>
      </c>
      <c r="J529" s="18" t="s">
        <v>637</v>
      </c>
      <c r="K529" s="30" t="s">
        <v>466</v>
      </c>
    </row>
    <row r="530" spans="1:11" ht="14">
      <c r="A530" s="18" t="s">
        <v>345</v>
      </c>
      <c r="B530" s="18" t="s">
        <v>1055</v>
      </c>
      <c r="C530" s="9" t="s">
        <v>1058</v>
      </c>
      <c r="D530" s="18" t="s">
        <v>841</v>
      </c>
      <c r="E530" s="18">
        <v>1997</v>
      </c>
      <c r="F530" s="18">
        <v>5928</v>
      </c>
      <c r="G530" s="18" t="s">
        <v>402</v>
      </c>
      <c r="H530" s="18" t="s">
        <v>402</v>
      </c>
      <c r="I530" s="18" t="s">
        <v>690</v>
      </c>
      <c r="J530" s="18" t="s">
        <v>637</v>
      </c>
      <c r="K530" s="30" t="s">
        <v>466</v>
      </c>
    </row>
    <row r="531" spans="1:11" ht="14">
      <c r="A531" s="18" t="s">
        <v>345</v>
      </c>
      <c r="B531" s="18" t="s">
        <v>1055</v>
      </c>
      <c r="C531" s="9" t="s">
        <v>1058</v>
      </c>
      <c r="D531" s="18" t="s">
        <v>841</v>
      </c>
      <c r="E531" s="18">
        <v>1998</v>
      </c>
      <c r="F531" s="18">
        <v>6307</v>
      </c>
      <c r="G531" s="18" t="s">
        <v>402</v>
      </c>
      <c r="H531" s="18" t="s">
        <v>402</v>
      </c>
      <c r="I531" s="18" t="s">
        <v>690</v>
      </c>
      <c r="J531" s="18" t="s">
        <v>637</v>
      </c>
      <c r="K531" s="30" t="s">
        <v>466</v>
      </c>
    </row>
    <row r="532" spans="1:11" ht="14">
      <c r="A532" s="18" t="s">
        <v>345</v>
      </c>
      <c r="B532" s="18" t="s">
        <v>1055</v>
      </c>
      <c r="C532" s="9" t="s">
        <v>1058</v>
      </c>
      <c r="D532" s="18" t="s">
        <v>841</v>
      </c>
      <c r="E532" s="18">
        <v>2000</v>
      </c>
      <c r="F532" s="18">
        <v>6311</v>
      </c>
      <c r="G532" s="18" t="s">
        <v>402</v>
      </c>
      <c r="H532" s="18" t="s">
        <v>402</v>
      </c>
      <c r="I532" s="18" t="s">
        <v>690</v>
      </c>
      <c r="J532" s="18" t="s">
        <v>637</v>
      </c>
      <c r="K532" s="30" t="s">
        <v>466</v>
      </c>
    </row>
    <row r="533" spans="1:11" ht="14">
      <c r="A533" s="18" t="s">
        <v>345</v>
      </c>
      <c r="B533" s="18" t="s">
        <v>1055</v>
      </c>
      <c r="C533" s="9" t="s">
        <v>1058</v>
      </c>
      <c r="D533" s="18" t="s">
        <v>841</v>
      </c>
      <c r="E533" s="18">
        <v>2001</v>
      </c>
      <c r="F533" s="18">
        <v>7728</v>
      </c>
      <c r="G533" s="18" t="s">
        <v>402</v>
      </c>
      <c r="H533" s="18" t="s">
        <v>402</v>
      </c>
      <c r="I533" s="18" t="s">
        <v>690</v>
      </c>
      <c r="J533" s="18" t="s">
        <v>637</v>
      </c>
      <c r="K533" s="30" t="s">
        <v>466</v>
      </c>
    </row>
    <row r="534" spans="1:11" ht="14">
      <c r="A534" s="18" t="s">
        <v>345</v>
      </c>
      <c r="B534" s="18" t="s">
        <v>1055</v>
      </c>
      <c r="C534" s="9" t="s">
        <v>1058</v>
      </c>
      <c r="D534" s="18" t="s">
        <v>841</v>
      </c>
      <c r="E534" s="18">
        <v>2002</v>
      </c>
      <c r="F534" s="18">
        <v>8202</v>
      </c>
      <c r="G534" s="18" t="s">
        <v>402</v>
      </c>
      <c r="H534" s="18" t="s">
        <v>402</v>
      </c>
      <c r="I534" s="18" t="s">
        <v>690</v>
      </c>
      <c r="J534" s="18" t="s">
        <v>637</v>
      </c>
      <c r="K534" s="30" t="s">
        <v>466</v>
      </c>
    </row>
    <row r="535" spans="1:11" ht="14">
      <c r="A535" s="18" t="s">
        <v>345</v>
      </c>
      <c r="B535" s="18" t="s">
        <v>1055</v>
      </c>
      <c r="C535" s="9" t="s">
        <v>1058</v>
      </c>
      <c r="D535" s="18" t="s">
        <v>841</v>
      </c>
      <c r="E535" s="18">
        <v>2005</v>
      </c>
      <c r="F535" s="18">
        <v>10283</v>
      </c>
      <c r="G535" s="18" t="s">
        <v>402</v>
      </c>
      <c r="H535" s="18" t="s">
        <v>402</v>
      </c>
      <c r="I535" s="18" t="s">
        <v>690</v>
      </c>
      <c r="J535" s="18" t="s">
        <v>637</v>
      </c>
      <c r="K535" s="30" t="s">
        <v>466</v>
      </c>
    </row>
    <row r="536" spans="1:11" ht="14">
      <c r="A536" s="18" t="s">
        <v>345</v>
      </c>
      <c r="B536" s="18" t="s">
        <v>1055</v>
      </c>
      <c r="C536" s="9" t="s">
        <v>1058</v>
      </c>
      <c r="D536" s="18" t="s">
        <v>841</v>
      </c>
      <c r="E536" s="18">
        <v>2006</v>
      </c>
      <c r="F536" s="18">
        <v>10096</v>
      </c>
      <c r="G536" s="18" t="s">
        <v>402</v>
      </c>
      <c r="H536" s="18" t="s">
        <v>402</v>
      </c>
      <c r="I536" s="18" t="s">
        <v>690</v>
      </c>
      <c r="J536" s="18" t="s">
        <v>637</v>
      </c>
      <c r="K536" s="30" t="s">
        <v>466</v>
      </c>
    </row>
    <row r="537" spans="1:11" ht="14">
      <c r="A537" s="18" t="s">
        <v>345</v>
      </c>
      <c r="B537" s="18" t="s">
        <v>1055</v>
      </c>
      <c r="C537" s="9" t="s">
        <v>1058</v>
      </c>
      <c r="D537" s="18" t="s">
        <v>841</v>
      </c>
      <c r="E537" s="18">
        <v>2008</v>
      </c>
      <c r="F537" s="18">
        <v>10854</v>
      </c>
      <c r="G537" s="18" t="s">
        <v>402</v>
      </c>
      <c r="H537" s="18" t="s">
        <v>402</v>
      </c>
      <c r="I537" s="18" t="s">
        <v>690</v>
      </c>
      <c r="J537" s="18" t="s">
        <v>637</v>
      </c>
      <c r="K537" s="30" t="s">
        <v>466</v>
      </c>
    </row>
    <row r="538" spans="1:11" ht="14">
      <c r="A538" s="18" t="s">
        <v>345</v>
      </c>
      <c r="B538" s="18" t="s">
        <v>1055</v>
      </c>
      <c r="C538" s="9" t="s">
        <v>1058</v>
      </c>
      <c r="D538" s="18" t="s">
        <v>841</v>
      </c>
      <c r="E538" s="18">
        <v>2009</v>
      </c>
      <c r="F538" s="18">
        <v>12083</v>
      </c>
      <c r="G538" s="18" t="s">
        <v>402</v>
      </c>
      <c r="H538" s="18" t="s">
        <v>402</v>
      </c>
      <c r="I538" s="18" t="s">
        <v>690</v>
      </c>
      <c r="J538" s="18" t="s">
        <v>637</v>
      </c>
      <c r="K538" s="30" t="s">
        <v>466</v>
      </c>
    </row>
    <row r="539" spans="1:11" ht="14">
      <c r="A539" s="18" t="s">
        <v>345</v>
      </c>
      <c r="B539" s="18" t="s">
        <v>1055</v>
      </c>
      <c r="C539" s="9" t="s">
        <v>1058</v>
      </c>
      <c r="D539" s="18" t="s">
        <v>841</v>
      </c>
      <c r="E539" s="18">
        <v>2010</v>
      </c>
      <c r="F539" s="18">
        <v>13405</v>
      </c>
      <c r="G539" s="18" t="s">
        <v>402</v>
      </c>
      <c r="H539" s="18" t="s">
        <v>402</v>
      </c>
      <c r="I539" s="18" t="s">
        <v>690</v>
      </c>
      <c r="J539" s="18" t="s">
        <v>637</v>
      </c>
      <c r="K539" s="30" t="s">
        <v>466</v>
      </c>
    </row>
    <row r="540" spans="1:11" ht="14">
      <c r="A540" s="18" t="s">
        <v>345</v>
      </c>
      <c r="B540" s="18" t="s">
        <v>1055</v>
      </c>
      <c r="C540" s="9" t="s">
        <v>1058</v>
      </c>
      <c r="D540" s="18" t="s">
        <v>841</v>
      </c>
      <c r="E540" s="18">
        <v>1961</v>
      </c>
      <c r="F540" s="18">
        <v>6238</v>
      </c>
      <c r="G540" s="18" t="s">
        <v>402</v>
      </c>
      <c r="H540" s="18" t="s">
        <v>402</v>
      </c>
      <c r="I540" s="18" t="s">
        <v>622</v>
      </c>
      <c r="J540" s="18" t="s">
        <v>637</v>
      </c>
      <c r="K540" s="30" t="s">
        <v>466</v>
      </c>
    </row>
    <row r="541" spans="1:11" ht="14">
      <c r="A541" s="18" t="s">
        <v>345</v>
      </c>
      <c r="B541" s="18" t="s">
        <v>1055</v>
      </c>
      <c r="C541" s="9" t="s">
        <v>1058</v>
      </c>
      <c r="D541" s="18" t="s">
        <v>841</v>
      </c>
      <c r="E541" s="18">
        <v>1971</v>
      </c>
      <c r="F541" s="18">
        <v>8238</v>
      </c>
      <c r="G541" s="18" t="s">
        <v>402</v>
      </c>
      <c r="H541" s="18" t="s">
        <v>402</v>
      </c>
      <c r="I541" s="18" t="s">
        <v>622</v>
      </c>
      <c r="J541" s="18" t="s">
        <v>637</v>
      </c>
      <c r="K541" s="30" t="s">
        <v>466</v>
      </c>
    </row>
    <row r="542" spans="1:11" ht="14">
      <c r="A542" s="18" t="s">
        <v>345</v>
      </c>
      <c r="B542" s="18" t="s">
        <v>1055</v>
      </c>
      <c r="C542" s="9" t="s">
        <v>1058</v>
      </c>
      <c r="D542" s="18" t="s">
        <v>841</v>
      </c>
      <c r="E542" s="18">
        <v>1973</v>
      </c>
      <c r="F542" s="18">
        <v>9562</v>
      </c>
      <c r="G542" s="18" t="s">
        <v>402</v>
      </c>
      <c r="H542" s="18" t="s">
        <v>402</v>
      </c>
      <c r="I542" s="18" t="s">
        <v>622</v>
      </c>
      <c r="J542" s="18" t="s">
        <v>637</v>
      </c>
      <c r="K542" s="30" t="s">
        <v>466</v>
      </c>
    </row>
    <row r="543" spans="1:11" ht="14">
      <c r="A543" s="18" t="s">
        <v>345</v>
      </c>
      <c r="B543" s="18" t="s">
        <v>1055</v>
      </c>
      <c r="C543" s="9" t="s">
        <v>1058</v>
      </c>
      <c r="D543" s="18" t="s">
        <v>841</v>
      </c>
      <c r="E543" s="18">
        <v>1977</v>
      </c>
      <c r="F543" s="18">
        <v>9947</v>
      </c>
      <c r="G543" s="18" t="s">
        <v>402</v>
      </c>
      <c r="H543" s="18" t="s">
        <v>402</v>
      </c>
      <c r="I543" s="18" t="s">
        <v>622</v>
      </c>
      <c r="J543" s="18" t="s">
        <v>637</v>
      </c>
      <c r="K543" s="30" t="s">
        <v>466</v>
      </c>
    </row>
    <row r="544" spans="1:11" ht="14">
      <c r="A544" s="18" t="s">
        <v>345</v>
      </c>
      <c r="B544" s="18" t="s">
        <v>1055</v>
      </c>
      <c r="C544" s="9" t="s">
        <v>1058</v>
      </c>
      <c r="D544" s="18" t="s">
        <v>841</v>
      </c>
      <c r="E544" s="18">
        <v>1979</v>
      </c>
      <c r="F544" s="18">
        <v>9668</v>
      </c>
      <c r="G544" s="18" t="s">
        <v>402</v>
      </c>
      <c r="H544" s="18" t="s">
        <v>402</v>
      </c>
      <c r="I544" s="18" t="s">
        <v>622</v>
      </c>
      <c r="J544" s="18" t="s">
        <v>637</v>
      </c>
      <c r="K544" s="30" t="s">
        <v>466</v>
      </c>
    </row>
    <row r="545" spans="1:11" ht="14">
      <c r="A545" s="18" t="s">
        <v>345</v>
      </c>
      <c r="B545" s="18" t="s">
        <v>1055</v>
      </c>
      <c r="C545" s="9" t="s">
        <v>1058</v>
      </c>
      <c r="D545" s="18" t="s">
        <v>841</v>
      </c>
      <c r="E545" s="18">
        <v>1982</v>
      </c>
      <c r="F545" s="18">
        <v>10711</v>
      </c>
      <c r="G545" s="18" t="s">
        <v>402</v>
      </c>
      <c r="H545" s="18" t="s">
        <v>402</v>
      </c>
      <c r="I545" s="18" t="s">
        <v>622</v>
      </c>
      <c r="J545" s="18" t="s">
        <v>637</v>
      </c>
      <c r="K545" s="30" t="s">
        <v>466</v>
      </c>
    </row>
    <row r="546" spans="1:11" ht="14">
      <c r="A546" s="18" t="s">
        <v>345</v>
      </c>
      <c r="B546" s="18" t="s">
        <v>1055</v>
      </c>
      <c r="C546" s="9" t="s">
        <v>1058</v>
      </c>
      <c r="D546" s="18" t="s">
        <v>841</v>
      </c>
      <c r="E546" s="18">
        <v>1987</v>
      </c>
      <c r="F546" s="18">
        <v>12513</v>
      </c>
      <c r="G546" s="18" t="s">
        <v>402</v>
      </c>
      <c r="H546" s="18" t="s">
        <v>402</v>
      </c>
      <c r="I546" s="18" t="s">
        <v>622</v>
      </c>
      <c r="J546" s="18" t="s">
        <v>637</v>
      </c>
      <c r="K546" s="30" t="s">
        <v>466</v>
      </c>
    </row>
    <row r="547" spans="1:11" ht="14">
      <c r="A547" s="18" t="s">
        <v>345</v>
      </c>
      <c r="B547" s="18" t="s">
        <v>1055</v>
      </c>
      <c r="C547" s="9" t="s">
        <v>1058</v>
      </c>
      <c r="D547" s="18" t="s">
        <v>841</v>
      </c>
      <c r="E547" s="18">
        <v>1990</v>
      </c>
      <c r="F547" s="18">
        <v>13368</v>
      </c>
      <c r="G547" s="18" t="s">
        <v>402</v>
      </c>
      <c r="H547" s="18" t="s">
        <v>402</v>
      </c>
      <c r="I547" s="18" t="s">
        <v>622</v>
      </c>
      <c r="J547" s="18" t="s">
        <v>637</v>
      </c>
      <c r="K547" s="30" t="s">
        <v>466</v>
      </c>
    </row>
    <row r="548" spans="1:11" ht="14">
      <c r="A548" s="18" t="s">
        <v>345</v>
      </c>
      <c r="B548" s="18" t="s">
        <v>1055</v>
      </c>
      <c r="C548" s="9" t="s">
        <v>1058</v>
      </c>
      <c r="D548" s="18" t="s">
        <v>841</v>
      </c>
      <c r="E548" s="18">
        <v>1991</v>
      </c>
      <c r="F548" s="18">
        <v>15634</v>
      </c>
      <c r="G548" s="18" t="s">
        <v>402</v>
      </c>
      <c r="H548" s="18" t="s">
        <v>402</v>
      </c>
      <c r="I548" s="18" t="s">
        <v>622</v>
      </c>
      <c r="J548" s="18" t="s">
        <v>637</v>
      </c>
      <c r="K548" s="30" t="s">
        <v>466</v>
      </c>
    </row>
    <row r="549" spans="1:11" ht="14">
      <c r="A549" s="18" t="s">
        <v>345</v>
      </c>
      <c r="B549" s="18" t="s">
        <v>1055</v>
      </c>
      <c r="C549" s="9" t="s">
        <v>1058</v>
      </c>
      <c r="D549" s="18" t="s">
        <v>841</v>
      </c>
      <c r="E549" s="18">
        <v>1992</v>
      </c>
      <c r="F549" s="18">
        <v>15541</v>
      </c>
      <c r="G549" s="18" t="s">
        <v>402</v>
      </c>
      <c r="H549" s="18" t="s">
        <v>402</v>
      </c>
      <c r="I549" s="18" t="s">
        <v>622</v>
      </c>
      <c r="J549" s="18" t="s">
        <v>637</v>
      </c>
      <c r="K549" s="30" t="s">
        <v>466</v>
      </c>
    </row>
    <row r="550" spans="1:11" ht="14">
      <c r="A550" s="18" t="s">
        <v>345</v>
      </c>
      <c r="B550" s="18" t="s">
        <v>1055</v>
      </c>
      <c r="C550" s="9" t="s">
        <v>1058</v>
      </c>
      <c r="D550" s="18" t="s">
        <v>841</v>
      </c>
      <c r="E550" s="18">
        <v>1994</v>
      </c>
      <c r="F550" s="18">
        <v>14885</v>
      </c>
      <c r="G550" s="18" t="s">
        <v>402</v>
      </c>
      <c r="H550" s="18" t="s">
        <v>402</v>
      </c>
      <c r="I550" s="18" t="s">
        <v>622</v>
      </c>
      <c r="J550" s="18" t="s">
        <v>637</v>
      </c>
      <c r="K550" s="30" t="s">
        <v>466</v>
      </c>
    </row>
    <row r="551" spans="1:11" ht="14">
      <c r="A551" s="18" t="s">
        <v>345</v>
      </c>
      <c r="B551" s="18" t="s">
        <v>1055</v>
      </c>
      <c r="C551" s="9" t="s">
        <v>1058</v>
      </c>
      <c r="D551" s="18" t="s">
        <v>841</v>
      </c>
      <c r="E551" s="18">
        <v>1996</v>
      </c>
      <c r="F551" s="18">
        <v>15455</v>
      </c>
      <c r="G551" s="18" t="s">
        <v>402</v>
      </c>
      <c r="H551" s="18" t="s">
        <v>402</v>
      </c>
      <c r="I551" s="18" t="s">
        <v>622</v>
      </c>
      <c r="J551" s="18" t="s">
        <v>637</v>
      </c>
      <c r="K551" s="30" t="s">
        <v>466</v>
      </c>
    </row>
    <row r="552" spans="1:11" ht="14">
      <c r="A552" s="18" t="s">
        <v>345</v>
      </c>
      <c r="B552" s="18" t="s">
        <v>1055</v>
      </c>
      <c r="C552" s="9" t="s">
        <v>1058</v>
      </c>
      <c r="D552" s="18" t="s">
        <v>841</v>
      </c>
      <c r="E552" s="18">
        <v>1997</v>
      </c>
      <c r="F552" s="18">
        <v>16589</v>
      </c>
      <c r="G552" s="18" t="s">
        <v>402</v>
      </c>
      <c r="H552" s="18" t="s">
        <v>402</v>
      </c>
      <c r="I552" s="18" t="s">
        <v>622</v>
      </c>
      <c r="J552" s="18" t="s">
        <v>637</v>
      </c>
      <c r="K552" s="30" t="s">
        <v>466</v>
      </c>
    </row>
    <row r="553" spans="1:11" ht="14">
      <c r="A553" s="18" t="s">
        <v>345</v>
      </c>
      <c r="B553" s="18" t="s">
        <v>1055</v>
      </c>
      <c r="C553" s="9" t="s">
        <v>1058</v>
      </c>
      <c r="D553" s="18" t="s">
        <v>841</v>
      </c>
      <c r="E553" s="18">
        <v>1998</v>
      </c>
      <c r="F553" s="18">
        <v>17534</v>
      </c>
      <c r="G553" s="18" t="s">
        <v>402</v>
      </c>
      <c r="H553" s="18" t="s">
        <v>402</v>
      </c>
      <c r="I553" s="18" t="s">
        <v>622</v>
      </c>
      <c r="J553" s="18" t="s">
        <v>637</v>
      </c>
      <c r="K553" s="30" t="s">
        <v>466</v>
      </c>
    </row>
    <row r="554" spans="1:11" ht="14">
      <c r="A554" s="18" t="s">
        <v>345</v>
      </c>
      <c r="B554" s="18" t="s">
        <v>1055</v>
      </c>
      <c r="C554" s="9" t="s">
        <v>1058</v>
      </c>
      <c r="D554" s="18" t="s">
        <v>841</v>
      </c>
      <c r="E554" s="18">
        <v>2000</v>
      </c>
      <c r="F554" s="18">
        <v>18764</v>
      </c>
      <c r="G554" s="18" t="s">
        <v>402</v>
      </c>
      <c r="H554" s="18" t="s">
        <v>402</v>
      </c>
      <c r="I554" s="18" t="s">
        <v>622</v>
      </c>
      <c r="J554" s="18" t="s">
        <v>637</v>
      </c>
      <c r="K554" s="30" t="s">
        <v>466</v>
      </c>
    </row>
    <row r="555" spans="1:11" ht="14">
      <c r="A555" s="18" t="s">
        <v>345</v>
      </c>
      <c r="B555" s="18" t="s">
        <v>1055</v>
      </c>
      <c r="C555" s="9" t="s">
        <v>1058</v>
      </c>
      <c r="D555" s="18" t="s">
        <v>841</v>
      </c>
      <c r="E555" s="18">
        <v>2001</v>
      </c>
      <c r="F555" s="18">
        <v>20181</v>
      </c>
      <c r="G555" s="18" t="s">
        <v>402</v>
      </c>
      <c r="H555" s="18" t="s">
        <v>402</v>
      </c>
      <c r="I555" s="18" t="s">
        <v>622</v>
      </c>
      <c r="J555" s="18" t="s">
        <v>637</v>
      </c>
      <c r="K555" s="30" t="s">
        <v>466</v>
      </c>
    </row>
    <row r="556" spans="1:11" ht="14">
      <c r="A556" s="18" t="s">
        <v>345</v>
      </c>
      <c r="B556" s="18" t="s">
        <v>1055</v>
      </c>
      <c r="C556" s="9" t="s">
        <v>1058</v>
      </c>
      <c r="D556" s="18" t="s">
        <v>841</v>
      </c>
      <c r="E556" s="18">
        <v>2002</v>
      </c>
      <c r="F556" s="18">
        <v>22164</v>
      </c>
      <c r="G556" s="18" t="s">
        <v>402</v>
      </c>
      <c r="H556" s="18" t="s">
        <v>402</v>
      </c>
      <c r="I556" s="18" t="s">
        <v>622</v>
      </c>
      <c r="J556" s="18" t="s">
        <v>637</v>
      </c>
      <c r="K556" s="30" t="s">
        <v>466</v>
      </c>
    </row>
    <row r="557" spans="1:11" ht="14">
      <c r="A557" s="18" t="s">
        <v>345</v>
      </c>
      <c r="B557" s="18" t="s">
        <v>1055</v>
      </c>
      <c r="C557" s="9" t="s">
        <v>1058</v>
      </c>
      <c r="D557" s="18" t="s">
        <v>841</v>
      </c>
      <c r="E557" s="18">
        <v>2005</v>
      </c>
      <c r="F557" s="18">
        <v>27452</v>
      </c>
      <c r="G557" s="18" t="s">
        <v>402</v>
      </c>
      <c r="H557" s="18" t="s">
        <v>402</v>
      </c>
      <c r="I557" s="18" t="s">
        <v>622</v>
      </c>
      <c r="J557" s="18" t="s">
        <v>637</v>
      </c>
      <c r="K557" s="30" t="s">
        <v>466</v>
      </c>
    </row>
    <row r="558" spans="1:11" ht="14">
      <c r="A558" s="18" t="s">
        <v>345</v>
      </c>
      <c r="B558" s="18" t="s">
        <v>1055</v>
      </c>
      <c r="C558" s="9" t="s">
        <v>1058</v>
      </c>
      <c r="D558" s="18" t="s">
        <v>841</v>
      </c>
      <c r="E558" s="18">
        <v>2006</v>
      </c>
      <c r="F558" s="18">
        <v>26134</v>
      </c>
      <c r="G558" s="18" t="s">
        <v>402</v>
      </c>
      <c r="H558" s="18" t="s">
        <v>402</v>
      </c>
      <c r="I558" s="18" t="s">
        <v>622</v>
      </c>
      <c r="J558" s="18" t="s">
        <v>637</v>
      </c>
      <c r="K558" s="30" t="s">
        <v>466</v>
      </c>
    </row>
    <row r="559" spans="1:11" ht="14">
      <c r="A559" s="18" t="s">
        <v>345</v>
      </c>
      <c r="B559" s="18" t="s">
        <v>1055</v>
      </c>
      <c r="C559" s="9" t="s">
        <v>1058</v>
      </c>
      <c r="D559" s="18" t="s">
        <v>841</v>
      </c>
      <c r="E559" s="18">
        <v>2008</v>
      </c>
      <c r="F559" s="18">
        <v>24628</v>
      </c>
      <c r="G559" s="18" t="s">
        <v>402</v>
      </c>
      <c r="H559" s="18" t="s">
        <v>402</v>
      </c>
      <c r="I559" s="18" t="s">
        <v>622</v>
      </c>
      <c r="J559" s="18" t="s">
        <v>637</v>
      </c>
      <c r="K559" s="30" t="s">
        <v>466</v>
      </c>
    </row>
    <row r="560" spans="1:11" ht="14">
      <c r="A560" s="18" t="s">
        <v>345</v>
      </c>
      <c r="B560" s="18" t="s">
        <v>1055</v>
      </c>
      <c r="C560" s="9" t="s">
        <v>1058</v>
      </c>
      <c r="D560" s="18" t="s">
        <v>841</v>
      </c>
      <c r="E560" s="18">
        <v>2009</v>
      </c>
      <c r="F560" s="18">
        <v>30007</v>
      </c>
      <c r="G560" s="18" t="s">
        <v>402</v>
      </c>
      <c r="H560" s="18" t="s">
        <v>402</v>
      </c>
      <c r="I560" s="18" t="s">
        <v>622</v>
      </c>
      <c r="J560" s="18" t="s">
        <v>637</v>
      </c>
      <c r="K560" s="30" t="s">
        <v>466</v>
      </c>
    </row>
    <row r="561" spans="1:12" ht="14">
      <c r="A561" s="18" t="s">
        <v>345</v>
      </c>
      <c r="B561" s="18" t="s">
        <v>1055</v>
      </c>
      <c r="C561" s="9" t="s">
        <v>1058</v>
      </c>
      <c r="D561" s="18" t="s">
        <v>841</v>
      </c>
      <c r="E561" s="18">
        <v>2010</v>
      </c>
      <c r="F561" s="18">
        <v>30858</v>
      </c>
      <c r="G561" s="18" t="s">
        <v>402</v>
      </c>
      <c r="H561" s="18" t="s">
        <v>402</v>
      </c>
      <c r="I561" s="18" t="s">
        <v>622</v>
      </c>
      <c r="J561" s="18" t="s">
        <v>637</v>
      </c>
      <c r="K561" s="30" t="s">
        <v>466</v>
      </c>
    </row>
    <row r="562" spans="1:12" ht="14">
      <c r="A562" s="18" t="s">
        <v>1059</v>
      </c>
      <c r="B562" s="18" t="s">
        <v>1060</v>
      </c>
      <c r="C562" s="9" t="s">
        <v>1061</v>
      </c>
      <c r="D562" s="18" t="s">
        <v>1062</v>
      </c>
      <c r="E562" s="18">
        <v>1998</v>
      </c>
      <c r="F562" s="18">
        <v>126</v>
      </c>
      <c r="G562" s="18">
        <v>104</v>
      </c>
      <c r="H562" s="18">
        <v>148</v>
      </c>
      <c r="I562" s="18" t="s">
        <v>622</v>
      </c>
      <c r="J562" s="18" t="s">
        <v>637</v>
      </c>
      <c r="K562" s="18" t="s">
        <v>472</v>
      </c>
      <c r="L562" s="18" t="s">
        <v>1063</v>
      </c>
    </row>
    <row r="563" spans="1:12" ht="14">
      <c r="A563" s="18" t="s">
        <v>1059</v>
      </c>
      <c r="B563" s="18" t="s">
        <v>1060</v>
      </c>
      <c r="C563" s="9" t="s">
        <v>1061</v>
      </c>
      <c r="D563" s="18" t="s">
        <v>1062</v>
      </c>
      <c r="E563" s="18">
        <v>1999</v>
      </c>
      <c r="F563" s="18">
        <v>145</v>
      </c>
      <c r="G563" s="18">
        <v>116</v>
      </c>
      <c r="H563" s="18">
        <v>175</v>
      </c>
      <c r="I563" s="18" t="s">
        <v>622</v>
      </c>
      <c r="J563" s="18" t="s">
        <v>637</v>
      </c>
      <c r="K563" s="18" t="s">
        <v>472</v>
      </c>
    </row>
    <row r="564" spans="1:12" ht="14">
      <c r="A564" s="18" t="s">
        <v>1059</v>
      </c>
      <c r="B564" s="18" t="s">
        <v>1060</v>
      </c>
      <c r="C564" s="9" t="s">
        <v>1061</v>
      </c>
      <c r="D564" s="18" t="s">
        <v>1062</v>
      </c>
      <c r="E564" s="18">
        <v>2000</v>
      </c>
      <c r="F564" s="18">
        <v>146</v>
      </c>
      <c r="G564" s="18">
        <v>117</v>
      </c>
      <c r="H564" s="18">
        <v>175</v>
      </c>
      <c r="I564" s="18" t="s">
        <v>622</v>
      </c>
      <c r="J564" s="18" t="s">
        <v>637</v>
      </c>
      <c r="K564" s="18" t="s">
        <v>472</v>
      </c>
    </row>
    <row r="565" spans="1:12" ht="14">
      <c r="A565" s="18" t="s">
        <v>1059</v>
      </c>
      <c r="B565" s="18" t="s">
        <v>1060</v>
      </c>
      <c r="C565" s="9" t="s">
        <v>1061</v>
      </c>
      <c r="D565" s="18" t="s">
        <v>1062</v>
      </c>
      <c r="E565" s="18">
        <v>2001</v>
      </c>
      <c r="F565" s="18">
        <v>178</v>
      </c>
      <c r="G565" s="18">
        <v>151</v>
      </c>
      <c r="H565" s="18">
        <v>205</v>
      </c>
      <c r="I565" s="18" t="s">
        <v>622</v>
      </c>
      <c r="J565" s="18" t="s">
        <v>637</v>
      </c>
      <c r="K565" s="18" t="s">
        <v>472</v>
      </c>
    </row>
    <row r="566" spans="1:12" ht="14">
      <c r="A566" s="18" t="s">
        <v>1059</v>
      </c>
      <c r="B566" s="18" t="s">
        <v>1060</v>
      </c>
      <c r="C566" s="9" t="s">
        <v>1061</v>
      </c>
      <c r="D566" s="18" t="s">
        <v>1062</v>
      </c>
      <c r="E566" s="18">
        <v>2002</v>
      </c>
      <c r="F566" s="18">
        <v>198</v>
      </c>
      <c r="G566" s="18">
        <v>169</v>
      </c>
      <c r="H566" s="18">
        <v>225</v>
      </c>
      <c r="I566" s="18" t="s">
        <v>622</v>
      </c>
      <c r="J566" s="18" t="s">
        <v>637</v>
      </c>
      <c r="K566" s="18" t="s">
        <v>472</v>
      </c>
    </row>
    <row r="567" spans="1:12" ht="14">
      <c r="A567" s="18" t="s">
        <v>1059</v>
      </c>
      <c r="B567" s="18" t="s">
        <v>1060</v>
      </c>
      <c r="C567" s="9" t="s">
        <v>1061</v>
      </c>
      <c r="D567" s="18" t="s">
        <v>1062</v>
      </c>
      <c r="E567" s="18">
        <v>2003</v>
      </c>
      <c r="F567" s="18">
        <v>207</v>
      </c>
      <c r="G567" s="18">
        <v>173</v>
      </c>
      <c r="H567" s="18">
        <v>242</v>
      </c>
      <c r="I567" s="18" t="s">
        <v>622</v>
      </c>
      <c r="J567" s="18" t="s">
        <v>637</v>
      </c>
      <c r="K567" s="18" t="s">
        <v>472</v>
      </c>
    </row>
    <row r="568" spans="1:12" ht="14">
      <c r="A568" s="18" t="s">
        <v>1059</v>
      </c>
      <c r="B568" s="18" t="s">
        <v>1060</v>
      </c>
      <c r="C568" s="9" t="s">
        <v>1061</v>
      </c>
      <c r="D568" s="18" t="s">
        <v>1062</v>
      </c>
      <c r="E568" s="18">
        <v>2004</v>
      </c>
      <c r="F568" s="18">
        <v>217</v>
      </c>
      <c r="G568" s="18">
        <v>184</v>
      </c>
      <c r="H568" s="18">
        <v>250</v>
      </c>
      <c r="I568" s="18" t="s">
        <v>622</v>
      </c>
      <c r="J568" s="18" t="s">
        <v>637</v>
      </c>
      <c r="K568" s="18" t="s">
        <v>472</v>
      </c>
    </row>
    <row r="569" spans="1:12" ht="14">
      <c r="A569" s="18" t="s">
        <v>1059</v>
      </c>
      <c r="B569" s="18" t="s">
        <v>1060</v>
      </c>
      <c r="C569" s="9" t="s">
        <v>1061</v>
      </c>
      <c r="D569" s="18" t="s">
        <v>1062</v>
      </c>
      <c r="E569" s="18">
        <v>2005</v>
      </c>
      <c r="F569" s="18">
        <v>216</v>
      </c>
      <c r="G569" s="18">
        <v>163</v>
      </c>
      <c r="H569" s="18">
        <v>268</v>
      </c>
      <c r="I569" s="18" t="s">
        <v>622</v>
      </c>
      <c r="J569" s="18" t="s">
        <v>637</v>
      </c>
      <c r="K569" s="18" t="s">
        <v>472</v>
      </c>
    </row>
    <row r="570" spans="1:12" ht="14">
      <c r="A570" s="18" t="s">
        <v>1059</v>
      </c>
      <c r="B570" s="18" t="s">
        <v>1060</v>
      </c>
      <c r="C570" s="9" t="s">
        <v>1061</v>
      </c>
      <c r="D570" s="18" t="s">
        <v>1062</v>
      </c>
      <c r="E570" s="18">
        <v>2006</v>
      </c>
      <c r="F570" s="18">
        <v>197</v>
      </c>
      <c r="G570" s="18">
        <v>155</v>
      </c>
      <c r="H570" s="18">
        <v>240</v>
      </c>
      <c r="I570" s="18" t="s">
        <v>622</v>
      </c>
      <c r="J570" s="18" t="s">
        <v>637</v>
      </c>
      <c r="K570" s="18" t="s">
        <v>472</v>
      </c>
    </row>
    <row r="571" spans="1:12" ht="14">
      <c r="A571" s="18" t="s">
        <v>1059</v>
      </c>
      <c r="B571" s="18" t="s">
        <v>1060</v>
      </c>
      <c r="C571" s="9" t="s">
        <v>1061</v>
      </c>
      <c r="D571" s="18" t="s">
        <v>1062</v>
      </c>
      <c r="E571" s="18">
        <v>2007</v>
      </c>
      <c r="F571" s="18">
        <v>192</v>
      </c>
      <c r="G571" s="18">
        <v>141</v>
      </c>
      <c r="H571" s="18">
        <v>244</v>
      </c>
      <c r="I571" s="18" t="s">
        <v>622</v>
      </c>
      <c r="J571" s="18" t="s">
        <v>637</v>
      </c>
      <c r="K571" s="18" t="s">
        <v>472</v>
      </c>
    </row>
    <row r="572" spans="1:12" ht="14">
      <c r="A572" s="18" t="s">
        <v>1059</v>
      </c>
      <c r="B572" s="18" t="s">
        <v>1060</v>
      </c>
      <c r="C572" s="9" t="s">
        <v>1061</v>
      </c>
      <c r="D572" s="18" t="s">
        <v>1062</v>
      </c>
      <c r="E572" s="18">
        <v>2008</v>
      </c>
      <c r="F572" s="18">
        <v>210</v>
      </c>
      <c r="G572" s="18">
        <v>174</v>
      </c>
      <c r="H572" s="18">
        <v>248</v>
      </c>
      <c r="I572" s="18" t="s">
        <v>622</v>
      </c>
      <c r="J572" s="18" t="s">
        <v>637</v>
      </c>
      <c r="K572" s="18" t="s">
        <v>472</v>
      </c>
    </row>
    <row r="573" spans="1:12" ht="14">
      <c r="A573" s="18" t="s">
        <v>1059</v>
      </c>
      <c r="B573" s="18" t="s">
        <v>1060</v>
      </c>
      <c r="C573" s="9" t="s">
        <v>1061</v>
      </c>
      <c r="D573" s="18" t="s">
        <v>1062</v>
      </c>
      <c r="E573" s="18">
        <v>2009</v>
      </c>
      <c r="F573" s="18">
        <v>208</v>
      </c>
      <c r="G573" s="18">
        <v>166</v>
      </c>
      <c r="H573" s="18">
        <v>251</v>
      </c>
      <c r="I573" s="18" t="s">
        <v>622</v>
      </c>
      <c r="J573" s="18" t="s">
        <v>637</v>
      </c>
      <c r="K573" s="18" t="s">
        <v>472</v>
      </c>
    </row>
    <row r="574" spans="1:12" ht="14">
      <c r="A574" s="18" t="s">
        <v>1059</v>
      </c>
      <c r="B574" s="18" t="s">
        <v>1060</v>
      </c>
      <c r="C574" s="9" t="s">
        <v>1061</v>
      </c>
      <c r="D574" s="18" t="s">
        <v>1062</v>
      </c>
      <c r="E574" s="18">
        <v>2010</v>
      </c>
      <c r="F574" s="18">
        <v>200</v>
      </c>
      <c r="G574" s="18">
        <v>163</v>
      </c>
      <c r="H574" s="18">
        <v>238</v>
      </c>
      <c r="I574" s="18" t="s">
        <v>622</v>
      </c>
      <c r="J574" s="18" t="s">
        <v>637</v>
      </c>
      <c r="K574" s="18" t="s">
        <v>472</v>
      </c>
    </row>
    <row r="575" spans="1:12" ht="14">
      <c r="A575" s="18" t="s">
        <v>1059</v>
      </c>
      <c r="B575" s="18" t="s">
        <v>1060</v>
      </c>
      <c r="C575" s="9" t="s">
        <v>1061</v>
      </c>
      <c r="D575" s="18" t="s">
        <v>1062</v>
      </c>
      <c r="E575" s="18">
        <v>2011</v>
      </c>
      <c r="F575" s="18">
        <v>205</v>
      </c>
      <c r="G575" s="18">
        <v>174</v>
      </c>
      <c r="H575" s="18">
        <v>238</v>
      </c>
      <c r="I575" s="18" t="s">
        <v>622</v>
      </c>
      <c r="J575" s="18" t="s">
        <v>637</v>
      </c>
      <c r="K575" s="18" t="s">
        <v>472</v>
      </c>
    </row>
    <row r="576" spans="1:12" ht="14">
      <c r="A576" s="18" t="s">
        <v>1059</v>
      </c>
      <c r="B576" s="18" t="s">
        <v>1060</v>
      </c>
      <c r="C576" s="9" t="s">
        <v>1061</v>
      </c>
      <c r="D576" s="18" t="s">
        <v>1062</v>
      </c>
      <c r="E576" s="18">
        <v>2012</v>
      </c>
      <c r="F576" s="18">
        <v>218</v>
      </c>
      <c r="G576" s="18">
        <v>195</v>
      </c>
      <c r="H576" s="18">
        <v>240</v>
      </c>
      <c r="I576" s="18" t="s">
        <v>622</v>
      </c>
      <c r="J576" s="18" t="s">
        <v>637</v>
      </c>
      <c r="K576" s="18" t="s">
        <v>472</v>
      </c>
    </row>
    <row r="577" spans="1:11" ht="14">
      <c r="A577" s="18" t="s">
        <v>1059</v>
      </c>
      <c r="B577" s="18" t="s">
        <v>1060</v>
      </c>
      <c r="C577" s="9" t="s">
        <v>1061</v>
      </c>
      <c r="D577" s="18" t="s">
        <v>1062</v>
      </c>
      <c r="E577" s="18">
        <v>2013</v>
      </c>
      <c r="F577" s="18">
        <v>236</v>
      </c>
      <c r="G577" s="18">
        <v>208</v>
      </c>
      <c r="H577" s="18">
        <v>264</v>
      </c>
      <c r="I577" s="18" t="s">
        <v>622</v>
      </c>
      <c r="J577" s="18" t="s">
        <v>637</v>
      </c>
      <c r="K577" s="18" t="s">
        <v>472</v>
      </c>
    </row>
    <row r="578" spans="1:11" ht="14">
      <c r="A578" s="18" t="s">
        <v>1059</v>
      </c>
      <c r="B578" s="18" t="s">
        <v>1060</v>
      </c>
      <c r="C578" s="9" t="s">
        <v>1061</v>
      </c>
      <c r="D578" s="18" t="s">
        <v>1062</v>
      </c>
      <c r="E578" s="18">
        <v>2014</v>
      </c>
      <c r="F578" s="18">
        <v>238</v>
      </c>
      <c r="G578" s="18">
        <v>200</v>
      </c>
      <c r="H578" s="18">
        <v>276</v>
      </c>
      <c r="I578" s="18" t="s">
        <v>622</v>
      </c>
      <c r="J578" s="18" t="s">
        <v>637</v>
      </c>
      <c r="K578" s="18" t="s">
        <v>472</v>
      </c>
    </row>
    <row r="579" spans="1:11" ht="14">
      <c r="A579" s="18" t="s">
        <v>1059</v>
      </c>
      <c r="B579" s="18" t="s">
        <v>1060</v>
      </c>
      <c r="C579" s="9" t="s">
        <v>1061</v>
      </c>
      <c r="D579" s="18" t="s">
        <v>1062</v>
      </c>
      <c r="E579" s="18">
        <v>2015</v>
      </c>
      <c r="F579" s="18">
        <v>244</v>
      </c>
      <c r="G579" s="18">
        <v>207</v>
      </c>
      <c r="H579" s="18">
        <v>282</v>
      </c>
      <c r="I579" s="18" t="s">
        <v>622</v>
      </c>
      <c r="J579" s="18" t="s">
        <v>637</v>
      </c>
      <c r="K579" s="18" t="s">
        <v>472</v>
      </c>
    </row>
    <row r="580" spans="1:11" ht="14">
      <c r="A580" s="18" t="s">
        <v>1059</v>
      </c>
      <c r="B580" s="18" t="s">
        <v>1064</v>
      </c>
      <c r="C580" s="9" t="s">
        <v>1061</v>
      </c>
      <c r="D580" s="18" t="s">
        <v>1065</v>
      </c>
      <c r="E580" s="18">
        <v>1995</v>
      </c>
      <c r="F580" s="18">
        <v>69</v>
      </c>
      <c r="G580" s="18">
        <v>61</v>
      </c>
      <c r="H580" s="18">
        <v>77</v>
      </c>
      <c r="I580" s="18" t="s">
        <v>622</v>
      </c>
      <c r="J580" s="18" t="s">
        <v>637</v>
      </c>
      <c r="K580" s="18" t="s">
        <v>472</v>
      </c>
    </row>
    <row r="581" spans="1:11" ht="14">
      <c r="A581" s="18" t="s">
        <v>1059</v>
      </c>
      <c r="B581" s="18" t="s">
        <v>1064</v>
      </c>
      <c r="C581" s="9" t="s">
        <v>1061</v>
      </c>
      <c r="D581" s="18" t="s">
        <v>1065</v>
      </c>
      <c r="E581" s="18">
        <v>1996</v>
      </c>
      <c r="F581" s="18">
        <v>71</v>
      </c>
      <c r="G581" s="18">
        <v>64</v>
      </c>
      <c r="H581" s="18">
        <v>78</v>
      </c>
      <c r="I581" s="18" t="s">
        <v>622</v>
      </c>
      <c r="J581" s="18" t="s">
        <v>637</v>
      </c>
      <c r="K581" s="18" t="s">
        <v>472</v>
      </c>
    </row>
    <row r="582" spans="1:11" ht="14">
      <c r="A582" s="18" t="s">
        <v>1059</v>
      </c>
      <c r="B582" s="18" t="s">
        <v>1064</v>
      </c>
      <c r="C582" s="9" t="s">
        <v>1061</v>
      </c>
      <c r="D582" s="18" t="s">
        <v>1065</v>
      </c>
      <c r="E582" s="18">
        <v>1997</v>
      </c>
      <c r="F582" s="18">
        <v>76</v>
      </c>
      <c r="G582" s="18">
        <v>71</v>
      </c>
      <c r="H582" s="18">
        <v>82</v>
      </c>
      <c r="I582" s="18" t="s">
        <v>622</v>
      </c>
      <c r="J582" s="18" t="s">
        <v>637</v>
      </c>
      <c r="K582" s="18" t="s">
        <v>472</v>
      </c>
    </row>
    <row r="583" spans="1:11" ht="14">
      <c r="A583" s="18" t="s">
        <v>1059</v>
      </c>
      <c r="B583" s="18" t="s">
        <v>1064</v>
      </c>
      <c r="C583" s="9" t="s">
        <v>1061</v>
      </c>
      <c r="D583" s="18" t="s">
        <v>1065</v>
      </c>
      <c r="E583" s="18">
        <v>1998</v>
      </c>
      <c r="F583" s="18">
        <v>78</v>
      </c>
      <c r="G583" s="18">
        <v>73</v>
      </c>
      <c r="H583" s="18">
        <v>84</v>
      </c>
      <c r="I583" s="18" t="s">
        <v>622</v>
      </c>
      <c r="J583" s="18" t="s">
        <v>637</v>
      </c>
      <c r="K583" s="18" t="s">
        <v>472</v>
      </c>
    </row>
    <row r="584" spans="1:11" ht="14">
      <c r="A584" s="18" t="s">
        <v>1059</v>
      </c>
      <c r="B584" s="18" t="s">
        <v>1064</v>
      </c>
      <c r="C584" s="9" t="s">
        <v>1061</v>
      </c>
      <c r="D584" s="18" t="s">
        <v>1065</v>
      </c>
      <c r="E584" s="18">
        <v>1999</v>
      </c>
      <c r="F584" s="18">
        <v>88</v>
      </c>
      <c r="G584" s="18">
        <v>83</v>
      </c>
      <c r="H584" s="18">
        <v>92</v>
      </c>
      <c r="I584" s="18" t="s">
        <v>622</v>
      </c>
      <c r="J584" s="18" t="s">
        <v>637</v>
      </c>
      <c r="K584" s="18" t="s">
        <v>472</v>
      </c>
    </row>
    <row r="585" spans="1:11" ht="14">
      <c r="A585" s="18" t="s">
        <v>1059</v>
      </c>
      <c r="B585" s="18" t="s">
        <v>1064</v>
      </c>
      <c r="C585" s="9" t="s">
        <v>1061</v>
      </c>
      <c r="D585" s="18" t="s">
        <v>1065</v>
      </c>
      <c r="E585" s="18">
        <v>2000</v>
      </c>
      <c r="F585" s="18">
        <v>88</v>
      </c>
      <c r="G585" s="18">
        <v>81</v>
      </c>
      <c r="H585" s="18">
        <v>94</v>
      </c>
      <c r="I585" s="18" t="s">
        <v>622</v>
      </c>
      <c r="J585" s="18" t="s">
        <v>637</v>
      </c>
      <c r="K585" s="18" t="s">
        <v>472</v>
      </c>
    </row>
    <row r="586" spans="1:11" ht="14">
      <c r="A586" s="18" t="s">
        <v>1059</v>
      </c>
      <c r="B586" s="18" t="s">
        <v>1064</v>
      </c>
      <c r="C586" s="9" t="s">
        <v>1061</v>
      </c>
      <c r="D586" s="18" t="s">
        <v>1065</v>
      </c>
      <c r="E586" s="18">
        <v>2001</v>
      </c>
      <c r="F586" s="18">
        <v>92</v>
      </c>
      <c r="G586" s="18">
        <v>89</v>
      </c>
      <c r="H586" s="18">
        <v>96</v>
      </c>
      <c r="I586" s="18" t="s">
        <v>622</v>
      </c>
      <c r="J586" s="18" t="s">
        <v>637</v>
      </c>
      <c r="K586" s="18" t="s">
        <v>472</v>
      </c>
    </row>
    <row r="587" spans="1:11" ht="14">
      <c r="A587" s="18" t="s">
        <v>1059</v>
      </c>
      <c r="B587" s="18" t="s">
        <v>1064</v>
      </c>
      <c r="C587" s="9" t="s">
        <v>1061</v>
      </c>
      <c r="D587" s="18" t="s">
        <v>1065</v>
      </c>
      <c r="E587" s="18">
        <v>2002</v>
      </c>
      <c r="F587" s="18">
        <v>97</v>
      </c>
      <c r="G587" s="18">
        <v>94</v>
      </c>
      <c r="H587" s="18">
        <v>101</v>
      </c>
      <c r="I587" s="18" t="s">
        <v>622</v>
      </c>
      <c r="J587" s="18" t="s">
        <v>637</v>
      </c>
      <c r="K587" s="18" t="s">
        <v>472</v>
      </c>
    </row>
    <row r="588" spans="1:11" ht="14">
      <c r="A588" s="18" t="s">
        <v>1059</v>
      </c>
      <c r="B588" s="18" t="s">
        <v>1064</v>
      </c>
      <c r="C588" s="9" t="s">
        <v>1061</v>
      </c>
      <c r="D588" s="18" t="s">
        <v>1065</v>
      </c>
      <c r="E588" s="18">
        <v>2003</v>
      </c>
      <c r="F588" s="18">
        <v>105</v>
      </c>
      <c r="G588" s="18">
        <v>101</v>
      </c>
      <c r="H588" s="18">
        <v>109</v>
      </c>
      <c r="I588" s="18" t="s">
        <v>622</v>
      </c>
      <c r="J588" s="18" t="s">
        <v>637</v>
      </c>
      <c r="K588" s="18" t="s">
        <v>472</v>
      </c>
    </row>
    <row r="589" spans="1:11" ht="14">
      <c r="A589" s="18" t="s">
        <v>1059</v>
      </c>
      <c r="B589" s="18" t="s">
        <v>1064</v>
      </c>
      <c r="C589" s="9" t="s">
        <v>1061</v>
      </c>
      <c r="D589" s="18" t="s">
        <v>1065</v>
      </c>
      <c r="E589" s="18">
        <v>2004</v>
      </c>
      <c r="F589" s="18">
        <v>115</v>
      </c>
      <c r="G589" s="18">
        <v>111</v>
      </c>
      <c r="H589" s="18">
        <v>119</v>
      </c>
      <c r="I589" s="18" t="s">
        <v>622</v>
      </c>
      <c r="J589" s="18" t="s">
        <v>637</v>
      </c>
      <c r="K589" s="18" t="s">
        <v>472</v>
      </c>
    </row>
    <row r="590" spans="1:11" ht="14">
      <c r="A590" s="18" t="s">
        <v>1059</v>
      </c>
      <c r="B590" s="18" t="s">
        <v>1064</v>
      </c>
      <c r="C590" s="9" t="s">
        <v>1061</v>
      </c>
      <c r="D590" s="18" t="s">
        <v>1065</v>
      </c>
      <c r="E590" s="18">
        <v>2005</v>
      </c>
      <c r="F590" s="18">
        <v>120</v>
      </c>
      <c r="G590" s="18">
        <v>116</v>
      </c>
      <c r="H590" s="18">
        <v>125</v>
      </c>
      <c r="I590" s="18" t="s">
        <v>622</v>
      </c>
      <c r="J590" s="18" t="s">
        <v>637</v>
      </c>
      <c r="K590" s="18" t="s">
        <v>472</v>
      </c>
    </row>
    <row r="591" spans="1:11" ht="14">
      <c r="A591" s="18" t="s">
        <v>1059</v>
      </c>
      <c r="B591" s="18" t="s">
        <v>1064</v>
      </c>
      <c r="C591" s="9" t="s">
        <v>1061</v>
      </c>
      <c r="D591" s="18" t="s">
        <v>1065</v>
      </c>
      <c r="E591" s="18">
        <v>2006</v>
      </c>
      <c r="F591" s="18">
        <v>126</v>
      </c>
      <c r="G591" s="18">
        <v>121</v>
      </c>
      <c r="H591" s="18">
        <v>131</v>
      </c>
      <c r="I591" s="18" t="s">
        <v>622</v>
      </c>
      <c r="J591" s="18" t="s">
        <v>637</v>
      </c>
      <c r="K591" s="18" t="s">
        <v>472</v>
      </c>
    </row>
    <row r="592" spans="1:11" ht="14">
      <c r="A592" s="18" t="s">
        <v>1059</v>
      </c>
      <c r="B592" s="18" t="s">
        <v>1064</v>
      </c>
      <c r="C592" s="9" t="s">
        <v>1061</v>
      </c>
      <c r="D592" s="18" t="s">
        <v>1065</v>
      </c>
      <c r="E592" s="18">
        <v>2007</v>
      </c>
      <c r="F592" s="18">
        <v>128</v>
      </c>
      <c r="G592" s="18">
        <v>123</v>
      </c>
      <c r="H592" s="18">
        <v>133</v>
      </c>
      <c r="I592" s="18" t="s">
        <v>622</v>
      </c>
      <c r="J592" s="18" t="s">
        <v>637</v>
      </c>
      <c r="K592" s="18" t="s">
        <v>472</v>
      </c>
    </row>
    <row r="593" spans="1:12" ht="14">
      <c r="A593" s="18" t="s">
        <v>1059</v>
      </c>
      <c r="B593" s="18" t="s">
        <v>1064</v>
      </c>
      <c r="C593" s="9" t="s">
        <v>1061</v>
      </c>
      <c r="D593" s="18" t="s">
        <v>1065</v>
      </c>
      <c r="E593" s="18">
        <v>2008</v>
      </c>
      <c r="F593" s="18">
        <v>129</v>
      </c>
      <c r="G593" s="18">
        <v>123</v>
      </c>
      <c r="H593" s="18">
        <v>134</v>
      </c>
      <c r="I593" s="18" t="s">
        <v>622</v>
      </c>
      <c r="J593" s="18" t="s">
        <v>637</v>
      </c>
      <c r="K593" s="18" t="s">
        <v>472</v>
      </c>
    </row>
    <row r="594" spans="1:12" ht="14">
      <c r="A594" s="18" t="s">
        <v>1059</v>
      </c>
      <c r="B594" s="18" t="s">
        <v>1064</v>
      </c>
      <c r="C594" s="9" t="s">
        <v>1061</v>
      </c>
      <c r="D594" s="18" t="s">
        <v>1065</v>
      </c>
      <c r="E594" s="18">
        <v>2009</v>
      </c>
      <c r="F594" s="18">
        <v>131</v>
      </c>
      <c r="G594" s="18">
        <v>125</v>
      </c>
      <c r="H594" s="18">
        <v>137</v>
      </c>
      <c r="I594" s="18" t="s">
        <v>622</v>
      </c>
      <c r="J594" s="18" t="s">
        <v>637</v>
      </c>
      <c r="K594" s="18" t="s">
        <v>472</v>
      </c>
    </row>
    <row r="595" spans="1:12" ht="14">
      <c r="A595" s="18" t="s">
        <v>1059</v>
      </c>
      <c r="B595" s="18" t="s">
        <v>1064</v>
      </c>
      <c r="C595" s="9" t="s">
        <v>1061</v>
      </c>
      <c r="D595" s="18" t="s">
        <v>1065</v>
      </c>
      <c r="E595" s="18">
        <v>2010</v>
      </c>
      <c r="F595" s="18">
        <v>137</v>
      </c>
      <c r="G595" s="18">
        <v>129</v>
      </c>
      <c r="H595" s="18">
        <v>145</v>
      </c>
      <c r="I595" s="18" t="s">
        <v>622</v>
      </c>
      <c r="J595" s="18" t="s">
        <v>637</v>
      </c>
      <c r="K595" s="18" t="s">
        <v>472</v>
      </c>
    </row>
    <row r="596" spans="1:12" ht="14">
      <c r="A596" s="18" t="s">
        <v>1059</v>
      </c>
      <c r="B596" s="18" t="s">
        <v>1064</v>
      </c>
      <c r="C596" s="9" t="s">
        <v>1061</v>
      </c>
      <c r="D596" s="18" t="s">
        <v>1065</v>
      </c>
      <c r="E596" s="18">
        <v>2011</v>
      </c>
      <c r="F596" s="18">
        <v>141</v>
      </c>
      <c r="G596" s="18">
        <v>134</v>
      </c>
      <c r="H596" s="18">
        <v>148</v>
      </c>
      <c r="I596" s="18" t="s">
        <v>622</v>
      </c>
      <c r="J596" s="18" t="s">
        <v>637</v>
      </c>
      <c r="K596" s="18" t="s">
        <v>472</v>
      </c>
    </row>
    <row r="597" spans="1:12" ht="14">
      <c r="A597" s="18" t="s">
        <v>1059</v>
      </c>
      <c r="B597" s="18" t="s">
        <v>1064</v>
      </c>
      <c r="C597" s="9" t="s">
        <v>1061</v>
      </c>
      <c r="D597" s="18" t="s">
        <v>1065</v>
      </c>
      <c r="E597" s="18">
        <v>2012</v>
      </c>
      <c r="F597" s="18">
        <v>152</v>
      </c>
      <c r="G597" s="18">
        <v>144</v>
      </c>
      <c r="H597" s="18">
        <v>161</v>
      </c>
      <c r="I597" s="18" t="s">
        <v>622</v>
      </c>
      <c r="J597" s="18" t="s">
        <v>637</v>
      </c>
      <c r="K597" s="18" t="s">
        <v>472</v>
      </c>
    </row>
    <row r="598" spans="1:12" ht="14">
      <c r="A598" s="18" t="s">
        <v>1059</v>
      </c>
      <c r="B598" s="18" t="s">
        <v>1064</v>
      </c>
      <c r="C598" s="9" t="s">
        <v>1061</v>
      </c>
      <c r="D598" s="18" t="s">
        <v>1065</v>
      </c>
      <c r="E598" s="18">
        <v>2013</v>
      </c>
      <c r="F598" s="18">
        <v>156</v>
      </c>
      <c r="G598" s="18">
        <v>145</v>
      </c>
      <c r="H598" s="18">
        <v>166</v>
      </c>
      <c r="I598" s="18" t="s">
        <v>622</v>
      </c>
      <c r="J598" s="18" t="s">
        <v>637</v>
      </c>
      <c r="K598" s="18" t="s">
        <v>472</v>
      </c>
    </row>
    <row r="599" spans="1:12" ht="14">
      <c r="A599" s="18" t="s">
        <v>1059</v>
      </c>
      <c r="B599" s="18" t="s">
        <v>1064</v>
      </c>
      <c r="C599" s="9" t="s">
        <v>1061</v>
      </c>
      <c r="D599" s="18" t="s">
        <v>1065</v>
      </c>
      <c r="E599" s="18">
        <v>2014</v>
      </c>
      <c r="F599" s="18">
        <v>164</v>
      </c>
      <c r="G599" s="18">
        <v>152</v>
      </c>
      <c r="H599" s="18">
        <v>177</v>
      </c>
      <c r="I599" s="18" t="s">
        <v>622</v>
      </c>
      <c r="J599" s="18" t="s">
        <v>637</v>
      </c>
      <c r="K599" s="18" t="s">
        <v>472</v>
      </c>
    </row>
    <row r="600" spans="1:12" ht="14">
      <c r="A600" s="18" t="s">
        <v>480</v>
      </c>
      <c r="B600" s="18" t="s">
        <v>479</v>
      </c>
      <c r="C600" s="9" t="s">
        <v>1066</v>
      </c>
      <c r="D600" s="18" t="s">
        <v>1067</v>
      </c>
      <c r="E600" s="18">
        <v>1975</v>
      </c>
      <c r="F600" s="18">
        <v>73</v>
      </c>
      <c r="G600" s="18" t="s">
        <v>402</v>
      </c>
      <c r="H600" s="18" t="s">
        <v>402</v>
      </c>
      <c r="I600" s="18" t="s">
        <v>1068</v>
      </c>
      <c r="J600" s="18" t="s">
        <v>637</v>
      </c>
      <c r="K600" s="18" t="s">
        <v>483</v>
      </c>
      <c r="L600" s="18" t="s">
        <v>1069</v>
      </c>
    </row>
    <row r="601" spans="1:12" ht="14">
      <c r="A601" s="18" t="s">
        <v>480</v>
      </c>
      <c r="B601" s="18" t="s">
        <v>479</v>
      </c>
      <c r="C601" s="9" t="s">
        <v>1066</v>
      </c>
      <c r="D601" s="18" t="s">
        <v>1067</v>
      </c>
      <c r="E601" s="18">
        <v>1976</v>
      </c>
      <c r="F601" s="18">
        <v>76</v>
      </c>
      <c r="G601" s="18" t="s">
        <v>402</v>
      </c>
      <c r="H601" s="18" t="s">
        <v>402</v>
      </c>
      <c r="I601" s="18" t="s">
        <v>1068</v>
      </c>
      <c r="J601" s="18" t="s">
        <v>637</v>
      </c>
      <c r="K601" s="18" t="s">
        <v>483</v>
      </c>
    </row>
    <row r="602" spans="1:12" ht="14">
      <c r="A602" s="18" t="s">
        <v>480</v>
      </c>
      <c r="B602" s="18" t="s">
        <v>479</v>
      </c>
      <c r="C602" s="9" t="s">
        <v>1066</v>
      </c>
      <c r="D602" s="18" t="s">
        <v>1067</v>
      </c>
      <c r="E602" s="18">
        <v>1977</v>
      </c>
      <c r="F602" s="18">
        <v>76</v>
      </c>
      <c r="G602" s="18" t="s">
        <v>402</v>
      </c>
      <c r="H602" s="18" t="s">
        <v>402</v>
      </c>
      <c r="I602" s="18" t="s">
        <v>1068</v>
      </c>
      <c r="J602" s="18" t="s">
        <v>637</v>
      </c>
      <c r="K602" s="18" t="s">
        <v>483</v>
      </c>
    </row>
    <row r="603" spans="1:12" ht="14">
      <c r="A603" s="18" t="s">
        <v>480</v>
      </c>
      <c r="B603" s="18" t="s">
        <v>479</v>
      </c>
      <c r="C603" s="9" t="s">
        <v>1066</v>
      </c>
      <c r="D603" s="18" t="s">
        <v>1067</v>
      </c>
      <c r="E603" s="18">
        <v>1978</v>
      </c>
      <c r="F603" s="18">
        <v>81</v>
      </c>
      <c r="G603" s="18" t="s">
        <v>402</v>
      </c>
      <c r="H603" s="18" t="s">
        <v>402</v>
      </c>
      <c r="I603" s="18" t="s">
        <v>1068</v>
      </c>
      <c r="J603" s="18" t="s">
        <v>637</v>
      </c>
      <c r="K603" s="18" t="s">
        <v>483</v>
      </c>
    </row>
    <row r="604" spans="1:12" ht="14">
      <c r="A604" s="18" t="s">
        <v>480</v>
      </c>
      <c r="B604" s="18" t="s">
        <v>479</v>
      </c>
      <c r="C604" s="9" t="s">
        <v>1066</v>
      </c>
      <c r="D604" s="18" t="s">
        <v>1067</v>
      </c>
      <c r="E604" s="18">
        <v>1979</v>
      </c>
      <c r="F604" s="18">
        <v>85</v>
      </c>
      <c r="G604" s="18" t="s">
        <v>402</v>
      </c>
      <c r="H604" s="18" t="s">
        <v>402</v>
      </c>
      <c r="I604" s="18" t="s">
        <v>1068</v>
      </c>
      <c r="J604" s="18" t="s">
        <v>637</v>
      </c>
      <c r="K604" s="18" t="s">
        <v>483</v>
      </c>
    </row>
    <row r="605" spans="1:12" ht="14">
      <c r="A605" s="18" t="s">
        <v>480</v>
      </c>
      <c r="B605" s="18" t="s">
        <v>479</v>
      </c>
      <c r="C605" s="9" t="s">
        <v>1066</v>
      </c>
      <c r="D605" s="18" t="s">
        <v>1067</v>
      </c>
      <c r="E605" s="18">
        <v>1980</v>
      </c>
      <c r="F605" s="18">
        <v>84</v>
      </c>
      <c r="G605" s="18" t="s">
        <v>402</v>
      </c>
      <c r="H605" s="18" t="s">
        <v>402</v>
      </c>
      <c r="I605" s="18" t="s">
        <v>1068</v>
      </c>
      <c r="J605" s="18" t="s">
        <v>637</v>
      </c>
      <c r="K605" s="18" t="s">
        <v>483</v>
      </c>
    </row>
    <row r="606" spans="1:12" ht="14">
      <c r="A606" s="18" t="s">
        <v>480</v>
      </c>
      <c r="B606" s="18" t="s">
        <v>479</v>
      </c>
      <c r="C606" s="9" t="s">
        <v>1066</v>
      </c>
      <c r="D606" s="18" t="s">
        <v>1067</v>
      </c>
      <c r="E606" s="18">
        <v>1981</v>
      </c>
      <c r="F606" s="18">
        <v>83</v>
      </c>
      <c r="G606" s="18" t="s">
        <v>402</v>
      </c>
      <c r="H606" s="18" t="s">
        <v>402</v>
      </c>
      <c r="I606" s="18" t="s">
        <v>1068</v>
      </c>
      <c r="J606" s="18" t="s">
        <v>637</v>
      </c>
      <c r="K606" s="18" t="s">
        <v>483</v>
      </c>
    </row>
    <row r="607" spans="1:12" ht="14">
      <c r="A607" s="18" t="s">
        <v>480</v>
      </c>
      <c r="B607" s="18" t="s">
        <v>479</v>
      </c>
      <c r="C607" s="9" t="s">
        <v>1066</v>
      </c>
      <c r="D607" s="18" t="s">
        <v>1067</v>
      </c>
      <c r="E607" s="18">
        <v>1982</v>
      </c>
      <c r="F607" s="18">
        <v>84</v>
      </c>
      <c r="G607" s="18" t="s">
        <v>402</v>
      </c>
      <c r="H607" s="18" t="s">
        <v>402</v>
      </c>
      <c r="I607" s="18" t="s">
        <v>1068</v>
      </c>
      <c r="J607" s="18" t="s">
        <v>637</v>
      </c>
      <c r="K607" s="18" t="s">
        <v>483</v>
      </c>
    </row>
    <row r="608" spans="1:12" ht="14">
      <c r="A608" s="18" t="s">
        <v>480</v>
      </c>
      <c r="B608" s="18" t="s">
        <v>479</v>
      </c>
      <c r="C608" s="9" t="s">
        <v>1066</v>
      </c>
      <c r="D608" s="18" t="s">
        <v>1067</v>
      </c>
      <c r="E608" s="18">
        <v>1983</v>
      </c>
      <c r="F608" s="18">
        <v>84</v>
      </c>
      <c r="G608" s="18" t="s">
        <v>402</v>
      </c>
      <c r="H608" s="18" t="s">
        <v>402</v>
      </c>
      <c r="I608" s="18" t="s">
        <v>1068</v>
      </c>
      <c r="J608" s="18" t="s">
        <v>637</v>
      </c>
      <c r="K608" s="18" t="s">
        <v>483</v>
      </c>
    </row>
    <row r="609" spans="1:11" ht="14">
      <c r="A609" s="18" t="s">
        <v>480</v>
      </c>
      <c r="B609" s="18" t="s">
        <v>479</v>
      </c>
      <c r="C609" s="9" t="s">
        <v>1066</v>
      </c>
      <c r="D609" s="18" t="s">
        <v>1067</v>
      </c>
      <c r="E609" s="18">
        <v>1984</v>
      </c>
      <c r="F609" s="18">
        <v>84</v>
      </c>
      <c r="G609" s="18" t="s">
        <v>402</v>
      </c>
      <c r="H609" s="18" t="s">
        <v>402</v>
      </c>
      <c r="I609" s="18" t="s">
        <v>1068</v>
      </c>
      <c r="J609" s="18" t="s">
        <v>637</v>
      </c>
      <c r="K609" s="18" t="s">
        <v>483</v>
      </c>
    </row>
    <row r="610" spans="1:11" ht="14">
      <c r="A610" s="18" t="s">
        <v>480</v>
      </c>
      <c r="B610" s="18" t="s">
        <v>479</v>
      </c>
      <c r="C610" s="9" t="s">
        <v>1066</v>
      </c>
      <c r="D610" s="18" t="s">
        <v>1067</v>
      </c>
      <c r="E610" s="18">
        <v>1985</v>
      </c>
      <c r="F610" s="18">
        <v>85</v>
      </c>
      <c r="G610" s="18" t="s">
        <v>402</v>
      </c>
      <c r="H610" s="18" t="s">
        <v>402</v>
      </c>
      <c r="I610" s="18" t="s">
        <v>1068</v>
      </c>
      <c r="J610" s="18" t="s">
        <v>637</v>
      </c>
      <c r="K610" s="18" t="s">
        <v>483</v>
      </c>
    </row>
    <row r="611" spans="1:11" ht="14">
      <c r="A611" s="18" t="s">
        <v>480</v>
      </c>
      <c r="B611" s="18" t="s">
        <v>479</v>
      </c>
      <c r="C611" s="9" t="s">
        <v>1066</v>
      </c>
      <c r="D611" s="18" t="s">
        <v>1067</v>
      </c>
      <c r="E611" s="18">
        <v>1986</v>
      </c>
      <c r="F611" s="18">
        <v>89</v>
      </c>
      <c r="G611" s="18" t="s">
        <v>402</v>
      </c>
      <c r="H611" s="18" t="s">
        <v>402</v>
      </c>
      <c r="I611" s="18" t="s">
        <v>1068</v>
      </c>
      <c r="J611" s="18" t="s">
        <v>637</v>
      </c>
      <c r="K611" s="18" t="s">
        <v>483</v>
      </c>
    </row>
    <row r="612" spans="1:11" ht="14">
      <c r="A612" s="18" t="s">
        <v>480</v>
      </c>
      <c r="B612" s="18" t="s">
        <v>479</v>
      </c>
      <c r="C612" s="9" t="s">
        <v>1066</v>
      </c>
      <c r="D612" s="18" t="s">
        <v>1067</v>
      </c>
      <c r="E612" s="18">
        <v>1987</v>
      </c>
      <c r="F612" s="18">
        <v>95</v>
      </c>
      <c r="G612" s="18" t="s">
        <v>402</v>
      </c>
      <c r="H612" s="18" t="s">
        <v>402</v>
      </c>
      <c r="I612" s="18" t="s">
        <v>1068</v>
      </c>
      <c r="J612" s="18" t="s">
        <v>637</v>
      </c>
      <c r="K612" s="18" t="s">
        <v>483</v>
      </c>
    </row>
    <row r="613" spans="1:11" ht="14">
      <c r="A613" s="18" t="s">
        <v>480</v>
      </c>
      <c r="B613" s="18" t="s">
        <v>479</v>
      </c>
      <c r="C613" s="9" t="s">
        <v>1066</v>
      </c>
      <c r="D613" s="18" t="s">
        <v>1067</v>
      </c>
      <c r="E613" s="18">
        <v>1988</v>
      </c>
      <c r="F613" s="18">
        <v>104</v>
      </c>
      <c r="G613" s="18" t="s">
        <v>402</v>
      </c>
      <c r="H613" s="18" t="s">
        <v>402</v>
      </c>
      <c r="I613" s="18" t="s">
        <v>1068</v>
      </c>
      <c r="J613" s="18" t="s">
        <v>637</v>
      </c>
      <c r="K613" s="18" t="s">
        <v>483</v>
      </c>
    </row>
    <row r="614" spans="1:11" ht="14">
      <c r="A614" s="18" t="s">
        <v>480</v>
      </c>
      <c r="B614" s="18" t="s">
        <v>479</v>
      </c>
      <c r="C614" s="9" t="s">
        <v>1066</v>
      </c>
      <c r="D614" s="18" t="s">
        <v>1067</v>
      </c>
      <c r="E614" s="18">
        <v>1989</v>
      </c>
      <c r="F614" s="18">
        <v>104</v>
      </c>
      <c r="G614" s="18" t="s">
        <v>402</v>
      </c>
      <c r="H614" s="18" t="s">
        <v>402</v>
      </c>
      <c r="I614" s="18" t="s">
        <v>1068</v>
      </c>
      <c r="J614" s="18" t="s">
        <v>637</v>
      </c>
      <c r="K614" s="18" t="s">
        <v>483</v>
      </c>
    </row>
    <row r="615" spans="1:11" ht="14">
      <c r="A615" s="18" t="s">
        <v>480</v>
      </c>
      <c r="B615" s="18" t="s">
        <v>479</v>
      </c>
      <c r="C615" s="9" t="s">
        <v>1066</v>
      </c>
      <c r="D615" s="18" t="s">
        <v>1067</v>
      </c>
      <c r="E615" s="18">
        <v>1990</v>
      </c>
      <c r="F615" s="18">
        <v>108</v>
      </c>
      <c r="G615" s="18" t="s">
        <v>402</v>
      </c>
      <c r="H615" s="18" t="s">
        <v>402</v>
      </c>
      <c r="I615" s="18" t="s">
        <v>1068</v>
      </c>
      <c r="J615" s="18" t="s">
        <v>637</v>
      </c>
      <c r="K615" s="18" t="s">
        <v>483</v>
      </c>
    </row>
    <row r="616" spans="1:11" ht="14">
      <c r="A616" s="18" t="s">
        <v>480</v>
      </c>
      <c r="B616" s="18" t="s">
        <v>479</v>
      </c>
      <c r="C616" s="9" t="s">
        <v>1066</v>
      </c>
      <c r="D616" s="18" t="s">
        <v>1067</v>
      </c>
      <c r="E616" s="18">
        <v>1991</v>
      </c>
      <c r="F616" s="18">
        <v>108</v>
      </c>
      <c r="G616" s="18" t="s">
        <v>402</v>
      </c>
      <c r="H616" s="18" t="s">
        <v>402</v>
      </c>
      <c r="I616" s="18" t="s">
        <v>1068</v>
      </c>
      <c r="J616" s="18" t="s">
        <v>637</v>
      </c>
      <c r="K616" s="18" t="s">
        <v>483</v>
      </c>
    </row>
    <row r="617" spans="1:11" ht="14">
      <c r="A617" s="18" t="s">
        <v>480</v>
      </c>
      <c r="B617" s="18" t="s">
        <v>479</v>
      </c>
      <c r="C617" s="9" t="s">
        <v>1066</v>
      </c>
      <c r="D617" s="18" t="s">
        <v>1067</v>
      </c>
      <c r="E617" s="18">
        <v>1992</v>
      </c>
      <c r="F617" s="18">
        <v>114</v>
      </c>
      <c r="G617" s="18" t="s">
        <v>402</v>
      </c>
      <c r="H617" s="18" t="s">
        <v>402</v>
      </c>
      <c r="I617" s="18" t="s">
        <v>1068</v>
      </c>
      <c r="J617" s="18" t="s">
        <v>637</v>
      </c>
      <c r="K617" s="18" t="s">
        <v>483</v>
      </c>
    </row>
    <row r="618" spans="1:11" ht="14">
      <c r="A618" s="18" t="s">
        <v>480</v>
      </c>
      <c r="B618" s="18" t="s">
        <v>479</v>
      </c>
      <c r="C618" s="9" t="s">
        <v>1066</v>
      </c>
      <c r="D618" s="18" t="s">
        <v>1067</v>
      </c>
      <c r="E618" s="18">
        <v>1993</v>
      </c>
      <c r="F618" s="18">
        <v>113</v>
      </c>
      <c r="G618" s="18" t="s">
        <v>402</v>
      </c>
      <c r="H618" s="18" t="s">
        <v>402</v>
      </c>
      <c r="I618" s="18" t="s">
        <v>1068</v>
      </c>
      <c r="J618" s="18" t="s">
        <v>637</v>
      </c>
      <c r="K618" s="18" t="s">
        <v>483</v>
      </c>
    </row>
    <row r="619" spans="1:11" ht="14">
      <c r="A619" s="18" t="s">
        <v>480</v>
      </c>
      <c r="B619" s="18" t="s">
        <v>479</v>
      </c>
      <c r="C619" s="9" t="s">
        <v>1066</v>
      </c>
      <c r="D619" s="18" t="s">
        <v>1067</v>
      </c>
      <c r="E619" s="18">
        <v>1994</v>
      </c>
      <c r="F619" s="18">
        <v>114</v>
      </c>
      <c r="G619" s="18" t="s">
        <v>402</v>
      </c>
      <c r="H619" s="18" t="s">
        <v>402</v>
      </c>
      <c r="I619" s="18" t="s">
        <v>1068</v>
      </c>
      <c r="J619" s="18" t="s">
        <v>637</v>
      </c>
      <c r="K619" s="18" t="s">
        <v>483</v>
      </c>
    </row>
    <row r="620" spans="1:11" ht="14">
      <c r="A620" s="18" t="s">
        <v>480</v>
      </c>
      <c r="B620" s="18" t="s">
        <v>479</v>
      </c>
      <c r="C620" s="9" t="s">
        <v>1066</v>
      </c>
      <c r="D620" s="18" t="s">
        <v>1067</v>
      </c>
      <c r="E620" s="18">
        <v>1995</v>
      </c>
      <c r="F620" s="18">
        <v>116</v>
      </c>
      <c r="G620" s="18" t="s">
        <v>402</v>
      </c>
      <c r="H620" s="18" t="s">
        <v>402</v>
      </c>
      <c r="I620" s="18" t="s">
        <v>1068</v>
      </c>
      <c r="J620" s="18" t="s">
        <v>637</v>
      </c>
      <c r="K620" s="18" t="s">
        <v>483</v>
      </c>
    </row>
    <row r="621" spans="1:11" ht="14">
      <c r="A621" s="18" t="s">
        <v>480</v>
      </c>
      <c r="B621" s="18" t="s">
        <v>479</v>
      </c>
      <c r="C621" s="9" t="s">
        <v>1066</v>
      </c>
      <c r="D621" s="18" t="s">
        <v>1067</v>
      </c>
      <c r="E621" s="18">
        <v>1996</v>
      </c>
      <c r="F621" s="18">
        <v>120</v>
      </c>
      <c r="G621" s="18" t="s">
        <v>402</v>
      </c>
      <c r="H621" s="18" t="s">
        <v>402</v>
      </c>
      <c r="I621" s="18" t="s">
        <v>1068</v>
      </c>
      <c r="J621" s="18" t="s">
        <v>637</v>
      </c>
      <c r="K621" s="18" t="s">
        <v>483</v>
      </c>
    </row>
    <row r="622" spans="1:11" ht="14">
      <c r="A622" s="18" t="s">
        <v>480</v>
      </c>
      <c r="B622" s="18" t="s">
        <v>479</v>
      </c>
      <c r="C622" s="9" t="s">
        <v>1066</v>
      </c>
      <c r="D622" s="18" t="s">
        <v>1067</v>
      </c>
      <c r="E622" s="18">
        <v>1997</v>
      </c>
      <c r="F622" s="18">
        <v>119</v>
      </c>
      <c r="G622" s="18" t="s">
        <v>402</v>
      </c>
      <c r="H622" s="18" t="s">
        <v>402</v>
      </c>
      <c r="I622" s="18" t="s">
        <v>1068</v>
      </c>
      <c r="J622" s="18" t="s">
        <v>637</v>
      </c>
      <c r="K622" s="18" t="s">
        <v>483</v>
      </c>
    </row>
    <row r="623" spans="1:11" ht="14">
      <c r="A623" s="18" t="s">
        <v>480</v>
      </c>
      <c r="B623" s="18" t="s">
        <v>479</v>
      </c>
      <c r="C623" s="9" t="s">
        <v>1066</v>
      </c>
      <c r="D623" s="18" t="s">
        <v>1067</v>
      </c>
      <c r="E623" s="18">
        <v>1998</v>
      </c>
      <c r="F623" s="18">
        <v>119</v>
      </c>
      <c r="G623" s="18" t="s">
        <v>402</v>
      </c>
      <c r="H623" s="18" t="s">
        <v>402</v>
      </c>
      <c r="I623" s="18" t="s">
        <v>1068</v>
      </c>
      <c r="J623" s="18" t="s">
        <v>637</v>
      </c>
      <c r="K623" s="18" t="s">
        <v>483</v>
      </c>
    </row>
    <row r="624" spans="1:11" ht="14">
      <c r="A624" s="18" t="s">
        <v>480</v>
      </c>
      <c r="B624" s="18" t="s">
        <v>479</v>
      </c>
      <c r="C624" s="9" t="s">
        <v>1066</v>
      </c>
      <c r="D624" s="18" t="s">
        <v>1067</v>
      </c>
      <c r="E624" s="18">
        <v>1999</v>
      </c>
      <c r="F624" s="18">
        <v>123</v>
      </c>
      <c r="G624" s="18" t="s">
        <v>402</v>
      </c>
      <c r="H624" s="18" t="s">
        <v>402</v>
      </c>
      <c r="I624" s="18" t="s">
        <v>1068</v>
      </c>
      <c r="J624" s="18" t="s">
        <v>637</v>
      </c>
      <c r="K624" s="18" t="s">
        <v>483</v>
      </c>
    </row>
    <row r="625" spans="1:11" ht="14">
      <c r="A625" s="18" t="s">
        <v>480</v>
      </c>
      <c r="B625" s="18" t="s">
        <v>479</v>
      </c>
      <c r="C625" s="9" t="s">
        <v>1066</v>
      </c>
      <c r="D625" s="18" t="s">
        <v>1067</v>
      </c>
      <c r="E625" s="18">
        <v>2000</v>
      </c>
      <c r="F625" s="18">
        <v>113</v>
      </c>
      <c r="G625" s="18" t="s">
        <v>402</v>
      </c>
      <c r="H625" s="18" t="s">
        <v>402</v>
      </c>
      <c r="I625" s="18" t="s">
        <v>1068</v>
      </c>
      <c r="J625" s="18" t="s">
        <v>637</v>
      </c>
      <c r="K625" s="18" t="s">
        <v>483</v>
      </c>
    </row>
    <row r="626" spans="1:11" ht="14">
      <c r="A626" s="18" t="s">
        <v>480</v>
      </c>
      <c r="B626" s="18" t="s">
        <v>479</v>
      </c>
      <c r="C626" s="9" t="s">
        <v>1066</v>
      </c>
      <c r="D626" s="18" t="s">
        <v>1067</v>
      </c>
      <c r="E626" s="18">
        <v>2001</v>
      </c>
      <c r="F626" s="18">
        <v>105</v>
      </c>
      <c r="G626" s="18" t="s">
        <v>402</v>
      </c>
      <c r="H626" s="18" t="s">
        <v>402</v>
      </c>
      <c r="I626" s="18" t="s">
        <v>1068</v>
      </c>
      <c r="J626" s="18" t="s">
        <v>637</v>
      </c>
      <c r="K626" s="18" t="s">
        <v>483</v>
      </c>
    </row>
    <row r="627" spans="1:11" ht="14">
      <c r="A627" s="18" t="s">
        <v>480</v>
      </c>
      <c r="B627" s="18" t="s">
        <v>479</v>
      </c>
      <c r="C627" s="9" t="s">
        <v>1066</v>
      </c>
      <c r="D627" s="18" t="s">
        <v>1067</v>
      </c>
      <c r="E627" s="18">
        <v>2002</v>
      </c>
      <c r="F627" s="18">
        <v>108</v>
      </c>
      <c r="G627" s="18" t="s">
        <v>402</v>
      </c>
      <c r="H627" s="18" t="s">
        <v>402</v>
      </c>
      <c r="I627" s="18" t="s">
        <v>1068</v>
      </c>
      <c r="J627" s="18" t="s">
        <v>637</v>
      </c>
      <c r="K627" s="18" t="s">
        <v>483</v>
      </c>
    </row>
    <row r="628" spans="1:11" ht="14">
      <c r="A628" s="18" t="s">
        <v>480</v>
      </c>
      <c r="B628" s="18" t="s">
        <v>479</v>
      </c>
      <c r="C628" s="9" t="s">
        <v>1066</v>
      </c>
      <c r="D628" s="18" t="s">
        <v>1067</v>
      </c>
      <c r="E628" s="18">
        <v>2003</v>
      </c>
      <c r="F628" s="18">
        <v>110</v>
      </c>
      <c r="G628" s="18" t="s">
        <v>402</v>
      </c>
      <c r="H628" s="18" t="s">
        <v>402</v>
      </c>
      <c r="I628" s="18" t="s">
        <v>1068</v>
      </c>
      <c r="J628" s="18" t="s">
        <v>637</v>
      </c>
      <c r="K628" s="18" t="s">
        <v>483</v>
      </c>
    </row>
    <row r="629" spans="1:11" ht="14">
      <c r="A629" s="18" t="s">
        <v>480</v>
      </c>
      <c r="B629" s="18" t="s">
        <v>479</v>
      </c>
      <c r="C629" s="9" t="s">
        <v>1066</v>
      </c>
      <c r="D629" s="18" t="s">
        <v>1067</v>
      </c>
      <c r="E629" s="18">
        <v>2004</v>
      </c>
      <c r="F629" s="18">
        <v>112</v>
      </c>
      <c r="G629" s="18" t="s">
        <v>402</v>
      </c>
      <c r="H629" s="18" t="s">
        <v>402</v>
      </c>
      <c r="I629" s="18" t="s">
        <v>1068</v>
      </c>
      <c r="J629" s="18" t="s">
        <v>637</v>
      </c>
      <c r="K629" s="18" t="s">
        <v>483</v>
      </c>
    </row>
    <row r="630" spans="1:11" ht="14">
      <c r="A630" s="18" t="s">
        <v>480</v>
      </c>
      <c r="B630" s="18" t="s">
        <v>479</v>
      </c>
      <c r="C630" s="9" t="s">
        <v>1066</v>
      </c>
      <c r="D630" s="18" t="s">
        <v>1067</v>
      </c>
      <c r="E630" s="18">
        <v>2005</v>
      </c>
      <c r="F630" s="18">
        <v>124</v>
      </c>
      <c r="G630" s="18" t="s">
        <v>402</v>
      </c>
      <c r="H630" s="18" t="s">
        <v>402</v>
      </c>
      <c r="I630" s="18" t="s">
        <v>1068</v>
      </c>
      <c r="J630" s="18" t="s">
        <v>637</v>
      </c>
      <c r="K630" s="18" t="s">
        <v>483</v>
      </c>
    </row>
    <row r="631" spans="1:11" ht="14">
      <c r="A631" s="18" t="s">
        <v>480</v>
      </c>
      <c r="B631" s="18" t="s">
        <v>479</v>
      </c>
      <c r="C631" s="9" t="s">
        <v>1066</v>
      </c>
      <c r="D631" s="18" t="s">
        <v>1067</v>
      </c>
      <c r="E631" s="18">
        <v>2006</v>
      </c>
      <c r="F631" s="18">
        <v>127</v>
      </c>
      <c r="G631" s="18" t="s">
        <v>402</v>
      </c>
      <c r="H631" s="18" t="s">
        <v>402</v>
      </c>
      <c r="I631" s="18" t="s">
        <v>1068</v>
      </c>
      <c r="J631" s="18" t="s">
        <v>637</v>
      </c>
      <c r="K631" s="18" t="s">
        <v>483</v>
      </c>
    </row>
    <row r="632" spans="1:11" ht="14">
      <c r="A632" s="18" t="s">
        <v>480</v>
      </c>
      <c r="B632" s="18" t="s">
        <v>479</v>
      </c>
      <c r="C632" s="9" t="s">
        <v>1066</v>
      </c>
      <c r="D632" s="18" t="s">
        <v>1070</v>
      </c>
      <c r="E632" s="18">
        <v>1975</v>
      </c>
      <c r="F632" s="18">
        <v>132</v>
      </c>
      <c r="G632" s="18" t="s">
        <v>402</v>
      </c>
      <c r="H632" s="18" t="s">
        <v>402</v>
      </c>
      <c r="I632" s="18" t="s">
        <v>611</v>
      </c>
      <c r="J632" s="18" t="s">
        <v>637</v>
      </c>
      <c r="K632" s="18" t="s">
        <v>483</v>
      </c>
    </row>
    <row r="633" spans="1:11" ht="14">
      <c r="A633" s="18" t="s">
        <v>480</v>
      </c>
      <c r="B633" s="18" t="s">
        <v>479</v>
      </c>
      <c r="C633" s="9" t="s">
        <v>1066</v>
      </c>
      <c r="D633" s="18" t="s">
        <v>1070</v>
      </c>
      <c r="E633" s="18">
        <v>1975</v>
      </c>
      <c r="F633" s="18">
        <v>132</v>
      </c>
      <c r="G633" s="18" t="s">
        <v>402</v>
      </c>
      <c r="H633" s="18" t="s">
        <v>402</v>
      </c>
      <c r="I633" s="18" t="s">
        <v>611</v>
      </c>
      <c r="J633" s="18" t="s">
        <v>637</v>
      </c>
      <c r="K633" s="18" t="s">
        <v>483</v>
      </c>
    </row>
    <row r="634" spans="1:11" ht="14">
      <c r="A634" s="18" t="s">
        <v>480</v>
      </c>
      <c r="B634" s="18" t="s">
        <v>479</v>
      </c>
      <c r="C634" s="9" t="s">
        <v>1066</v>
      </c>
      <c r="D634" s="18" t="s">
        <v>1070</v>
      </c>
      <c r="E634" s="18">
        <v>1976</v>
      </c>
      <c r="F634" s="18">
        <v>132</v>
      </c>
      <c r="G634" s="18" t="s">
        <v>402</v>
      </c>
      <c r="H634" s="18" t="s">
        <v>402</v>
      </c>
      <c r="I634" s="18" t="s">
        <v>611</v>
      </c>
      <c r="J634" s="18" t="s">
        <v>637</v>
      </c>
      <c r="K634" s="18" t="s">
        <v>483</v>
      </c>
    </row>
    <row r="635" spans="1:11" ht="14">
      <c r="A635" s="18" t="s">
        <v>480</v>
      </c>
      <c r="B635" s="18" t="s">
        <v>479</v>
      </c>
      <c r="C635" s="9" t="s">
        <v>1066</v>
      </c>
      <c r="D635" s="18" t="s">
        <v>1070</v>
      </c>
      <c r="E635" s="18">
        <v>1977</v>
      </c>
      <c r="F635" s="18">
        <v>135</v>
      </c>
      <c r="G635" s="18" t="s">
        <v>402</v>
      </c>
      <c r="H635" s="18" t="s">
        <v>402</v>
      </c>
      <c r="I635" s="18" t="s">
        <v>611</v>
      </c>
      <c r="J635" s="18" t="s">
        <v>637</v>
      </c>
      <c r="K635" s="18" t="s">
        <v>483</v>
      </c>
    </row>
    <row r="636" spans="1:11" ht="14">
      <c r="A636" s="18" t="s">
        <v>480</v>
      </c>
      <c r="B636" s="18" t="s">
        <v>479</v>
      </c>
      <c r="C636" s="9" t="s">
        <v>1066</v>
      </c>
      <c r="D636" s="18" t="s">
        <v>1070</v>
      </c>
      <c r="E636" s="18">
        <v>1978</v>
      </c>
      <c r="F636" s="18">
        <v>137</v>
      </c>
      <c r="G636" s="18" t="s">
        <v>402</v>
      </c>
      <c r="H636" s="18" t="s">
        <v>402</v>
      </c>
      <c r="I636" s="18" t="s">
        <v>611</v>
      </c>
      <c r="J636" s="18" t="s">
        <v>637</v>
      </c>
      <c r="K636" s="18" t="s">
        <v>483</v>
      </c>
    </row>
    <row r="637" spans="1:11" ht="14">
      <c r="A637" s="18" t="s">
        <v>480</v>
      </c>
      <c r="B637" s="18" t="s">
        <v>479</v>
      </c>
      <c r="C637" s="9" t="s">
        <v>1066</v>
      </c>
      <c r="D637" s="18" t="s">
        <v>1070</v>
      </c>
      <c r="E637" s="18">
        <v>1979</v>
      </c>
      <c r="F637" s="18">
        <v>141</v>
      </c>
      <c r="G637" s="18" t="s">
        <v>402</v>
      </c>
      <c r="H637" s="18" t="s">
        <v>402</v>
      </c>
      <c r="I637" s="18" t="s">
        <v>611</v>
      </c>
      <c r="J637" s="18" t="s">
        <v>637</v>
      </c>
      <c r="K637" s="18" t="s">
        <v>483</v>
      </c>
    </row>
    <row r="638" spans="1:11" ht="14">
      <c r="A638" s="18" t="s">
        <v>480</v>
      </c>
      <c r="B638" s="18" t="s">
        <v>479</v>
      </c>
      <c r="C638" s="9" t="s">
        <v>1066</v>
      </c>
      <c r="D638" s="18" t="s">
        <v>1070</v>
      </c>
      <c r="E638" s="18">
        <v>1980</v>
      </c>
      <c r="F638" s="18">
        <v>147</v>
      </c>
      <c r="G638" s="18" t="s">
        <v>402</v>
      </c>
      <c r="H638" s="18" t="s">
        <v>402</v>
      </c>
      <c r="I638" s="18" t="s">
        <v>611</v>
      </c>
      <c r="J638" s="18" t="s">
        <v>637</v>
      </c>
      <c r="K638" s="18" t="s">
        <v>483</v>
      </c>
    </row>
    <row r="639" spans="1:11" ht="14">
      <c r="A639" s="18" t="s">
        <v>480</v>
      </c>
      <c r="B639" s="18" t="s">
        <v>479</v>
      </c>
      <c r="C639" s="9" t="s">
        <v>1066</v>
      </c>
      <c r="D639" s="18" t="s">
        <v>1070</v>
      </c>
      <c r="E639" s="18">
        <v>1981</v>
      </c>
      <c r="F639" s="18">
        <v>150</v>
      </c>
      <c r="G639" s="18" t="s">
        <v>402</v>
      </c>
      <c r="H639" s="18" t="s">
        <v>402</v>
      </c>
      <c r="I639" s="18" t="s">
        <v>611</v>
      </c>
      <c r="J639" s="18" t="s">
        <v>637</v>
      </c>
      <c r="K639" s="18" t="s">
        <v>483</v>
      </c>
    </row>
    <row r="640" spans="1:11" ht="14">
      <c r="A640" s="18" t="s">
        <v>480</v>
      </c>
      <c r="B640" s="18" t="s">
        <v>479</v>
      </c>
      <c r="C640" s="9" t="s">
        <v>1066</v>
      </c>
      <c r="D640" s="18" t="s">
        <v>1070</v>
      </c>
      <c r="E640" s="18">
        <v>1982</v>
      </c>
      <c r="F640" s="18">
        <v>151</v>
      </c>
      <c r="G640" s="18" t="s">
        <v>402</v>
      </c>
      <c r="H640" s="18" t="s">
        <v>402</v>
      </c>
      <c r="I640" s="18" t="s">
        <v>611</v>
      </c>
      <c r="J640" s="18" t="s">
        <v>637</v>
      </c>
      <c r="K640" s="18" t="s">
        <v>483</v>
      </c>
    </row>
    <row r="641" spans="1:11" ht="14">
      <c r="A641" s="18" t="s">
        <v>480</v>
      </c>
      <c r="B641" s="18" t="s">
        <v>479</v>
      </c>
      <c r="C641" s="9" t="s">
        <v>1066</v>
      </c>
      <c r="D641" s="18" t="s">
        <v>1070</v>
      </c>
      <c r="E641" s="18">
        <v>1983</v>
      </c>
      <c r="F641" s="18">
        <v>155</v>
      </c>
      <c r="G641" s="18" t="s">
        <v>402</v>
      </c>
      <c r="H641" s="18" t="s">
        <v>402</v>
      </c>
      <c r="I641" s="18" t="s">
        <v>611</v>
      </c>
      <c r="J641" s="18" t="s">
        <v>637</v>
      </c>
      <c r="K641" s="18" t="s">
        <v>483</v>
      </c>
    </row>
    <row r="642" spans="1:11" ht="14">
      <c r="A642" s="18" t="s">
        <v>480</v>
      </c>
      <c r="B642" s="18" t="s">
        <v>479</v>
      </c>
      <c r="C642" s="9" t="s">
        <v>1066</v>
      </c>
      <c r="D642" s="18" t="s">
        <v>1070</v>
      </c>
      <c r="E642" s="18">
        <v>1984</v>
      </c>
      <c r="F642" s="18">
        <v>157</v>
      </c>
      <c r="G642" s="18" t="s">
        <v>402</v>
      </c>
      <c r="H642" s="18" t="s">
        <v>402</v>
      </c>
      <c r="I642" s="18" t="s">
        <v>611</v>
      </c>
      <c r="J642" s="18" t="s">
        <v>637</v>
      </c>
      <c r="K642" s="18" t="s">
        <v>483</v>
      </c>
    </row>
    <row r="643" spans="1:11" ht="14">
      <c r="A643" s="18" t="s">
        <v>480</v>
      </c>
      <c r="B643" s="18" t="s">
        <v>479</v>
      </c>
      <c r="C643" s="9" t="s">
        <v>1066</v>
      </c>
      <c r="D643" s="18" t="s">
        <v>1070</v>
      </c>
      <c r="E643" s="18">
        <v>1985</v>
      </c>
      <c r="F643" s="18">
        <v>164</v>
      </c>
      <c r="G643" s="18" t="s">
        <v>402</v>
      </c>
      <c r="H643" s="18" t="s">
        <v>402</v>
      </c>
      <c r="I643" s="18" t="s">
        <v>611</v>
      </c>
      <c r="J643" s="18" t="s">
        <v>637</v>
      </c>
      <c r="K643" s="18" t="s">
        <v>483</v>
      </c>
    </row>
    <row r="644" spans="1:11" ht="14">
      <c r="A644" s="18" t="s">
        <v>480</v>
      </c>
      <c r="B644" s="18" t="s">
        <v>479</v>
      </c>
      <c r="C644" s="9" t="s">
        <v>1066</v>
      </c>
      <c r="D644" s="18" t="s">
        <v>1070</v>
      </c>
      <c r="E644" s="18">
        <v>1986</v>
      </c>
      <c r="F644" s="18">
        <v>171</v>
      </c>
      <c r="G644" s="18" t="s">
        <v>402</v>
      </c>
      <c r="H644" s="18" t="s">
        <v>402</v>
      </c>
      <c r="I644" s="18" t="s">
        <v>611</v>
      </c>
      <c r="J644" s="18" t="s">
        <v>637</v>
      </c>
      <c r="K644" s="18" t="s">
        <v>483</v>
      </c>
    </row>
    <row r="645" spans="1:11" ht="14">
      <c r="A645" s="18" t="s">
        <v>480</v>
      </c>
      <c r="B645" s="18" t="s">
        <v>479</v>
      </c>
      <c r="C645" s="9" t="s">
        <v>1066</v>
      </c>
      <c r="D645" s="18" t="s">
        <v>1070</v>
      </c>
      <c r="E645" s="18">
        <v>1987</v>
      </c>
      <c r="F645" s="18">
        <v>177</v>
      </c>
      <c r="G645" s="18" t="s">
        <v>402</v>
      </c>
      <c r="H645" s="18" t="s">
        <v>402</v>
      </c>
      <c r="I645" s="18" t="s">
        <v>611</v>
      </c>
      <c r="J645" s="18" t="s">
        <v>637</v>
      </c>
      <c r="K645" s="18" t="s">
        <v>483</v>
      </c>
    </row>
    <row r="646" spans="1:11" ht="14">
      <c r="A646" s="18" t="s">
        <v>480</v>
      </c>
      <c r="B646" s="18" t="s">
        <v>479</v>
      </c>
      <c r="C646" s="9" t="s">
        <v>1066</v>
      </c>
      <c r="D646" s="18" t="s">
        <v>1070</v>
      </c>
      <c r="E646" s="18">
        <v>1988</v>
      </c>
      <c r="F646" s="18">
        <v>180</v>
      </c>
      <c r="G646" s="18" t="s">
        <v>402</v>
      </c>
      <c r="H646" s="18" t="s">
        <v>402</v>
      </c>
      <c r="I646" s="18" t="s">
        <v>611</v>
      </c>
      <c r="J646" s="18" t="s">
        <v>637</v>
      </c>
      <c r="K646" s="18" t="s">
        <v>483</v>
      </c>
    </row>
    <row r="647" spans="1:11" ht="14">
      <c r="A647" s="18" t="s">
        <v>480</v>
      </c>
      <c r="B647" s="18" t="s">
        <v>479</v>
      </c>
      <c r="C647" s="9" t="s">
        <v>1066</v>
      </c>
      <c r="D647" s="18" t="s">
        <v>1070</v>
      </c>
      <c r="E647" s="18">
        <v>1989</v>
      </c>
      <c r="F647" s="18">
        <v>188</v>
      </c>
      <c r="G647" s="18" t="s">
        <v>402</v>
      </c>
      <c r="H647" s="18" t="s">
        <v>402</v>
      </c>
      <c r="I647" s="18" t="s">
        <v>611</v>
      </c>
      <c r="J647" s="18" t="s">
        <v>637</v>
      </c>
      <c r="K647" s="18" t="s">
        <v>483</v>
      </c>
    </row>
    <row r="648" spans="1:11" ht="14">
      <c r="A648" s="18" t="s">
        <v>480</v>
      </c>
      <c r="B648" s="18" t="s">
        <v>479</v>
      </c>
      <c r="C648" s="9" t="s">
        <v>1066</v>
      </c>
      <c r="D648" s="18" t="s">
        <v>1070</v>
      </c>
      <c r="E648" s="18">
        <v>1990</v>
      </c>
      <c r="F648" s="18">
        <v>195</v>
      </c>
      <c r="G648" s="18" t="s">
        <v>402</v>
      </c>
      <c r="H648" s="18" t="s">
        <v>402</v>
      </c>
      <c r="I648" s="18" t="s">
        <v>611</v>
      </c>
      <c r="J648" s="18" t="s">
        <v>637</v>
      </c>
      <c r="K648" s="18" t="s">
        <v>483</v>
      </c>
    </row>
    <row r="649" spans="1:11" ht="14">
      <c r="A649" s="18" t="s">
        <v>480</v>
      </c>
      <c r="B649" s="18" t="s">
        <v>479</v>
      </c>
      <c r="C649" s="9" t="s">
        <v>1066</v>
      </c>
      <c r="D649" s="18" t="s">
        <v>1070</v>
      </c>
      <c r="E649" s="18">
        <v>1991</v>
      </c>
      <c r="F649" s="18">
        <v>202</v>
      </c>
      <c r="G649" s="18" t="s">
        <v>402</v>
      </c>
      <c r="H649" s="18" t="s">
        <v>402</v>
      </c>
      <c r="I649" s="18" t="s">
        <v>611</v>
      </c>
      <c r="J649" s="18" t="s">
        <v>637</v>
      </c>
      <c r="K649" s="18" t="s">
        <v>483</v>
      </c>
    </row>
    <row r="650" spans="1:11" ht="14">
      <c r="A650" s="18" t="s">
        <v>480</v>
      </c>
      <c r="B650" s="18" t="s">
        <v>479</v>
      </c>
      <c r="C650" s="9" t="s">
        <v>1066</v>
      </c>
      <c r="D650" s="18" t="s">
        <v>1070</v>
      </c>
      <c r="E650" s="18">
        <v>1992</v>
      </c>
      <c r="F650" s="18">
        <v>199</v>
      </c>
      <c r="G650" s="18" t="s">
        <v>402</v>
      </c>
      <c r="H650" s="18" t="s">
        <v>402</v>
      </c>
      <c r="I650" s="18" t="s">
        <v>611</v>
      </c>
      <c r="J650" s="18" t="s">
        <v>637</v>
      </c>
      <c r="K650" s="18" t="s">
        <v>483</v>
      </c>
    </row>
    <row r="651" spans="1:11" ht="14">
      <c r="A651" s="18" t="s">
        <v>480</v>
      </c>
      <c r="B651" s="18" t="s">
        <v>479</v>
      </c>
      <c r="C651" s="9" t="s">
        <v>1066</v>
      </c>
      <c r="D651" s="18" t="s">
        <v>1070</v>
      </c>
      <c r="E651" s="18">
        <v>1993</v>
      </c>
      <c r="F651" s="18">
        <v>197</v>
      </c>
      <c r="G651" s="18" t="s">
        <v>402</v>
      </c>
      <c r="H651" s="18" t="s">
        <v>402</v>
      </c>
      <c r="I651" s="18" t="s">
        <v>611</v>
      </c>
      <c r="J651" s="18" t="s">
        <v>637</v>
      </c>
      <c r="K651" s="18" t="s">
        <v>483</v>
      </c>
    </row>
    <row r="652" spans="1:11" ht="14">
      <c r="A652" s="18" t="s">
        <v>480</v>
      </c>
      <c r="B652" s="18" t="s">
        <v>479</v>
      </c>
      <c r="C652" s="9" t="s">
        <v>1066</v>
      </c>
      <c r="D652" s="18" t="s">
        <v>1070</v>
      </c>
      <c r="E652" s="18">
        <v>1994</v>
      </c>
      <c r="F652" s="18">
        <v>202</v>
      </c>
      <c r="G652" s="18" t="s">
        <v>402</v>
      </c>
      <c r="H652" s="18" t="s">
        <v>402</v>
      </c>
      <c r="I652" s="18" t="s">
        <v>611</v>
      </c>
      <c r="J652" s="18" t="s">
        <v>637</v>
      </c>
      <c r="K652" s="18" t="s">
        <v>483</v>
      </c>
    </row>
    <row r="653" spans="1:11" ht="14">
      <c r="A653" s="18" t="s">
        <v>480</v>
      </c>
      <c r="B653" s="18" t="s">
        <v>479</v>
      </c>
      <c r="C653" s="9" t="s">
        <v>1066</v>
      </c>
      <c r="D653" s="18" t="s">
        <v>1070</v>
      </c>
      <c r="E653" s="18">
        <v>1995</v>
      </c>
      <c r="F653" s="18">
        <v>206</v>
      </c>
      <c r="G653" s="18" t="s">
        <v>402</v>
      </c>
      <c r="H653" s="18" t="s">
        <v>402</v>
      </c>
      <c r="I653" s="18" t="s">
        <v>611</v>
      </c>
      <c r="J653" s="18" t="s">
        <v>637</v>
      </c>
      <c r="K653" s="18" t="s">
        <v>483</v>
      </c>
    </row>
    <row r="654" spans="1:11" ht="14">
      <c r="A654" s="18" t="s">
        <v>480</v>
      </c>
      <c r="B654" s="18" t="s">
        <v>479</v>
      </c>
      <c r="C654" s="9" t="s">
        <v>1066</v>
      </c>
      <c r="D654" s="18" t="s">
        <v>1070</v>
      </c>
      <c r="E654" s="18">
        <v>1996</v>
      </c>
      <c r="F654" s="18">
        <v>212</v>
      </c>
      <c r="G654" s="18" t="s">
        <v>402</v>
      </c>
      <c r="H654" s="18" t="s">
        <v>402</v>
      </c>
      <c r="I654" s="18" t="s">
        <v>611</v>
      </c>
      <c r="J654" s="18" t="s">
        <v>637</v>
      </c>
      <c r="K654" s="18" t="s">
        <v>483</v>
      </c>
    </row>
    <row r="655" spans="1:11" ht="14">
      <c r="A655" s="18" t="s">
        <v>480</v>
      </c>
      <c r="B655" s="18" t="s">
        <v>479</v>
      </c>
      <c r="C655" s="9" t="s">
        <v>1066</v>
      </c>
      <c r="D655" s="18" t="s">
        <v>1070</v>
      </c>
      <c r="E655" s="18">
        <v>1997</v>
      </c>
      <c r="F655" s="18">
        <v>221</v>
      </c>
      <c r="G655" s="18" t="s">
        <v>402</v>
      </c>
      <c r="H655" s="18" t="s">
        <v>402</v>
      </c>
      <c r="I655" s="18" t="s">
        <v>611</v>
      </c>
      <c r="J655" s="18" t="s">
        <v>637</v>
      </c>
      <c r="K655" s="18" t="s">
        <v>483</v>
      </c>
    </row>
    <row r="656" spans="1:11" ht="14">
      <c r="A656" s="18" t="s">
        <v>480</v>
      </c>
      <c r="B656" s="18" t="s">
        <v>479</v>
      </c>
      <c r="C656" s="9" t="s">
        <v>1066</v>
      </c>
      <c r="D656" s="18" t="s">
        <v>1070</v>
      </c>
      <c r="E656" s="18">
        <v>1998</v>
      </c>
      <c r="F656" s="18">
        <v>217</v>
      </c>
      <c r="G656" s="18" t="s">
        <v>402</v>
      </c>
      <c r="H656" s="18" t="s">
        <v>402</v>
      </c>
      <c r="I656" s="18" t="s">
        <v>611</v>
      </c>
      <c r="J656" s="18" t="s">
        <v>637</v>
      </c>
      <c r="K656" s="18" t="s">
        <v>483</v>
      </c>
    </row>
    <row r="657" spans="1:11" ht="14">
      <c r="A657" s="18" t="s">
        <v>480</v>
      </c>
      <c r="B657" s="18" t="s">
        <v>479</v>
      </c>
      <c r="C657" s="9" t="s">
        <v>1066</v>
      </c>
      <c r="D657" s="18" t="s">
        <v>1070</v>
      </c>
      <c r="E657" s="18">
        <v>1999</v>
      </c>
      <c r="F657" s="18">
        <v>218</v>
      </c>
      <c r="G657" s="18" t="s">
        <v>402</v>
      </c>
      <c r="H657" s="18" t="s">
        <v>402</v>
      </c>
      <c r="I657" s="18" t="s">
        <v>611</v>
      </c>
      <c r="J657" s="18" t="s">
        <v>637</v>
      </c>
      <c r="K657" s="18" t="s">
        <v>483</v>
      </c>
    </row>
    <row r="658" spans="1:11" ht="14">
      <c r="A658" s="18" t="s">
        <v>480</v>
      </c>
      <c r="B658" s="18" t="s">
        <v>479</v>
      </c>
      <c r="C658" s="9" t="s">
        <v>1066</v>
      </c>
      <c r="D658" s="18" t="s">
        <v>1070</v>
      </c>
      <c r="E658" s="18">
        <v>2000</v>
      </c>
      <c r="F658" s="18">
        <v>210</v>
      </c>
      <c r="G658" s="18" t="s">
        <v>402</v>
      </c>
      <c r="H658" s="18" t="s">
        <v>402</v>
      </c>
      <c r="I658" s="18" t="s">
        <v>611</v>
      </c>
      <c r="J658" s="18" t="s">
        <v>637</v>
      </c>
      <c r="K658" s="18" t="s">
        <v>483</v>
      </c>
    </row>
    <row r="659" spans="1:11" ht="14">
      <c r="A659" s="18" t="s">
        <v>480</v>
      </c>
      <c r="B659" s="18" t="s">
        <v>479</v>
      </c>
      <c r="C659" s="9" t="s">
        <v>1066</v>
      </c>
      <c r="D659" s="18" t="s">
        <v>1070</v>
      </c>
      <c r="E659" s="18">
        <v>2001</v>
      </c>
      <c r="F659" s="18">
        <v>201</v>
      </c>
      <c r="G659" s="18" t="s">
        <v>402</v>
      </c>
      <c r="H659" s="18" t="s">
        <v>402</v>
      </c>
      <c r="I659" s="18" t="s">
        <v>611</v>
      </c>
      <c r="J659" s="18" t="s">
        <v>637</v>
      </c>
      <c r="K659" s="18" t="s">
        <v>483</v>
      </c>
    </row>
    <row r="660" spans="1:11" ht="14">
      <c r="A660" s="18" t="s">
        <v>480</v>
      </c>
      <c r="B660" s="18" t="s">
        <v>479</v>
      </c>
      <c r="C660" s="9" t="s">
        <v>1066</v>
      </c>
      <c r="D660" s="18" t="s">
        <v>1070</v>
      </c>
      <c r="E660" s="18">
        <v>2002</v>
      </c>
      <c r="F660" s="18">
        <v>205</v>
      </c>
      <c r="G660" s="18" t="s">
        <v>402</v>
      </c>
      <c r="H660" s="18" t="s">
        <v>402</v>
      </c>
      <c r="I660" s="18" t="s">
        <v>611</v>
      </c>
      <c r="J660" s="18" t="s">
        <v>637</v>
      </c>
      <c r="K660" s="18" t="s">
        <v>483</v>
      </c>
    </row>
    <row r="661" spans="1:11" ht="14">
      <c r="A661" s="18" t="s">
        <v>480</v>
      </c>
      <c r="B661" s="18" t="s">
        <v>479</v>
      </c>
      <c r="C661" s="9" t="s">
        <v>1066</v>
      </c>
      <c r="D661" s="18" t="s">
        <v>1070</v>
      </c>
      <c r="E661" s="18">
        <v>2003</v>
      </c>
      <c r="F661" s="18">
        <v>206</v>
      </c>
      <c r="G661" s="18" t="s">
        <v>402</v>
      </c>
      <c r="H661" s="18" t="s">
        <v>402</v>
      </c>
      <c r="I661" s="18" t="s">
        <v>611</v>
      </c>
      <c r="J661" s="18" t="s">
        <v>637</v>
      </c>
      <c r="K661" s="18" t="s">
        <v>483</v>
      </c>
    </row>
    <row r="662" spans="1:11" ht="14">
      <c r="A662" s="18" t="s">
        <v>480</v>
      </c>
      <c r="B662" s="18" t="s">
        <v>479</v>
      </c>
      <c r="C662" s="9" t="s">
        <v>1066</v>
      </c>
      <c r="D662" s="18" t="s">
        <v>1070</v>
      </c>
      <c r="E662" s="18">
        <v>2004</v>
      </c>
      <c r="F662" s="18">
        <v>224</v>
      </c>
      <c r="G662" s="18" t="s">
        <v>402</v>
      </c>
      <c r="H662" s="18" t="s">
        <v>402</v>
      </c>
      <c r="I662" s="18" t="s">
        <v>611</v>
      </c>
      <c r="J662" s="18" t="s">
        <v>637</v>
      </c>
      <c r="K662" s="18" t="s">
        <v>483</v>
      </c>
    </row>
    <row r="663" spans="1:11" ht="14">
      <c r="A663" s="18" t="s">
        <v>480</v>
      </c>
      <c r="B663" s="18" t="s">
        <v>479</v>
      </c>
      <c r="C663" s="9" t="s">
        <v>1066</v>
      </c>
      <c r="D663" s="18" t="s">
        <v>1070</v>
      </c>
      <c r="E663" s="18">
        <v>2005</v>
      </c>
      <c r="F663" s="18">
        <v>236</v>
      </c>
      <c r="G663" s="18" t="s">
        <v>402</v>
      </c>
      <c r="H663" s="18" t="s">
        <v>402</v>
      </c>
      <c r="I663" s="18" t="s">
        <v>611</v>
      </c>
      <c r="J663" s="18" t="s">
        <v>637</v>
      </c>
      <c r="K663" s="18" t="s">
        <v>483</v>
      </c>
    </row>
    <row r="664" spans="1:11" ht="14">
      <c r="A664" s="18" t="s">
        <v>480</v>
      </c>
      <c r="B664" s="18" t="s">
        <v>479</v>
      </c>
      <c r="C664" s="9" t="s">
        <v>1066</v>
      </c>
      <c r="D664" s="18" t="s">
        <v>1070</v>
      </c>
      <c r="E664" s="18">
        <v>2006</v>
      </c>
      <c r="F664" s="18">
        <v>245</v>
      </c>
      <c r="G664" s="18" t="s">
        <v>402</v>
      </c>
      <c r="H664" s="18" t="s">
        <v>402</v>
      </c>
      <c r="I664" s="18" t="s">
        <v>611</v>
      </c>
      <c r="J664" s="18" t="s">
        <v>637</v>
      </c>
      <c r="K664" s="18" t="s">
        <v>483</v>
      </c>
    </row>
    <row r="665" spans="1:11" ht="14">
      <c r="A665" s="18" t="s">
        <v>480</v>
      </c>
      <c r="B665" s="18" t="s">
        <v>479</v>
      </c>
      <c r="C665" s="9" t="s">
        <v>1071</v>
      </c>
      <c r="D665" s="18" t="s">
        <v>1070</v>
      </c>
      <c r="E665" s="18">
        <v>1974</v>
      </c>
      <c r="F665" s="18">
        <v>50</v>
      </c>
      <c r="G665" s="18" t="s">
        <v>402</v>
      </c>
      <c r="H665" s="18" t="s">
        <v>402</v>
      </c>
      <c r="I665" s="18" t="s">
        <v>1068</v>
      </c>
      <c r="J665" s="18" t="s">
        <v>637</v>
      </c>
      <c r="K665" s="18" t="s">
        <v>483</v>
      </c>
    </row>
    <row r="666" spans="1:11" ht="14">
      <c r="A666" s="18" t="s">
        <v>480</v>
      </c>
      <c r="B666" s="18" t="s">
        <v>479</v>
      </c>
      <c r="C666" s="9" t="s">
        <v>1071</v>
      </c>
      <c r="D666" s="18" t="s">
        <v>1070</v>
      </c>
      <c r="E666" s="18">
        <v>1975</v>
      </c>
      <c r="F666" s="18">
        <v>49</v>
      </c>
      <c r="G666" s="18" t="s">
        <v>402</v>
      </c>
      <c r="H666" s="18" t="s">
        <v>402</v>
      </c>
      <c r="I666" s="18" t="s">
        <v>1068</v>
      </c>
      <c r="J666" s="18" t="s">
        <v>637</v>
      </c>
      <c r="K666" s="18" t="s">
        <v>483</v>
      </c>
    </row>
    <row r="667" spans="1:11" ht="14">
      <c r="A667" s="18" t="s">
        <v>480</v>
      </c>
      <c r="B667" s="18" t="s">
        <v>479</v>
      </c>
      <c r="C667" s="9" t="s">
        <v>1071</v>
      </c>
      <c r="D667" s="18" t="s">
        <v>1070</v>
      </c>
      <c r="E667" s="18">
        <v>1976</v>
      </c>
      <c r="F667" s="18">
        <v>49</v>
      </c>
      <c r="G667" s="18" t="s">
        <v>402</v>
      </c>
      <c r="H667" s="18" t="s">
        <v>402</v>
      </c>
      <c r="I667" s="18" t="s">
        <v>1068</v>
      </c>
      <c r="J667" s="18" t="s">
        <v>637</v>
      </c>
      <c r="K667" s="18" t="s">
        <v>483</v>
      </c>
    </row>
    <row r="668" spans="1:11" ht="14">
      <c r="A668" s="18" t="s">
        <v>480</v>
      </c>
      <c r="B668" s="18" t="s">
        <v>479</v>
      </c>
      <c r="C668" s="9" t="s">
        <v>1071</v>
      </c>
      <c r="D668" s="18" t="s">
        <v>1070</v>
      </c>
      <c r="E668" s="18">
        <v>1977</v>
      </c>
      <c r="F668" s="18">
        <v>50</v>
      </c>
      <c r="G668" s="18" t="s">
        <v>402</v>
      </c>
      <c r="H668" s="18" t="s">
        <v>402</v>
      </c>
      <c r="I668" s="18" t="s">
        <v>1068</v>
      </c>
      <c r="J668" s="18" t="s">
        <v>637</v>
      </c>
      <c r="K668" s="18" t="s">
        <v>483</v>
      </c>
    </row>
    <row r="669" spans="1:11" ht="14">
      <c r="A669" s="18" t="s">
        <v>480</v>
      </c>
      <c r="B669" s="18" t="s">
        <v>479</v>
      </c>
      <c r="C669" s="9" t="s">
        <v>1071</v>
      </c>
      <c r="D669" s="18" t="s">
        <v>1070</v>
      </c>
      <c r="E669" s="18">
        <v>1978</v>
      </c>
      <c r="F669" s="18">
        <v>50</v>
      </c>
      <c r="G669" s="18" t="s">
        <v>402</v>
      </c>
      <c r="H669" s="18" t="s">
        <v>402</v>
      </c>
      <c r="I669" s="18" t="s">
        <v>1068</v>
      </c>
      <c r="J669" s="18" t="s">
        <v>637</v>
      </c>
      <c r="K669" s="18" t="s">
        <v>483</v>
      </c>
    </row>
    <row r="670" spans="1:11" ht="14">
      <c r="A670" s="18" t="s">
        <v>480</v>
      </c>
      <c r="B670" s="18" t="s">
        <v>479</v>
      </c>
      <c r="C670" s="9" t="s">
        <v>1071</v>
      </c>
      <c r="D670" s="18" t="s">
        <v>1070</v>
      </c>
      <c r="E670" s="18">
        <v>1979</v>
      </c>
      <c r="F670" s="18">
        <v>49</v>
      </c>
      <c r="G670" s="18" t="s">
        <v>402</v>
      </c>
      <c r="H670" s="18" t="s">
        <v>402</v>
      </c>
      <c r="I670" s="18" t="s">
        <v>1068</v>
      </c>
      <c r="J670" s="18" t="s">
        <v>637</v>
      </c>
      <c r="K670" s="18" t="s">
        <v>483</v>
      </c>
    </row>
    <row r="671" spans="1:11" ht="14">
      <c r="A671" s="18" t="s">
        <v>480</v>
      </c>
      <c r="B671" s="18" t="s">
        <v>479</v>
      </c>
      <c r="C671" s="9" t="s">
        <v>1071</v>
      </c>
      <c r="D671" s="18" t="s">
        <v>1070</v>
      </c>
      <c r="E671" s="18">
        <v>1980</v>
      </c>
      <c r="F671" s="18">
        <v>50</v>
      </c>
      <c r="G671" s="18" t="s">
        <v>402</v>
      </c>
      <c r="H671" s="18" t="s">
        <v>402</v>
      </c>
      <c r="I671" s="18" t="s">
        <v>1068</v>
      </c>
      <c r="J671" s="18" t="s">
        <v>637</v>
      </c>
      <c r="K671" s="18" t="s">
        <v>483</v>
      </c>
    </row>
    <row r="672" spans="1:11" ht="14">
      <c r="A672" s="18" t="s">
        <v>480</v>
      </c>
      <c r="B672" s="18" t="s">
        <v>479</v>
      </c>
      <c r="C672" s="9" t="s">
        <v>1071</v>
      </c>
      <c r="D672" s="18" t="s">
        <v>1070</v>
      </c>
      <c r="E672" s="18">
        <v>1981</v>
      </c>
      <c r="F672" s="18">
        <v>50</v>
      </c>
      <c r="G672" s="18" t="s">
        <v>402</v>
      </c>
      <c r="H672" s="18" t="s">
        <v>402</v>
      </c>
      <c r="I672" s="18" t="s">
        <v>1068</v>
      </c>
      <c r="J672" s="18" t="s">
        <v>637</v>
      </c>
      <c r="K672" s="18" t="s">
        <v>483</v>
      </c>
    </row>
    <row r="673" spans="1:11" ht="14">
      <c r="A673" s="18" t="s">
        <v>480</v>
      </c>
      <c r="B673" s="18" t="s">
        <v>479</v>
      </c>
      <c r="C673" s="9" t="s">
        <v>1071</v>
      </c>
      <c r="D673" s="18" t="s">
        <v>1070</v>
      </c>
      <c r="E673" s="18">
        <v>1982</v>
      </c>
      <c r="F673" s="18">
        <v>50</v>
      </c>
      <c r="G673" s="18" t="s">
        <v>402</v>
      </c>
      <c r="H673" s="18" t="s">
        <v>402</v>
      </c>
      <c r="I673" s="18" t="s">
        <v>1068</v>
      </c>
      <c r="J673" s="18" t="s">
        <v>637</v>
      </c>
      <c r="K673" s="18" t="s">
        <v>483</v>
      </c>
    </row>
    <row r="674" spans="1:11" ht="14">
      <c r="A674" s="18" t="s">
        <v>480</v>
      </c>
      <c r="B674" s="18" t="s">
        <v>479</v>
      </c>
      <c r="C674" s="9" t="s">
        <v>1071</v>
      </c>
      <c r="D674" s="18" t="s">
        <v>1070</v>
      </c>
      <c r="E674" s="18">
        <v>1983</v>
      </c>
      <c r="F674" s="18">
        <v>46</v>
      </c>
      <c r="G674" s="18" t="s">
        <v>402</v>
      </c>
      <c r="H674" s="18" t="s">
        <v>402</v>
      </c>
      <c r="I674" s="18" t="s">
        <v>1068</v>
      </c>
      <c r="J674" s="18" t="s">
        <v>637</v>
      </c>
      <c r="K674" s="18" t="s">
        <v>483</v>
      </c>
    </row>
    <row r="675" spans="1:11" ht="14">
      <c r="A675" s="18" t="s">
        <v>480</v>
      </c>
      <c r="B675" s="18" t="s">
        <v>479</v>
      </c>
      <c r="C675" s="9" t="s">
        <v>1071</v>
      </c>
      <c r="D675" s="18" t="s">
        <v>1070</v>
      </c>
      <c r="E675" s="18">
        <v>1984</v>
      </c>
      <c r="F675" s="18">
        <v>44</v>
      </c>
      <c r="G675" s="18" t="s">
        <v>402</v>
      </c>
      <c r="H675" s="18" t="s">
        <v>402</v>
      </c>
      <c r="I675" s="18" t="s">
        <v>1068</v>
      </c>
      <c r="J675" s="18" t="s">
        <v>637</v>
      </c>
      <c r="K675" s="18" t="s">
        <v>483</v>
      </c>
    </row>
    <row r="676" spans="1:11" ht="14">
      <c r="A676" s="18" t="s">
        <v>480</v>
      </c>
      <c r="B676" s="18" t="s">
        <v>479</v>
      </c>
      <c r="C676" s="9" t="s">
        <v>1071</v>
      </c>
      <c r="D676" s="18" t="s">
        <v>1070</v>
      </c>
      <c r="E676" s="18">
        <v>1985</v>
      </c>
      <c r="F676" s="18">
        <v>42</v>
      </c>
      <c r="G676" s="18" t="s">
        <v>402</v>
      </c>
      <c r="H676" s="18" t="s">
        <v>402</v>
      </c>
      <c r="I676" s="18" t="s">
        <v>1068</v>
      </c>
      <c r="J676" s="18" t="s">
        <v>637</v>
      </c>
      <c r="K676" s="18" t="s">
        <v>483</v>
      </c>
    </row>
    <row r="677" spans="1:11" ht="14">
      <c r="A677" s="18" t="s">
        <v>480</v>
      </c>
      <c r="B677" s="18" t="s">
        <v>479</v>
      </c>
      <c r="C677" s="9" t="s">
        <v>1071</v>
      </c>
      <c r="D677" s="18" t="s">
        <v>1070</v>
      </c>
      <c r="E677" s="18">
        <v>1986</v>
      </c>
      <c r="F677" s="18">
        <v>46</v>
      </c>
      <c r="G677" s="18" t="s">
        <v>402</v>
      </c>
      <c r="H677" s="18" t="s">
        <v>402</v>
      </c>
      <c r="I677" s="18" t="s">
        <v>1068</v>
      </c>
      <c r="J677" s="18" t="s">
        <v>637</v>
      </c>
      <c r="K677" s="18" t="s">
        <v>483</v>
      </c>
    </row>
    <row r="678" spans="1:11" ht="14">
      <c r="A678" s="18" t="s">
        <v>480</v>
      </c>
      <c r="B678" s="18" t="s">
        <v>479</v>
      </c>
      <c r="C678" s="9" t="s">
        <v>1071</v>
      </c>
      <c r="D678" s="18" t="s">
        <v>1070</v>
      </c>
      <c r="E678" s="18">
        <v>1987</v>
      </c>
      <c r="F678" s="18">
        <v>50</v>
      </c>
      <c r="G678" s="18" t="s">
        <v>402</v>
      </c>
      <c r="H678" s="18" t="s">
        <v>402</v>
      </c>
      <c r="I678" s="18" t="s">
        <v>1068</v>
      </c>
      <c r="J678" s="18" t="s">
        <v>637</v>
      </c>
      <c r="K678" s="18" t="s">
        <v>483</v>
      </c>
    </row>
    <row r="679" spans="1:11" ht="14">
      <c r="A679" s="18" t="s">
        <v>480</v>
      </c>
      <c r="B679" s="18" t="s">
        <v>479</v>
      </c>
      <c r="C679" s="9" t="s">
        <v>1071</v>
      </c>
      <c r="D679" s="18" t="s">
        <v>1070</v>
      </c>
      <c r="E679" s="18">
        <v>1988</v>
      </c>
      <c r="F679" s="18">
        <v>55</v>
      </c>
      <c r="G679" s="18" t="s">
        <v>402</v>
      </c>
      <c r="H679" s="18" t="s">
        <v>402</v>
      </c>
      <c r="I679" s="18" t="s">
        <v>1068</v>
      </c>
      <c r="J679" s="18" t="s">
        <v>637</v>
      </c>
      <c r="K679" s="18" t="s">
        <v>483</v>
      </c>
    </row>
    <row r="680" spans="1:11" ht="14">
      <c r="A680" s="18" t="s">
        <v>480</v>
      </c>
      <c r="B680" s="18" t="s">
        <v>479</v>
      </c>
      <c r="C680" s="9" t="s">
        <v>1071</v>
      </c>
      <c r="D680" s="18" t="s">
        <v>1070</v>
      </c>
      <c r="E680" s="18">
        <v>1989</v>
      </c>
      <c r="F680" s="18">
        <v>55</v>
      </c>
      <c r="G680" s="18" t="s">
        <v>402</v>
      </c>
      <c r="H680" s="18" t="s">
        <v>402</v>
      </c>
      <c r="I680" s="18" t="s">
        <v>1068</v>
      </c>
      <c r="J680" s="18" t="s">
        <v>637</v>
      </c>
      <c r="K680" s="18" t="s">
        <v>483</v>
      </c>
    </row>
    <row r="681" spans="1:11" ht="14">
      <c r="A681" s="18" t="s">
        <v>480</v>
      </c>
      <c r="B681" s="18" t="s">
        <v>479</v>
      </c>
      <c r="C681" s="9" t="s">
        <v>1071</v>
      </c>
      <c r="D681" s="18" t="s">
        <v>1070</v>
      </c>
      <c r="E681" s="18">
        <v>1990</v>
      </c>
      <c r="F681" s="18">
        <v>63</v>
      </c>
      <c r="G681" s="18" t="s">
        <v>402</v>
      </c>
      <c r="H681" s="18" t="s">
        <v>402</v>
      </c>
      <c r="I681" s="18" t="s">
        <v>1068</v>
      </c>
      <c r="J681" s="18" t="s">
        <v>637</v>
      </c>
      <c r="K681" s="18" t="s">
        <v>483</v>
      </c>
    </row>
    <row r="682" spans="1:11" ht="14">
      <c r="A682" s="18" t="s">
        <v>480</v>
      </c>
      <c r="B682" s="18" t="s">
        <v>479</v>
      </c>
      <c r="C682" s="9" t="s">
        <v>1071</v>
      </c>
      <c r="D682" s="18" t="s">
        <v>1070</v>
      </c>
      <c r="E682" s="18">
        <v>1991</v>
      </c>
      <c r="F682" s="18">
        <v>64</v>
      </c>
      <c r="G682" s="18" t="s">
        <v>402</v>
      </c>
      <c r="H682" s="18" t="s">
        <v>402</v>
      </c>
      <c r="I682" s="18" t="s">
        <v>1068</v>
      </c>
      <c r="J682" s="18" t="s">
        <v>637</v>
      </c>
      <c r="K682" s="18" t="s">
        <v>483</v>
      </c>
    </row>
    <row r="683" spans="1:11" ht="14">
      <c r="A683" s="18" t="s">
        <v>480</v>
      </c>
      <c r="B683" s="18" t="s">
        <v>479</v>
      </c>
      <c r="C683" s="9" t="s">
        <v>1071</v>
      </c>
      <c r="D683" s="18" t="s">
        <v>1070</v>
      </c>
      <c r="E683" s="18">
        <v>1992</v>
      </c>
      <c r="F683" s="18">
        <v>69</v>
      </c>
      <c r="G683" s="18" t="s">
        <v>402</v>
      </c>
      <c r="H683" s="18" t="s">
        <v>402</v>
      </c>
      <c r="I683" s="18" t="s">
        <v>1068</v>
      </c>
      <c r="J683" s="18" t="s">
        <v>637</v>
      </c>
      <c r="K683" s="18" t="s">
        <v>483</v>
      </c>
    </row>
    <row r="684" spans="1:11" ht="14">
      <c r="A684" s="18" t="s">
        <v>480</v>
      </c>
      <c r="B684" s="18" t="s">
        <v>479</v>
      </c>
      <c r="C684" s="9" t="s">
        <v>1071</v>
      </c>
      <c r="D684" s="18" t="s">
        <v>1070</v>
      </c>
      <c r="E684" s="18">
        <v>1993</v>
      </c>
      <c r="F684" s="18">
        <v>72</v>
      </c>
      <c r="G684" s="18" t="s">
        <v>402</v>
      </c>
      <c r="H684" s="18" t="s">
        <v>402</v>
      </c>
      <c r="I684" s="18" t="s">
        <v>1068</v>
      </c>
      <c r="J684" s="18" t="s">
        <v>637</v>
      </c>
      <c r="K684" s="18" t="s">
        <v>483</v>
      </c>
    </row>
    <row r="685" spans="1:11" ht="14">
      <c r="A685" s="18" t="s">
        <v>480</v>
      </c>
      <c r="B685" s="18" t="s">
        <v>479</v>
      </c>
      <c r="C685" s="9" t="s">
        <v>1071</v>
      </c>
      <c r="D685" s="18" t="s">
        <v>1070</v>
      </c>
      <c r="E685" s="18">
        <v>1994</v>
      </c>
      <c r="F685" s="18">
        <v>71</v>
      </c>
      <c r="G685" s="18" t="s">
        <v>402</v>
      </c>
      <c r="H685" s="18" t="s">
        <v>402</v>
      </c>
      <c r="I685" s="18" t="s">
        <v>1068</v>
      </c>
      <c r="J685" s="18" t="s">
        <v>637</v>
      </c>
      <c r="K685" s="18" t="s">
        <v>483</v>
      </c>
    </row>
    <row r="686" spans="1:11" ht="14">
      <c r="A686" s="18" t="s">
        <v>480</v>
      </c>
      <c r="B686" s="18" t="s">
        <v>479</v>
      </c>
      <c r="C686" s="9" t="s">
        <v>1071</v>
      </c>
      <c r="D686" s="18" t="s">
        <v>1070</v>
      </c>
      <c r="E686" s="18">
        <v>1995</v>
      </c>
      <c r="F686" s="18">
        <v>69</v>
      </c>
      <c r="G686" s="18" t="s">
        <v>402</v>
      </c>
      <c r="H686" s="18" t="s">
        <v>402</v>
      </c>
      <c r="I686" s="18" t="s">
        <v>1068</v>
      </c>
      <c r="J686" s="18" t="s">
        <v>637</v>
      </c>
      <c r="K686" s="18" t="s">
        <v>483</v>
      </c>
    </row>
    <row r="687" spans="1:11" ht="14">
      <c r="A687" s="18" t="s">
        <v>480</v>
      </c>
      <c r="B687" s="18" t="s">
        <v>479</v>
      </c>
      <c r="C687" s="9" t="s">
        <v>1071</v>
      </c>
      <c r="D687" s="18" t="s">
        <v>1070</v>
      </c>
      <c r="E687" s="18">
        <v>1996</v>
      </c>
      <c r="F687" s="18">
        <v>67</v>
      </c>
      <c r="G687" s="18" t="s">
        <v>402</v>
      </c>
      <c r="H687" s="18" t="s">
        <v>402</v>
      </c>
      <c r="I687" s="18" t="s">
        <v>1068</v>
      </c>
      <c r="J687" s="18" t="s">
        <v>637</v>
      </c>
      <c r="K687" s="18" t="s">
        <v>483</v>
      </c>
    </row>
    <row r="688" spans="1:11" ht="14">
      <c r="A688" s="18" t="s">
        <v>480</v>
      </c>
      <c r="B688" s="18" t="s">
        <v>479</v>
      </c>
      <c r="C688" s="9" t="s">
        <v>1071</v>
      </c>
      <c r="D688" s="18" t="s">
        <v>1070</v>
      </c>
      <c r="E688" s="18">
        <v>1997</v>
      </c>
      <c r="F688" s="18">
        <v>61</v>
      </c>
      <c r="G688" s="18" t="s">
        <v>402</v>
      </c>
      <c r="H688" s="18" t="s">
        <v>402</v>
      </c>
      <c r="I688" s="18" t="s">
        <v>1068</v>
      </c>
      <c r="J688" s="18" t="s">
        <v>637</v>
      </c>
      <c r="K688" s="18" t="s">
        <v>483</v>
      </c>
    </row>
    <row r="689" spans="1:11" ht="14">
      <c r="A689" s="18" t="s">
        <v>480</v>
      </c>
      <c r="B689" s="18" t="s">
        <v>479</v>
      </c>
      <c r="C689" s="9" t="s">
        <v>1071</v>
      </c>
      <c r="D689" s="18" t="s">
        <v>1070</v>
      </c>
      <c r="E689" s="18">
        <v>1998</v>
      </c>
      <c r="F689" s="18">
        <v>60</v>
      </c>
      <c r="G689" s="18" t="s">
        <v>402</v>
      </c>
      <c r="H689" s="18" t="s">
        <v>402</v>
      </c>
      <c r="I689" s="18" t="s">
        <v>1068</v>
      </c>
      <c r="J689" s="18" t="s">
        <v>637</v>
      </c>
      <c r="K689" s="18" t="s">
        <v>483</v>
      </c>
    </row>
    <row r="690" spans="1:11" ht="14">
      <c r="A690" s="18" t="s">
        <v>480</v>
      </c>
      <c r="B690" s="18" t="s">
        <v>479</v>
      </c>
      <c r="C690" s="9" t="s">
        <v>1071</v>
      </c>
      <c r="D690" s="18" t="s">
        <v>1070</v>
      </c>
      <c r="E690" s="18">
        <v>1999</v>
      </c>
      <c r="F690" s="18">
        <v>56</v>
      </c>
      <c r="G690" s="18" t="s">
        <v>402</v>
      </c>
      <c r="H690" s="18" t="s">
        <v>402</v>
      </c>
      <c r="I690" s="18" t="s">
        <v>1068</v>
      </c>
      <c r="J690" s="18" t="s">
        <v>637</v>
      </c>
      <c r="K690" s="18" t="s">
        <v>483</v>
      </c>
    </row>
    <row r="691" spans="1:11" ht="14">
      <c r="A691" s="18" t="s">
        <v>480</v>
      </c>
      <c r="B691" s="18" t="s">
        <v>479</v>
      </c>
      <c r="C691" s="9" t="s">
        <v>1071</v>
      </c>
      <c r="D691" s="18" t="s">
        <v>1070</v>
      </c>
      <c r="E691" s="18">
        <v>2000</v>
      </c>
      <c r="F691" s="18">
        <v>54</v>
      </c>
      <c r="G691" s="18" t="s">
        <v>402</v>
      </c>
      <c r="H691" s="18" t="s">
        <v>402</v>
      </c>
      <c r="I691" s="18" t="s">
        <v>1068</v>
      </c>
      <c r="J691" s="18" t="s">
        <v>637</v>
      </c>
      <c r="K691" s="18" t="s">
        <v>483</v>
      </c>
    </row>
    <row r="692" spans="1:11" ht="14">
      <c r="A692" s="18" t="s">
        <v>480</v>
      </c>
      <c r="B692" s="18" t="s">
        <v>479</v>
      </c>
      <c r="C692" s="9" t="s">
        <v>1071</v>
      </c>
      <c r="D692" s="18" t="s">
        <v>1070</v>
      </c>
      <c r="E692" s="18">
        <v>2001</v>
      </c>
      <c r="F692" s="18">
        <v>54</v>
      </c>
      <c r="G692" s="18" t="s">
        <v>402</v>
      </c>
      <c r="H692" s="18" t="s">
        <v>402</v>
      </c>
      <c r="I692" s="18" t="s">
        <v>1068</v>
      </c>
      <c r="J692" s="18" t="s">
        <v>637</v>
      </c>
      <c r="K692" s="18" t="s">
        <v>483</v>
      </c>
    </row>
    <row r="693" spans="1:11" ht="14">
      <c r="A693" s="18" t="s">
        <v>480</v>
      </c>
      <c r="B693" s="18" t="s">
        <v>479</v>
      </c>
      <c r="C693" s="9" t="s">
        <v>1071</v>
      </c>
      <c r="D693" s="18" t="s">
        <v>1070</v>
      </c>
      <c r="E693" s="18">
        <v>2002</v>
      </c>
      <c r="F693" s="18">
        <v>50</v>
      </c>
      <c r="G693" s="18" t="s">
        <v>402</v>
      </c>
      <c r="H693" s="18" t="s">
        <v>402</v>
      </c>
      <c r="I693" s="18" t="s">
        <v>1068</v>
      </c>
      <c r="J693" s="18" t="s">
        <v>637</v>
      </c>
      <c r="K693" s="18" t="s">
        <v>483</v>
      </c>
    </row>
    <row r="694" spans="1:11" ht="14">
      <c r="A694" s="18" t="s">
        <v>480</v>
      </c>
      <c r="B694" s="18" t="s">
        <v>479</v>
      </c>
      <c r="C694" s="9" t="s">
        <v>1071</v>
      </c>
      <c r="D694" s="18" t="s">
        <v>1070</v>
      </c>
      <c r="E694" s="18">
        <v>2003</v>
      </c>
      <c r="F694" s="18">
        <v>47</v>
      </c>
      <c r="G694" s="18" t="s">
        <v>402</v>
      </c>
      <c r="H694" s="18" t="s">
        <v>402</v>
      </c>
      <c r="I694" s="18" t="s">
        <v>1068</v>
      </c>
      <c r="J694" s="18" t="s">
        <v>637</v>
      </c>
      <c r="K694" s="18" t="s">
        <v>483</v>
      </c>
    </row>
    <row r="695" spans="1:11" ht="14">
      <c r="A695" s="18" t="s">
        <v>480</v>
      </c>
      <c r="B695" s="18" t="s">
        <v>479</v>
      </c>
      <c r="C695" s="9" t="s">
        <v>1071</v>
      </c>
      <c r="D695" s="18" t="s">
        <v>1070</v>
      </c>
      <c r="E695" s="18">
        <v>2004</v>
      </c>
      <c r="F695" s="18">
        <v>46</v>
      </c>
      <c r="G695" s="18" t="s">
        <v>402</v>
      </c>
      <c r="H695" s="18" t="s">
        <v>402</v>
      </c>
      <c r="I695" s="18" t="s">
        <v>1068</v>
      </c>
      <c r="J695" s="18" t="s">
        <v>637</v>
      </c>
      <c r="K695" s="18" t="s">
        <v>483</v>
      </c>
    </row>
    <row r="696" spans="1:11" ht="14">
      <c r="A696" s="18" t="s">
        <v>480</v>
      </c>
      <c r="B696" s="18" t="s">
        <v>479</v>
      </c>
      <c r="C696" s="9" t="s">
        <v>1071</v>
      </c>
      <c r="D696" s="18" t="s">
        <v>1070</v>
      </c>
      <c r="E696" s="18">
        <v>2005</v>
      </c>
      <c r="F696" s="18">
        <v>48</v>
      </c>
      <c r="G696" s="18" t="s">
        <v>402</v>
      </c>
      <c r="H696" s="18" t="s">
        <v>402</v>
      </c>
      <c r="I696" s="18" t="s">
        <v>1068</v>
      </c>
      <c r="J696" s="18" t="s">
        <v>637</v>
      </c>
      <c r="K696" s="18" t="s">
        <v>483</v>
      </c>
    </row>
    <row r="697" spans="1:11" ht="14">
      <c r="A697" s="18" t="s">
        <v>480</v>
      </c>
      <c r="B697" s="18" t="s">
        <v>479</v>
      </c>
      <c r="C697" s="9" t="s">
        <v>1071</v>
      </c>
      <c r="D697" s="18" t="s">
        <v>1070</v>
      </c>
      <c r="E697" s="18">
        <v>2006</v>
      </c>
      <c r="F697" s="18">
        <v>48</v>
      </c>
      <c r="G697" s="18" t="s">
        <v>402</v>
      </c>
      <c r="H697" s="18" t="s">
        <v>402</v>
      </c>
      <c r="I697" s="18" t="s">
        <v>1068</v>
      </c>
      <c r="J697" s="18" t="s">
        <v>637</v>
      </c>
      <c r="K697" s="18" t="s">
        <v>483</v>
      </c>
    </row>
    <row r="698" spans="1:11" ht="14">
      <c r="A698" s="18" t="s">
        <v>480</v>
      </c>
      <c r="B698" s="18" t="s">
        <v>479</v>
      </c>
      <c r="C698" s="9" t="s">
        <v>1071</v>
      </c>
      <c r="D698" s="18" t="s">
        <v>1070</v>
      </c>
      <c r="E698" s="18">
        <v>1974</v>
      </c>
      <c r="F698" s="18">
        <v>70</v>
      </c>
      <c r="G698" s="18" t="s">
        <v>402</v>
      </c>
      <c r="H698" s="18" t="s">
        <v>402</v>
      </c>
      <c r="I698" s="18" t="s">
        <v>611</v>
      </c>
      <c r="J698" s="18" t="s">
        <v>637</v>
      </c>
      <c r="K698" s="18" t="s">
        <v>483</v>
      </c>
    </row>
    <row r="699" spans="1:11" ht="14">
      <c r="A699" s="18" t="s">
        <v>480</v>
      </c>
      <c r="B699" s="18" t="s">
        <v>479</v>
      </c>
      <c r="C699" s="9" t="s">
        <v>1071</v>
      </c>
      <c r="D699" s="18" t="s">
        <v>1070</v>
      </c>
      <c r="E699" s="18">
        <v>1975</v>
      </c>
      <c r="F699" s="18">
        <v>71</v>
      </c>
      <c r="G699" s="18" t="s">
        <v>402</v>
      </c>
      <c r="H699" s="18" t="s">
        <v>402</v>
      </c>
      <c r="I699" s="18" t="s">
        <v>611</v>
      </c>
      <c r="J699" s="18" t="s">
        <v>637</v>
      </c>
      <c r="K699" s="18" t="s">
        <v>483</v>
      </c>
    </row>
    <row r="700" spans="1:11" ht="14">
      <c r="A700" s="18" t="s">
        <v>480</v>
      </c>
      <c r="B700" s="18" t="s">
        <v>479</v>
      </c>
      <c r="C700" s="9" t="s">
        <v>1071</v>
      </c>
      <c r="D700" s="18" t="s">
        <v>1070</v>
      </c>
      <c r="E700" s="18">
        <v>1976</v>
      </c>
      <c r="F700" s="18">
        <v>70</v>
      </c>
      <c r="G700" s="18" t="s">
        <v>402</v>
      </c>
      <c r="H700" s="18" t="s">
        <v>402</v>
      </c>
      <c r="I700" s="18" t="s">
        <v>611</v>
      </c>
      <c r="J700" s="18" t="s">
        <v>637</v>
      </c>
      <c r="K700" s="18" t="s">
        <v>483</v>
      </c>
    </row>
    <row r="701" spans="1:11" ht="14">
      <c r="A701" s="18" t="s">
        <v>480</v>
      </c>
      <c r="B701" s="18" t="s">
        <v>479</v>
      </c>
      <c r="C701" s="9" t="s">
        <v>1071</v>
      </c>
      <c r="D701" s="18" t="s">
        <v>1070</v>
      </c>
      <c r="E701" s="18">
        <v>1977</v>
      </c>
      <c r="F701" s="18">
        <v>79</v>
      </c>
      <c r="G701" s="18" t="s">
        <v>402</v>
      </c>
      <c r="H701" s="18" t="s">
        <v>402</v>
      </c>
      <c r="I701" s="18" t="s">
        <v>611</v>
      </c>
      <c r="J701" s="18" t="s">
        <v>637</v>
      </c>
      <c r="K701" s="18" t="s">
        <v>483</v>
      </c>
    </row>
    <row r="702" spans="1:11" ht="14">
      <c r="A702" s="18" t="s">
        <v>480</v>
      </c>
      <c r="B702" s="18" t="s">
        <v>479</v>
      </c>
      <c r="C702" s="9" t="s">
        <v>1071</v>
      </c>
      <c r="D702" s="18" t="s">
        <v>1070</v>
      </c>
      <c r="E702" s="18">
        <v>1978</v>
      </c>
      <c r="F702" s="18">
        <v>79</v>
      </c>
      <c r="G702" s="18" t="s">
        <v>402</v>
      </c>
      <c r="H702" s="18" t="s">
        <v>402</v>
      </c>
      <c r="I702" s="18" t="s">
        <v>611</v>
      </c>
      <c r="J702" s="18" t="s">
        <v>637</v>
      </c>
      <c r="K702" s="18" t="s">
        <v>483</v>
      </c>
    </row>
    <row r="703" spans="1:11" ht="14">
      <c r="A703" s="18" t="s">
        <v>480</v>
      </c>
      <c r="B703" s="18" t="s">
        <v>479</v>
      </c>
      <c r="C703" s="9" t="s">
        <v>1071</v>
      </c>
      <c r="D703" s="18" t="s">
        <v>1070</v>
      </c>
      <c r="E703" s="18">
        <v>1979</v>
      </c>
      <c r="F703" s="18">
        <v>81</v>
      </c>
      <c r="G703" s="18" t="s">
        <v>402</v>
      </c>
      <c r="H703" s="18" t="s">
        <v>402</v>
      </c>
      <c r="I703" s="18" t="s">
        <v>611</v>
      </c>
      <c r="J703" s="18" t="s">
        <v>637</v>
      </c>
      <c r="K703" s="18" t="s">
        <v>483</v>
      </c>
    </row>
    <row r="704" spans="1:11" ht="14">
      <c r="A704" s="18" t="s">
        <v>480</v>
      </c>
      <c r="B704" s="18" t="s">
        <v>479</v>
      </c>
      <c r="C704" s="9" t="s">
        <v>1071</v>
      </c>
      <c r="D704" s="18" t="s">
        <v>1070</v>
      </c>
      <c r="E704" s="18">
        <v>1980</v>
      </c>
      <c r="F704" s="18">
        <v>83</v>
      </c>
      <c r="G704" s="18" t="s">
        <v>402</v>
      </c>
      <c r="H704" s="18" t="s">
        <v>402</v>
      </c>
      <c r="I704" s="18" t="s">
        <v>611</v>
      </c>
      <c r="J704" s="18" t="s">
        <v>637</v>
      </c>
      <c r="K704" s="18" t="s">
        <v>483</v>
      </c>
    </row>
    <row r="705" spans="1:11" ht="14">
      <c r="A705" s="18" t="s">
        <v>480</v>
      </c>
      <c r="B705" s="18" t="s">
        <v>479</v>
      </c>
      <c r="C705" s="9" t="s">
        <v>1071</v>
      </c>
      <c r="D705" s="18" t="s">
        <v>1070</v>
      </c>
      <c r="E705" s="18">
        <v>1981</v>
      </c>
      <c r="F705" s="18">
        <v>81</v>
      </c>
      <c r="G705" s="18" t="s">
        <v>402</v>
      </c>
      <c r="H705" s="18" t="s">
        <v>402</v>
      </c>
      <c r="I705" s="18" t="s">
        <v>611</v>
      </c>
      <c r="J705" s="18" t="s">
        <v>637</v>
      </c>
      <c r="K705" s="18" t="s">
        <v>483</v>
      </c>
    </row>
    <row r="706" spans="1:11" ht="14">
      <c r="A706" s="18" t="s">
        <v>480</v>
      </c>
      <c r="B706" s="18" t="s">
        <v>479</v>
      </c>
      <c r="C706" s="9" t="s">
        <v>1071</v>
      </c>
      <c r="D706" s="18" t="s">
        <v>1070</v>
      </c>
      <c r="E706" s="18">
        <v>1982</v>
      </c>
      <c r="F706" s="18">
        <v>78</v>
      </c>
      <c r="G706" s="18" t="s">
        <v>402</v>
      </c>
      <c r="H706" s="18" t="s">
        <v>402</v>
      </c>
      <c r="I706" s="18" t="s">
        <v>611</v>
      </c>
      <c r="J706" s="18" t="s">
        <v>637</v>
      </c>
      <c r="K706" s="18" t="s">
        <v>483</v>
      </c>
    </row>
    <row r="707" spans="1:11" ht="14">
      <c r="A707" s="18" t="s">
        <v>480</v>
      </c>
      <c r="B707" s="18" t="s">
        <v>479</v>
      </c>
      <c r="C707" s="9" t="s">
        <v>1071</v>
      </c>
      <c r="D707" s="18" t="s">
        <v>1070</v>
      </c>
      <c r="E707" s="18">
        <v>1983</v>
      </c>
      <c r="F707" s="18">
        <v>75</v>
      </c>
      <c r="G707" s="18" t="s">
        <v>402</v>
      </c>
      <c r="H707" s="18" t="s">
        <v>402</v>
      </c>
      <c r="I707" s="18" t="s">
        <v>611</v>
      </c>
      <c r="J707" s="18" t="s">
        <v>637</v>
      </c>
      <c r="K707" s="18" t="s">
        <v>483</v>
      </c>
    </row>
    <row r="708" spans="1:11" ht="14">
      <c r="A708" s="18" t="s">
        <v>480</v>
      </c>
      <c r="B708" s="18" t="s">
        <v>479</v>
      </c>
      <c r="C708" s="9" t="s">
        <v>1071</v>
      </c>
      <c r="D708" s="18" t="s">
        <v>1070</v>
      </c>
      <c r="E708" s="18">
        <v>1984</v>
      </c>
      <c r="F708" s="18">
        <v>73</v>
      </c>
      <c r="G708" s="18" t="s">
        <v>402</v>
      </c>
      <c r="H708" s="18" t="s">
        <v>402</v>
      </c>
      <c r="I708" s="18" t="s">
        <v>611</v>
      </c>
      <c r="J708" s="18" t="s">
        <v>637</v>
      </c>
      <c r="K708" s="18" t="s">
        <v>483</v>
      </c>
    </row>
    <row r="709" spans="1:11" ht="14">
      <c r="A709" s="18" t="s">
        <v>480</v>
      </c>
      <c r="B709" s="18" t="s">
        <v>479</v>
      </c>
      <c r="C709" s="9" t="s">
        <v>1071</v>
      </c>
      <c r="D709" s="18" t="s">
        <v>1070</v>
      </c>
      <c r="E709" s="18">
        <v>1985</v>
      </c>
      <c r="F709" s="18">
        <v>76</v>
      </c>
      <c r="G709" s="18" t="s">
        <v>402</v>
      </c>
      <c r="H709" s="18" t="s">
        <v>402</v>
      </c>
      <c r="I709" s="18" t="s">
        <v>611</v>
      </c>
      <c r="J709" s="18" t="s">
        <v>637</v>
      </c>
      <c r="K709" s="18" t="s">
        <v>483</v>
      </c>
    </row>
    <row r="710" spans="1:11" ht="14">
      <c r="A710" s="18" t="s">
        <v>480</v>
      </c>
      <c r="B710" s="18" t="s">
        <v>479</v>
      </c>
      <c r="C710" s="9" t="s">
        <v>1071</v>
      </c>
      <c r="D710" s="18" t="s">
        <v>1070</v>
      </c>
      <c r="E710" s="18">
        <v>1986</v>
      </c>
      <c r="F710" s="18">
        <v>80</v>
      </c>
      <c r="G710" s="18" t="s">
        <v>402</v>
      </c>
      <c r="H710" s="18" t="s">
        <v>402</v>
      </c>
      <c r="I710" s="18" t="s">
        <v>611</v>
      </c>
      <c r="J710" s="18" t="s">
        <v>637</v>
      </c>
      <c r="K710" s="18" t="s">
        <v>483</v>
      </c>
    </row>
    <row r="711" spans="1:11" ht="14">
      <c r="A711" s="18" t="s">
        <v>480</v>
      </c>
      <c r="B711" s="18" t="s">
        <v>479</v>
      </c>
      <c r="C711" s="9" t="s">
        <v>1071</v>
      </c>
      <c r="D711" s="18" t="s">
        <v>1070</v>
      </c>
      <c r="E711" s="18">
        <v>1987</v>
      </c>
      <c r="F711" s="18">
        <v>83</v>
      </c>
      <c r="G711" s="18" t="s">
        <v>402</v>
      </c>
      <c r="H711" s="18" t="s">
        <v>402</v>
      </c>
      <c r="I711" s="18" t="s">
        <v>611</v>
      </c>
      <c r="J711" s="18" t="s">
        <v>637</v>
      </c>
      <c r="K711" s="18" t="s">
        <v>483</v>
      </c>
    </row>
    <row r="712" spans="1:11" ht="14">
      <c r="A712" s="18" t="s">
        <v>480</v>
      </c>
      <c r="B712" s="18" t="s">
        <v>479</v>
      </c>
      <c r="C712" s="9" t="s">
        <v>1071</v>
      </c>
      <c r="D712" s="18" t="s">
        <v>1070</v>
      </c>
      <c r="E712" s="18">
        <v>1988</v>
      </c>
      <c r="F712" s="18">
        <v>84</v>
      </c>
      <c r="G712" s="18" t="s">
        <v>402</v>
      </c>
      <c r="H712" s="18" t="s">
        <v>402</v>
      </c>
      <c r="I712" s="18" t="s">
        <v>611</v>
      </c>
      <c r="J712" s="18" t="s">
        <v>637</v>
      </c>
      <c r="K712" s="18" t="s">
        <v>483</v>
      </c>
    </row>
    <row r="713" spans="1:11" ht="14">
      <c r="A713" s="18" t="s">
        <v>480</v>
      </c>
      <c r="B713" s="18" t="s">
        <v>479</v>
      </c>
      <c r="C713" s="9" t="s">
        <v>1071</v>
      </c>
      <c r="D713" s="18" t="s">
        <v>1070</v>
      </c>
      <c r="E713" s="18">
        <v>1989</v>
      </c>
      <c r="F713" s="18">
        <v>84</v>
      </c>
      <c r="G713" s="18" t="s">
        <v>402</v>
      </c>
      <c r="H713" s="18" t="s">
        <v>402</v>
      </c>
      <c r="I713" s="18" t="s">
        <v>611</v>
      </c>
      <c r="J713" s="18" t="s">
        <v>637</v>
      </c>
      <c r="K713" s="18" t="s">
        <v>483</v>
      </c>
    </row>
    <row r="714" spans="1:11" ht="14">
      <c r="A714" s="18" t="s">
        <v>480</v>
      </c>
      <c r="B714" s="18" t="s">
        <v>479</v>
      </c>
      <c r="C714" s="9" t="s">
        <v>1071</v>
      </c>
      <c r="D714" s="18" t="s">
        <v>1070</v>
      </c>
      <c r="E714" s="18">
        <v>1990</v>
      </c>
      <c r="F714" s="18">
        <v>87</v>
      </c>
      <c r="G714" s="18" t="s">
        <v>402</v>
      </c>
      <c r="H714" s="18" t="s">
        <v>402</v>
      </c>
      <c r="I714" s="18" t="s">
        <v>611</v>
      </c>
      <c r="J714" s="18" t="s">
        <v>637</v>
      </c>
      <c r="K714" s="18" t="s">
        <v>483</v>
      </c>
    </row>
    <row r="715" spans="1:11" ht="14">
      <c r="A715" s="18" t="s">
        <v>480</v>
      </c>
      <c r="B715" s="18" t="s">
        <v>479</v>
      </c>
      <c r="C715" s="9" t="s">
        <v>1071</v>
      </c>
      <c r="D715" s="18" t="s">
        <v>1070</v>
      </c>
      <c r="E715" s="18">
        <v>1991</v>
      </c>
      <c r="F715" s="18">
        <v>91</v>
      </c>
      <c r="G715" s="18" t="s">
        <v>402</v>
      </c>
      <c r="H715" s="18" t="s">
        <v>402</v>
      </c>
      <c r="I715" s="18" t="s">
        <v>611</v>
      </c>
      <c r="J715" s="18" t="s">
        <v>637</v>
      </c>
      <c r="K715" s="18" t="s">
        <v>483</v>
      </c>
    </row>
    <row r="716" spans="1:11" ht="14">
      <c r="A716" s="18" t="s">
        <v>480</v>
      </c>
      <c r="B716" s="18" t="s">
        <v>479</v>
      </c>
      <c r="C716" s="9" t="s">
        <v>1071</v>
      </c>
      <c r="D716" s="18" t="s">
        <v>1070</v>
      </c>
      <c r="E716" s="18">
        <v>1992</v>
      </c>
      <c r="F716" s="18">
        <v>90</v>
      </c>
      <c r="G716" s="18" t="s">
        <v>402</v>
      </c>
      <c r="H716" s="18" t="s">
        <v>402</v>
      </c>
      <c r="I716" s="18" t="s">
        <v>611</v>
      </c>
      <c r="J716" s="18" t="s">
        <v>637</v>
      </c>
      <c r="K716" s="18" t="s">
        <v>483</v>
      </c>
    </row>
    <row r="717" spans="1:11" ht="14">
      <c r="A717" s="18" t="s">
        <v>480</v>
      </c>
      <c r="B717" s="18" t="s">
        <v>479</v>
      </c>
      <c r="C717" s="9" t="s">
        <v>1071</v>
      </c>
      <c r="D717" s="18" t="s">
        <v>1070</v>
      </c>
      <c r="E717" s="18">
        <v>1993</v>
      </c>
      <c r="F717" s="18">
        <v>96</v>
      </c>
      <c r="G717" s="18" t="s">
        <v>402</v>
      </c>
      <c r="H717" s="18" t="s">
        <v>402</v>
      </c>
      <c r="I717" s="18" t="s">
        <v>611</v>
      </c>
      <c r="J717" s="18" t="s">
        <v>637</v>
      </c>
      <c r="K717" s="18" t="s">
        <v>483</v>
      </c>
    </row>
    <row r="718" spans="1:11" ht="14">
      <c r="A718" s="18" t="s">
        <v>480</v>
      </c>
      <c r="B718" s="18" t="s">
        <v>479</v>
      </c>
      <c r="C718" s="9" t="s">
        <v>1071</v>
      </c>
      <c r="D718" s="18" t="s">
        <v>1070</v>
      </c>
      <c r="E718" s="18">
        <v>1994</v>
      </c>
      <c r="F718" s="18">
        <v>95</v>
      </c>
      <c r="G718" s="18" t="s">
        <v>402</v>
      </c>
      <c r="H718" s="18" t="s">
        <v>402</v>
      </c>
      <c r="I718" s="18" t="s">
        <v>611</v>
      </c>
      <c r="J718" s="18" t="s">
        <v>637</v>
      </c>
      <c r="K718" s="18" t="s">
        <v>483</v>
      </c>
    </row>
    <row r="719" spans="1:11" ht="14">
      <c r="A719" s="18" t="s">
        <v>480</v>
      </c>
      <c r="B719" s="18" t="s">
        <v>479</v>
      </c>
      <c r="C719" s="9" t="s">
        <v>1071</v>
      </c>
      <c r="D719" s="18" t="s">
        <v>1070</v>
      </c>
      <c r="E719" s="18">
        <v>1995</v>
      </c>
      <c r="F719" s="18">
        <v>97</v>
      </c>
      <c r="G719" s="18" t="s">
        <v>402</v>
      </c>
      <c r="H719" s="18" t="s">
        <v>402</v>
      </c>
      <c r="I719" s="18" t="s">
        <v>611</v>
      </c>
      <c r="J719" s="18" t="s">
        <v>637</v>
      </c>
      <c r="K719" s="18" t="s">
        <v>483</v>
      </c>
    </row>
    <row r="720" spans="1:11" ht="14">
      <c r="A720" s="18" t="s">
        <v>480</v>
      </c>
      <c r="B720" s="18" t="s">
        <v>479</v>
      </c>
      <c r="C720" s="9" t="s">
        <v>1071</v>
      </c>
      <c r="D720" s="18" t="s">
        <v>1070</v>
      </c>
      <c r="E720" s="18">
        <v>1996</v>
      </c>
      <c r="F720" s="18">
        <v>96</v>
      </c>
      <c r="G720" s="18" t="s">
        <v>402</v>
      </c>
      <c r="H720" s="18" t="s">
        <v>402</v>
      </c>
      <c r="I720" s="18" t="s">
        <v>611</v>
      </c>
      <c r="J720" s="18" t="s">
        <v>637</v>
      </c>
      <c r="K720" s="18" t="s">
        <v>483</v>
      </c>
    </row>
    <row r="721" spans="1:12" ht="14">
      <c r="A721" s="18" t="s">
        <v>480</v>
      </c>
      <c r="B721" s="18" t="s">
        <v>479</v>
      </c>
      <c r="C721" s="9" t="s">
        <v>1071</v>
      </c>
      <c r="D721" s="18" t="s">
        <v>1070</v>
      </c>
      <c r="E721" s="18">
        <v>1997</v>
      </c>
      <c r="F721" s="18">
        <v>91</v>
      </c>
      <c r="G721" s="18" t="s">
        <v>402</v>
      </c>
      <c r="H721" s="18" t="s">
        <v>402</v>
      </c>
      <c r="I721" s="18" t="s">
        <v>611</v>
      </c>
      <c r="J721" s="18" t="s">
        <v>637</v>
      </c>
      <c r="K721" s="18" t="s">
        <v>483</v>
      </c>
    </row>
    <row r="722" spans="1:12" ht="14">
      <c r="A722" s="18" t="s">
        <v>480</v>
      </c>
      <c r="B722" s="18" t="s">
        <v>479</v>
      </c>
      <c r="C722" s="9" t="s">
        <v>1071</v>
      </c>
      <c r="D722" s="18" t="s">
        <v>1070</v>
      </c>
      <c r="E722" s="18">
        <v>1998</v>
      </c>
      <c r="F722" s="18">
        <v>88</v>
      </c>
      <c r="G722" s="18" t="s">
        <v>402</v>
      </c>
      <c r="H722" s="18" t="s">
        <v>402</v>
      </c>
      <c r="I722" s="18" t="s">
        <v>611</v>
      </c>
      <c r="J722" s="18" t="s">
        <v>637</v>
      </c>
      <c r="K722" s="18" t="s">
        <v>483</v>
      </c>
    </row>
    <row r="723" spans="1:12" ht="14">
      <c r="A723" s="18" t="s">
        <v>480</v>
      </c>
      <c r="B723" s="18" t="s">
        <v>479</v>
      </c>
      <c r="C723" s="9" t="s">
        <v>1071</v>
      </c>
      <c r="D723" s="18" t="s">
        <v>1070</v>
      </c>
      <c r="E723" s="18">
        <v>1999</v>
      </c>
      <c r="F723" s="18">
        <v>85</v>
      </c>
      <c r="G723" s="18" t="s">
        <v>402</v>
      </c>
      <c r="H723" s="18" t="s">
        <v>402</v>
      </c>
      <c r="I723" s="18" t="s">
        <v>611</v>
      </c>
      <c r="J723" s="18" t="s">
        <v>637</v>
      </c>
      <c r="K723" s="18" t="s">
        <v>483</v>
      </c>
    </row>
    <row r="724" spans="1:12" ht="14">
      <c r="A724" s="18" t="s">
        <v>480</v>
      </c>
      <c r="B724" s="18" t="s">
        <v>479</v>
      </c>
      <c r="C724" s="9" t="s">
        <v>1071</v>
      </c>
      <c r="D724" s="18" t="s">
        <v>1070</v>
      </c>
      <c r="E724" s="18">
        <v>2000</v>
      </c>
      <c r="F724" s="18">
        <v>83</v>
      </c>
      <c r="G724" s="18" t="s">
        <v>402</v>
      </c>
      <c r="H724" s="18" t="s">
        <v>402</v>
      </c>
      <c r="I724" s="18" t="s">
        <v>611</v>
      </c>
      <c r="J724" s="18" t="s">
        <v>637</v>
      </c>
      <c r="K724" s="18" t="s">
        <v>483</v>
      </c>
    </row>
    <row r="725" spans="1:12" ht="14">
      <c r="A725" s="18" t="s">
        <v>480</v>
      </c>
      <c r="B725" s="18" t="s">
        <v>479</v>
      </c>
      <c r="C725" s="9" t="s">
        <v>1071</v>
      </c>
      <c r="D725" s="18" t="s">
        <v>1070</v>
      </c>
      <c r="E725" s="18">
        <v>2001</v>
      </c>
      <c r="F725" s="18">
        <v>79</v>
      </c>
      <c r="G725" s="18" t="s">
        <v>402</v>
      </c>
      <c r="H725" s="18" t="s">
        <v>402</v>
      </c>
      <c r="I725" s="18" t="s">
        <v>611</v>
      </c>
      <c r="J725" s="18" t="s">
        <v>637</v>
      </c>
      <c r="K725" s="18" t="s">
        <v>483</v>
      </c>
    </row>
    <row r="726" spans="1:12" ht="14">
      <c r="A726" s="18" t="s">
        <v>480</v>
      </c>
      <c r="B726" s="18" t="s">
        <v>479</v>
      </c>
      <c r="C726" s="9" t="s">
        <v>1071</v>
      </c>
      <c r="D726" s="18" t="s">
        <v>1070</v>
      </c>
      <c r="E726" s="18">
        <v>2002</v>
      </c>
      <c r="F726" s="18">
        <v>82</v>
      </c>
      <c r="G726" s="18" t="s">
        <v>402</v>
      </c>
      <c r="H726" s="18" t="s">
        <v>402</v>
      </c>
      <c r="I726" s="18" t="s">
        <v>611</v>
      </c>
      <c r="J726" s="18" t="s">
        <v>637</v>
      </c>
      <c r="K726" s="18" t="s">
        <v>483</v>
      </c>
    </row>
    <row r="727" spans="1:12" ht="14">
      <c r="A727" s="18" t="s">
        <v>480</v>
      </c>
      <c r="B727" s="18" t="s">
        <v>479</v>
      </c>
      <c r="C727" s="9" t="s">
        <v>1071</v>
      </c>
      <c r="D727" s="18" t="s">
        <v>1070</v>
      </c>
      <c r="E727" s="18">
        <v>2003</v>
      </c>
      <c r="F727" s="18">
        <v>82</v>
      </c>
      <c r="G727" s="18" t="s">
        <v>402</v>
      </c>
      <c r="H727" s="18" t="s">
        <v>402</v>
      </c>
      <c r="I727" s="18" t="s">
        <v>611</v>
      </c>
      <c r="J727" s="18" t="s">
        <v>637</v>
      </c>
      <c r="K727" s="18" t="s">
        <v>483</v>
      </c>
    </row>
    <row r="728" spans="1:12" ht="14">
      <c r="A728" s="18" t="s">
        <v>480</v>
      </c>
      <c r="B728" s="18" t="s">
        <v>479</v>
      </c>
      <c r="C728" s="9" t="s">
        <v>1071</v>
      </c>
      <c r="D728" s="18" t="s">
        <v>1070</v>
      </c>
      <c r="E728" s="18">
        <v>2004</v>
      </c>
      <c r="F728" s="18">
        <v>86</v>
      </c>
      <c r="G728" s="18" t="s">
        <v>402</v>
      </c>
      <c r="H728" s="18" t="s">
        <v>402</v>
      </c>
      <c r="I728" s="18" t="s">
        <v>611</v>
      </c>
      <c r="J728" s="18" t="s">
        <v>637</v>
      </c>
      <c r="K728" s="18" t="s">
        <v>483</v>
      </c>
    </row>
    <row r="729" spans="1:12" ht="14">
      <c r="A729" s="18" t="s">
        <v>480</v>
      </c>
      <c r="B729" s="18" t="s">
        <v>479</v>
      </c>
      <c r="C729" s="9" t="s">
        <v>1071</v>
      </c>
      <c r="D729" s="18" t="s">
        <v>1070</v>
      </c>
      <c r="E729" s="18">
        <v>2005</v>
      </c>
      <c r="F729" s="18">
        <v>86</v>
      </c>
      <c r="G729" s="18" t="s">
        <v>402</v>
      </c>
      <c r="H729" s="18" t="s">
        <v>402</v>
      </c>
      <c r="I729" s="18" t="s">
        <v>611</v>
      </c>
      <c r="J729" s="18" t="s">
        <v>637</v>
      </c>
      <c r="K729" s="18" t="s">
        <v>483</v>
      </c>
    </row>
    <row r="730" spans="1:12" ht="14">
      <c r="A730" s="18" t="s">
        <v>480</v>
      </c>
      <c r="B730" s="18" t="s">
        <v>479</v>
      </c>
      <c r="C730" s="9" t="s">
        <v>1071</v>
      </c>
      <c r="D730" s="18" t="s">
        <v>1070</v>
      </c>
      <c r="E730" s="18">
        <v>2006</v>
      </c>
      <c r="F730" s="18">
        <v>85</v>
      </c>
      <c r="G730" s="18" t="s">
        <v>402</v>
      </c>
      <c r="H730" s="18" t="s">
        <v>402</v>
      </c>
      <c r="I730" s="18" t="s">
        <v>611</v>
      </c>
      <c r="J730" s="18" t="s">
        <v>637</v>
      </c>
      <c r="K730" s="18" t="s">
        <v>483</v>
      </c>
    </row>
    <row r="731" spans="1:12" ht="14">
      <c r="A731" s="18" t="s">
        <v>274</v>
      </c>
      <c r="B731" s="18" t="s">
        <v>273</v>
      </c>
      <c r="C731" s="9" t="s">
        <v>1072</v>
      </c>
      <c r="D731" s="18" t="s">
        <v>1073</v>
      </c>
      <c r="E731" s="18">
        <v>1978</v>
      </c>
      <c r="F731" s="18">
        <v>4830</v>
      </c>
      <c r="G731" s="18">
        <v>3311</v>
      </c>
      <c r="H731" s="18">
        <v>6228</v>
      </c>
      <c r="I731" s="18" t="s">
        <v>611</v>
      </c>
      <c r="J731" s="18" t="s">
        <v>637</v>
      </c>
      <c r="K731" s="18" t="s">
        <v>488</v>
      </c>
      <c r="L731" s="18" t="s">
        <v>1074</v>
      </c>
    </row>
    <row r="732" spans="1:12" ht="14">
      <c r="A732" s="18" t="s">
        <v>274</v>
      </c>
      <c r="B732" s="18" t="s">
        <v>273</v>
      </c>
      <c r="C732" s="9" t="s">
        <v>1072</v>
      </c>
      <c r="D732" s="18" t="s">
        <v>1073</v>
      </c>
      <c r="E732" s="18">
        <v>1980</v>
      </c>
      <c r="F732" s="18">
        <v>3939</v>
      </c>
      <c r="G732" s="18">
        <v>2542</v>
      </c>
      <c r="H732" s="18">
        <v>5215</v>
      </c>
      <c r="I732" s="18" t="s">
        <v>611</v>
      </c>
      <c r="J732" s="18" t="s">
        <v>637</v>
      </c>
      <c r="K732" s="18" t="s">
        <v>488</v>
      </c>
    </row>
    <row r="733" spans="1:12" ht="14">
      <c r="A733" s="18" t="s">
        <v>274</v>
      </c>
      <c r="B733" s="18" t="s">
        <v>273</v>
      </c>
      <c r="C733" s="9" t="s">
        <v>1072</v>
      </c>
      <c r="D733" s="18" t="s">
        <v>1073</v>
      </c>
      <c r="E733" s="18">
        <v>1981</v>
      </c>
      <c r="F733" s="18">
        <v>4527</v>
      </c>
      <c r="G733" s="18">
        <v>3251</v>
      </c>
      <c r="H733" s="18">
        <v>5722</v>
      </c>
      <c r="I733" s="18" t="s">
        <v>611</v>
      </c>
      <c r="J733" s="18" t="s">
        <v>637</v>
      </c>
      <c r="K733" s="18" t="s">
        <v>488</v>
      </c>
    </row>
    <row r="734" spans="1:12" ht="14">
      <c r="A734" s="18" t="s">
        <v>274</v>
      </c>
      <c r="B734" s="18" t="s">
        <v>273</v>
      </c>
      <c r="C734" s="9" t="s">
        <v>1072</v>
      </c>
      <c r="D734" s="18" t="s">
        <v>1073</v>
      </c>
      <c r="E734" s="18">
        <v>1982</v>
      </c>
      <c r="F734" s="18">
        <v>7443</v>
      </c>
      <c r="G734" s="18">
        <v>5316</v>
      </c>
      <c r="H734" s="18">
        <v>9529</v>
      </c>
      <c r="I734" s="18" t="s">
        <v>611</v>
      </c>
      <c r="J734" s="18" t="s">
        <v>637</v>
      </c>
      <c r="K734" s="18" t="s">
        <v>488</v>
      </c>
    </row>
    <row r="735" spans="1:12" ht="14">
      <c r="A735" s="18" t="s">
        <v>274</v>
      </c>
      <c r="B735" s="18" t="s">
        <v>273</v>
      </c>
      <c r="C735" s="9" t="s">
        <v>1072</v>
      </c>
      <c r="D735" s="18" t="s">
        <v>1073</v>
      </c>
      <c r="E735" s="18">
        <v>1983</v>
      </c>
      <c r="F735" s="18">
        <v>6633</v>
      </c>
      <c r="G735" s="18">
        <v>4304</v>
      </c>
      <c r="H735" s="18">
        <v>8881</v>
      </c>
      <c r="I735" s="18" t="s">
        <v>611</v>
      </c>
      <c r="J735" s="18" t="s">
        <v>637</v>
      </c>
      <c r="K735" s="18" t="s">
        <v>488</v>
      </c>
    </row>
    <row r="736" spans="1:12" ht="14">
      <c r="A736" s="18" t="s">
        <v>274</v>
      </c>
      <c r="B736" s="18" t="s">
        <v>273</v>
      </c>
      <c r="C736" s="9" t="s">
        <v>1072</v>
      </c>
      <c r="D736" s="18" t="s">
        <v>1073</v>
      </c>
      <c r="E736" s="18">
        <v>1985</v>
      </c>
      <c r="F736" s="18">
        <v>5803</v>
      </c>
      <c r="G736" s="18">
        <v>4304</v>
      </c>
      <c r="H736" s="18">
        <v>7241</v>
      </c>
      <c r="I736" s="18" t="s">
        <v>611</v>
      </c>
      <c r="J736" s="18" t="s">
        <v>637</v>
      </c>
      <c r="K736" s="18" t="s">
        <v>488</v>
      </c>
    </row>
    <row r="737" spans="1:34" ht="14">
      <c r="A737" s="18" t="s">
        <v>274</v>
      </c>
      <c r="B737" s="18" t="s">
        <v>273</v>
      </c>
      <c r="C737" s="9" t="s">
        <v>1072</v>
      </c>
      <c r="D737" s="18" t="s">
        <v>1073</v>
      </c>
      <c r="E737" s="18">
        <v>1986</v>
      </c>
      <c r="F737" s="18">
        <v>8982</v>
      </c>
      <c r="G737" s="18">
        <v>7018</v>
      </c>
      <c r="H737" s="18">
        <v>10866</v>
      </c>
      <c r="I737" s="18" t="s">
        <v>611</v>
      </c>
      <c r="J737" s="18" t="s">
        <v>637</v>
      </c>
      <c r="K737" s="18" t="s">
        <v>488</v>
      </c>
    </row>
    <row r="738" spans="1:34" ht="14">
      <c r="A738" s="18" t="s">
        <v>274</v>
      </c>
      <c r="B738" s="18" t="s">
        <v>273</v>
      </c>
      <c r="C738" s="9" t="s">
        <v>1072</v>
      </c>
      <c r="D738" s="18" t="s">
        <v>1073</v>
      </c>
      <c r="E738" s="18">
        <v>1987</v>
      </c>
      <c r="F738" s="18">
        <v>5337</v>
      </c>
      <c r="G738" s="18">
        <v>3554</v>
      </c>
      <c r="H738" s="18">
        <v>7038</v>
      </c>
      <c r="I738" s="18" t="s">
        <v>611</v>
      </c>
      <c r="J738" s="18" t="s">
        <v>637</v>
      </c>
      <c r="K738" s="18" t="s">
        <v>488</v>
      </c>
    </row>
    <row r="739" spans="1:34" ht="14">
      <c r="A739" s="18" t="s">
        <v>274</v>
      </c>
      <c r="B739" s="18" t="s">
        <v>273</v>
      </c>
      <c r="C739" s="9" t="s">
        <v>1072</v>
      </c>
      <c r="D739" s="18" t="s">
        <v>1073</v>
      </c>
      <c r="E739" s="18">
        <v>1988</v>
      </c>
      <c r="F739" s="18">
        <v>6997</v>
      </c>
      <c r="G739" s="18">
        <v>6127</v>
      </c>
      <c r="H739" s="18">
        <v>7787</v>
      </c>
      <c r="I739" s="18" t="s">
        <v>611</v>
      </c>
      <c r="J739" s="18" t="s">
        <v>637</v>
      </c>
      <c r="K739" s="18" t="s">
        <v>488</v>
      </c>
    </row>
    <row r="740" spans="1:34" ht="14">
      <c r="A740" s="18" t="s">
        <v>274</v>
      </c>
      <c r="B740" s="18" t="s">
        <v>273</v>
      </c>
      <c r="C740" s="9" t="s">
        <v>1072</v>
      </c>
      <c r="D740" s="18" t="s">
        <v>1073</v>
      </c>
      <c r="E740" s="18">
        <v>1993</v>
      </c>
      <c r="F740" s="18">
        <v>8233</v>
      </c>
      <c r="G740" s="18">
        <v>7605</v>
      </c>
      <c r="H740" s="18">
        <v>8780</v>
      </c>
      <c r="I740" s="18" t="s">
        <v>611</v>
      </c>
      <c r="J740" s="18" t="s">
        <v>637</v>
      </c>
      <c r="K740" s="18" t="s">
        <v>488</v>
      </c>
    </row>
    <row r="741" spans="1:34" ht="14">
      <c r="A741" s="18" t="s">
        <v>274</v>
      </c>
      <c r="B741" s="18" t="s">
        <v>273</v>
      </c>
      <c r="C741" s="9" t="s">
        <v>1072</v>
      </c>
      <c r="D741" s="18" t="s">
        <v>1073</v>
      </c>
      <c r="E741" s="18">
        <v>2001</v>
      </c>
      <c r="F741" s="18">
        <v>10623</v>
      </c>
      <c r="G741" s="18">
        <v>9246</v>
      </c>
      <c r="H741" s="18">
        <v>11939</v>
      </c>
      <c r="I741" s="18" t="s">
        <v>611</v>
      </c>
      <c r="J741" s="18" t="s">
        <v>637</v>
      </c>
      <c r="K741" s="18" t="s">
        <v>488</v>
      </c>
    </row>
    <row r="742" spans="1:34" ht="14">
      <c r="A742" s="18" t="s">
        <v>355</v>
      </c>
      <c r="B742" s="18" t="s">
        <v>434</v>
      </c>
      <c r="C742" s="9" t="s">
        <v>1075</v>
      </c>
      <c r="D742" s="18" t="s">
        <v>1076</v>
      </c>
      <c r="E742" s="18">
        <v>1991</v>
      </c>
      <c r="F742" s="18">
        <v>37500</v>
      </c>
      <c r="G742" s="18" t="s">
        <v>402</v>
      </c>
      <c r="H742" s="18" t="s">
        <v>402</v>
      </c>
      <c r="I742" s="18" t="s">
        <v>611</v>
      </c>
      <c r="J742" s="18" t="s">
        <v>623</v>
      </c>
      <c r="K742" s="18" t="s">
        <v>493</v>
      </c>
      <c r="L742" s="18" t="s">
        <v>1077</v>
      </c>
    </row>
    <row r="743" spans="1:34" ht="14">
      <c r="A743" s="18" t="s">
        <v>355</v>
      </c>
      <c r="B743" s="18" t="s">
        <v>434</v>
      </c>
      <c r="C743" s="9" t="s">
        <v>1075</v>
      </c>
      <c r="D743" s="18" t="s">
        <v>1076</v>
      </c>
      <c r="E743" s="18">
        <v>1992</v>
      </c>
      <c r="F743" s="18">
        <v>67500</v>
      </c>
      <c r="G743" s="18" t="s">
        <v>402</v>
      </c>
      <c r="H743" s="18" t="s">
        <v>402</v>
      </c>
      <c r="I743" s="18" t="s">
        <v>611</v>
      </c>
      <c r="J743" s="18" t="s">
        <v>623</v>
      </c>
      <c r="K743" s="18" t="s">
        <v>493</v>
      </c>
    </row>
    <row r="744" spans="1:34" ht="14">
      <c r="A744" s="18" t="s">
        <v>355</v>
      </c>
      <c r="B744" s="18" t="s">
        <v>434</v>
      </c>
      <c r="C744" s="9" t="s">
        <v>1075</v>
      </c>
      <c r="D744" s="18" t="s">
        <v>1076</v>
      </c>
      <c r="E744" s="18">
        <v>1995</v>
      </c>
      <c r="F744" s="18">
        <v>74000</v>
      </c>
      <c r="G744" s="18" t="s">
        <v>402</v>
      </c>
      <c r="H744" s="18" t="s">
        <v>402</v>
      </c>
      <c r="I744" s="18" t="s">
        <v>611</v>
      </c>
      <c r="J744" s="18" t="s">
        <v>623</v>
      </c>
      <c r="K744" s="18" t="s">
        <v>493</v>
      </c>
    </row>
    <row r="745" spans="1:34" ht="14">
      <c r="A745" s="18" t="s">
        <v>355</v>
      </c>
      <c r="B745" s="18" t="s">
        <v>434</v>
      </c>
      <c r="C745" s="9" t="s">
        <v>1075</v>
      </c>
      <c r="D745" s="18" t="s">
        <v>1076</v>
      </c>
      <c r="E745" s="18">
        <v>1999</v>
      </c>
      <c r="F745" s="18">
        <v>89700</v>
      </c>
      <c r="G745" s="18" t="s">
        <v>402</v>
      </c>
      <c r="H745" s="18" t="s">
        <v>402</v>
      </c>
      <c r="I745" s="18" t="s">
        <v>611</v>
      </c>
      <c r="J745" s="18" t="s">
        <v>623</v>
      </c>
      <c r="K745" s="18" t="s">
        <v>493</v>
      </c>
    </row>
    <row r="746" spans="1:34" ht="13">
      <c r="A746" s="80" t="s">
        <v>427</v>
      </c>
      <c r="B746" s="80" t="s">
        <v>260</v>
      </c>
      <c r="C746" s="80" t="s">
        <v>1078</v>
      </c>
      <c r="D746" s="80" t="s">
        <v>335</v>
      </c>
      <c r="E746" s="80"/>
      <c r="F746" s="80" t="s">
        <v>841</v>
      </c>
      <c r="G746" s="80" t="s">
        <v>690</v>
      </c>
      <c r="H746" s="81">
        <v>1996</v>
      </c>
      <c r="I746" s="82">
        <v>28</v>
      </c>
      <c r="J746" s="83" t="s">
        <v>402</v>
      </c>
      <c r="K746" s="80" t="s">
        <v>402</v>
      </c>
      <c r="L746" s="84" t="s">
        <v>637</v>
      </c>
      <c r="M746" s="85" t="s">
        <v>460</v>
      </c>
      <c r="N746" s="80" t="s">
        <v>461</v>
      </c>
      <c r="O746" s="80"/>
      <c r="P746" s="80"/>
      <c r="Q746" s="80"/>
      <c r="R746" s="80"/>
      <c r="S746" s="80"/>
      <c r="T746" s="80"/>
      <c r="U746" s="80"/>
      <c r="V746" s="80"/>
      <c r="W746" s="80"/>
      <c r="X746" s="80"/>
      <c r="Y746" s="80"/>
      <c r="Z746" s="80"/>
      <c r="AA746" s="80"/>
      <c r="AB746" s="80"/>
      <c r="AC746" s="80"/>
      <c r="AD746" s="80"/>
      <c r="AE746" s="80"/>
      <c r="AF746" s="80"/>
      <c r="AG746" s="80"/>
      <c r="AH746" s="80"/>
    </row>
    <row r="747" spans="1:34" ht="13">
      <c r="A747" s="80" t="s">
        <v>427</v>
      </c>
      <c r="B747" s="80" t="s">
        <v>260</v>
      </c>
      <c r="C747" s="80" t="s">
        <v>1078</v>
      </c>
      <c r="D747" s="80" t="s">
        <v>335</v>
      </c>
      <c r="E747" s="80"/>
      <c r="F747" s="80" t="s">
        <v>841</v>
      </c>
      <c r="G747" s="80" t="s">
        <v>690</v>
      </c>
      <c r="H747" s="81">
        <v>1997</v>
      </c>
      <c r="I747" s="82">
        <v>28</v>
      </c>
      <c r="J747" s="83" t="s">
        <v>402</v>
      </c>
      <c r="K747" s="80" t="s">
        <v>402</v>
      </c>
      <c r="L747" s="84" t="s">
        <v>637</v>
      </c>
      <c r="M747" s="85" t="s">
        <v>460</v>
      </c>
      <c r="N747" s="80" t="s">
        <v>461</v>
      </c>
      <c r="O747" s="80"/>
      <c r="P747" s="80"/>
      <c r="Q747" s="80"/>
      <c r="R747" s="80"/>
      <c r="S747" s="80"/>
      <c r="T747" s="80"/>
      <c r="U747" s="80"/>
      <c r="V747" s="80"/>
      <c r="W747" s="80"/>
      <c r="X747" s="80"/>
      <c r="Y747" s="80"/>
      <c r="Z747" s="80"/>
      <c r="AA747" s="80"/>
      <c r="AB747" s="80"/>
      <c r="AC747" s="80"/>
      <c r="AD747" s="80"/>
      <c r="AE747" s="80"/>
      <c r="AF747" s="80"/>
      <c r="AG747" s="80"/>
      <c r="AH747" s="80"/>
    </row>
    <row r="748" spans="1:34" ht="13">
      <c r="A748" s="80" t="s">
        <v>427</v>
      </c>
      <c r="B748" s="80" t="s">
        <v>260</v>
      </c>
      <c r="C748" s="80" t="s">
        <v>1078</v>
      </c>
      <c r="D748" s="80" t="s">
        <v>335</v>
      </c>
      <c r="E748" s="80"/>
      <c r="F748" s="80" t="s">
        <v>841</v>
      </c>
      <c r="G748" s="80" t="s">
        <v>690</v>
      </c>
      <c r="H748" s="81">
        <v>1998</v>
      </c>
      <c r="I748" s="82">
        <v>14</v>
      </c>
      <c r="J748" s="83" t="s">
        <v>402</v>
      </c>
      <c r="K748" s="80" t="s">
        <v>402</v>
      </c>
      <c r="L748" s="84" t="s">
        <v>637</v>
      </c>
      <c r="M748" s="85" t="s">
        <v>460</v>
      </c>
      <c r="N748" s="80" t="s">
        <v>461</v>
      </c>
      <c r="O748" s="80"/>
      <c r="P748" s="80"/>
      <c r="Q748" s="80"/>
      <c r="R748" s="80"/>
      <c r="S748" s="80"/>
      <c r="T748" s="80"/>
      <c r="U748" s="80"/>
      <c r="V748" s="80"/>
      <c r="W748" s="80"/>
      <c r="X748" s="80"/>
      <c r="Y748" s="80"/>
      <c r="Z748" s="80"/>
      <c r="AA748" s="80"/>
      <c r="AB748" s="80"/>
      <c r="AC748" s="80"/>
      <c r="AD748" s="80"/>
      <c r="AE748" s="80"/>
      <c r="AF748" s="80"/>
      <c r="AG748" s="80"/>
      <c r="AH748" s="80"/>
    </row>
    <row r="749" spans="1:34" ht="13">
      <c r="A749" s="80" t="s">
        <v>427</v>
      </c>
      <c r="B749" s="80" t="s">
        <v>260</v>
      </c>
      <c r="C749" s="80" t="s">
        <v>1078</v>
      </c>
      <c r="D749" s="80" t="s">
        <v>335</v>
      </c>
      <c r="E749" s="80"/>
      <c r="F749" s="80" t="s">
        <v>841</v>
      </c>
      <c r="G749" s="80" t="s">
        <v>690</v>
      </c>
      <c r="H749" s="81">
        <v>1999</v>
      </c>
      <c r="I749" s="82">
        <v>28</v>
      </c>
      <c r="J749" s="83" t="s">
        <v>402</v>
      </c>
      <c r="K749" s="80" t="s">
        <v>402</v>
      </c>
      <c r="L749" s="84" t="s">
        <v>637</v>
      </c>
      <c r="M749" s="85" t="s">
        <v>460</v>
      </c>
      <c r="N749" s="80" t="s">
        <v>461</v>
      </c>
      <c r="O749" s="80"/>
      <c r="P749" s="80"/>
      <c r="Q749" s="80"/>
      <c r="R749" s="80"/>
      <c r="S749" s="80"/>
      <c r="T749" s="80"/>
      <c r="U749" s="80"/>
      <c r="V749" s="80"/>
      <c r="W749" s="80"/>
      <c r="X749" s="80"/>
      <c r="Y749" s="80"/>
      <c r="Z749" s="80"/>
      <c r="AA749" s="80"/>
      <c r="AB749" s="80"/>
      <c r="AC749" s="80"/>
      <c r="AD749" s="80"/>
      <c r="AE749" s="80"/>
      <c r="AF749" s="80"/>
      <c r="AG749" s="80"/>
      <c r="AH749" s="80"/>
    </row>
    <row r="750" spans="1:34" ht="13">
      <c r="A750" s="80" t="s">
        <v>427</v>
      </c>
      <c r="B750" s="80" t="s">
        <v>260</v>
      </c>
      <c r="C750" s="80" t="s">
        <v>1078</v>
      </c>
      <c r="D750" s="80" t="s">
        <v>335</v>
      </c>
      <c r="E750" s="80"/>
      <c r="F750" s="80" t="s">
        <v>841</v>
      </c>
      <c r="G750" s="80" t="s">
        <v>690</v>
      </c>
      <c r="H750" s="81">
        <v>2000</v>
      </c>
      <c r="I750" s="82">
        <v>28</v>
      </c>
      <c r="J750" s="83" t="s">
        <v>402</v>
      </c>
      <c r="K750" s="80" t="s">
        <v>402</v>
      </c>
      <c r="L750" s="84" t="s">
        <v>637</v>
      </c>
      <c r="M750" s="85" t="s">
        <v>460</v>
      </c>
      <c r="N750" s="80" t="s">
        <v>461</v>
      </c>
      <c r="O750" s="80"/>
      <c r="P750" s="80"/>
      <c r="Q750" s="80"/>
      <c r="R750" s="80"/>
      <c r="S750" s="80"/>
      <c r="T750" s="80"/>
      <c r="U750" s="80"/>
      <c r="V750" s="80"/>
      <c r="W750" s="80"/>
      <c r="X750" s="80"/>
      <c r="Y750" s="80"/>
      <c r="Z750" s="80"/>
      <c r="AA750" s="80"/>
      <c r="AB750" s="80"/>
      <c r="AC750" s="80"/>
      <c r="AD750" s="80"/>
      <c r="AE750" s="80"/>
      <c r="AF750" s="80"/>
      <c r="AG750" s="80"/>
      <c r="AH750" s="80"/>
    </row>
    <row r="751" spans="1:34" ht="13">
      <c r="A751" s="80" t="s">
        <v>427</v>
      </c>
      <c r="B751" s="80" t="s">
        <v>260</v>
      </c>
      <c r="C751" s="80" t="s">
        <v>1078</v>
      </c>
      <c r="D751" s="80" t="s">
        <v>335</v>
      </c>
      <c r="E751" s="80"/>
      <c r="F751" s="80" t="s">
        <v>841</v>
      </c>
      <c r="G751" s="80" t="s">
        <v>690</v>
      </c>
      <c r="H751" s="81">
        <v>2001</v>
      </c>
      <c r="I751" s="82">
        <v>28</v>
      </c>
      <c r="J751" s="83" t="s">
        <v>402</v>
      </c>
      <c r="K751" s="80" t="s">
        <v>402</v>
      </c>
      <c r="L751" s="84" t="s">
        <v>637</v>
      </c>
      <c r="M751" s="85" t="s">
        <v>460</v>
      </c>
      <c r="N751" s="80" t="s">
        <v>461</v>
      </c>
      <c r="O751" s="80"/>
      <c r="P751" s="80"/>
      <c r="Q751" s="80"/>
      <c r="R751" s="80"/>
      <c r="S751" s="80"/>
      <c r="T751" s="80"/>
      <c r="U751" s="80"/>
      <c r="V751" s="80"/>
      <c r="W751" s="80"/>
      <c r="X751" s="80"/>
      <c r="Y751" s="80"/>
      <c r="Z751" s="80"/>
      <c r="AA751" s="80"/>
      <c r="AB751" s="80"/>
      <c r="AC751" s="80"/>
      <c r="AD751" s="80"/>
      <c r="AE751" s="80"/>
      <c r="AF751" s="80"/>
      <c r="AG751" s="80"/>
      <c r="AH751" s="80"/>
    </row>
    <row r="752" spans="1:34" ht="13">
      <c r="A752" s="80" t="s">
        <v>427</v>
      </c>
      <c r="B752" s="80" t="s">
        <v>260</v>
      </c>
      <c r="C752" s="80" t="s">
        <v>1078</v>
      </c>
      <c r="D752" s="80" t="s">
        <v>335</v>
      </c>
      <c r="E752" s="80"/>
      <c r="F752" s="80" t="s">
        <v>841</v>
      </c>
      <c r="G752" s="80" t="s">
        <v>690</v>
      </c>
      <c r="H752" s="81">
        <v>2002</v>
      </c>
      <c r="I752" s="82">
        <v>57</v>
      </c>
      <c r="J752" s="83" t="s">
        <v>402</v>
      </c>
      <c r="K752" s="80" t="s">
        <v>402</v>
      </c>
      <c r="L752" s="84" t="s">
        <v>637</v>
      </c>
      <c r="M752" s="85" t="s">
        <v>460</v>
      </c>
      <c r="N752" s="80" t="s">
        <v>461</v>
      </c>
      <c r="O752" s="80"/>
      <c r="P752" s="80"/>
      <c r="Q752" s="80"/>
      <c r="R752" s="80"/>
      <c r="S752" s="80"/>
      <c r="T752" s="80"/>
      <c r="U752" s="80"/>
      <c r="V752" s="80"/>
      <c r="W752" s="80"/>
      <c r="X752" s="80"/>
      <c r="Y752" s="80"/>
      <c r="Z752" s="80"/>
      <c r="AA752" s="80"/>
      <c r="AB752" s="80"/>
      <c r="AC752" s="80"/>
      <c r="AD752" s="80"/>
      <c r="AE752" s="80"/>
      <c r="AF752" s="80"/>
      <c r="AG752" s="80"/>
      <c r="AH752" s="80"/>
    </row>
    <row r="753" spans="1:34" ht="13">
      <c r="A753" s="80" t="s">
        <v>427</v>
      </c>
      <c r="B753" s="80" t="s">
        <v>260</v>
      </c>
      <c r="C753" s="80" t="s">
        <v>1078</v>
      </c>
      <c r="D753" s="80" t="s">
        <v>335</v>
      </c>
      <c r="E753" s="80"/>
      <c r="F753" s="80" t="s">
        <v>841</v>
      </c>
      <c r="G753" s="80" t="s">
        <v>690</v>
      </c>
      <c r="H753" s="81">
        <v>2003</v>
      </c>
      <c r="I753" s="82">
        <v>28</v>
      </c>
      <c r="J753" s="83" t="s">
        <v>402</v>
      </c>
      <c r="K753" s="80" t="s">
        <v>402</v>
      </c>
      <c r="L753" s="84" t="s">
        <v>637</v>
      </c>
      <c r="M753" s="85" t="s">
        <v>460</v>
      </c>
      <c r="N753" s="80" t="s">
        <v>461</v>
      </c>
      <c r="O753" s="80"/>
      <c r="P753" s="80"/>
      <c r="Q753" s="80"/>
      <c r="R753" s="80"/>
      <c r="S753" s="80"/>
      <c r="T753" s="80"/>
      <c r="U753" s="80"/>
      <c r="V753" s="80"/>
      <c r="W753" s="80"/>
      <c r="X753" s="80"/>
      <c r="Y753" s="80"/>
      <c r="Z753" s="80"/>
      <c r="AA753" s="80"/>
      <c r="AB753" s="80"/>
      <c r="AC753" s="80"/>
      <c r="AD753" s="80"/>
      <c r="AE753" s="80"/>
      <c r="AF753" s="80"/>
      <c r="AG753" s="80"/>
      <c r="AH753" s="80"/>
    </row>
    <row r="754" spans="1:34" ht="13">
      <c r="A754" s="80" t="s">
        <v>427</v>
      </c>
      <c r="B754" s="80" t="s">
        <v>260</v>
      </c>
      <c r="C754" s="80" t="s">
        <v>1078</v>
      </c>
      <c r="D754" s="80" t="s">
        <v>335</v>
      </c>
      <c r="E754" s="80"/>
      <c r="F754" s="80" t="s">
        <v>841</v>
      </c>
      <c r="G754" s="80" t="s">
        <v>690</v>
      </c>
      <c r="H754" s="81">
        <v>2004</v>
      </c>
      <c r="I754" s="82">
        <v>57</v>
      </c>
      <c r="J754" s="83" t="s">
        <v>402</v>
      </c>
      <c r="K754" s="80" t="s">
        <v>402</v>
      </c>
      <c r="L754" s="84" t="s">
        <v>637</v>
      </c>
      <c r="M754" s="85" t="s">
        <v>460</v>
      </c>
      <c r="N754" s="80" t="s">
        <v>461</v>
      </c>
      <c r="O754" s="80"/>
      <c r="P754" s="80"/>
      <c r="Q754" s="80"/>
      <c r="R754" s="80"/>
      <c r="S754" s="80"/>
      <c r="T754" s="80"/>
      <c r="U754" s="80"/>
      <c r="V754" s="80"/>
      <c r="W754" s="80"/>
      <c r="X754" s="80"/>
      <c r="Y754" s="80"/>
      <c r="Z754" s="80"/>
      <c r="AA754" s="80"/>
      <c r="AB754" s="80"/>
      <c r="AC754" s="80"/>
      <c r="AD754" s="80"/>
      <c r="AE754" s="80"/>
      <c r="AF754" s="80"/>
      <c r="AG754" s="80"/>
      <c r="AH754" s="80"/>
    </row>
    <row r="755" spans="1:34" ht="13">
      <c r="A755" s="80" t="s">
        <v>427</v>
      </c>
      <c r="B755" s="80" t="s">
        <v>260</v>
      </c>
      <c r="C755" s="80" t="s">
        <v>1078</v>
      </c>
      <c r="D755" s="80" t="s">
        <v>335</v>
      </c>
      <c r="E755" s="80"/>
      <c r="F755" s="80" t="s">
        <v>841</v>
      </c>
      <c r="G755" s="80" t="s">
        <v>690</v>
      </c>
      <c r="H755" s="81">
        <v>2005</v>
      </c>
      <c r="I755" s="82">
        <v>85</v>
      </c>
      <c r="J755" s="83" t="s">
        <v>402</v>
      </c>
      <c r="K755" s="80" t="s">
        <v>402</v>
      </c>
      <c r="L755" s="84" t="s">
        <v>637</v>
      </c>
      <c r="M755" s="85" t="s">
        <v>460</v>
      </c>
      <c r="N755" s="80" t="s">
        <v>461</v>
      </c>
      <c r="O755" s="80"/>
      <c r="P755" s="80"/>
      <c r="Q755" s="80"/>
      <c r="R755" s="80"/>
      <c r="S755" s="80"/>
      <c r="T755" s="80"/>
      <c r="U755" s="80"/>
      <c r="V755" s="80"/>
      <c r="W755" s="80"/>
      <c r="X755" s="80"/>
      <c r="Y755" s="80"/>
      <c r="Z755" s="80"/>
      <c r="AA755" s="80"/>
      <c r="AB755" s="80"/>
      <c r="AC755" s="80"/>
      <c r="AD755" s="80"/>
      <c r="AE755" s="80"/>
      <c r="AF755" s="80"/>
      <c r="AG755" s="80"/>
      <c r="AH755" s="80"/>
    </row>
    <row r="756" spans="1:34" ht="13">
      <c r="A756" s="80" t="s">
        <v>427</v>
      </c>
      <c r="B756" s="80" t="s">
        <v>260</v>
      </c>
      <c r="C756" s="80" t="s">
        <v>1078</v>
      </c>
      <c r="D756" s="80" t="s">
        <v>335</v>
      </c>
      <c r="E756" s="80"/>
      <c r="F756" s="80" t="s">
        <v>841</v>
      </c>
      <c r="G756" s="80" t="s">
        <v>690</v>
      </c>
      <c r="H756" s="81">
        <v>2006</v>
      </c>
      <c r="I756" s="82">
        <v>313</v>
      </c>
      <c r="J756" s="83" t="s">
        <v>402</v>
      </c>
      <c r="K756" s="80" t="s">
        <v>402</v>
      </c>
      <c r="L756" s="84" t="s">
        <v>637</v>
      </c>
      <c r="M756" s="85" t="s">
        <v>460</v>
      </c>
      <c r="N756" s="80" t="s">
        <v>461</v>
      </c>
      <c r="O756" s="80"/>
      <c r="P756" s="80"/>
      <c r="Q756" s="80"/>
      <c r="R756" s="80"/>
      <c r="S756" s="80"/>
      <c r="T756" s="80"/>
      <c r="U756" s="80"/>
      <c r="V756" s="80"/>
      <c r="W756" s="80"/>
      <c r="X756" s="80"/>
      <c r="Y756" s="80"/>
      <c r="Z756" s="80"/>
      <c r="AA756" s="80"/>
      <c r="AB756" s="80"/>
      <c r="AC756" s="80"/>
      <c r="AD756" s="80"/>
      <c r="AE756" s="80"/>
      <c r="AF756" s="80"/>
      <c r="AG756" s="80"/>
      <c r="AH756" s="80"/>
    </row>
    <row r="757" spans="1:34" ht="13">
      <c r="A757" s="80" t="s">
        <v>427</v>
      </c>
      <c r="B757" s="80" t="s">
        <v>260</v>
      </c>
      <c r="C757" s="80" t="s">
        <v>1078</v>
      </c>
      <c r="D757" s="80" t="s">
        <v>335</v>
      </c>
      <c r="E757" s="80"/>
      <c r="F757" s="80" t="s">
        <v>841</v>
      </c>
      <c r="G757" s="80" t="s">
        <v>690</v>
      </c>
      <c r="H757" s="81">
        <v>2007</v>
      </c>
      <c r="I757" s="82">
        <v>199</v>
      </c>
      <c r="J757" s="83" t="s">
        <v>402</v>
      </c>
      <c r="K757" s="80" t="s">
        <v>402</v>
      </c>
      <c r="L757" s="84" t="s">
        <v>637</v>
      </c>
      <c r="M757" s="85" t="s">
        <v>460</v>
      </c>
      <c r="N757" s="80" t="s">
        <v>461</v>
      </c>
      <c r="O757" s="80"/>
      <c r="P757" s="80"/>
      <c r="Q757" s="80"/>
      <c r="R757" s="80"/>
      <c r="S757" s="80"/>
      <c r="T757" s="80"/>
      <c r="U757" s="80"/>
      <c r="V757" s="80"/>
      <c r="W757" s="80"/>
      <c r="X757" s="80"/>
      <c r="Y757" s="80"/>
      <c r="Z757" s="80"/>
      <c r="AA757" s="80"/>
      <c r="AB757" s="80"/>
      <c r="AC757" s="80"/>
      <c r="AD757" s="80"/>
      <c r="AE757" s="80"/>
      <c r="AF757" s="80"/>
      <c r="AG757" s="80"/>
      <c r="AH757" s="80"/>
    </row>
    <row r="758" spans="1:34" ht="13">
      <c r="A758" s="80" t="s">
        <v>427</v>
      </c>
      <c r="B758" s="80" t="s">
        <v>260</v>
      </c>
      <c r="C758" s="80" t="s">
        <v>1078</v>
      </c>
      <c r="D758" s="80" t="s">
        <v>335</v>
      </c>
      <c r="E758" s="80"/>
      <c r="F758" s="80" t="s">
        <v>841</v>
      </c>
      <c r="G758" s="80" t="s">
        <v>690</v>
      </c>
      <c r="H758" s="81">
        <v>2008</v>
      </c>
      <c r="I758" s="82">
        <v>199</v>
      </c>
      <c r="J758" s="83" t="s">
        <v>402</v>
      </c>
      <c r="K758" s="80" t="s">
        <v>402</v>
      </c>
      <c r="L758" s="84" t="s">
        <v>637</v>
      </c>
      <c r="M758" s="85" t="s">
        <v>460</v>
      </c>
      <c r="N758" s="80" t="s">
        <v>461</v>
      </c>
      <c r="O758" s="80"/>
      <c r="P758" s="80"/>
      <c r="Q758" s="80"/>
      <c r="R758" s="80"/>
      <c r="S758" s="80"/>
      <c r="T758" s="80"/>
      <c r="U758" s="80"/>
      <c r="V758" s="80"/>
      <c r="W758" s="80"/>
      <c r="X758" s="80"/>
      <c r="Y758" s="80"/>
      <c r="Z758" s="80"/>
      <c r="AA758" s="80"/>
      <c r="AB758" s="80"/>
      <c r="AC758" s="80"/>
      <c r="AD758" s="80"/>
      <c r="AE758" s="80"/>
      <c r="AF758" s="80"/>
      <c r="AG758" s="80"/>
      <c r="AH758" s="80"/>
    </row>
    <row r="759" spans="1:34" ht="13">
      <c r="A759" s="80" t="s">
        <v>427</v>
      </c>
      <c r="B759" s="80" t="s">
        <v>260</v>
      </c>
      <c r="C759" s="80" t="s">
        <v>1078</v>
      </c>
      <c r="D759" s="80" t="s">
        <v>335</v>
      </c>
      <c r="E759" s="80"/>
      <c r="F759" s="80" t="s">
        <v>841</v>
      </c>
      <c r="G759" s="80" t="s">
        <v>690</v>
      </c>
      <c r="H759" s="81">
        <v>2009</v>
      </c>
      <c r="I759" s="82">
        <v>227</v>
      </c>
      <c r="J759" s="83" t="s">
        <v>402</v>
      </c>
      <c r="K759" s="80" t="s">
        <v>402</v>
      </c>
      <c r="L759" s="84" t="s">
        <v>637</v>
      </c>
      <c r="M759" s="85" t="s">
        <v>460</v>
      </c>
      <c r="N759" s="80" t="s">
        <v>461</v>
      </c>
      <c r="O759" s="80"/>
      <c r="P759" s="80"/>
      <c r="Q759" s="80"/>
      <c r="R759" s="80"/>
      <c r="S759" s="80"/>
      <c r="T759" s="80"/>
      <c r="U759" s="80"/>
      <c r="V759" s="80"/>
      <c r="W759" s="80"/>
      <c r="X759" s="80"/>
      <c r="Y759" s="80"/>
      <c r="Z759" s="80"/>
      <c r="AA759" s="80"/>
      <c r="AB759" s="80"/>
      <c r="AC759" s="80"/>
      <c r="AD759" s="80"/>
      <c r="AE759" s="80"/>
      <c r="AF759" s="80"/>
      <c r="AG759" s="80"/>
      <c r="AH759" s="80"/>
    </row>
    <row r="760" spans="1:34" ht="13">
      <c r="A760" s="80" t="s">
        <v>427</v>
      </c>
      <c r="B760" s="80" t="s">
        <v>260</v>
      </c>
      <c r="C760" s="80" t="s">
        <v>1078</v>
      </c>
      <c r="D760" s="80" t="s">
        <v>335</v>
      </c>
      <c r="E760" s="80"/>
      <c r="F760" s="80" t="s">
        <v>841</v>
      </c>
      <c r="G760" s="80" t="s">
        <v>690</v>
      </c>
      <c r="H760" s="81">
        <v>2010</v>
      </c>
      <c r="I760" s="82">
        <v>398</v>
      </c>
      <c r="J760" s="83" t="s">
        <v>402</v>
      </c>
      <c r="K760" s="80" t="s">
        <v>402</v>
      </c>
      <c r="L760" s="84" t="s">
        <v>637</v>
      </c>
      <c r="M760" s="85" t="s">
        <v>460</v>
      </c>
      <c r="N760" s="80" t="s">
        <v>461</v>
      </c>
      <c r="O760" s="80"/>
      <c r="P760" s="80"/>
      <c r="Q760" s="80"/>
      <c r="R760" s="80"/>
      <c r="S760" s="80"/>
      <c r="T760" s="80"/>
      <c r="U760" s="80"/>
      <c r="V760" s="80"/>
      <c r="W760" s="80"/>
      <c r="X760" s="80"/>
      <c r="Y760" s="80"/>
      <c r="Z760" s="80"/>
      <c r="AA760" s="80"/>
      <c r="AB760" s="80"/>
      <c r="AC760" s="80"/>
      <c r="AD760" s="80"/>
      <c r="AE760" s="80"/>
      <c r="AF760" s="80"/>
      <c r="AG760" s="80"/>
      <c r="AH760" s="80"/>
    </row>
    <row r="761" spans="1:34" ht="13">
      <c r="A761" s="80" t="s">
        <v>427</v>
      </c>
      <c r="B761" s="80" t="s">
        <v>260</v>
      </c>
      <c r="C761" s="80" t="s">
        <v>1078</v>
      </c>
      <c r="D761" s="80" t="s">
        <v>335</v>
      </c>
      <c r="E761" s="80"/>
      <c r="F761" s="80" t="s">
        <v>841</v>
      </c>
      <c r="G761" s="80" t="s">
        <v>690</v>
      </c>
      <c r="H761" s="81">
        <v>2011</v>
      </c>
      <c r="I761" s="82">
        <v>512</v>
      </c>
      <c r="J761" s="83" t="s">
        <v>402</v>
      </c>
      <c r="K761" s="80" t="s">
        <v>402</v>
      </c>
      <c r="L761" s="84" t="s">
        <v>637</v>
      </c>
      <c r="M761" s="85" t="s">
        <v>460</v>
      </c>
      <c r="N761" s="80" t="s">
        <v>461</v>
      </c>
      <c r="O761" s="80"/>
      <c r="P761" s="80"/>
      <c r="Q761" s="80"/>
      <c r="R761" s="80"/>
      <c r="S761" s="80"/>
      <c r="T761" s="80"/>
      <c r="U761" s="80"/>
      <c r="V761" s="80"/>
      <c r="W761" s="80"/>
      <c r="X761" s="80"/>
      <c r="Y761" s="80"/>
      <c r="Z761" s="80"/>
      <c r="AA761" s="80"/>
      <c r="AB761" s="80"/>
      <c r="AC761" s="80"/>
      <c r="AD761" s="80"/>
      <c r="AE761" s="80"/>
      <c r="AF761" s="80"/>
      <c r="AG761" s="80"/>
      <c r="AH761" s="80"/>
    </row>
    <row r="762" spans="1:34" ht="13">
      <c r="A762" s="80" t="s">
        <v>427</v>
      </c>
      <c r="B762" s="80" t="s">
        <v>260</v>
      </c>
      <c r="C762" s="80" t="s">
        <v>1078</v>
      </c>
      <c r="D762" s="80" t="s">
        <v>335</v>
      </c>
      <c r="E762" s="80"/>
      <c r="F762" s="80" t="s">
        <v>841</v>
      </c>
      <c r="G762" s="80" t="s">
        <v>690</v>
      </c>
      <c r="H762" s="81">
        <v>2012</v>
      </c>
      <c r="I762" s="82">
        <v>597</v>
      </c>
      <c r="J762" s="83" t="s">
        <v>402</v>
      </c>
      <c r="K762" s="80" t="s">
        <v>402</v>
      </c>
      <c r="L762" s="84" t="s">
        <v>637</v>
      </c>
      <c r="M762" s="85" t="s">
        <v>460</v>
      </c>
      <c r="N762" s="80" t="s">
        <v>461</v>
      </c>
      <c r="O762" s="80"/>
      <c r="P762" s="80"/>
      <c r="Q762" s="80"/>
      <c r="R762" s="80"/>
      <c r="S762" s="80"/>
      <c r="T762" s="80"/>
      <c r="U762" s="80"/>
      <c r="V762" s="80"/>
      <c r="W762" s="80"/>
      <c r="X762" s="80"/>
      <c r="Y762" s="80"/>
      <c r="Z762" s="80"/>
      <c r="AA762" s="80"/>
      <c r="AB762" s="80"/>
      <c r="AC762" s="80"/>
      <c r="AD762" s="80"/>
      <c r="AE762" s="80"/>
      <c r="AF762" s="80"/>
      <c r="AG762" s="80"/>
      <c r="AH762" s="80"/>
    </row>
    <row r="763" spans="1:34" ht="13">
      <c r="A763" s="80" t="s">
        <v>427</v>
      </c>
      <c r="B763" s="80" t="s">
        <v>260</v>
      </c>
      <c r="C763" s="80" t="s">
        <v>1078</v>
      </c>
      <c r="D763" s="80" t="s">
        <v>335</v>
      </c>
      <c r="E763" s="80"/>
      <c r="F763" s="80" t="s">
        <v>841</v>
      </c>
      <c r="G763" s="80" t="s">
        <v>690</v>
      </c>
      <c r="H763" s="81">
        <v>2013</v>
      </c>
      <c r="I763" s="82">
        <v>398</v>
      </c>
      <c r="J763" s="83" t="s">
        <v>402</v>
      </c>
      <c r="K763" s="80" t="s">
        <v>402</v>
      </c>
      <c r="L763" s="84" t="s">
        <v>637</v>
      </c>
      <c r="M763" s="85" t="s">
        <v>460</v>
      </c>
      <c r="N763" s="80" t="s">
        <v>461</v>
      </c>
      <c r="O763" s="80"/>
      <c r="P763" s="80"/>
      <c r="Q763" s="80"/>
      <c r="R763" s="80"/>
      <c r="S763" s="80"/>
      <c r="T763" s="80"/>
      <c r="U763" s="80"/>
      <c r="V763" s="80"/>
      <c r="W763" s="80"/>
      <c r="X763" s="80"/>
      <c r="Y763" s="80"/>
      <c r="Z763" s="80"/>
      <c r="AA763" s="80"/>
      <c r="AB763" s="80"/>
      <c r="AC763" s="80"/>
      <c r="AD763" s="80"/>
      <c r="AE763" s="80"/>
      <c r="AF763" s="80"/>
      <c r="AG763" s="80"/>
      <c r="AH763" s="80"/>
    </row>
    <row r="764" spans="1:34" ht="13">
      <c r="A764" s="80" t="s">
        <v>427</v>
      </c>
      <c r="B764" s="80" t="s">
        <v>260</v>
      </c>
      <c r="C764" s="80" t="s">
        <v>1078</v>
      </c>
      <c r="D764" s="80" t="s">
        <v>335</v>
      </c>
      <c r="E764" s="80"/>
      <c r="F764" s="80" t="s">
        <v>841</v>
      </c>
      <c r="G764" s="80" t="s">
        <v>690</v>
      </c>
      <c r="H764" s="81">
        <v>2014</v>
      </c>
      <c r="I764" s="82">
        <v>682</v>
      </c>
      <c r="J764" s="83" t="s">
        <v>402</v>
      </c>
      <c r="K764" s="80" t="s">
        <v>402</v>
      </c>
      <c r="L764" s="84" t="s">
        <v>637</v>
      </c>
      <c r="M764" s="85" t="s">
        <v>460</v>
      </c>
      <c r="N764" s="80" t="s">
        <v>461</v>
      </c>
      <c r="O764" s="80"/>
      <c r="P764" s="80"/>
      <c r="Q764" s="80"/>
      <c r="R764" s="80"/>
      <c r="S764" s="80"/>
      <c r="T764" s="80"/>
      <c r="U764" s="80"/>
      <c r="V764" s="80"/>
      <c r="W764" s="80"/>
      <c r="X764" s="80"/>
      <c r="Y764" s="80"/>
      <c r="Z764" s="80"/>
      <c r="AA764" s="80"/>
      <c r="AB764" s="80"/>
      <c r="AC764" s="80"/>
      <c r="AD764" s="80"/>
      <c r="AE764" s="80"/>
      <c r="AF764" s="80"/>
      <c r="AG764" s="80"/>
      <c r="AH764" s="80"/>
    </row>
    <row r="765" spans="1:34" ht="13">
      <c r="A765" s="80" t="s">
        <v>427</v>
      </c>
      <c r="B765" s="80" t="s">
        <v>260</v>
      </c>
      <c r="C765" s="80" t="s">
        <v>1078</v>
      </c>
      <c r="D765" s="80" t="s">
        <v>335</v>
      </c>
      <c r="E765" s="80"/>
      <c r="F765" s="80" t="s">
        <v>841</v>
      </c>
      <c r="G765" s="80" t="s">
        <v>690</v>
      </c>
      <c r="H765" s="81">
        <v>2015</v>
      </c>
      <c r="I765" s="82">
        <v>1137</v>
      </c>
      <c r="J765" s="83" t="s">
        <v>402</v>
      </c>
      <c r="K765" s="80" t="s">
        <v>402</v>
      </c>
      <c r="L765" s="84" t="s">
        <v>637</v>
      </c>
      <c r="M765" s="85" t="s">
        <v>460</v>
      </c>
      <c r="N765" s="80" t="s">
        <v>461</v>
      </c>
      <c r="O765" s="80"/>
      <c r="P765" s="80"/>
      <c r="Q765" s="80"/>
      <c r="R765" s="80"/>
      <c r="S765" s="80"/>
      <c r="T765" s="80"/>
      <c r="U765" s="80"/>
      <c r="V765" s="80"/>
      <c r="W765" s="80"/>
      <c r="X765" s="80"/>
      <c r="Y765" s="80"/>
      <c r="Z765" s="80"/>
      <c r="AA765" s="80"/>
      <c r="AB765" s="80"/>
      <c r="AC765" s="80"/>
      <c r="AD765" s="80"/>
      <c r="AE765" s="80"/>
      <c r="AF765" s="80"/>
      <c r="AG765" s="80"/>
      <c r="AH765" s="80"/>
    </row>
    <row r="766" spans="1:34" ht="13">
      <c r="A766" s="80" t="s">
        <v>427</v>
      </c>
      <c r="B766" s="80" t="s">
        <v>260</v>
      </c>
      <c r="C766" s="80" t="s">
        <v>1078</v>
      </c>
      <c r="D766" s="80" t="s">
        <v>335</v>
      </c>
      <c r="E766" s="80"/>
      <c r="F766" s="80" t="s">
        <v>841</v>
      </c>
      <c r="G766" s="80" t="s">
        <v>690</v>
      </c>
      <c r="H766" s="81">
        <v>2016</v>
      </c>
      <c r="I766" s="82">
        <v>1137</v>
      </c>
      <c r="J766" s="83" t="s">
        <v>402</v>
      </c>
      <c r="K766" s="80" t="s">
        <v>402</v>
      </c>
      <c r="L766" s="84" t="s">
        <v>637</v>
      </c>
      <c r="M766" s="85" t="s">
        <v>460</v>
      </c>
      <c r="N766" s="80" t="s">
        <v>461</v>
      </c>
      <c r="O766" s="80"/>
      <c r="P766" s="80"/>
      <c r="Q766" s="80"/>
      <c r="R766" s="80"/>
      <c r="S766" s="80"/>
      <c r="T766" s="80"/>
      <c r="U766" s="80"/>
      <c r="V766" s="80"/>
      <c r="W766" s="80"/>
      <c r="X766" s="80"/>
      <c r="Y766" s="80"/>
      <c r="Z766" s="80"/>
      <c r="AA766" s="80"/>
      <c r="AB766" s="80"/>
      <c r="AC766" s="80"/>
      <c r="AD766" s="80"/>
      <c r="AE766" s="80"/>
      <c r="AF766" s="80"/>
      <c r="AG766" s="80"/>
      <c r="AH766" s="80"/>
    </row>
    <row r="767" spans="1:34" ht="13">
      <c r="A767" s="80" t="s">
        <v>427</v>
      </c>
      <c r="B767" s="80" t="s">
        <v>260</v>
      </c>
      <c r="C767" s="80" t="s">
        <v>1078</v>
      </c>
      <c r="D767" s="80" t="s">
        <v>335</v>
      </c>
      <c r="E767" s="80"/>
      <c r="F767" s="80" t="s">
        <v>841</v>
      </c>
      <c r="G767" s="80" t="s">
        <v>690</v>
      </c>
      <c r="H767" s="81">
        <v>2017</v>
      </c>
      <c r="I767" s="82">
        <v>1592</v>
      </c>
      <c r="J767" s="83" t="s">
        <v>402</v>
      </c>
      <c r="K767" s="80" t="s">
        <v>402</v>
      </c>
      <c r="L767" s="84" t="s">
        <v>637</v>
      </c>
      <c r="M767" s="85" t="s">
        <v>460</v>
      </c>
      <c r="N767" s="80" t="s">
        <v>461</v>
      </c>
      <c r="O767" s="80"/>
      <c r="P767" s="80"/>
      <c r="Q767" s="80"/>
      <c r="R767" s="80"/>
      <c r="S767" s="80"/>
      <c r="T767" s="80"/>
      <c r="U767" s="80"/>
      <c r="V767" s="80"/>
      <c r="W767" s="80"/>
      <c r="X767" s="80"/>
      <c r="Y767" s="80"/>
      <c r="Z767" s="80"/>
      <c r="AA767" s="80"/>
      <c r="AB767" s="80"/>
      <c r="AC767" s="80"/>
      <c r="AD767" s="80"/>
      <c r="AE767" s="80"/>
      <c r="AF767" s="80"/>
      <c r="AG767" s="80"/>
      <c r="AH767" s="80"/>
    </row>
    <row r="768" spans="1:34" ht="13">
      <c r="A768" s="80" t="s">
        <v>427</v>
      </c>
      <c r="B768" s="80" t="s">
        <v>260</v>
      </c>
      <c r="C768" s="80" t="s">
        <v>1078</v>
      </c>
      <c r="D768" s="80" t="s">
        <v>335</v>
      </c>
      <c r="E768" s="80"/>
      <c r="F768" s="80" t="s">
        <v>841</v>
      </c>
      <c r="G768" s="80" t="s">
        <v>690</v>
      </c>
      <c r="H768" s="81">
        <v>2018</v>
      </c>
      <c r="I768" s="82">
        <v>1820</v>
      </c>
      <c r="J768" s="83" t="s">
        <v>402</v>
      </c>
      <c r="K768" s="80" t="s">
        <v>402</v>
      </c>
      <c r="L768" s="84" t="s">
        <v>637</v>
      </c>
      <c r="M768" s="85" t="s">
        <v>460</v>
      </c>
      <c r="N768" s="80" t="s">
        <v>461</v>
      </c>
      <c r="O768" s="80"/>
      <c r="P768" s="80"/>
      <c r="Q768" s="80"/>
      <c r="R768" s="80"/>
      <c r="S768" s="80"/>
      <c r="T768" s="80"/>
      <c r="U768" s="80"/>
      <c r="V768" s="80"/>
      <c r="W768" s="80"/>
      <c r="X768" s="80"/>
      <c r="Y768" s="80"/>
      <c r="Z768" s="80"/>
      <c r="AA768" s="80"/>
      <c r="AB768" s="80"/>
      <c r="AC768" s="80"/>
      <c r="AD768" s="80"/>
      <c r="AE768" s="80"/>
      <c r="AF768" s="80"/>
      <c r="AG768" s="80"/>
      <c r="AH768" s="80"/>
    </row>
    <row r="769" spans="1:34" ht="13">
      <c r="A769" s="80" t="s">
        <v>427</v>
      </c>
      <c r="B769" s="80" t="s">
        <v>260</v>
      </c>
      <c r="C769" s="80" t="s">
        <v>1078</v>
      </c>
      <c r="D769" s="80" t="s">
        <v>335</v>
      </c>
      <c r="E769" s="80"/>
      <c r="F769" s="80" t="s">
        <v>841</v>
      </c>
      <c r="G769" s="80" t="s">
        <v>690</v>
      </c>
      <c r="H769" s="81">
        <v>2019</v>
      </c>
      <c r="I769" s="82">
        <v>1592</v>
      </c>
      <c r="J769" s="83" t="s">
        <v>402</v>
      </c>
      <c r="K769" s="80" t="s">
        <v>402</v>
      </c>
      <c r="L769" s="84" t="s">
        <v>637</v>
      </c>
      <c r="M769" s="85" t="s">
        <v>460</v>
      </c>
      <c r="N769" s="80" t="s">
        <v>461</v>
      </c>
      <c r="O769" s="80"/>
      <c r="P769" s="80"/>
      <c r="Q769" s="80"/>
      <c r="R769" s="80"/>
      <c r="S769" s="80"/>
      <c r="T769" s="80"/>
      <c r="U769" s="80"/>
      <c r="V769" s="80"/>
      <c r="W769" s="80"/>
      <c r="X769" s="80"/>
      <c r="Y769" s="80"/>
      <c r="Z769" s="80"/>
      <c r="AA769" s="80"/>
      <c r="AB769" s="80"/>
      <c r="AC769" s="80"/>
      <c r="AD769" s="80"/>
      <c r="AE769" s="80"/>
      <c r="AF769" s="80"/>
      <c r="AG769" s="80"/>
      <c r="AH769" s="80"/>
    </row>
    <row r="770" spans="1:34" ht="13">
      <c r="A770" s="80" t="s">
        <v>427</v>
      </c>
      <c r="B770" s="80" t="s">
        <v>260</v>
      </c>
      <c r="C770" s="80" t="s">
        <v>1078</v>
      </c>
      <c r="D770" s="80" t="s">
        <v>335</v>
      </c>
      <c r="E770" s="80"/>
      <c r="F770" s="80" t="s">
        <v>841</v>
      </c>
      <c r="G770" s="80" t="s">
        <v>690</v>
      </c>
      <c r="H770" s="81">
        <v>2020</v>
      </c>
      <c r="I770" s="82">
        <v>2246</v>
      </c>
      <c r="J770" s="83" t="s">
        <v>402</v>
      </c>
      <c r="K770" s="80" t="s">
        <v>402</v>
      </c>
      <c r="L770" s="84" t="s">
        <v>637</v>
      </c>
      <c r="M770" s="85" t="s">
        <v>460</v>
      </c>
      <c r="N770" s="80" t="s">
        <v>461</v>
      </c>
      <c r="O770" s="80"/>
      <c r="P770" s="80"/>
      <c r="Q770" s="80"/>
      <c r="R770" s="80"/>
      <c r="S770" s="80"/>
      <c r="T770" s="80"/>
      <c r="U770" s="80"/>
      <c r="V770" s="80"/>
      <c r="W770" s="80"/>
      <c r="X770" s="80"/>
      <c r="Y770" s="80"/>
      <c r="Z770" s="80"/>
      <c r="AA770" s="80"/>
      <c r="AB770" s="80"/>
      <c r="AC770" s="80"/>
      <c r="AD770" s="80"/>
      <c r="AE770" s="80"/>
      <c r="AF770" s="80"/>
      <c r="AG770" s="80"/>
      <c r="AH770" s="80"/>
    </row>
    <row r="771" spans="1:34" ht="13">
      <c r="A771" s="80" t="s">
        <v>427</v>
      </c>
      <c r="B771" s="80" t="s">
        <v>260</v>
      </c>
      <c r="C771" s="80" t="s">
        <v>1079</v>
      </c>
      <c r="D771" s="80" t="s">
        <v>335</v>
      </c>
      <c r="E771" s="80"/>
      <c r="F771" s="80" t="s">
        <v>841</v>
      </c>
      <c r="G771" s="80" t="s">
        <v>690</v>
      </c>
      <c r="H771" s="81">
        <v>1968</v>
      </c>
      <c r="I771" s="82">
        <v>55</v>
      </c>
      <c r="J771" s="83" t="s">
        <v>402</v>
      </c>
      <c r="K771" s="80" t="s">
        <v>402</v>
      </c>
      <c r="L771" s="84" t="s">
        <v>637</v>
      </c>
      <c r="M771" s="85" t="s">
        <v>460</v>
      </c>
      <c r="N771" s="80" t="s">
        <v>461</v>
      </c>
      <c r="O771" s="80"/>
      <c r="P771" s="80"/>
      <c r="Q771" s="80"/>
      <c r="R771" s="80"/>
      <c r="S771" s="80"/>
      <c r="T771" s="80"/>
      <c r="U771" s="80"/>
      <c r="V771" s="80"/>
      <c r="W771" s="80"/>
      <c r="X771" s="80"/>
      <c r="Y771" s="80"/>
      <c r="Z771" s="80"/>
      <c r="AA771" s="80"/>
      <c r="AB771" s="80"/>
      <c r="AC771" s="80"/>
      <c r="AD771" s="80"/>
      <c r="AE771" s="80"/>
      <c r="AF771" s="80"/>
      <c r="AG771" s="80"/>
      <c r="AH771" s="80"/>
    </row>
    <row r="772" spans="1:34" ht="13">
      <c r="A772" s="80" t="s">
        <v>427</v>
      </c>
      <c r="B772" s="80" t="s">
        <v>260</v>
      </c>
      <c r="C772" s="80" t="s">
        <v>1079</v>
      </c>
      <c r="D772" s="80" t="s">
        <v>335</v>
      </c>
      <c r="E772" s="80"/>
      <c r="F772" s="80" t="s">
        <v>841</v>
      </c>
      <c r="G772" s="80" t="s">
        <v>690</v>
      </c>
      <c r="H772" s="81">
        <v>1969</v>
      </c>
      <c r="I772" s="82">
        <v>55</v>
      </c>
      <c r="J772" s="83" t="s">
        <v>402</v>
      </c>
      <c r="K772" s="80" t="s">
        <v>402</v>
      </c>
      <c r="L772" s="84" t="s">
        <v>637</v>
      </c>
      <c r="M772" s="85" t="s">
        <v>460</v>
      </c>
      <c r="N772" s="80" t="s">
        <v>461</v>
      </c>
      <c r="O772" s="80"/>
      <c r="P772" s="80"/>
      <c r="Q772" s="80"/>
      <c r="R772" s="80"/>
      <c r="S772" s="80"/>
      <c r="T772" s="80"/>
      <c r="U772" s="80"/>
      <c r="V772" s="80"/>
      <c r="W772" s="80"/>
      <c r="X772" s="80"/>
      <c r="Y772" s="80"/>
      <c r="Z772" s="80"/>
      <c r="AA772" s="80"/>
      <c r="AB772" s="80"/>
      <c r="AC772" s="80"/>
      <c r="AD772" s="80"/>
      <c r="AE772" s="80"/>
      <c r="AF772" s="80"/>
      <c r="AG772" s="80"/>
      <c r="AH772" s="80"/>
    </row>
    <row r="773" spans="1:34" ht="13">
      <c r="A773" s="80" t="s">
        <v>427</v>
      </c>
      <c r="B773" s="80" t="s">
        <v>260</v>
      </c>
      <c r="C773" s="80" t="s">
        <v>1079</v>
      </c>
      <c r="D773" s="80" t="s">
        <v>335</v>
      </c>
      <c r="E773" s="80"/>
      <c r="F773" s="80" t="s">
        <v>841</v>
      </c>
      <c r="G773" s="80" t="s">
        <v>690</v>
      </c>
      <c r="H773" s="81">
        <v>1970</v>
      </c>
      <c r="I773" s="82">
        <v>55</v>
      </c>
      <c r="J773" s="83" t="s">
        <v>402</v>
      </c>
      <c r="K773" s="80" t="s">
        <v>402</v>
      </c>
      <c r="L773" s="84" t="s">
        <v>637</v>
      </c>
      <c r="M773" s="85" t="s">
        <v>460</v>
      </c>
      <c r="N773" s="80" t="s">
        <v>461</v>
      </c>
      <c r="O773" s="80"/>
      <c r="P773" s="80"/>
      <c r="Q773" s="80"/>
      <c r="R773" s="80"/>
      <c r="S773" s="80"/>
      <c r="T773" s="80"/>
      <c r="U773" s="80"/>
      <c r="V773" s="80"/>
      <c r="W773" s="80"/>
      <c r="X773" s="80"/>
      <c r="Y773" s="80"/>
      <c r="Z773" s="80"/>
      <c r="AA773" s="80"/>
      <c r="AB773" s="80"/>
      <c r="AC773" s="80"/>
      <c r="AD773" s="80"/>
      <c r="AE773" s="80"/>
      <c r="AF773" s="80"/>
      <c r="AG773" s="80"/>
      <c r="AH773" s="80"/>
    </row>
    <row r="774" spans="1:34" ht="13">
      <c r="A774" s="80" t="s">
        <v>427</v>
      </c>
      <c r="B774" s="80" t="s">
        <v>260</v>
      </c>
      <c r="C774" s="80" t="s">
        <v>1079</v>
      </c>
      <c r="D774" s="80" t="s">
        <v>335</v>
      </c>
      <c r="E774" s="80"/>
      <c r="F774" s="80" t="s">
        <v>841</v>
      </c>
      <c r="G774" s="80" t="s">
        <v>690</v>
      </c>
      <c r="H774" s="81">
        <v>1971</v>
      </c>
      <c r="I774" s="82">
        <v>82</v>
      </c>
      <c r="J774" s="83" t="s">
        <v>402</v>
      </c>
      <c r="K774" s="80" t="s">
        <v>402</v>
      </c>
      <c r="L774" s="84" t="s">
        <v>637</v>
      </c>
      <c r="M774" s="85" t="s">
        <v>460</v>
      </c>
      <c r="N774" s="80" t="s">
        <v>461</v>
      </c>
      <c r="O774" s="80"/>
      <c r="P774" s="80"/>
      <c r="Q774" s="80"/>
      <c r="R774" s="80"/>
      <c r="S774" s="80"/>
      <c r="T774" s="80"/>
      <c r="U774" s="80"/>
      <c r="V774" s="80"/>
      <c r="W774" s="80"/>
      <c r="X774" s="80"/>
      <c r="Y774" s="80"/>
      <c r="Z774" s="80"/>
      <c r="AA774" s="80"/>
      <c r="AB774" s="80"/>
      <c r="AC774" s="80"/>
      <c r="AD774" s="80"/>
      <c r="AE774" s="80"/>
      <c r="AF774" s="80"/>
      <c r="AG774" s="80"/>
      <c r="AH774" s="80"/>
    </row>
    <row r="775" spans="1:34" ht="13">
      <c r="A775" s="80" t="s">
        <v>427</v>
      </c>
      <c r="B775" s="80" t="s">
        <v>260</v>
      </c>
      <c r="C775" s="80" t="s">
        <v>1079</v>
      </c>
      <c r="D775" s="80" t="s">
        <v>335</v>
      </c>
      <c r="E775" s="80"/>
      <c r="F775" s="80" t="s">
        <v>841</v>
      </c>
      <c r="G775" s="80" t="s">
        <v>690</v>
      </c>
      <c r="H775" s="81">
        <v>1972</v>
      </c>
      <c r="I775" s="82">
        <v>109</v>
      </c>
      <c r="J775" s="83" t="s">
        <v>402</v>
      </c>
      <c r="K775" s="80" t="s">
        <v>402</v>
      </c>
      <c r="L775" s="84" t="s">
        <v>637</v>
      </c>
      <c r="M775" s="85" t="s">
        <v>460</v>
      </c>
      <c r="N775" s="80" t="s">
        <v>461</v>
      </c>
      <c r="O775" s="80"/>
      <c r="P775" s="80"/>
      <c r="Q775" s="80"/>
      <c r="R775" s="80"/>
      <c r="S775" s="80"/>
      <c r="T775" s="80"/>
      <c r="U775" s="80"/>
      <c r="V775" s="80"/>
      <c r="W775" s="80"/>
      <c r="X775" s="80"/>
      <c r="Y775" s="80"/>
      <c r="Z775" s="80"/>
      <c r="AA775" s="80"/>
      <c r="AB775" s="80"/>
      <c r="AC775" s="80"/>
      <c r="AD775" s="80"/>
      <c r="AE775" s="80"/>
      <c r="AF775" s="80"/>
      <c r="AG775" s="80"/>
      <c r="AH775" s="80"/>
    </row>
    <row r="776" spans="1:34" ht="13">
      <c r="A776" s="80" t="s">
        <v>427</v>
      </c>
      <c r="B776" s="80" t="s">
        <v>260</v>
      </c>
      <c r="C776" s="80" t="s">
        <v>1079</v>
      </c>
      <c r="D776" s="80" t="s">
        <v>335</v>
      </c>
      <c r="E776" s="80"/>
      <c r="F776" s="80" t="s">
        <v>841</v>
      </c>
      <c r="G776" s="80" t="s">
        <v>690</v>
      </c>
      <c r="H776" s="81">
        <v>1973</v>
      </c>
      <c r="I776" s="82">
        <v>82</v>
      </c>
      <c r="J776" s="83" t="s">
        <v>402</v>
      </c>
      <c r="K776" s="80" t="s">
        <v>402</v>
      </c>
      <c r="L776" s="84" t="s">
        <v>637</v>
      </c>
      <c r="M776" s="85" t="s">
        <v>460</v>
      </c>
      <c r="N776" s="80" t="s">
        <v>461</v>
      </c>
      <c r="O776" s="80"/>
      <c r="P776" s="80"/>
      <c r="Q776" s="80"/>
      <c r="R776" s="80"/>
      <c r="S776" s="80"/>
      <c r="T776" s="80"/>
      <c r="U776" s="80"/>
      <c r="V776" s="80"/>
      <c r="W776" s="80"/>
      <c r="X776" s="80"/>
      <c r="Y776" s="80"/>
      <c r="Z776" s="80"/>
      <c r="AA776" s="80"/>
      <c r="AB776" s="80"/>
      <c r="AC776" s="80"/>
      <c r="AD776" s="80"/>
      <c r="AE776" s="80"/>
      <c r="AF776" s="80"/>
      <c r="AG776" s="80"/>
      <c r="AH776" s="80"/>
    </row>
    <row r="777" spans="1:34" ht="13">
      <c r="A777" s="80" t="s">
        <v>427</v>
      </c>
      <c r="B777" s="80" t="s">
        <v>260</v>
      </c>
      <c r="C777" s="80" t="s">
        <v>1079</v>
      </c>
      <c r="D777" s="80" t="s">
        <v>335</v>
      </c>
      <c r="E777" s="80"/>
      <c r="F777" s="80" t="s">
        <v>841</v>
      </c>
      <c r="G777" s="80" t="s">
        <v>690</v>
      </c>
      <c r="H777" s="81">
        <v>1974</v>
      </c>
      <c r="I777" s="82">
        <v>245</v>
      </c>
      <c r="J777" s="83" t="s">
        <v>402</v>
      </c>
      <c r="K777" s="80" t="s">
        <v>402</v>
      </c>
      <c r="L777" s="84" t="s">
        <v>637</v>
      </c>
      <c r="M777" s="85" t="s">
        <v>460</v>
      </c>
      <c r="N777" s="80" t="s">
        <v>461</v>
      </c>
      <c r="O777" s="80"/>
      <c r="P777" s="80"/>
      <c r="Q777" s="80"/>
      <c r="R777" s="80"/>
      <c r="S777" s="80"/>
      <c r="T777" s="80"/>
      <c r="U777" s="80"/>
      <c r="V777" s="80"/>
      <c r="W777" s="80"/>
      <c r="X777" s="80"/>
      <c r="Y777" s="80"/>
      <c r="Z777" s="80"/>
      <c r="AA777" s="80"/>
      <c r="AB777" s="80"/>
      <c r="AC777" s="80"/>
      <c r="AD777" s="80"/>
      <c r="AE777" s="80"/>
      <c r="AF777" s="80"/>
      <c r="AG777" s="80"/>
      <c r="AH777" s="80"/>
    </row>
    <row r="778" spans="1:34" ht="13">
      <c r="A778" s="80" t="s">
        <v>427</v>
      </c>
      <c r="B778" s="80" t="s">
        <v>260</v>
      </c>
      <c r="C778" s="80" t="s">
        <v>1079</v>
      </c>
      <c r="D778" s="80" t="s">
        <v>335</v>
      </c>
      <c r="E778" s="80"/>
      <c r="F778" s="80" t="s">
        <v>841</v>
      </c>
      <c r="G778" s="80" t="s">
        <v>690</v>
      </c>
      <c r="H778" s="81">
        <v>1975</v>
      </c>
      <c r="I778" s="82">
        <v>327</v>
      </c>
      <c r="J778" s="83" t="s">
        <v>402</v>
      </c>
      <c r="K778" s="80" t="s">
        <v>402</v>
      </c>
      <c r="L778" s="84" t="s">
        <v>637</v>
      </c>
      <c r="M778" s="85" t="s">
        <v>460</v>
      </c>
      <c r="N778" s="80" t="s">
        <v>461</v>
      </c>
      <c r="O778" s="80"/>
      <c r="P778" s="80"/>
      <c r="Q778" s="80"/>
      <c r="R778" s="80"/>
      <c r="S778" s="80"/>
      <c r="T778" s="80"/>
      <c r="U778" s="80"/>
      <c r="V778" s="80"/>
      <c r="W778" s="80"/>
      <c r="X778" s="80"/>
      <c r="Y778" s="80"/>
      <c r="Z778" s="80"/>
      <c r="AA778" s="80"/>
      <c r="AB778" s="80"/>
      <c r="AC778" s="80"/>
      <c r="AD778" s="80"/>
      <c r="AE778" s="80"/>
      <c r="AF778" s="80"/>
      <c r="AG778" s="80"/>
      <c r="AH778" s="80"/>
    </row>
    <row r="779" spans="1:34" ht="13">
      <c r="A779" s="80" t="s">
        <v>427</v>
      </c>
      <c r="B779" s="80" t="s">
        <v>260</v>
      </c>
      <c r="C779" s="80" t="s">
        <v>1079</v>
      </c>
      <c r="D779" s="80" t="s">
        <v>335</v>
      </c>
      <c r="E779" s="80"/>
      <c r="F779" s="80" t="s">
        <v>841</v>
      </c>
      <c r="G779" s="80" t="s">
        <v>690</v>
      </c>
      <c r="H779" s="81">
        <v>1976</v>
      </c>
      <c r="I779" s="82">
        <v>409</v>
      </c>
      <c r="J779" s="83" t="s">
        <v>402</v>
      </c>
      <c r="K779" s="80" t="s">
        <v>402</v>
      </c>
      <c r="L779" s="84" t="s">
        <v>637</v>
      </c>
      <c r="M779" s="85" t="s">
        <v>460</v>
      </c>
      <c r="N779" s="80" t="s">
        <v>461</v>
      </c>
      <c r="O779" s="80"/>
      <c r="P779" s="80"/>
      <c r="Q779" s="80"/>
      <c r="R779" s="80"/>
      <c r="S779" s="80"/>
      <c r="T779" s="80"/>
      <c r="U779" s="80"/>
      <c r="V779" s="80"/>
      <c r="W779" s="80"/>
      <c r="X779" s="80"/>
      <c r="Y779" s="80"/>
      <c r="Z779" s="80"/>
      <c r="AA779" s="80"/>
      <c r="AB779" s="80"/>
      <c r="AC779" s="80"/>
      <c r="AD779" s="80"/>
      <c r="AE779" s="80"/>
      <c r="AF779" s="80"/>
      <c r="AG779" s="80"/>
      <c r="AH779" s="80"/>
    </row>
    <row r="780" spans="1:34" ht="13">
      <c r="A780" s="80" t="s">
        <v>427</v>
      </c>
      <c r="B780" s="80" t="s">
        <v>260</v>
      </c>
      <c r="C780" s="80" t="s">
        <v>1079</v>
      </c>
      <c r="D780" s="80" t="s">
        <v>335</v>
      </c>
      <c r="E780" s="80"/>
      <c r="F780" s="80" t="s">
        <v>841</v>
      </c>
      <c r="G780" s="80" t="s">
        <v>690</v>
      </c>
      <c r="H780" s="81">
        <v>1977</v>
      </c>
      <c r="I780" s="82">
        <v>409</v>
      </c>
      <c r="J780" s="83" t="s">
        <v>402</v>
      </c>
      <c r="K780" s="80" t="s">
        <v>402</v>
      </c>
      <c r="L780" s="84" t="s">
        <v>637</v>
      </c>
      <c r="M780" s="85" t="s">
        <v>460</v>
      </c>
      <c r="N780" s="80" t="s">
        <v>461</v>
      </c>
      <c r="O780" s="80"/>
      <c r="P780" s="80"/>
      <c r="Q780" s="80"/>
      <c r="R780" s="80"/>
      <c r="S780" s="80"/>
      <c r="T780" s="80"/>
      <c r="U780" s="80"/>
      <c r="V780" s="80"/>
      <c r="W780" s="80"/>
      <c r="X780" s="80"/>
      <c r="Y780" s="80"/>
      <c r="Z780" s="80"/>
      <c r="AA780" s="80"/>
      <c r="AB780" s="80"/>
      <c r="AC780" s="80"/>
      <c r="AD780" s="80"/>
      <c r="AE780" s="80"/>
      <c r="AF780" s="80"/>
      <c r="AG780" s="80"/>
      <c r="AH780" s="80"/>
    </row>
    <row r="781" spans="1:34" ht="13">
      <c r="A781" s="80" t="s">
        <v>427</v>
      </c>
      <c r="B781" s="80" t="s">
        <v>260</v>
      </c>
      <c r="C781" s="80" t="s">
        <v>1079</v>
      </c>
      <c r="D781" s="80" t="s">
        <v>335</v>
      </c>
      <c r="E781" s="80"/>
      <c r="F781" s="80" t="s">
        <v>841</v>
      </c>
      <c r="G781" s="80" t="s">
        <v>690</v>
      </c>
      <c r="H781" s="81">
        <v>1978</v>
      </c>
      <c r="I781" s="82">
        <v>655</v>
      </c>
      <c r="J781" s="83" t="s">
        <v>402</v>
      </c>
      <c r="K781" s="80" t="s">
        <v>402</v>
      </c>
      <c r="L781" s="84" t="s">
        <v>637</v>
      </c>
      <c r="M781" s="85" t="s">
        <v>460</v>
      </c>
      <c r="N781" s="80" t="s">
        <v>461</v>
      </c>
      <c r="O781" s="80"/>
      <c r="P781" s="80"/>
      <c r="Q781" s="80"/>
      <c r="R781" s="80"/>
      <c r="S781" s="80"/>
      <c r="T781" s="80"/>
      <c r="U781" s="80"/>
      <c r="V781" s="80"/>
      <c r="W781" s="80"/>
      <c r="X781" s="80"/>
      <c r="Y781" s="80"/>
      <c r="Z781" s="80"/>
      <c r="AA781" s="80"/>
      <c r="AB781" s="80"/>
      <c r="AC781" s="80"/>
      <c r="AD781" s="80"/>
      <c r="AE781" s="80"/>
      <c r="AF781" s="80"/>
      <c r="AG781" s="80"/>
      <c r="AH781" s="80"/>
    </row>
    <row r="782" spans="1:34" ht="13">
      <c r="A782" s="80" t="s">
        <v>427</v>
      </c>
      <c r="B782" s="80" t="s">
        <v>260</v>
      </c>
      <c r="C782" s="80" t="s">
        <v>1079</v>
      </c>
      <c r="D782" s="80" t="s">
        <v>335</v>
      </c>
      <c r="E782" s="80"/>
      <c r="F782" s="80" t="s">
        <v>841</v>
      </c>
      <c r="G782" s="80" t="s">
        <v>690</v>
      </c>
      <c r="H782" s="81">
        <v>1979</v>
      </c>
      <c r="I782" s="82">
        <v>818</v>
      </c>
      <c r="J782" s="83" t="s">
        <v>402</v>
      </c>
      <c r="K782" s="80" t="s">
        <v>402</v>
      </c>
      <c r="L782" s="84" t="s">
        <v>637</v>
      </c>
      <c r="M782" s="85" t="s">
        <v>460</v>
      </c>
      <c r="N782" s="80" t="s">
        <v>461</v>
      </c>
      <c r="O782" s="80"/>
      <c r="P782" s="80"/>
      <c r="Q782" s="80"/>
      <c r="R782" s="80"/>
      <c r="S782" s="80"/>
      <c r="T782" s="80"/>
      <c r="U782" s="80"/>
      <c r="V782" s="80"/>
      <c r="W782" s="80"/>
      <c r="X782" s="80"/>
      <c r="Y782" s="80"/>
      <c r="Z782" s="80"/>
      <c r="AA782" s="80"/>
      <c r="AB782" s="80"/>
      <c r="AC782" s="80"/>
      <c r="AD782" s="80"/>
      <c r="AE782" s="80"/>
      <c r="AF782" s="80"/>
      <c r="AG782" s="80"/>
      <c r="AH782" s="80"/>
    </row>
    <row r="783" spans="1:34" ht="13">
      <c r="A783" s="80" t="s">
        <v>427</v>
      </c>
      <c r="B783" s="80" t="s">
        <v>260</v>
      </c>
      <c r="C783" s="80" t="s">
        <v>1079</v>
      </c>
      <c r="D783" s="80" t="s">
        <v>335</v>
      </c>
      <c r="E783" s="80"/>
      <c r="F783" s="80" t="s">
        <v>841</v>
      </c>
      <c r="G783" s="80" t="s">
        <v>690</v>
      </c>
      <c r="H783" s="81">
        <v>1980</v>
      </c>
      <c r="I783" s="82">
        <v>900</v>
      </c>
      <c r="J783" s="83" t="s">
        <v>402</v>
      </c>
      <c r="K783" s="80" t="s">
        <v>402</v>
      </c>
      <c r="L783" s="84" t="s">
        <v>637</v>
      </c>
      <c r="M783" s="85" t="s">
        <v>460</v>
      </c>
      <c r="N783" s="80" t="s">
        <v>461</v>
      </c>
      <c r="O783" s="80"/>
      <c r="P783" s="80"/>
      <c r="Q783" s="80"/>
      <c r="R783" s="80"/>
      <c r="S783" s="80"/>
      <c r="T783" s="80"/>
      <c r="U783" s="80"/>
      <c r="V783" s="80"/>
      <c r="W783" s="80"/>
      <c r="X783" s="80"/>
      <c r="Y783" s="80"/>
      <c r="Z783" s="80"/>
      <c r="AA783" s="80"/>
      <c r="AB783" s="80"/>
      <c r="AC783" s="80"/>
      <c r="AD783" s="80"/>
      <c r="AE783" s="80"/>
      <c r="AF783" s="80"/>
      <c r="AG783" s="80"/>
      <c r="AH783" s="80"/>
    </row>
    <row r="784" spans="1:34" ht="13">
      <c r="A784" s="80" t="s">
        <v>427</v>
      </c>
      <c r="B784" s="80" t="s">
        <v>260</v>
      </c>
      <c r="C784" s="80" t="s">
        <v>1079</v>
      </c>
      <c r="D784" s="80" t="s">
        <v>335</v>
      </c>
      <c r="E784" s="80"/>
      <c r="F784" s="80" t="s">
        <v>841</v>
      </c>
      <c r="G784" s="80" t="s">
        <v>690</v>
      </c>
      <c r="H784" s="81">
        <v>1981</v>
      </c>
      <c r="I784" s="82">
        <v>927</v>
      </c>
      <c r="J784" s="83" t="s">
        <v>402</v>
      </c>
      <c r="K784" s="80" t="s">
        <v>402</v>
      </c>
      <c r="L784" s="84" t="s">
        <v>637</v>
      </c>
      <c r="M784" s="85" t="s">
        <v>460</v>
      </c>
      <c r="N784" s="80" t="s">
        <v>461</v>
      </c>
      <c r="O784" s="80"/>
      <c r="P784" s="80"/>
      <c r="Q784" s="80"/>
      <c r="R784" s="80"/>
      <c r="S784" s="80"/>
      <c r="T784" s="80"/>
      <c r="U784" s="80"/>
      <c r="V784" s="80"/>
      <c r="W784" s="80"/>
      <c r="X784" s="80"/>
      <c r="Y784" s="80"/>
      <c r="Z784" s="80"/>
      <c r="AA784" s="80"/>
      <c r="AB784" s="80"/>
      <c r="AC784" s="80"/>
      <c r="AD784" s="80"/>
      <c r="AE784" s="80"/>
      <c r="AF784" s="80"/>
      <c r="AG784" s="80"/>
      <c r="AH784" s="80"/>
    </row>
    <row r="785" spans="1:34" ht="13">
      <c r="A785" s="80" t="s">
        <v>427</v>
      </c>
      <c r="B785" s="80" t="s">
        <v>260</v>
      </c>
      <c r="C785" s="80" t="s">
        <v>1079</v>
      </c>
      <c r="D785" s="80" t="s">
        <v>335</v>
      </c>
      <c r="E785" s="80"/>
      <c r="F785" s="80" t="s">
        <v>841</v>
      </c>
      <c r="G785" s="80" t="s">
        <v>690</v>
      </c>
      <c r="H785" s="81">
        <v>1982</v>
      </c>
      <c r="I785" s="82">
        <v>1009</v>
      </c>
      <c r="J785" s="83" t="s">
        <v>402</v>
      </c>
      <c r="K785" s="80" t="s">
        <v>402</v>
      </c>
      <c r="L785" s="84" t="s">
        <v>637</v>
      </c>
      <c r="M785" s="85" t="s">
        <v>460</v>
      </c>
      <c r="N785" s="80" t="s">
        <v>461</v>
      </c>
      <c r="O785" s="80"/>
      <c r="P785" s="80"/>
      <c r="Q785" s="80"/>
      <c r="R785" s="80"/>
      <c r="S785" s="80"/>
      <c r="T785" s="80"/>
      <c r="U785" s="80"/>
      <c r="V785" s="80"/>
      <c r="W785" s="80"/>
      <c r="X785" s="80"/>
      <c r="Y785" s="80"/>
      <c r="Z785" s="80"/>
      <c r="AA785" s="80"/>
      <c r="AB785" s="80"/>
      <c r="AC785" s="80"/>
      <c r="AD785" s="80"/>
      <c r="AE785" s="80"/>
      <c r="AF785" s="80"/>
      <c r="AG785" s="80"/>
      <c r="AH785" s="80"/>
    </row>
    <row r="786" spans="1:34" ht="13">
      <c r="A786" s="80" t="s">
        <v>427</v>
      </c>
      <c r="B786" s="80" t="s">
        <v>260</v>
      </c>
      <c r="C786" s="80" t="s">
        <v>1079</v>
      </c>
      <c r="D786" s="80" t="s">
        <v>335</v>
      </c>
      <c r="E786" s="80"/>
      <c r="F786" s="80" t="s">
        <v>841</v>
      </c>
      <c r="G786" s="80" t="s">
        <v>690</v>
      </c>
      <c r="H786" s="81">
        <v>1983</v>
      </c>
      <c r="I786" s="82">
        <v>382</v>
      </c>
      <c r="J786" s="83" t="s">
        <v>402</v>
      </c>
      <c r="K786" s="80" t="s">
        <v>402</v>
      </c>
      <c r="L786" s="84" t="s">
        <v>637</v>
      </c>
      <c r="M786" s="85" t="s">
        <v>460</v>
      </c>
      <c r="N786" s="80" t="s">
        <v>461</v>
      </c>
      <c r="O786" s="80"/>
      <c r="P786" s="80"/>
      <c r="Q786" s="80"/>
      <c r="R786" s="80"/>
      <c r="S786" s="80"/>
      <c r="T786" s="80"/>
      <c r="U786" s="80"/>
      <c r="V786" s="80"/>
      <c r="W786" s="80"/>
      <c r="X786" s="80"/>
      <c r="Y786" s="80"/>
      <c r="Z786" s="80"/>
      <c r="AA786" s="80"/>
      <c r="AB786" s="80"/>
      <c r="AC786" s="80"/>
      <c r="AD786" s="80"/>
      <c r="AE786" s="80"/>
      <c r="AF786" s="80"/>
      <c r="AG786" s="80"/>
      <c r="AH786" s="80"/>
    </row>
    <row r="787" spans="1:34" ht="13">
      <c r="A787" s="80" t="s">
        <v>427</v>
      </c>
      <c r="B787" s="80" t="s">
        <v>260</v>
      </c>
      <c r="C787" s="80" t="s">
        <v>1079</v>
      </c>
      <c r="D787" s="80" t="s">
        <v>335</v>
      </c>
      <c r="E787" s="80"/>
      <c r="F787" s="80" t="s">
        <v>841</v>
      </c>
      <c r="G787" s="80" t="s">
        <v>690</v>
      </c>
      <c r="H787" s="81">
        <v>1984</v>
      </c>
      <c r="I787" s="82">
        <v>491</v>
      </c>
      <c r="J787" s="83" t="s">
        <v>402</v>
      </c>
      <c r="K787" s="80" t="s">
        <v>402</v>
      </c>
      <c r="L787" s="84" t="s">
        <v>637</v>
      </c>
      <c r="M787" s="85" t="s">
        <v>460</v>
      </c>
      <c r="N787" s="80" t="s">
        <v>461</v>
      </c>
      <c r="O787" s="80"/>
      <c r="P787" s="80"/>
      <c r="Q787" s="80"/>
      <c r="R787" s="80"/>
      <c r="S787" s="80"/>
      <c r="T787" s="80"/>
      <c r="U787" s="80"/>
      <c r="V787" s="80"/>
      <c r="W787" s="80"/>
      <c r="X787" s="80"/>
      <c r="Y787" s="80"/>
      <c r="Z787" s="80"/>
      <c r="AA787" s="80"/>
      <c r="AB787" s="80"/>
      <c r="AC787" s="80"/>
      <c r="AD787" s="80"/>
      <c r="AE787" s="80"/>
      <c r="AF787" s="80"/>
      <c r="AG787" s="80"/>
      <c r="AH787" s="80"/>
    </row>
    <row r="788" spans="1:34" ht="13">
      <c r="A788" s="80" t="s">
        <v>427</v>
      </c>
      <c r="B788" s="80" t="s">
        <v>260</v>
      </c>
      <c r="C788" s="80" t="s">
        <v>1079</v>
      </c>
      <c r="D788" s="80" t="s">
        <v>335</v>
      </c>
      <c r="E788" s="80"/>
      <c r="F788" s="80" t="s">
        <v>841</v>
      </c>
      <c r="G788" s="80" t="s">
        <v>690</v>
      </c>
      <c r="H788" s="81">
        <v>1985</v>
      </c>
      <c r="I788" s="82">
        <v>436</v>
      </c>
      <c r="J788" s="83" t="s">
        <v>402</v>
      </c>
      <c r="K788" s="80" t="s">
        <v>402</v>
      </c>
      <c r="L788" s="84" t="s">
        <v>637</v>
      </c>
      <c r="M788" s="85" t="s">
        <v>460</v>
      </c>
      <c r="N788" s="80" t="s">
        <v>461</v>
      </c>
      <c r="O788" s="80"/>
      <c r="P788" s="80"/>
      <c r="Q788" s="80"/>
      <c r="R788" s="80"/>
      <c r="S788" s="80"/>
      <c r="T788" s="80"/>
      <c r="U788" s="80"/>
      <c r="V788" s="80"/>
      <c r="W788" s="80"/>
      <c r="X788" s="80"/>
      <c r="Y788" s="80"/>
      <c r="Z788" s="80"/>
      <c r="AA788" s="80"/>
      <c r="AB788" s="80"/>
      <c r="AC788" s="80"/>
      <c r="AD788" s="80"/>
      <c r="AE788" s="80"/>
      <c r="AF788" s="80"/>
      <c r="AG788" s="80"/>
      <c r="AH788" s="80"/>
    </row>
    <row r="789" spans="1:34" ht="13">
      <c r="A789" s="80" t="s">
        <v>427</v>
      </c>
      <c r="B789" s="80" t="s">
        <v>260</v>
      </c>
      <c r="C789" s="80" t="s">
        <v>1079</v>
      </c>
      <c r="D789" s="80" t="s">
        <v>335</v>
      </c>
      <c r="E789" s="80"/>
      <c r="F789" s="80" t="s">
        <v>841</v>
      </c>
      <c r="G789" s="80" t="s">
        <v>690</v>
      </c>
      <c r="H789" s="81">
        <v>1986</v>
      </c>
      <c r="I789" s="82">
        <v>682</v>
      </c>
      <c r="J789" s="83" t="s">
        <v>402</v>
      </c>
      <c r="K789" s="80" t="s">
        <v>402</v>
      </c>
      <c r="L789" s="84" t="s">
        <v>637</v>
      </c>
      <c r="M789" s="85" t="s">
        <v>460</v>
      </c>
      <c r="N789" s="80" t="s">
        <v>461</v>
      </c>
      <c r="O789" s="80"/>
      <c r="P789" s="80"/>
      <c r="Q789" s="80"/>
      <c r="R789" s="80"/>
      <c r="S789" s="80"/>
      <c r="T789" s="80"/>
      <c r="U789" s="80"/>
      <c r="V789" s="80"/>
      <c r="W789" s="80"/>
      <c r="X789" s="80"/>
      <c r="Y789" s="80"/>
      <c r="Z789" s="80"/>
      <c r="AA789" s="80"/>
      <c r="AB789" s="80"/>
      <c r="AC789" s="80"/>
      <c r="AD789" s="80"/>
      <c r="AE789" s="80"/>
      <c r="AF789" s="80"/>
      <c r="AG789" s="80"/>
      <c r="AH789" s="80"/>
    </row>
    <row r="790" spans="1:34" ht="13">
      <c r="A790" s="80" t="s">
        <v>427</v>
      </c>
      <c r="B790" s="80" t="s">
        <v>260</v>
      </c>
      <c r="C790" s="80" t="s">
        <v>1079</v>
      </c>
      <c r="D790" s="80" t="s">
        <v>335</v>
      </c>
      <c r="E790" s="80"/>
      <c r="F790" s="80" t="s">
        <v>841</v>
      </c>
      <c r="G790" s="80" t="s">
        <v>690</v>
      </c>
      <c r="H790" s="81">
        <v>1987</v>
      </c>
      <c r="I790" s="82">
        <v>736</v>
      </c>
      <c r="J790" s="83" t="s">
        <v>402</v>
      </c>
      <c r="K790" s="80" t="s">
        <v>402</v>
      </c>
      <c r="L790" s="84" t="s">
        <v>637</v>
      </c>
      <c r="M790" s="85" t="s">
        <v>460</v>
      </c>
      <c r="N790" s="80" t="s">
        <v>461</v>
      </c>
      <c r="O790" s="80"/>
      <c r="P790" s="80"/>
      <c r="Q790" s="80"/>
      <c r="R790" s="80"/>
      <c r="S790" s="80"/>
      <c r="T790" s="80"/>
      <c r="U790" s="80"/>
      <c r="V790" s="80"/>
      <c r="W790" s="80"/>
      <c r="X790" s="80"/>
      <c r="Y790" s="80"/>
      <c r="Z790" s="80"/>
      <c r="AA790" s="80"/>
      <c r="AB790" s="80"/>
      <c r="AC790" s="80"/>
      <c r="AD790" s="80"/>
      <c r="AE790" s="80"/>
      <c r="AF790" s="80"/>
      <c r="AG790" s="80"/>
      <c r="AH790" s="80"/>
    </row>
    <row r="791" spans="1:34" ht="13">
      <c r="A791" s="80" t="s">
        <v>427</v>
      </c>
      <c r="B791" s="80" t="s">
        <v>260</v>
      </c>
      <c r="C791" s="80" t="s">
        <v>1079</v>
      </c>
      <c r="D791" s="80" t="s">
        <v>335</v>
      </c>
      <c r="E791" s="80"/>
      <c r="F791" s="80" t="s">
        <v>841</v>
      </c>
      <c r="G791" s="80" t="s">
        <v>690</v>
      </c>
      <c r="H791" s="81">
        <v>1988</v>
      </c>
      <c r="I791" s="82">
        <v>709</v>
      </c>
      <c r="J791" s="83" t="s">
        <v>402</v>
      </c>
      <c r="K791" s="80" t="s">
        <v>402</v>
      </c>
      <c r="L791" s="84" t="s">
        <v>637</v>
      </c>
      <c r="M791" s="85" t="s">
        <v>460</v>
      </c>
      <c r="N791" s="80" t="s">
        <v>461</v>
      </c>
      <c r="O791" s="80"/>
      <c r="P791" s="80"/>
      <c r="Q791" s="80"/>
      <c r="R791" s="80"/>
      <c r="S791" s="80"/>
      <c r="T791" s="80"/>
      <c r="U791" s="80"/>
      <c r="V791" s="80"/>
      <c r="W791" s="80"/>
      <c r="X791" s="80"/>
      <c r="Y791" s="80"/>
      <c r="Z791" s="80"/>
      <c r="AA791" s="80"/>
      <c r="AB791" s="80"/>
      <c r="AC791" s="80"/>
      <c r="AD791" s="80"/>
      <c r="AE791" s="80"/>
      <c r="AF791" s="80"/>
      <c r="AG791" s="80"/>
      <c r="AH791" s="80"/>
    </row>
    <row r="792" spans="1:34" ht="13">
      <c r="A792" s="80" t="s">
        <v>427</v>
      </c>
      <c r="B792" s="80" t="s">
        <v>260</v>
      </c>
      <c r="C792" s="80" t="s">
        <v>1079</v>
      </c>
      <c r="D792" s="80" t="s">
        <v>335</v>
      </c>
      <c r="E792" s="80"/>
      <c r="F792" s="80" t="s">
        <v>841</v>
      </c>
      <c r="G792" s="80" t="s">
        <v>690</v>
      </c>
      <c r="H792" s="81">
        <v>1989</v>
      </c>
      <c r="I792" s="82">
        <v>736</v>
      </c>
      <c r="J792" s="83" t="s">
        <v>402</v>
      </c>
      <c r="K792" s="80" t="s">
        <v>402</v>
      </c>
      <c r="L792" s="84" t="s">
        <v>637</v>
      </c>
      <c r="M792" s="85" t="s">
        <v>460</v>
      </c>
      <c r="N792" s="80" t="s">
        <v>461</v>
      </c>
      <c r="O792" s="80"/>
      <c r="P792" s="80"/>
      <c r="Q792" s="80"/>
      <c r="R792" s="80"/>
      <c r="S792" s="80"/>
      <c r="T792" s="80"/>
      <c r="U792" s="80"/>
      <c r="V792" s="80"/>
      <c r="W792" s="80"/>
      <c r="X792" s="80"/>
      <c r="Y792" s="80"/>
      <c r="Z792" s="80"/>
      <c r="AA792" s="80"/>
      <c r="AB792" s="80"/>
      <c r="AC792" s="80"/>
      <c r="AD792" s="80"/>
      <c r="AE792" s="80"/>
      <c r="AF792" s="80"/>
      <c r="AG792" s="80"/>
      <c r="AH792" s="80"/>
    </row>
    <row r="793" spans="1:34" ht="13">
      <c r="A793" s="80" t="s">
        <v>427</v>
      </c>
      <c r="B793" s="80" t="s">
        <v>260</v>
      </c>
      <c r="C793" s="80" t="s">
        <v>1079</v>
      </c>
      <c r="D793" s="80" t="s">
        <v>335</v>
      </c>
      <c r="E793" s="80"/>
      <c r="F793" s="80" t="s">
        <v>841</v>
      </c>
      <c r="G793" s="80" t="s">
        <v>690</v>
      </c>
      <c r="H793" s="81">
        <v>1990</v>
      </c>
      <c r="I793" s="82">
        <v>1064</v>
      </c>
      <c r="J793" s="83" t="s">
        <v>402</v>
      </c>
      <c r="K793" s="80" t="s">
        <v>402</v>
      </c>
      <c r="L793" s="84" t="s">
        <v>637</v>
      </c>
      <c r="M793" s="85" t="s">
        <v>460</v>
      </c>
      <c r="N793" s="80" t="s">
        <v>461</v>
      </c>
      <c r="O793" s="80"/>
      <c r="P793" s="80"/>
      <c r="Q793" s="80"/>
      <c r="R793" s="80"/>
      <c r="S793" s="80"/>
      <c r="T793" s="80"/>
      <c r="U793" s="80"/>
      <c r="V793" s="80"/>
      <c r="W793" s="80"/>
      <c r="X793" s="80"/>
      <c r="Y793" s="80"/>
      <c r="Z793" s="80"/>
      <c r="AA793" s="80"/>
      <c r="AB793" s="80"/>
      <c r="AC793" s="80"/>
      <c r="AD793" s="80"/>
      <c r="AE793" s="80"/>
      <c r="AF793" s="80"/>
      <c r="AG793" s="80"/>
      <c r="AH793" s="80"/>
    </row>
    <row r="794" spans="1:34" ht="13">
      <c r="A794" s="80" t="s">
        <v>427</v>
      </c>
      <c r="B794" s="80" t="s">
        <v>260</v>
      </c>
      <c r="C794" s="80" t="s">
        <v>1079</v>
      </c>
      <c r="D794" s="80" t="s">
        <v>335</v>
      </c>
      <c r="E794" s="80"/>
      <c r="F794" s="80" t="s">
        <v>841</v>
      </c>
      <c r="G794" s="80" t="s">
        <v>690</v>
      </c>
      <c r="H794" s="81">
        <v>1991</v>
      </c>
      <c r="I794" s="82">
        <v>982</v>
      </c>
      <c r="J794" s="83" t="s">
        <v>402</v>
      </c>
      <c r="K794" s="80" t="s">
        <v>402</v>
      </c>
      <c r="L794" s="84" t="s">
        <v>637</v>
      </c>
      <c r="M794" s="85" t="s">
        <v>460</v>
      </c>
      <c r="N794" s="80" t="s">
        <v>461</v>
      </c>
      <c r="O794" s="80"/>
      <c r="P794" s="80"/>
      <c r="Q794" s="80"/>
      <c r="R794" s="80"/>
      <c r="S794" s="80"/>
      <c r="T794" s="80"/>
      <c r="U794" s="80"/>
      <c r="V794" s="80"/>
      <c r="W794" s="80"/>
      <c r="X794" s="80"/>
      <c r="Y794" s="80"/>
      <c r="Z794" s="80"/>
      <c r="AA794" s="80"/>
      <c r="AB794" s="80"/>
      <c r="AC794" s="80"/>
      <c r="AD794" s="80"/>
      <c r="AE794" s="80"/>
      <c r="AF794" s="80"/>
      <c r="AG794" s="80"/>
      <c r="AH794" s="80"/>
    </row>
    <row r="795" spans="1:34" ht="13">
      <c r="A795" s="80" t="s">
        <v>427</v>
      </c>
      <c r="B795" s="80" t="s">
        <v>260</v>
      </c>
      <c r="C795" s="80" t="s">
        <v>1079</v>
      </c>
      <c r="D795" s="80" t="s">
        <v>335</v>
      </c>
      <c r="E795" s="80"/>
      <c r="F795" s="80" t="s">
        <v>841</v>
      </c>
      <c r="G795" s="80" t="s">
        <v>690</v>
      </c>
      <c r="H795" s="81">
        <v>1992</v>
      </c>
      <c r="I795" s="82">
        <v>927</v>
      </c>
      <c r="J795" s="83" t="s">
        <v>402</v>
      </c>
      <c r="K795" s="80" t="s">
        <v>402</v>
      </c>
      <c r="L795" s="84" t="s">
        <v>637</v>
      </c>
      <c r="M795" s="85" t="s">
        <v>460</v>
      </c>
      <c r="N795" s="80" t="s">
        <v>461</v>
      </c>
      <c r="O795" s="80"/>
      <c r="P795" s="80"/>
      <c r="Q795" s="80"/>
      <c r="R795" s="80"/>
      <c r="S795" s="80"/>
      <c r="T795" s="80"/>
      <c r="U795" s="80"/>
      <c r="V795" s="80"/>
      <c r="W795" s="80"/>
      <c r="X795" s="80"/>
      <c r="Y795" s="80"/>
      <c r="Z795" s="80"/>
      <c r="AA795" s="80"/>
      <c r="AB795" s="80"/>
      <c r="AC795" s="80"/>
      <c r="AD795" s="80"/>
      <c r="AE795" s="80"/>
      <c r="AF795" s="80"/>
      <c r="AG795" s="80"/>
      <c r="AH795" s="80"/>
    </row>
    <row r="796" spans="1:34" ht="13">
      <c r="A796" s="80" t="s">
        <v>427</v>
      </c>
      <c r="B796" s="80" t="s">
        <v>260</v>
      </c>
      <c r="C796" s="80" t="s">
        <v>1079</v>
      </c>
      <c r="D796" s="80" t="s">
        <v>335</v>
      </c>
      <c r="E796" s="80"/>
      <c r="F796" s="80" t="s">
        <v>841</v>
      </c>
      <c r="G796" s="80" t="s">
        <v>690</v>
      </c>
      <c r="H796" s="81">
        <v>1993</v>
      </c>
      <c r="I796" s="82">
        <v>1255</v>
      </c>
      <c r="J796" s="83" t="s">
        <v>402</v>
      </c>
      <c r="K796" s="80" t="s">
        <v>402</v>
      </c>
      <c r="L796" s="84" t="s">
        <v>637</v>
      </c>
      <c r="M796" s="85" t="s">
        <v>460</v>
      </c>
      <c r="N796" s="80" t="s">
        <v>461</v>
      </c>
      <c r="O796" s="80"/>
      <c r="P796" s="80"/>
      <c r="Q796" s="80"/>
      <c r="R796" s="80"/>
      <c r="S796" s="80"/>
      <c r="T796" s="80"/>
      <c r="U796" s="80"/>
      <c r="V796" s="80"/>
      <c r="W796" s="80"/>
      <c r="X796" s="80"/>
      <c r="Y796" s="80"/>
      <c r="Z796" s="80"/>
      <c r="AA796" s="80"/>
      <c r="AB796" s="80"/>
      <c r="AC796" s="80"/>
      <c r="AD796" s="80"/>
      <c r="AE796" s="80"/>
      <c r="AF796" s="80"/>
      <c r="AG796" s="80"/>
      <c r="AH796" s="80"/>
    </row>
    <row r="797" spans="1:34" ht="13">
      <c r="A797" s="80" t="s">
        <v>427</v>
      </c>
      <c r="B797" s="80" t="s">
        <v>260</v>
      </c>
      <c r="C797" s="80" t="s">
        <v>1079</v>
      </c>
      <c r="D797" s="80" t="s">
        <v>335</v>
      </c>
      <c r="E797" s="80"/>
      <c r="F797" s="80" t="s">
        <v>841</v>
      </c>
      <c r="G797" s="80" t="s">
        <v>690</v>
      </c>
      <c r="H797" s="81">
        <v>1994</v>
      </c>
      <c r="I797" s="82">
        <v>1473</v>
      </c>
      <c r="J797" s="83" t="s">
        <v>402</v>
      </c>
      <c r="K797" s="80" t="s">
        <v>402</v>
      </c>
      <c r="L797" s="84" t="s">
        <v>637</v>
      </c>
      <c r="M797" s="85" t="s">
        <v>460</v>
      </c>
      <c r="N797" s="80" t="s">
        <v>461</v>
      </c>
      <c r="O797" s="80"/>
      <c r="P797" s="80"/>
      <c r="Q797" s="80"/>
      <c r="R797" s="80"/>
      <c r="S797" s="80"/>
      <c r="T797" s="80"/>
      <c r="U797" s="80"/>
      <c r="V797" s="80"/>
      <c r="W797" s="80"/>
      <c r="X797" s="80"/>
      <c r="Y797" s="80"/>
      <c r="Z797" s="80"/>
      <c r="AA797" s="80"/>
      <c r="AB797" s="80"/>
      <c r="AC797" s="80"/>
      <c r="AD797" s="80"/>
      <c r="AE797" s="80"/>
      <c r="AF797" s="80"/>
      <c r="AG797" s="80"/>
      <c r="AH797" s="80"/>
    </row>
    <row r="798" spans="1:34" ht="13">
      <c r="A798" s="80" t="s">
        <v>427</v>
      </c>
      <c r="B798" s="80" t="s">
        <v>260</v>
      </c>
      <c r="C798" s="80" t="s">
        <v>1079</v>
      </c>
      <c r="D798" s="80" t="s">
        <v>335</v>
      </c>
      <c r="E798" s="80"/>
      <c r="F798" s="80" t="s">
        <v>841</v>
      </c>
      <c r="G798" s="80" t="s">
        <v>690</v>
      </c>
      <c r="H798" s="81">
        <v>1995</v>
      </c>
      <c r="I798" s="82">
        <v>1555</v>
      </c>
      <c r="J798" s="83" t="s">
        <v>402</v>
      </c>
      <c r="K798" s="80" t="s">
        <v>402</v>
      </c>
      <c r="L798" s="84" t="s">
        <v>637</v>
      </c>
      <c r="M798" s="85" t="s">
        <v>460</v>
      </c>
      <c r="N798" s="80" t="s">
        <v>461</v>
      </c>
      <c r="O798" s="80"/>
      <c r="P798" s="80"/>
      <c r="Q798" s="80"/>
      <c r="R798" s="80"/>
      <c r="S798" s="80"/>
      <c r="T798" s="80"/>
      <c r="U798" s="80"/>
      <c r="V798" s="80"/>
      <c r="W798" s="80"/>
      <c r="X798" s="80"/>
      <c r="Y798" s="80"/>
      <c r="Z798" s="80"/>
      <c r="AA798" s="80"/>
      <c r="AB798" s="80"/>
      <c r="AC798" s="80"/>
      <c r="AD798" s="80"/>
      <c r="AE798" s="80"/>
      <c r="AF798" s="80"/>
      <c r="AG798" s="80"/>
      <c r="AH798" s="80"/>
    </row>
    <row r="799" spans="1:34" ht="13">
      <c r="A799" s="80" t="s">
        <v>427</v>
      </c>
      <c r="B799" s="80" t="s">
        <v>260</v>
      </c>
      <c r="C799" s="80" t="s">
        <v>1079</v>
      </c>
      <c r="D799" s="80" t="s">
        <v>335</v>
      </c>
      <c r="E799" s="80"/>
      <c r="F799" s="80" t="s">
        <v>841</v>
      </c>
      <c r="G799" s="80" t="s">
        <v>690</v>
      </c>
      <c r="H799" s="81">
        <v>1996</v>
      </c>
      <c r="I799" s="82">
        <v>1773</v>
      </c>
      <c r="J799" s="83" t="s">
        <v>402</v>
      </c>
      <c r="K799" s="80" t="s">
        <v>402</v>
      </c>
      <c r="L799" s="84" t="s">
        <v>637</v>
      </c>
      <c r="M799" s="85" t="s">
        <v>460</v>
      </c>
      <c r="N799" s="80" t="s">
        <v>461</v>
      </c>
      <c r="O799" s="80"/>
      <c r="P799" s="80"/>
      <c r="Q799" s="80"/>
      <c r="R799" s="80"/>
      <c r="S799" s="80"/>
      <c r="T799" s="80"/>
      <c r="U799" s="80"/>
      <c r="V799" s="80"/>
      <c r="W799" s="80"/>
      <c r="X799" s="80"/>
      <c r="Y799" s="80"/>
      <c r="Z799" s="80"/>
      <c r="AA799" s="80"/>
      <c r="AB799" s="80"/>
      <c r="AC799" s="80"/>
      <c r="AD799" s="80"/>
      <c r="AE799" s="80"/>
      <c r="AF799" s="80"/>
      <c r="AG799" s="80"/>
      <c r="AH799" s="80"/>
    </row>
    <row r="800" spans="1:34" ht="13">
      <c r="A800" s="80" t="s">
        <v>427</v>
      </c>
      <c r="B800" s="80" t="s">
        <v>260</v>
      </c>
      <c r="C800" s="80" t="s">
        <v>1079</v>
      </c>
      <c r="D800" s="80" t="s">
        <v>335</v>
      </c>
      <c r="E800" s="80"/>
      <c r="F800" s="80" t="s">
        <v>841</v>
      </c>
      <c r="G800" s="80" t="s">
        <v>690</v>
      </c>
      <c r="H800" s="81">
        <v>1997</v>
      </c>
      <c r="I800" s="82">
        <v>1718</v>
      </c>
      <c r="J800" s="83" t="s">
        <v>402</v>
      </c>
      <c r="K800" s="80" t="s">
        <v>402</v>
      </c>
      <c r="L800" s="84" t="s">
        <v>637</v>
      </c>
      <c r="M800" s="85" t="s">
        <v>460</v>
      </c>
      <c r="N800" s="80" t="s">
        <v>461</v>
      </c>
      <c r="O800" s="80"/>
      <c r="P800" s="80"/>
      <c r="Q800" s="80"/>
      <c r="R800" s="80"/>
      <c r="S800" s="80"/>
      <c r="T800" s="80"/>
      <c r="U800" s="80"/>
      <c r="V800" s="80"/>
      <c r="W800" s="80"/>
      <c r="X800" s="80"/>
      <c r="Y800" s="80"/>
      <c r="Z800" s="80"/>
      <c r="AA800" s="80"/>
      <c r="AB800" s="80"/>
      <c r="AC800" s="80"/>
      <c r="AD800" s="80"/>
      <c r="AE800" s="80"/>
      <c r="AF800" s="80"/>
      <c r="AG800" s="80"/>
      <c r="AH800" s="80"/>
    </row>
    <row r="801" spans="1:34" ht="13">
      <c r="A801" s="80" t="s">
        <v>427</v>
      </c>
      <c r="B801" s="80" t="s">
        <v>260</v>
      </c>
      <c r="C801" s="80" t="s">
        <v>1079</v>
      </c>
      <c r="D801" s="80" t="s">
        <v>335</v>
      </c>
      <c r="E801" s="80"/>
      <c r="F801" s="80" t="s">
        <v>841</v>
      </c>
      <c r="G801" s="80" t="s">
        <v>690</v>
      </c>
      <c r="H801" s="81">
        <v>1998</v>
      </c>
      <c r="I801" s="82">
        <v>327</v>
      </c>
      <c r="J801" s="83" t="s">
        <v>402</v>
      </c>
      <c r="K801" s="80" t="s">
        <v>402</v>
      </c>
      <c r="L801" s="84" t="s">
        <v>637</v>
      </c>
      <c r="M801" s="85" t="s">
        <v>460</v>
      </c>
      <c r="N801" s="80" t="s">
        <v>461</v>
      </c>
      <c r="O801" s="80"/>
      <c r="P801" s="80"/>
      <c r="Q801" s="80"/>
      <c r="R801" s="80"/>
      <c r="S801" s="80"/>
      <c r="T801" s="80"/>
      <c r="U801" s="80"/>
      <c r="V801" s="80"/>
      <c r="W801" s="80"/>
      <c r="X801" s="80"/>
      <c r="Y801" s="80"/>
      <c r="Z801" s="80"/>
      <c r="AA801" s="80"/>
      <c r="AB801" s="80"/>
      <c r="AC801" s="80"/>
      <c r="AD801" s="80"/>
      <c r="AE801" s="80"/>
      <c r="AF801" s="80"/>
      <c r="AG801" s="80"/>
      <c r="AH801" s="80"/>
    </row>
    <row r="802" spans="1:34" ht="13">
      <c r="A802" s="80" t="s">
        <v>427</v>
      </c>
      <c r="B802" s="80" t="s">
        <v>260</v>
      </c>
      <c r="C802" s="80" t="s">
        <v>1079</v>
      </c>
      <c r="D802" s="80" t="s">
        <v>335</v>
      </c>
      <c r="E802" s="80"/>
      <c r="F802" s="80" t="s">
        <v>841</v>
      </c>
      <c r="G802" s="80" t="s">
        <v>690</v>
      </c>
      <c r="H802" s="81">
        <v>1999</v>
      </c>
      <c r="I802" s="82">
        <v>600</v>
      </c>
      <c r="J802" s="83" t="s">
        <v>402</v>
      </c>
      <c r="K802" s="80" t="s">
        <v>402</v>
      </c>
      <c r="L802" s="84" t="s">
        <v>637</v>
      </c>
      <c r="M802" s="85" t="s">
        <v>460</v>
      </c>
      <c r="N802" s="80" t="s">
        <v>461</v>
      </c>
      <c r="O802" s="80"/>
      <c r="P802" s="80"/>
      <c r="Q802" s="80"/>
      <c r="R802" s="80"/>
      <c r="S802" s="80"/>
      <c r="T802" s="80"/>
      <c r="U802" s="80"/>
      <c r="V802" s="80"/>
      <c r="W802" s="80"/>
      <c r="X802" s="80"/>
      <c r="Y802" s="80"/>
      <c r="Z802" s="80"/>
      <c r="AA802" s="80"/>
      <c r="AB802" s="80"/>
      <c r="AC802" s="80"/>
      <c r="AD802" s="80"/>
      <c r="AE802" s="80"/>
      <c r="AF802" s="80"/>
      <c r="AG802" s="80"/>
      <c r="AH802" s="80"/>
    </row>
    <row r="803" spans="1:34" ht="13">
      <c r="A803" s="80" t="s">
        <v>427</v>
      </c>
      <c r="B803" s="80" t="s">
        <v>260</v>
      </c>
      <c r="C803" s="80" t="s">
        <v>1079</v>
      </c>
      <c r="D803" s="80" t="s">
        <v>335</v>
      </c>
      <c r="E803" s="80"/>
      <c r="F803" s="80" t="s">
        <v>841</v>
      </c>
      <c r="G803" s="80" t="s">
        <v>690</v>
      </c>
      <c r="H803" s="81">
        <v>2000</v>
      </c>
      <c r="I803" s="82">
        <v>927</v>
      </c>
      <c r="J803" s="83" t="s">
        <v>402</v>
      </c>
      <c r="K803" s="80" t="s">
        <v>402</v>
      </c>
      <c r="L803" s="84" t="s">
        <v>637</v>
      </c>
      <c r="M803" s="85" t="s">
        <v>460</v>
      </c>
      <c r="N803" s="80" t="s">
        <v>461</v>
      </c>
      <c r="O803" s="80"/>
      <c r="P803" s="80"/>
      <c r="Q803" s="80"/>
      <c r="R803" s="80"/>
      <c r="S803" s="80"/>
      <c r="T803" s="80"/>
      <c r="U803" s="80"/>
      <c r="V803" s="80"/>
      <c r="W803" s="80"/>
      <c r="X803" s="80"/>
      <c r="Y803" s="80"/>
      <c r="Z803" s="80"/>
      <c r="AA803" s="80"/>
      <c r="AB803" s="80"/>
      <c r="AC803" s="80"/>
      <c r="AD803" s="80"/>
      <c r="AE803" s="80"/>
      <c r="AF803" s="80"/>
      <c r="AG803" s="80"/>
      <c r="AH803" s="80"/>
    </row>
    <row r="804" spans="1:34" ht="13">
      <c r="A804" s="80" t="s">
        <v>427</v>
      </c>
      <c r="B804" s="80" t="s">
        <v>260</v>
      </c>
      <c r="C804" s="80" t="s">
        <v>1079</v>
      </c>
      <c r="D804" s="80" t="s">
        <v>335</v>
      </c>
      <c r="E804" s="80"/>
      <c r="F804" s="80" t="s">
        <v>841</v>
      </c>
      <c r="G804" s="80" t="s">
        <v>690</v>
      </c>
      <c r="H804" s="81">
        <v>2001</v>
      </c>
      <c r="I804" s="82">
        <v>1173</v>
      </c>
      <c r="J804" s="83" t="s">
        <v>402</v>
      </c>
      <c r="K804" s="80" t="s">
        <v>402</v>
      </c>
      <c r="L804" s="84" t="s">
        <v>637</v>
      </c>
      <c r="M804" s="85" t="s">
        <v>460</v>
      </c>
      <c r="N804" s="80" t="s">
        <v>461</v>
      </c>
      <c r="O804" s="80"/>
      <c r="P804" s="80"/>
      <c r="Q804" s="80"/>
      <c r="R804" s="80"/>
      <c r="S804" s="80"/>
      <c r="T804" s="80"/>
      <c r="U804" s="80"/>
      <c r="V804" s="80"/>
      <c r="W804" s="80"/>
      <c r="X804" s="80"/>
      <c r="Y804" s="80"/>
      <c r="Z804" s="80"/>
      <c r="AA804" s="80"/>
      <c r="AB804" s="80"/>
      <c r="AC804" s="80"/>
      <c r="AD804" s="80"/>
      <c r="AE804" s="80"/>
      <c r="AF804" s="80"/>
      <c r="AG804" s="80"/>
      <c r="AH804" s="80"/>
    </row>
    <row r="805" spans="1:34" ht="13">
      <c r="A805" s="80" t="s">
        <v>427</v>
      </c>
      <c r="B805" s="80" t="s">
        <v>260</v>
      </c>
      <c r="C805" s="80" t="s">
        <v>1079</v>
      </c>
      <c r="D805" s="80" t="s">
        <v>335</v>
      </c>
      <c r="E805" s="80"/>
      <c r="F805" s="80" t="s">
        <v>841</v>
      </c>
      <c r="G805" s="80" t="s">
        <v>690</v>
      </c>
      <c r="H805" s="81">
        <v>2002</v>
      </c>
      <c r="I805" s="82">
        <v>1091</v>
      </c>
      <c r="J805" s="83" t="s">
        <v>402</v>
      </c>
      <c r="K805" s="80" t="s">
        <v>402</v>
      </c>
      <c r="L805" s="84" t="s">
        <v>637</v>
      </c>
      <c r="M805" s="85" t="s">
        <v>460</v>
      </c>
      <c r="N805" s="80" t="s">
        <v>461</v>
      </c>
      <c r="O805" s="80"/>
      <c r="P805" s="80"/>
      <c r="Q805" s="80"/>
      <c r="R805" s="80"/>
      <c r="S805" s="80"/>
      <c r="T805" s="80"/>
      <c r="U805" s="80"/>
      <c r="V805" s="80"/>
      <c r="W805" s="80"/>
      <c r="X805" s="80"/>
      <c r="Y805" s="80"/>
      <c r="Z805" s="80"/>
      <c r="AA805" s="80"/>
      <c r="AB805" s="80"/>
      <c r="AC805" s="80"/>
      <c r="AD805" s="80"/>
      <c r="AE805" s="80"/>
      <c r="AF805" s="80"/>
      <c r="AG805" s="80"/>
      <c r="AH805" s="80"/>
    </row>
    <row r="806" spans="1:34" ht="13">
      <c r="A806" s="80" t="s">
        <v>427</v>
      </c>
      <c r="B806" s="80" t="s">
        <v>260</v>
      </c>
      <c r="C806" s="80" t="s">
        <v>1079</v>
      </c>
      <c r="D806" s="80" t="s">
        <v>335</v>
      </c>
      <c r="E806" s="80"/>
      <c r="F806" s="80" t="s">
        <v>841</v>
      </c>
      <c r="G806" s="80" t="s">
        <v>690</v>
      </c>
      <c r="H806" s="81">
        <v>2003</v>
      </c>
      <c r="I806" s="82">
        <v>1064</v>
      </c>
      <c r="J806" s="83" t="s">
        <v>402</v>
      </c>
      <c r="K806" s="80" t="s">
        <v>402</v>
      </c>
      <c r="L806" s="84" t="s">
        <v>637</v>
      </c>
      <c r="M806" s="85" t="s">
        <v>460</v>
      </c>
      <c r="N806" s="80" t="s">
        <v>461</v>
      </c>
      <c r="O806" s="80"/>
      <c r="P806" s="80"/>
      <c r="Q806" s="80"/>
      <c r="R806" s="80"/>
      <c r="S806" s="80"/>
      <c r="T806" s="80"/>
      <c r="U806" s="80"/>
      <c r="V806" s="80"/>
      <c r="W806" s="80"/>
      <c r="X806" s="80"/>
      <c r="Y806" s="80"/>
      <c r="Z806" s="80"/>
      <c r="AA806" s="80"/>
      <c r="AB806" s="80"/>
      <c r="AC806" s="80"/>
      <c r="AD806" s="80"/>
      <c r="AE806" s="80"/>
      <c r="AF806" s="80"/>
      <c r="AG806" s="80"/>
      <c r="AH806" s="80"/>
    </row>
    <row r="807" spans="1:34" ht="13">
      <c r="A807" s="80" t="s">
        <v>427</v>
      </c>
      <c r="B807" s="80" t="s">
        <v>260</v>
      </c>
      <c r="C807" s="80" t="s">
        <v>1079</v>
      </c>
      <c r="D807" s="80" t="s">
        <v>335</v>
      </c>
      <c r="E807" s="80"/>
      <c r="F807" s="80" t="s">
        <v>841</v>
      </c>
      <c r="G807" s="80" t="s">
        <v>690</v>
      </c>
      <c r="H807" s="81">
        <v>2004</v>
      </c>
      <c r="I807" s="82">
        <v>818</v>
      </c>
      <c r="J807" s="83" t="s">
        <v>402</v>
      </c>
      <c r="K807" s="80" t="s">
        <v>402</v>
      </c>
      <c r="L807" s="84" t="s">
        <v>637</v>
      </c>
      <c r="M807" s="85" t="s">
        <v>460</v>
      </c>
      <c r="N807" s="80" t="s">
        <v>461</v>
      </c>
      <c r="O807" s="80"/>
      <c r="P807" s="80"/>
      <c r="Q807" s="80"/>
      <c r="R807" s="80"/>
      <c r="S807" s="80"/>
      <c r="T807" s="80"/>
      <c r="U807" s="80"/>
      <c r="V807" s="80"/>
      <c r="W807" s="80"/>
      <c r="X807" s="80"/>
      <c r="Y807" s="80"/>
      <c r="Z807" s="80"/>
      <c r="AA807" s="80"/>
      <c r="AB807" s="80"/>
      <c r="AC807" s="80"/>
      <c r="AD807" s="80"/>
      <c r="AE807" s="80"/>
      <c r="AF807" s="80"/>
      <c r="AG807" s="80"/>
      <c r="AH807" s="80"/>
    </row>
    <row r="808" spans="1:34" ht="13">
      <c r="A808" s="80" t="s">
        <v>427</v>
      </c>
      <c r="B808" s="80" t="s">
        <v>260</v>
      </c>
      <c r="C808" s="80" t="s">
        <v>1079</v>
      </c>
      <c r="D808" s="80" t="s">
        <v>335</v>
      </c>
      <c r="E808" s="80"/>
      <c r="F808" s="80" t="s">
        <v>841</v>
      </c>
      <c r="G808" s="80" t="s">
        <v>690</v>
      </c>
      <c r="H808" s="81">
        <v>2005</v>
      </c>
      <c r="I808" s="82">
        <v>1118</v>
      </c>
      <c r="J808" s="83" t="s">
        <v>402</v>
      </c>
      <c r="K808" s="80" t="s">
        <v>402</v>
      </c>
      <c r="L808" s="84" t="s">
        <v>637</v>
      </c>
      <c r="M808" s="85" t="s">
        <v>460</v>
      </c>
      <c r="N808" s="80" t="s">
        <v>461</v>
      </c>
      <c r="O808" s="80"/>
      <c r="P808" s="80"/>
      <c r="Q808" s="80"/>
      <c r="R808" s="80"/>
      <c r="S808" s="80"/>
      <c r="T808" s="80"/>
      <c r="U808" s="80"/>
      <c r="V808" s="80"/>
      <c r="W808" s="80"/>
      <c r="X808" s="80"/>
      <c r="Y808" s="80"/>
      <c r="Z808" s="80"/>
      <c r="AA808" s="80"/>
      <c r="AB808" s="80"/>
      <c r="AC808" s="80"/>
      <c r="AD808" s="80"/>
      <c r="AE808" s="80"/>
      <c r="AF808" s="80"/>
      <c r="AG808" s="80"/>
      <c r="AH808" s="80"/>
    </row>
    <row r="809" spans="1:34" ht="13">
      <c r="A809" s="80" t="s">
        <v>427</v>
      </c>
      <c r="B809" s="80" t="s">
        <v>260</v>
      </c>
      <c r="C809" s="80" t="s">
        <v>1079</v>
      </c>
      <c r="D809" s="80" t="s">
        <v>335</v>
      </c>
      <c r="E809" s="80"/>
      <c r="F809" s="80" t="s">
        <v>841</v>
      </c>
      <c r="G809" s="80" t="s">
        <v>690</v>
      </c>
      <c r="H809" s="81">
        <v>2006</v>
      </c>
      <c r="I809" s="82">
        <v>1118</v>
      </c>
      <c r="J809" s="83" t="s">
        <v>402</v>
      </c>
      <c r="K809" s="80" t="s">
        <v>402</v>
      </c>
      <c r="L809" s="84" t="s">
        <v>637</v>
      </c>
      <c r="M809" s="85" t="s">
        <v>460</v>
      </c>
      <c r="N809" s="80" t="s">
        <v>461</v>
      </c>
      <c r="O809" s="80"/>
      <c r="P809" s="80"/>
      <c r="Q809" s="80"/>
      <c r="R809" s="80"/>
      <c r="S809" s="80"/>
      <c r="T809" s="80"/>
      <c r="U809" s="80"/>
      <c r="V809" s="80"/>
      <c r="W809" s="80"/>
      <c r="X809" s="80"/>
      <c r="Y809" s="80"/>
      <c r="Z809" s="80"/>
      <c r="AA809" s="80"/>
      <c r="AB809" s="80"/>
      <c r="AC809" s="80"/>
      <c r="AD809" s="80"/>
      <c r="AE809" s="80"/>
      <c r="AF809" s="80"/>
      <c r="AG809" s="80"/>
      <c r="AH809" s="80"/>
    </row>
    <row r="810" spans="1:34" ht="13">
      <c r="A810" s="80" t="s">
        <v>427</v>
      </c>
      <c r="B810" s="80" t="s">
        <v>260</v>
      </c>
      <c r="C810" s="80" t="s">
        <v>1079</v>
      </c>
      <c r="D810" s="80" t="s">
        <v>335</v>
      </c>
      <c r="E810" s="80"/>
      <c r="F810" s="80" t="s">
        <v>841</v>
      </c>
      <c r="G810" s="80" t="s">
        <v>690</v>
      </c>
      <c r="H810" s="81">
        <v>2007</v>
      </c>
      <c r="I810" s="82">
        <v>955</v>
      </c>
      <c r="J810" s="83" t="s">
        <v>402</v>
      </c>
      <c r="K810" s="80" t="s">
        <v>402</v>
      </c>
      <c r="L810" s="84" t="s">
        <v>637</v>
      </c>
      <c r="M810" s="85" t="s">
        <v>460</v>
      </c>
      <c r="N810" s="80" t="s">
        <v>461</v>
      </c>
      <c r="O810" s="80"/>
      <c r="P810" s="80"/>
      <c r="Q810" s="80"/>
      <c r="R810" s="80"/>
      <c r="S810" s="80"/>
      <c r="T810" s="80"/>
      <c r="U810" s="80"/>
      <c r="V810" s="80"/>
      <c r="W810" s="80"/>
      <c r="X810" s="80"/>
      <c r="Y810" s="80"/>
      <c r="Z810" s="80"/>
      <c r="AA810" s="80"/>
      <c r="AB810" s="80"/>
      <c r="AC810" s="80"/>
      <c r="AD810" s="80"/>
      <c r="AE810" s="80"/>
      <c r="AF810" s="80"/>
      <c r="AG810" s="80"/>
      <c r="AH810" s="80"/>
    </row>
    <row r="811" spans="1:34" ht="13">
      <c r="A811" s="80" t="s">
        <v>427</v>
      </c>
      <c r="B811" s="80" t="s">
        <v>260</v>
      </c>
      <c r="C811" s="80" t="s">
        <v>1079</v>
      </c>
      <c r="D811" s="80" t="s">
        <v>335</v>
      </c>
      <c r="E811" s="80"/>
      <c r="F811" s="80" t="s">
        <v>841</v>
      </c>
      <c r="G811" s="80" t="s">
        <v>690</v>
      </c>
      <c r="H811" s="81">
        <v>2008</v>
      </c>
      <c r="I811" s="82">
        <v>1364</v>
      </c>
      <c r="J811" s="83" t="s">
        <v>402</v>
      </c>
      <c r="K811" s="80" t="s">
        <v>402</v>
      </c>
      <c r="L811" s="84" t="s">
        <v>637</v>
      </c>
      <c r="M811" s="85" t="s">
        <v>460</v>
      </c>
      <c r="N811" s="80" t="s">
        <v>461</v>
      </c>
      <c r="O811" s="80"/>
      <c r="P811" s="80"/>
      <c r="Q811" s="80"/>
      <c r="R811" s="80"/>
      <c r="S811" s="80"/>
      <c r="T811" s="80"/>
      <c r="U811" s="80"/>
      <c r="V811" s="80"/>
      <c r="W811" s="80"/>
      <c r="X811" s="80"/>
      <c r="Y811" s="80"/>
      <c r="Z811" s="80"/>
      <c r="AA811" s="80"/>
      <c r="AB811" s="80"/>
      <c r="AC811" s="80"/>
      <c r="AD811" s="80"/>
      <c r="AE811" s="80"/>
      <c r="AF811" s="80"/>
      <c r="AG811" s="80"/>
      <c r="AH811" s="80"/>
    </row>
    <row r="812" spans="1:34" ht="13">
      <c r="A812" s="80" t="s">
        <v>427</v>
      </c>
      <c r="B812" s="80" t="s">
        <v>260</v>
      </c>
      <c r="C812" s="80" t="s">
        <v>1079</v>
      </c>
      <c r="D812" s="80" t="s">
        <v>335</v>
      </c>
      <c r="E812" s="80"/>
      <c r="F812" s="80" t="s">
        <v>841</v>
      </c>
      <c r="G812" s="80" t="s">
        <v>690</v>
      </c>
      <c r="H812" s="81">
        <v>2009</v>
      </c>
      <c r="I812" s="82">
        <v>1227</v>
      </c>
      <c r="J812" s="83" t="s">
        <v>402</v>
      </c>
      <c r="K812" s="80" t="s">
        <v>402</v>
      </c>
      <c r="L812" s="84" t="s">
        <v>637</v>
      </c>
      <c r="M812" s="85" t="s">
        <v>460</v>
      </c>
      <c r="N812" s="80" t="s">
        <v>461</v>
      </c>
      <c r="O812" s="80"/>
      <c r="P812" s="80"/>
      <c r="Q812" s="80"/>
      <c r="R812" s="80"/>
      <c r="S812" s="80"/>
      <c r="T812" s="80"/>
      <c r="U812" s="80"/>
      <c r="V812" s="80"/>
      <c r="W812" s="80"/>
      <c r="X812" s="80"/>
      <c r="Y812" s="80"/>
      <c r="Z812" s="80"/>
      <c r="AA812" s="80"/>
      <c r="AB812" s="80"/>
      <c r="AC812" s="80"/>
      <c r="AD812" s="80"/>
      <c r="AE812" s="80"/>
      <c r="AF812" s="80"/>
      <c r="AG812" s="80"/>
      <c r="AH812" s="80"/>
    </row>
    <row r="813" spans="1:34" ht="13">
      <c r="A813" s="80" t="s">
        <v>427</v>
      </c>
      <c r="B813" s="80" t="s">
        <v>260</v>
      </c>
      <c r="C813" s="80" t="s">
        <v>1079</v>
      </c>
      <c r="D813" s="80" t="s">
        <v>335</v>
      </c>
      <c r="E813" s="80"/>
      <c r="F813" s="80" t="s">
        <v>841</v>
      </c>
      <c r="G813" s="80" t="s">
        <v>690</v>
      </c>
      <c r="H813" s="81">
        <v>2010</v>
      </c>
      <c r="I813" s="82">
        <v>1500</v>
      </c>
      <c r="J813" s="83" t="s">
        <v>402</v>
      </c>
      <c r="K813" s="80" t="s">
        <v>402</v>
      </c>
      <c r="L813" s="84" t="s">
        <v>637</v>
      </c>
      <c r="M813" s="85" t="s">
        <v>460</v>
      </c>
      <c r="N813" s="80" t="s">
        <v>461</v>
      </c>
      <c r="O813" s="80"/>
      <c r="P813" s="80"/>
      <c r="Q813" s="80"/>
      <c r="R813" s="80"/>
      <c r="S813" s="80"/>
      <c r="T813" s="80"/>
      <c r="U813" s="80"/>
      <c r="V813" s="80"/>
      <c r="W813" s="80"/>
      <c r="X813" s="80"/>
      <c r="Y813" s="80"/>
      <c r="Z813" s="80"/>
      <c r="AA813" s="80"/>
      <c r="AB813" s="80"/>
      <c r="AC813" s="80"/>
      <c r="AD813" s="80"/>
      <c r="AE813" s="80"/>
      <c r="AF813" s="80"/>
      <c r="AG813" s="80"/>
      <c r="AH813" s="80"/>
    </row>
    <row r="814" spans="1:34" ht="13">
      <c r="A814" s="80" t="s">
        <v>427</v>
      </c>
      <c r="B814" s="80" t="s">
        <v>260</v>
      </c>
      <c r="C814" s="80" t="s">
        <v>1079</v>
      </c>
      <c r="D814" s="80" t="s">
        <v>335</v>
      </c>
      <c r="E814" s="80"/>
      <c r="F814" s="80" t="s">
        <v>841</v>
      </c>
      <c r="G814" s="80" t="s">
        <v>690</v>
      </c>
      <c r="H814" s="81">
        <v>2011</v>
      </c>
      <c r="I814" s="82">
        <v>1364</v>
      </c>
      <c r="J814" s="83" t="s">
        <v>402</v>
      </c>
      <c r="K814" s="80" t="s">
        <v>402</v>
      </c>
      <c r="L814" s="84" t="s">
        <v>637</v>
      </c>
      <c r="M814" s="85" t="s">
        <v>460</v>
      </c>
      <c r="N814" s="80" t="s">
        <v>461</v>
      </c>
      <c r="O814" s="80"/>
      <c r="P814" s="80"/>
      <c r="Q814" s="80"/>
      <c r="R814" s="80"/>
      <c r="S814" s="80"/>
      <c r="T814" s="80"/>
      <c r="U814" s="80"/>
      <c r="V814" s="80"/>
      <c r="W814" s="80"/>
      <c r="X814" s="80"/>
      <c r="Y814" s="80"/>
      <c r="Z814" s="80"/>
      <c r="AA814" s="80"/>
      <c r="AB814" s="80"/>
      <c r="AC814" s="80"/>
      <c r="AD814" s="80"/>
      <c r="AE814" s="80"/>
      <c r="AF814" s="80"/>
      <c r="AG814" s="80"/>
      <c r="AH814" s="80"/>
    </row>
    <row r="815" spans="1:34" ht="13">
      <c r="A815" s="80" t="s">
        <v>427</v>
      </c>
      <c r="B815" s="80" t="s">
        <v>260</v>
      </c>
      <c r="C815" s="80" t="s">
        <v>1079</v>
      </c>
      <c r="D815" s="80" t="s">
        <v>335</v>
      </c>
      <c r="E815" s="80"/>
      <c r="F815" s="80" t="s">
        <v>841</v>
      </c>
      <c r="G815" s="80" t="s">
        <v>690</v>
      </c>
      <c r="H815" s="81">
        <v>2012</v>
      </c>
      <c r="I815" s="82">
        <v>1636</v>
      </c>
      <c r="J815" s="83" t="s">
        <v>402</v>
      </c>
      <c r="K815" s="80" t="s">
        <v>402</v>
      </c>
      <c r="L815" s="84" t="s">
        <v>637</v>
      </c>
      <c r="M815" s="85" t="s">
        <v>460</v>
      </c>
      <c r="N815" s="80" t="s">
        <v>461</v>
      </c>
      <c r="O815" s="80"/>
      <c r="P815" s="80"/>
      <c r="Q815" s="80"/>
      <c r="R815" s="80"/>
      <c r="S815" s="80"/>
      <c r="T815" s="80"/>
      <c r="U815" s="80"/>
      <c r="V815" s="80"/>
      <c r="W815" s="80"/>
      <c r="X815" s="80"/>
      <c r="Y815" s="80"/>
      <c r="Z815" s="80"/>
      <c r="AA815" s="80"/>
      <c r="AB815" s="80"/>
      <c r="AC815" s="80"/>
      <c r="AD815" s="80"/>
      <c r="AE815" s="80"/>
      <c r="AF815" s="80"/>
      <c r="AG815" s="80"/>
      <c r="AH815" s="80"/>
    </row>
    <row r="816" spans="1:34" ht="13">
      <c r="A816" s="80" t="s">
        <v>427</v>
      </c>
      <c r="B816" s="80" t="s">
        <v>260</v>
      </c>
      <c r="C816" s="80" t="s">
        <v>1079</v>
      </c>
      <c r="D816" s="80" t="s">
        <v>335</v>
      </c>
      <c r="E816" s="80"/>
      <c r="F816" s="80" t="s">
        <v>841</v>
      </c>
      <c r="G816" s="80" t="s">
        <v>690</v>
      </c>
      <c r="H816" s="81">
        <v>2013</v>
      </c>
      <c r="I816" s="82">
        <v>1227</v>
      </c>
      <c r="J816" s="83" t="s">
        <v>402</v>
      </c>
      <c r="K816" s="80" t="s">
        <v>402</v>
      </c>
      <c r="L816" s="84" t="s">
        <v>637</v>
      </c>
      <c r="M816" s="85" t="s">
        <v>460</v>
      </c>
      <c r="N816" s="80" t="s">
        <v>461</v>
      </c>
      <c r="O816" s="80"/>
      <c r="P816" s="80"/>
      <c r="Q816" s="80"/>
      <c r="R816" s="80"/>
      <c r="S816" s="80"/>
      <c r="T816" s="80"/>
      <c r="U816" s="80"/>
      <c r="V816" s="80"/>
      <c r="W816" s="80"/>
      <c r="X816" s="80"/>
      <c r="Y816" s="80"/>
      <c r="Z816" s="80"/>
      <c r="AA816" s="80"/>
      <c r="AB816" s="80"/>
      <c r="AC816" s="80"/>
      <c r="AD816" s="80"/>
      <c r="AE816" s="80"/>
      <c r="AF816" s="80"/>
      <c r="AG816" s="80"/>
      <c r="AH816" s="80"/>
    </row>
    <row r="817" spans="1:34" ht="13">
      <c r="A817" s="80" t="s">
        <v>427</v>
      </c>
      <c r="B817" s="80" t="s">
        <v>260</v>
      </c>
      <c r="C817" s="80" t="s">
        <v>1079</v>
      </c>
      <c r="D817" s="80" t="s">
        <v>335</v>
      </c>
      <c r="E817" s="80"/>
      <c r="F817" s="80" t="s">
        <v>841</v>
      </c>
      <c r="G817" s="80" t="s">
        <v>690</v>
      </c>
      <c r="H817" s="81">
        <v>2014</v>
      </c>
      <c r="I817" s="82">
        <v>1609</v>
      </c>
      <c r="J817" s="83" t="s">
        <v>402</v>
      </c>
      <c r="K817" s="80" t="s">
        <v>402</v>
      </c>
      <c r="L817" s="84" t="s">
        <v>637</v>
      </c>
      <c r="M817" s="85" t="s">
        <v>460</v>
      </c>
      <c r="N817" s="80" t="s">
        <v>461</v>
      </c>
      <c r="O817" s="80"/>
      <c r="P817" s="80"/>
      <c r="Q817" s="80"/>
      <c r="R817" s="80"/>
      <c r="S817" s="80"/>
      <c r="T817" s="80"/>
      <c r="U817" s="80"/>
      <c r="V817" s="80"/>
      <c r="W817" s="80"/>
      <c r="X817" s="80"/>
      <c r="Y817" s="80"/>
      <c r="Z817" s="80"/>
      <c r="AA817" s="80"/>
      <c r="AB817" s="80"/>
      <c r="AC817" s="80"/>
      <c r="AD817" s="80"/>
      <c r="AE817" s="80"/>
      <c r="AF817" s="80"/>
      <c r="AG817" s="80"/>
      <c r="AH817" s="80"/>
    </row>
    <row r="818" spans="1:34" ht="13">
      <c r="A818" s="80" t="s">
        <v>427</v>
      </c>
      <c r="B818" s="80" t="s">
        <v>260</v>
      </c>
      <c r="C818" s="80" t="s">
        <v>1079</v>
      </c>
      <c r="D818" s="80" t="s">
        <v>335</v>
      </c>
      <c r="E818" s="80"/>
      <c r="F818" s="80" t="s">
        <v>841</v>
      </c>
      <c r="G818" s="80" t="s">
        <v>690</v>
      </c>
      <c r="H818" s="81">
        <v>2015</v>
      </c>
      <c r="I818" s="82">
        <v>1636</v>
      </c>
      <c r="J818" s="83" t="s">
        <v>402</v>
      </c>
      <c r="K818" s="80" t="s">
        <v>402</v>
      </c>
      <c r="L818" s="84" t="s">
        <v>637</v>
      </c>
      <c r="M818" s="85" t="s">
        <v>460</v>
      </c>
      <c r="N818" s="80" t="s">
        <v>461</v>
      </c>
      <c r="O818" s="80"/>
      <c r="P818" s="80"/>
      <c r="Q818" s="80"/>
      <c r="R818" s="80"/>
      <c r="S818" s="80"/>
      <c r="T818" s="80"/>
      <c r="U818" s="80"/>
      <c r="V818" s="80"/>
      <c r="W818" s="80"/>
      <c r="X818" s="80"/>
      <c r="Y818" s="80"/>
      <c r="Z818" s="80"/>
      <c r="AA818" s="80"/>
      <c r="AB818" s="80"/>
      <c r="AC818" s="80"/>
      <c r="AD818" s="80"/>
      <c r="AE818" s="80"/>
      <c r="AF818" s="80"/>
      <c r="AG818" s="80"/>
      <c r="AH818" s="80"/>
    </row>
    <row r="819" spans="1:34" ht="13">
      <c r="A819" s="80" t="s">
        <v>427</v>
      </c>
      <c r="B819" s="80" t="s">
        <v>260</v>
      </c>
      <c r="C819" s="80" t="s">
        <v>1079</v>
      </c>
      <c r="D819" s="80" t="s">
        <v>335</v>
      </c>
      <c r="E819" s="80"/>
      <c r="F819" s="80" t="s">
        <v>841</v>
      </c>
      <c r="G819" s="80" t="s">
        <v>690</v>
      </c>
      <c r="H819" s="81">
        <v>2016</v>
      </c>
      <c r="I819" s="82">
        <v>2182</v>
      </c>
      <c r="J819" s="83" t="s">
        <v>402</v>
      </c>
      <c r="K819" s="80" t="s">
        <v>402</v>
      </c>
      <c r="L819" s="84" t="s">
        <v>637</v>
      </c>
      <c r="M819" s="85" t="s">
        <v>460</v>
      </c>
      <c r="N819" s="80" t="s">
        <v>461</v>
      </c>
      <c r="O819" s="80"/>
      <c r="P819" s="80"/>
      <c r="Q819" s="80"/>
      <c r="R819" s="80"/>
      <c r="S819" s="80"/>
      <c r="T819" s="80"/>
      <c r="U819" s="80"/>
      <c r="V819" s="80"/>
      <c r="W819" s="80"/>
      <c r="X819" s="80"/>
      <c r="Y819" s="80"/>
      <c r="Z819" s="80"/>
      <c r="AA819" s="80"/>
      <c r="AB819" s="80"/>
      <c r="AC819" s="80"/>
      <c r="AD819" s="80"/>
      <c r="AE819" s="80"/>
      <c r="AF819" s="80"/>
      <c r="AG819" s="80"/>
      <c r="AH819" s="80"/>
    </row>
    <row r="820" spans="1:34" ht="13">
      <c r="A820" s="80" t="s">
        <v>427</v>
      </c>
      <c r="B820" s="80" t="s">
        <v>260</v>
      </c>
      <c r="C820" s="80" t="s">
        <v>1079</v>
      </c>
      <c r="D820" s="80" t="s">
        <v>335</v>
      </c>
      <c r="E820" s="80"/>
      <c r="F820" s="80" t="s">
        <v>841</v>
      </c>
      <c r="G820" s="80" t="s">
        <v>690</v>
      </c>
      <c r="H820" s="81">
        <v>2017</v>
      </c>
      <c r="I820" s="82">
        <v>2564</v>
      </c>
      <c r="J820" s="83" t="s">
        <v>402</v>
      </c>
      <c r="K820" s="80" t="s">
        <v>402</v>
      </c>
      <c r="L820" s="84" t="s">
        <v>637</v>
      </c>
      <c r="M820" s="85" t="s">
        <v>460</v>
      </c>
      <c r="N820" s="80" t="s">
        <v>461</v>
      </c>
      <c r="O820" s="80"/>
      <c r="P820" s="80"/>
      <c r="Q820" s="80"/>
      <c r="R820" s="80"/>
      <c r="S820" s="80"/>
      <c r="T820" s="80"/>
      <c r="U820" s="80"/>
      <c r="V820" s="80"/>
      <c r="W820" s="80"/>
      <c r="X820" s="80"/>
      <c r="Y820" s="80"/>
      <c r="Z820" s="80"/>
      <c r="AA820" s="80"/>
      <c r="AB820" s="80"/>
      <c r="AC820" s="80"/>
      <c r="AD820" s="80"/>
      <c r="AE820" s="80"/>
      <c r="AF820" s="80"/>
      <c r="AG820" s="80"/>
      <c r="AH820" s="80"/>
    </row>
    <row r="821" spans="1:34" ht="13">
      <c r="A821" s="80" t="s">
        <v>427</v>
      </c>
      <c r="B821" s="80" t="s">
        <v>260</v>
      </c>
      <c r="C821" s="80" t="s">
        <v>1079</v>
      </c>
      <c r="D821" s="80" t="s">
        <v>335</v>
      </c>
      <c r="E821" s="80"/>
      <c r="F821" s="80" t="s">
        <v>841</v>
      </c>
      <c r="G821" s="80" t="s">
        <v>690</v>
      </c>
      <c r="H821" s="81">
        <v>2018</v>
      </c>
      <c r="I821" s="82">
        <v>1902</v>
      </c>
      <c r="J821" s="83" t="s">
        <v>402</v>
      </c>
      <c r="K821" s="80" t="s">
        <v>402</v>
      </c>
      <c r="L821" s="84" t="s">
        <v>637</v>
      </c>
      <c r="M821" s="85" t="s">
        <v>460</v>
      </c>
      <c r="N821" s="80" t="s">
        <v>461</v>
      </c>
      <c r="O821" s="80"/>
      <c r="P821" s="80"/>
      <c r="Q821" s="80"/>
      <c r="R821" s="80"/>
      <c r="S821" s="80"/>
      <c r="T821" s="80"/>
      <c r="U821" s="80"/>
      <c r="V821" s="80"/>
      <c r="W821" s="80"/>
      <c r="X821" s="80"/>
      <c r="Y821" s="80"/>
      <c r="Z821" s="80"/>
      <c r="AA821" s="80"/>
      <c r="AB821" s="80"/>
      <c r="AC821" s="80"/>
      <c r="AD821" s="80"/>
      <c r="AE821" s="80"/>
      <c r="AF821" s="80"/>
      <c r="AG821" s="80"/>
      <c r="AH821" s="80"/>
    </row>
    <row r="822" spans="1:34" ht="13">
      <c r="A822" s="80" t="s">
        <v>427</v>
      </c>
      <c r="B822" s="80" t="s">
        <v>260</v>
      </c>
      <c r="C822" s="80" t="s">
        <v>1079</v>
      </c>
      <c r="D822" s="80" t="s">
        <v>335</v>
      </c>
      <c r="E822" s="80"/>
      <c r="F822" s="80" t="s">
        <v>841</v>
      </c>
      <c r="G822" s="80" t="s">
        <v>690</v>
      </c>
      <c r="H822" s="81">
        <v>2019</v>
      </c>
      <c r="I822" s="82">
        <v>1909</v>
      </c>
      <c r="J822" s="83" t="s">
        <v>402</v>
      </c>
      <c r="K822" s="80" t="s">
        <v>402</v>
      </c>
      <c r="L822" s="84" t="s">
        <v>637</v>
      </c>
      <c r="M822" s="85" t="s">
        <v>460</v>
      </c>
      <c r="N822" s="80" t="s">
        <v>461</v>
      </c>
      <c r="O822" s="80"/>
      <c r="P822" s="80"/>
      <c r="Q822" s="80"/>
      <c r="R822" s="80"/>
      <c r="S822" s="80"/>
      <c r="T822" s="80"/>
      <c r="U822" s="80"/>
      <c r="V822" s="80"/>
      <c r="W822" s="80"/>
      <c r="X822" s="80"/>
      <c r="Y822" s="80"/>
      <c r="Z822" s="80"/>
      <c r="AA822" s="80"/>
      <c r="AB822" s="80"/>
      <c r="AC822" s="80"/>
      <c r="AD822" s="80"/>
      <c r="AE822" s="80"/>
      <c r="AF822" s="80"/>
      <c r="AG822" s="80"/>
      <c r="AH822" s="80"/>
    </row>
    <row r="823" spans="1:34" ht="13">
      <c r="A823" s="80" t="s">
        <v>427</v>
      </c>
      <c r="B823" s="80" t="s">
        <v>260</v>
      </c>
      <c r="C823" s="80" t="s">
        <v>1080</v>
      </c>
      <c r="D823" s="80" t="s">
        <v>335</v>
      </c>
      <c r="E823" s="80"/>
      <c r="F823" s="80" t="s">
        <v>841</v>
      </c>
      <c r="G823" s="80" t="s">
        <v>690</v>
      </c>
      <c r="H823" s="81">
        <v>1972</v>
      </c>
      <c r="I823" s="82">
        <v>167</v>
      </c>
      <c r="J823" s="83" t="s">
        <v>402</v>
      </c>
      <c r="K823" s="80" t="s">
        <v>402</v>
      </c>
      <c r="L823" s="84" t="s">
        <v>637</v>
      </c>
      <c r="M823" s="85" t="s">
        <v>460</v>
      </c>
      <c r="N823" s="80" t="s">
        <v>461</v>
      </c>
      <c r="O823" s="80"/>
      <c r="P823" s="80"/>
      <c r="Q823" s="80"/>
      <c r="R823" s="80"/>
      <c r="S823" s="80"/>
      <c r="T823" s="80"/>
      <c r="U823" s="80"/>
      <c r="V823" s="80"/>
      <c r="W823" s="80"/>
      <c r="X823" s="80"/>
      <c r="Y823" s="80"/>
      <c r="Z823" s="80"/>
      <c r="AA823" s="80"/>
      <c r="AB823" s="80"/>
      <c r="AC823" s="80"/>
      <c r="AD823" s="80"/>
      <c r="AE823" s="80"/>
      <c r="AF823" s="80"/>
      <c r="AG823" s="80"/>
      <c r="AH823" s="80"/>
    </row>
    <row r="824" spans="1:34" ht="13">
      <c r="A824" s="80" t="s">
        <v>427</v>
      </c>
      <c r="B824" s="80" t="s">
        <v>260</v>
      </c>
      <c r="C824" s="80" t="s">
        <v>1080</v>
      </c>
      <c r="D824" s="80" t="s">
        <v>335</v>
      </c>
      <c r="E824" s="80"/>
      <c r="F824" s="80" t="s">
        <v>841</v>
      </c>
      <c r="G824" s="80" t="s">
        <v>690</v>
      </c>
      <c r="H824" s="81">
        <v>1973</v>
      </c>
      <c r="I824" s="82">
        <v>250</v>
      </c>
      <c r="J824" s="83" t="s">
        <v>402</v>
      </c>
      <c r="K824" s="80" t="s">
        <v>402</v>
      </c>
      <c r="L824" s="84" t="s">
        <v>637</v>
      </c>
      <c r="M824" s="85" t="s">
        <v>460</v>
      </c>
      <c r="N824" s="80" t="s">
        <v>461</v>
      </c>
      <c r="O824" s="80"/>
      <c r="P824" s="80"/>
      <c r="Q824" s="80"/>
      <c r="R824" s="80"/>
      <c r="S824" s="80"/>
      <c r="T824" s="80"/>
      <c r="U824" s="80"/>
      <c r="V824" s="80"/>
      <c r="W824" s="80"/>
      <c r="X824" s="80"/>
      <c r="Y824" s="80"/>
      <c r="Z824" s="80"/>
      <c r="AA824" s="80"/>
      <c r="AB824" s="80"/>
      <c r="AC824" s="80"/>
      <c r="AD824" s="80"/>
      <c r="AE824" s="80"/>
      <c r="AF824" s="80"/>
      <c r="AG824" s="80"/>
      <c r="AH824" s="80"/>
    </row>
    <row r="825" spans="1:34" ht="13">
      <c r="A825" s="80" t="s">
        <v>427</v>
      </c>
      <c r="B825" s="80" t="s">
        <v>260</v>
      </c>
      <c r="C825" s="80" t="s">
        <v>1080</v>
      </c>
      <c r="D825" s="80" t="s">
        <v>335</v>
      </c>
      <c r="E825" s="80"/>
      <c r="F825" s="80" t="s">
        <v>841</v>
      </c>
      <c r="G825" s="80" t="s">
        <v>690</v>
      </c>
      <c r="H825" s="81">
        <v>1974</v>
      </c>
      <c r="I825" s="82">
        <v>278</v>
      </c>
      <c r="J825" s="83" t="s">
        <v>402</v>
      </c>
      <c r="K825" s="80" t="s">
        <v>402</v>
      </c>
      <c r="L825" s="84" t="s">
        <v>637</v>
      </c>
      <c r="M825" s="85" t="s">
        <v>460</v>
      </c>
      <c r="N825" s="80" t="s">
        <v>461</v>
      </c>
      <c r="O825" s="80"/>
      <c r="P825" s="80"/>
      <c r="Q825" s="80"/>
      <c r="R825" s="80"/>
      <c r="S825" s="80"/>
      <c r="T825" s="80"/>
      <c r="U825" s="80"/>
      <c r="V825" s="80"/>
      <c r="W825" s="80"/>
      <c r="X825" s="80"/>
      <c r="Y825" s="80"/>
      <c r="Z825" s="80"/>
      <c r="AA825" s="80"/>
      <c r="AB825" s="80"/>
      <c r="AC825" s="80"/>
      <c r="AD825" s="80"/>
      <c r="AE825" s="80"/>
      <c r="AF825" s="80"/>
      <c r="AG825" s="80"/>
      <c r="AH825" s="80"/>
    </row>
    <row r="826" spans="1:34" ht="13">
      <c r="A826" s="80" t="s">
        <v>427</v>
      </c>
      <c r="B826" s="80" t="s">
        <v>260</v>
      </c>
      <c r="C826" s="80" t="s">
        <v>1080</v>
      </c>
      <c r="D826" s="80" t="s">
        <v>335</v>
      </c>
      <c r="E826" s="80"/>
      <c r="F826" s="80" t="s">
        <v>841</v>
      </c>
      <c r="G826" s="80" t="s">
        <v>690</v>
      </c>
      <c r="H826" s="81">
        <v>1975</v>
      </c>
      <c r="I826" s="82">
        <v>389</v>
      </c>
      <c r="J826" s="83" t="s">
        <v>402</v>
      </c>
      <c r="K826" s="80" t="s">
        <v>402</v>
      </c>
      <c r="L826" s="84" t="s">
        <v>637</v>
      </c>
      <c r="M826" s="85" t="s">
        <v>460</v>
      </c>
      <c r="N826" s="80" t="s">
        <v>461</v>
      </c>
      <c r="O826" s="80"/>
      <c r="P826" s="80"/>
      <c r="Q826" s="80"/>
      <c r="R826" s="80"/>
      <c r="S826" s="80"/>
      <c r="T826" s="80"/>
      <c r="U826" s="80"/>
      <c r="V826" s="80"/>
      <c r="W826" s="80"/>
      <c r="X826" s="80"/>
      <c r="Y826" s="80"/>
      <c r="Z826" s="80"/>
      <c r="AA826" s="80"/>
      <c r="AB826" s="80"/>
      <c r="AC826" s="80"/>
      <c r="AD826" s="80"/>
      <c r="AE826" s="80"/>
      <c r="AF826" s="80"/>
      <c r="AG826" s="80"/>
      <c r="AH826" s="80"/>
    </row>
    <row r="827" spans="1:34" ht="13">
      <c r="A827" s="80" t="s">
        <v>427</v>
      </c>
      <c r="B827" s="80" t="s">
        <v>260</v>
      </c>
      <c r="C827" s="80" t="s">
        <v>1080</v>
      </c>
      <c r="D827" s="80" t="s">
        <v>335</v>
      </c>
      <c r="E827" s="80"/>
      <c r="F827" s="80" t="s">
        <v>841</v>
      </c>
      <c r="G827" s="80" t="s">
        <v>690</v>
      </c>
      <c r="H827" s="81">
        <v>1976</v>
      </c>
      <c r="I827" s="82">
        <v>500</v>
      </c>
      <c r="J827" s="83" t="s">
        <v>402</v>
      </c>
      <c r="K827" s="80" t="s">
        <v>402</v>
      </c>
      <c r="L827" s="84" t="s">
        <v>637</v>
      </c>
      <c r="M827" s="85" t="s">
        <v>460</v>
      </c>
      <c r="N827" s="80" t="s">
        <v>461</v>
      </c>
      <c r="O827" s="80"/>
      <c r="P827" s="80"/>
      <c r="Q827" s="80"/>
      <c r="R827" s="80"/>
      <c r="S827" s="80"/>
      <c r="T827" s="80"/>
      <c r="U827" s="80"/>
      <c r="V827" s="80"/>
      <c r="W827" s="80"/>
      <c r="X827" s="80"/>
      <c r="Y827" s="80"/>
      <c r="Z827" s="80"/>
      <c r="AA827" s="80"/>
      <c r="AB827" s="80"/>
      <c r="AC827" s="80"/>
      <c r="AD827" s="80"/>
      <c r="AE827" s="80"/>
      <c r="AF827" s="80"/>
      <c r="AG827" s="80"/>
      <c r="AH827" s="80"/>
    </row>
    <row r="828" spans="1:34" ht="13">
      <c r="A828" s="80" t="s">
        <v>427</v>
      </c>
      <c r="B828" s="80" t="s">
        <v>260</v>
      </c>
      <c r="C828" s="80" t="s">
        <v>1080</v>
      </c>
      <c r="D828" s="80" t="s">
        <v>335</v>
      </c>
      <c r="E828" s="80"/>
      <c r="F828" s="80" t="s">
        <v>841</v>
      </c>
      <c r="G828" s="80" t="s">
        <v>690</v>
      </c>
      <c r="H828" s="81">
        <v>1977</v>
      </c>
      <c r="I828" s="82">
        <v>639</v>
      </c>
      <c r="J828" s="83" t="s">
        <v>402</v>
      </c>
      <c r="K828" s="80" t="s">
        <v>402</v>
      </c>
      <c r="L828" s="84" t="s">
        <v>637</v>
      </c>
      <c r="M828" s="85" t="s">
        <v>460</v>
      </c>
      <c r="N828" s="80" t="s">
        <v>461</v>
      </c>
      <c r="O828" s="80"/>
      <c r="P828" s="80"/>
      <c r="Q828" s="80"/>
      <c r="R828" s="80"/>
      <c r="S828" s="80"/>
      <c r="T828" s="80"/>
      <c r="U828" s="80"/>
      <c r="V828" s="80"/>
      <c r="W828" s="80"/>
      <c r="X828" s="80"/>
      <c r="Y828" s="80"/>
      <c r="Z828" s="80"/>
      <c r="AA828" s="80"/>
      <c r="AB828" s="80"/>
      <c r="AC828" s="80"/>
      <c r="AD828" s="80"/>
      <c r="AE828" s="80"/>
      <c r="AF828" s="80"/>
      <c r="AG828" s="80"/>
      <c r="AH828" s="80"/>
    </row>
    <row r="829" spans="1:34" ht="13">
      <c r="A829" s="80" t="s">
        <v>427</v>
      </c>
      <c r="B829" s="80" t="s">
        <v>260</v>
      </c>
      <c r="C829" s="80" t="s">
        <v>1080</v>
      </c>
      <c r="D829" s="80" t="s">
        <v>335</v>
      </c>
      <c r="E829" s="80"/>
      <c r="F829" s="80" t="s">
        <v>841</v>
      </c>
      <c r="G829" s="80" t="s">
        <v>690</v>
      </c>
      <c r="H829" s="81">
        <v>1978</v>
      </c>
      <c r="I829" s="82">
        <v>528</v>
      </c>
      <c r="J829" s="83" t="s">
        <v>402</v>
      </c>
      <c r="K829" s="80" t="s">
        <v>402</v>
      </c>
      <c r="L829" s="84" t="s">
        <v>637</v>
      </c>
      <c r="M829" s="85" t="s">
        <v>460</v>
      </c>
      <c r="N829" s="80" t="s">
        <v>461</v>
      </c>
      <c r="O829" s="80"/>
      <c r="P829" s="80"/>
      <c r="Q829" s="80"/>
      <c r="R829" s="80"/>
      <c r="S829" s="80"/>
      <c r="T829" s="80"/>
      <c r="U829" s="80"/>
      <c r="V829" s="80"/>
      <c r="W829" s="80"/>
      <c r="X829" s="80"/>
      <c r="Y829" s="80"/>
      <c r="Z829" s="80"/>
      <c r="AA829" s="80"/>
      <c r="AB829" s="80"/>
      <c r="AC829" s="80"/>
      <c r="AD829" s="80"/>
      <c r="AE829" s="80"/>
      <c r="AF829" s="80"/>
      <c r="AG829" s="80"/>
      <c r="AH829" s="80"/>
    </row>
    <row r="830" spans="1:34" ht="13">
      <c r="A830" s="80" t="s">
        <v>427</v>
      </c>
      <c r="B830" s="80" t="s">
        <v>260</v>
      </c>
      <c r="C830" s="80" t="s">
        <v>1080</v>
      </c>
      <c r="D830" s="80" t="s">
        <v>335</v>
      </c>
      <c r="E830" s="80"/>
      <c r="F830" s="80" t="s">
        <v>841</v>
      </c>
      <c r="G830" s="80" t="s">
        <v>690</v>
      </c>
      <c r="H830" s="81">
        <v>1979</v>
      </c>
      <c r="I830" s="82">
        <v>667</v>
      </c>
      <c r="J830" s="83" t="s">
        <v>402</v>
      </c>
      <c r="K830" s="80" t="s">
        <v>402</v>
      </c>
      <c r="L830" s="84" t="s">
        <v>637</v>
      </c>
      <c r="M830" s="85" t="s">
        <v>460</v>
      </c>
      <c r="N830" s="80" t="s">
        <v>461</v>
      </c>
      <c r="O830" s="80"/>
      <c r="P830" s="80"/>
      <c r="Q830" s="80"/>
      <c r="R830" s="80"/>
      <c r="S830" s="80"/>
      <c r="T830" s="80"/>
      <c r="U830" s="80"/>
      <c r="V830" s="80"/>
      <c r="W830" s="80"/>
      <c r="X830" s="80"/>
      <c r="Y830" s="80"/>
      <c r="Z830" s="80"/>
      <c r="AA830" s="80"/>
      <c r="AB830" s="80"/>
      <c r="AC830" s="80"/>
      <c r="AD830" s="80"/>
      <c r="AE830" s="80"/>
      <c r="AF830" s="80"/>
      <c r="AG830" s="80"/>
      <c r="AH830" s="80"/>
    </row>
    <row r="831" spans="1:34" ht="13">
      <c r="A831" s="80" t="s">
        <v>427</v>
      </c>
      <c r="B831" s="80" t="s">
        <v>260</v>
      </c>
      <c r="C831" s="80" t="s">
        <v>1080</v>
      </c>
      <c r="D831" s="80" t="s">
        <v>335</v>
      </c>
      <c r="E831" s="80"/>
      <c r="F831" s="80" t="s">
        <v>841</v>
      </c>
      <c r="G831" s="80" t="s">
        <v>690</v>
      </c>
      <c r="H831" s="81">
        <v>1980</v>
      </c>
      <c r="I831" s="82">
        <v>583</v>
      </c>
      <c r="J831" s="83" t="s">
        <v>402</v>
      </c>
      <c r="K831" s="80" t="s">
        <v>402</v>
      </c>
      <c r="L831" s="84" t="s">
        <v>637</v>
      </c>
      <c r="M831" s="85" t="s">
        <v>460</v>
      </c>
      <c r="N831" s="80" t="s">
        <v>461</v>
      </c>
      <c r="O831" s="80"/>
      <c r="P831" s="80"/>
      <c r="Q831" s="80"/>
      <c r="R831" s="80"/>
      <c r="S831" s="80"/>
      <c r="T831" s="80"/>
      <c r="U831" s="80"/>
      <c r="V831" s="80"/>
      <c r="W831" s="80"/>
      <c r="X831" s="80"/>
      <c r="Y831" s="80"/>
      <c r="Z831" s="80"/>
      <c r="AA831" s="80"/>
      <c r="AB831" s="80"/>
      <c r="AC831" s="80"/>
      <c r="AD831" s="80"/>
      <c r="AE831" s="80"/>
      <c r="AF831" s="80"/>
      <c r="AG831" s="80"/>
      <c r="AH831" s="80"/>
    </row>
    <row r="832" spans="1:34" ht="13">
      <c r="A832" s="80" t="s">
        <v>427</v>
      </c>
      <c r="B832" s="80" t="s">
        <v>260</v>
      </c>
      <c r="C832" s="80" t="s">
        <v>1080</v>
      </c>
      <c r="D832" s="80" t="s">
        <v>335</v>
      </c>
      <c r="E832" s="80"/>
      <c r="F832" s="80" t="s">
        <v>841</v>
      </c>
      <c r="G832" s="80" t="s">
        <v>690</v>
      </c>
      <c r="H832" s="81">
        <v>1981</v>
      </c>
      <c r="I832" s="82">
        <v>611</v>
      </c>
      <c r="J832" s="83" t="s">
        <v>402</v>
      </c>
      <c r="K832" s="80" t="s">
        <v>402</v>
      </c>
      <c r="L832" s="84" t="s">
        <v>637</v>
      </c>
      <c r="M832" s="85" t="s">
        <v>460</v>
      </c>
      <c r="N832" s="80" t="s">
        <v>461</v>
      </c>
      <c r="O832" s="80"/>
      <c r="P832" s="80"/>
      <c r="Q832" s="80"/>
      <c r="R832" s="80"/>
      <c r="S832" s="80"/>
      <c r="T832" s="80"/>
      <c r="U832" s="80"/>
      <c r="V832" s="80"/>
      <c r="W832" s="80"/>
      <c r="X832" s="80"/>
      <c r="Y832" s="80"/>
      <c r="Z832" s="80"/>
      <c r="AA832" s="80"/>
      <c r="AB832" s="80"/>
      <c r="AC832" s="80"/>
      <c r="AD832" s="80"/>
      <c r="AE832" s="80"/>
      <c r="AF832" s="80"/>
      <c r="AG832" s="80"/>
      <c r="AH832" s="80"/>
    </row>
    <row r="833" spans="1:34" ht="13">
      <c r="A833" s="80" t="s">
        <v>427</v>
      </c>
      <c r="B833" s="80" t="s">
        <v>260</v>
      </c>
      <c r="C833" s="80" t="s">
        <v>1080</v>
      </c>
      <c r="D833" s="80" t="s">
        <v>335</v>
      </c>
      <c r="E833" s="80"/>
      <c r="F833" s="80" t="s">
        <v>841</v>
      </c>
      <c r="G833" s="80" t="s">
        <v>690</v>
      </c>
      <c r="H833" s="81">
        <v>1982</v>
      </c>
      <c r="I833" s="82">
        <v>694</v>
      </c>
      <c r="J833" s="83" t="s">
        <v>402</v>
      </c>
      <c r="K833" s="80" t="s">
        <v>402</v>
      </c>
      <c r="L833" s="84" t="s">
        <v>637</v>
      </c>
      <c r="M833" s="85" t="s">
        <v>460</v>
      </c>
      <c r="N833" s="80" t="s">
        <v>461</v>
      </c>
      <c r="O833" s="80"/>
      <c r="P833" s="80"/>
      <c r="Q833" s="80"/>
      <c r="R833" s="80"/>
      <c r="S833" s="80"/>
      <c r="T833" s="80"/>
      <c r="U833" s="80"/>
      <c r="V833" s="80"/>
      <c r="W833" s="80"/>
      <c r="X833" s="80"/>
      <c r="Y833" s="80"/>
      <c r="Z833" s="80"/>
      <c r="AA833" s="80"/>
      <c r="AB833" s="80"/>
      <c r="AC833" s="80"/>
      <c r="AD833" s="80"/>
      <c r="AE833" s="80"/>
      <c r="AF833" s="80"/>
      <c r="AG833" s="80"/>
      <c r="AH833" s="80"/>
    </row>
    <row r="834" spans="1:34" ht="13">
      <c r="A834" s="80" t="s">
        <v>427</v>
      </c>
      <c r="B834" s="80" t="s">
        <v>260</v>
      </c>
      <c r="C834" s="80" t="s">
        <v>1080</v>
      </c>
      <c r="D834" s="80" t="s">
        <v>335</v>
      </c>
      <c r="E834" s="80"/>
      <c r="F834" s="80" t="s">
        <v>841</v>
      </c>
      <c r="G834" s="80" t="s">
        <v>690</v>
      </c>
      <c r="H834" s="81">
        <v>1983</v>
      </c>
      <c r="I834" s="82">
        <v>222</v>
      </c>
      <c r="J834" s="83" t="s">
        <v>402</v>
      </c>
      <c r="K834" s="80" t="s">
        <v>402</v>
      </c>
      <c r="L834" s="84" t="s">
        <v>637</v>
      </c>
      <c r="M834" s="85" t="s">
        <v>460</v>
      </c>
      <c r="N834" s="80" t="s">
        <v>461</v>
      </c>
      <c r="O834" s="80"/>
      <c r="P834" s="80"/>
      <c r="Q834" s="80"/>
      <c r="R834" s="80"/>
      <c r="S834" s="80"/>
      <c r="T834" s="80"/>
      <c r="U834" s="80"/>
      <c r="V834" s="80"/>
      <c r="W834" s="80"/>
      <c r="X834" s="80"/>
      <c r="Y834" s="80"/>
      <c r="Z834" s="80"/>
      <c r="AA834" s="80"/>
      <c r="AB834" s="80"/>
      <c r="AC834" s="80"/>
      <c r="AD834" s="80"/>
      <c r="AE834" s="80"/>
      <c r="AF834" s="80"/>
      <c r="AG834" s="80"/>
      <c r="AH834" s="80"/>
    </row>
    <row r="835" spans="1:34" ht="13">
      <c r="A835" s="80" t="s">
        <v>427</v>
      </c>
      <c r="B835" s="80" t="s">
        <v>260</v>
      </c>
      <c r="C835" s="80" t="s">
        <v>1080</v>
      </c>
      <c r="D835" s="80" t="s">
        <v>335</v>
      </c>
      <c r="E835" s="80"/>
      <c r="F835" s="80" t="s">
        <v>841</v>
      </c>
      <c r="G835" s="80" t="s">
        <v>690</v>
      </c>
      <c r="H835" s="81">
        <v>1984</v>
      </c>
      <c r="I835" s="82">
        <v>417</v>
      </c>
      <c r="J835" s="83" t="s">
        <v>402</v>
      </c>
      <c r="K835" s="80" t="s">
        <v>402</v>
      </c>
      <c r="L835" s="84" t="s">
        <v>637</v>
      </c>
      <c r="M835" s="85" t="s">
        <v>460</v>
      </c>
      <c r="N835" s="80" t="s">
        <v>461</v>
      </c>
      <c r="O835" s="80"/>
      <c r="P835" s="80"/>
      <c r="Q835" s="80"/>
      <c r="R835" s="80"/>
      <c r="S835" s="80"/>
      <c r="T835" s="80"/>
      <c r="U835" s="80"/>
      <c r="V835" s="80"/>
      <c r="W835" s="80"/>
      <c r="X835" s="80"/>
      <c r="Y835" s="80"/>
      <c r="Z835" s="80"/>
      <c r="AA835" s="80"/>
      <c r="AB835" s="80"/>
      <c r="AC835" s="80"/>
      <c r="AD835" s="80"/>
      <c r="AE835" s="80"/>
      <c r="AF835" s="80"/>
      <c r="AG835" s="80"/>
      <c r="AH835" s="80"/>
    </row>
    <row r="836" spans="1:34" ht="13">
      <c r="A836" s="80" t="s">
        <v>427</v>
      </c>
      <c r="B836" s="80" t="s">
        <v>260</v>
      </c>
      <c r="C836" s="80" t="s">
        <v>1080</v>
      </c>
      <c r="D836" s="80" t="s">
        <v>335</v>
      </c>
      <c r="E836" s="80"/>
      <c r="F836" s="80" t="s">
        <v>841</v>
      </c>
      <c r="G836" s="80" t="s">
        <v>690</v>
      </c>
      <c r="H836" s="81">
        <v>1985</v>
      </c>
      <c r="I836" s="82">
        <v>333</v>
      </c>
      <c r="J836" s="83" t="s">
        <v>402</v>
      </c>
      <c r="K836" s="80" t="s">
        <v>402</v>
      </c>
      <c r="L836" s="84" t="s">
        <v>637</v>
      </c>
      <c r="M836" s="85" t="s">
        <v>460</v>
      </c>
      <c r="N836" s="80" t="s">
        <v>461</v>
      </c>
      <c r="O836" s="80"/>
      <c r="P836" s="80"/>
      <c r="Q836" s="80"/>
      <c r="R836" s="80"/>
      <c r="S836" s="80"/>
      <c r="T836" s="80"/>
      <c r="U836" s="80"/>
      <c r="V836" s="80"/>
      <c r="W836" s="80"/>
      <c r="X836" s="80"/>
      <c r="Y836" s="80"/>
      <c r="Z836" s="80"/>
      <c r="AA836" s="80"/>
      <c r="AB836" s="80"/>
      <c r="AC836" s="80"/>
      <c r="AD836" s="80"/>
      <c r="AE836" s="80"/>
      <c r="AF836" s="80"/>
      <c r="AG836" s="80"/>
      <c r="AH836" s="80"/>
    </row>
    <row r="837" spans="1:34" ht="13">
      <c r="A837" s="80" t="s">
        <v>427</v>
      </c>
      <c r="B837" s="80" t="s">
        <v>260</v>
      </c>
      <c r="C837" s="80" t="s">
        <v>1080</v>
      </c>
      <c r="D837" s="80" t="s">
        <v>335</v>
      </c>
      <c r="E837" s="80"/>
      <c r="F837" s="80" t="s">
        <v>841</v>
      </c>
      <c r="G837" s="80" t="s">
        <v>690</v>
      </c>
      <c r="H837" s="81">
        <v>1986</v>
      </c>
      <c r="I837" s="82">
        <v>556</v>
      </c>
      <c r="J837" s="83" t="s">
        <v>402</v>
      </c>
      <c r="K837" s="80" t="s">
        <v>402</v>
      </c>
      <c r="L837" s="84" t="s">
        <v>637</v>
      </c>
      <c r="M837" s="85" t="s">
        <v>460</v>
      </c>
      <c r="N837" s="80" t="s">
        <v>461</v>
      </c>
      <c r="O837" s="80"/>
      <c r="P837" s="80"/>
      <c r="Q837" s="80"/>
      <c r="R837" s="80"/>
      <c r="S837" s="80"/>
      <c r="T837" s="80"/>
      <c r="U837" s="80"/>
      <c r="V837" s="80"/>
      <c r="W837" s="80"/>
      <c r="X837" s="80"/>
      <c r="Y837" s="80"/>
      <c r="Z837" s="80"/>
      <c r="AA837" s="80"/>
      <c r="AB837" s="80"/>
      <c r="AC837" s="80"/>
      <c r="AD837" s="80"/>
      <c r="AE837" s="80"/>
      <c r="AF837" s="80"/>
      <c r="AG837" s="80"/>
      <c r="AH837" s="80"/>
    </row>
    <row r="838" spans="1:34" ht="13">
      <c r="A838" s="80" t="s">
        <v>427</v>
      </c>
      <c r="B838" s="80" t="s">
        <v>260</v>
      </c>
      <c r="C838" s="80" t="s">
        <v>1080</v>
      </c>
      <c r="D838" s="80" t="s">
        <v>335</v>
      </c>
      <c r="E838" s="80"/>
      <c r="F838" s="80" t="s">
        <v>841</v>
      </c>
      <c r="G838" s="80" t="s">
        <v>690</v>
      </c>
      <c r="H838" s="81">
        <v>1987</v>
      </c>
      <c r="I838" s="82">
        <v>500</v>
      </c>
      <c r="J838" s="83" t="s">
        <v>402</v>
      </c>
      <c r="K838" s="80" t="s">
        <v>402</v>
      </c>
      <c r="L838" s="84" t="s">
        <v>637</v>
      </c>
      <c r="M838" s="85" t="s">
        <v>460</v>
      </c>
      <c r="N838" s="80" t="s">
        <v>461</v>
      </c>
      <c r="O838" s="80"/>
      <c r="P838" s="80"/>
      <c r="Q838" s="80"/>
      <c r="R838" s="80"/>
      <c r="S838" s="80"/>
      <c r="T838" s="80"/>
      <c r="U838" s="80"/>
      <c r="V838" s="80"/>
      <c r="W838" s="80"/>
      <c r="X838" s="80"/>
      <c r="Y838" s="80"/>
      <c r="Z838" s="80"/>
      <c r="AA838" s="80"/>
      <c r="AB838" s="80"/>
      <c r="AC838" s="80"/>
      <c r="AD838" s="80"/>
      <c r="AE838" s="80"/>
      <c r="AF838" s="80"/>
      <c r="AG838" s="80"/>
      <c r="AH838" s="80"/>
    </row>
    <row r="839" spans="1:34" ht="13">
      <c r="A839" s="80" t="s">
        <v>427</v>
      </c>
      <c r="B839" s="80" t="s">
        <v>260</v>
      </c>
      <c r="C839" s="80" t="s">
        <v>1080</v>
      </c>
      <c r="D839" s="80" t="s">
        <v>335</v>
      </c>
      <c r="E839" s="80"/>
      <c r="F839" s="80" t="s">
        <v>841</v>
      </c>
      <c r="G839" s="80" t="s">
        <v>690</v>
      </c>
      <c r="H839" s="81">
        <v>1988</v>
      </c>
      <c r="I839" s="82">
        <v>500</v>
      </c>
      <c r="J839" s="83" t="s">
        <v>402</v>
      </c>
      <c r="K839" s="80" t="s">
        <v>402</v>
      </c>
      <c r="L839" s="84" t="s">
        <v>637</v>
      </c>
      <c r="M839" s="85" t="s">
        <v>460</v>
      </c>
      <c r="N839" s="80" t="s">
        <v>461</v>
      </c>
      <c r="O839" s="80"/>
      <c r="P839" s="80"/>
      <c r="Q839" s="80"/>
      <c r="R839" s="80"/>
      <c r="S839" s="80"/>
      <c r="T839" s="80"/>
      <c r="U839" s="80"/>
      <c r="V839" s="80"/>
      <c r="W839" s="80"/>
      <c r="X839" s="80"/>
      <c r="Y839" s="80"/>
      <c r="Z839" s="80"/>
      <c r="AA839" s="80"/>
      <c r="AB839" s="80"/>
      <c r="AC839" s="80"/>
      <c r="AD839" s="80"/>
      <c r="AE839" s="80"/>
      <c r="AF839" s="80"/>
      <c r="AG839" s="80"/>
      <c r="AH839" s="80"/>
    </row>
    <row r="840" spans="1:34" ht="13">
      <c r="A840" s="80" t="s">
        <v>427</v>
      </c>
      <c r="B840" s="80" t="s">
        <v>260</v>
      </c>
      <c r="C840" s="80" t="s">
        <v>1080</v>
      </c>
      <c r="D840" s="80" t="s">
        <v>335</v>
      </c>
      <c r="E840" s="80"/>
      <c r="F840" s="80" t="s">
        <v>841</v>
      </c>
      <c r="G840" s="80" t="s">
        <v>690</v>
      </c>
      <c r="H840" s="81">
        <v>1989</v>
      </c>
      <c r="I840" s="82">
        <v>639</v>
      </c>
      <c r="J840" s="83" t="s">
        <v>402</v>
      </c>
      <c r="K840" s="80" t="s">
        <v>402</v>
      </c>
      <c r="L840" s="84" t="s">
        <v>637</v>
      </c>
      <c r="M840" s="85" t="s">
        <v>460</v>
      </c>
      <c r="N840" s="80" t="s">
        <v>461</v>
      </c>
      <c r="O840" s="80"/>
      <c r="P840" s="80"/>
      <c r="Q840" s="80"/>
      <c r="R840" s="80"/>
      <c r="S840" s="80"/>
      <c r="T840" s="80"/>
      <c r="U840" s="80"/>
      <c r="V840" s="80"/>
      <c r="W840" s="80"/>
      <c r="X840" s="80"/>
      <c r="Y840" s="80"/>
      <c r="Z840" s="80"/>
      <c r="AA840" s="80"/>
      <c r="AB840" s="80"/>
      <c r="AC840" s="80"/>
      <c r="AD840" s="80"/>
      <c r="AE840" s="80"/>
      <c r="AF840" s="80"/>
      <c r="AG840" s="80"/>
      <c r="AH840" s="80"/>
    </row>
    <row r="841" spans="1:34" ht="13">
      <c r="A841" s="80" t="s">
        <v>427</v>
      </c>
      <c r="B841" s="80" t="s">
        <v>260</v>
      </c>
      <c r="C841" s="80" t="s">
        <v>1080</v>
      </c>
      <c r="D841" s="80" t="s">
        <v>335</v>
      </c>
      <c r="E841" s="80"/>
      <c r="F841" s="80" t="s">
        <v>841</v>
      </c>
      <c r="G841" s="80" t="s">
        <v>690</v>
      </c>
      <c r="H841" s="81">
        <v>1990</v>
      </c>
      <c r="I841" s="82">
        <v>639</v>
      </c>
      <c r="J841" s="83" t="s">
        <v>402</v>
      </c>
      <c r="K841" s="80" t="s">
        <v>402</v>
      </c>
      <c r="L841" s="84" t="s">
        <v>637</v>
      </c>
      <c r="M841" s="85" t="s">
        <v>460</v>
      </c>
      <c r="N841" s="80" t="s">
        <v>461</v>
      </c>
      <c r="O841" s="80"/>
      <c r="P841" s="80"/>
      <c r="Q841" s="80"/>
      <c r="R841" s="80"/>
      <c r="S841" s="80"/>
      <c r="T841" s="80"/>
      <c r="U841" s="80"/>
      <c r="V841" s="80"/>
      <c r="W841" s="80"/>
      <c r="X841" s="80"/>
      <c r="Y841" s="80"/>
      <c r="Z841" s="80"/>
      <c r="AA841" s="80"/>
      <c r="AB841" s="80"/>
      <c r="AC841" s="80"/>
      <c r="AD841" s="80"/>
      <c r="AE841" s="80"/>
      <c r="AF841" s="80"/>
      <c r="AG841" s="80"/>
      <c r="AH841" s="80"/>
    </row>
    <row r="842" spans="1:34" ht="13">
      <c r="A842" s="80" t="s">
        <v>427</v>
      </c>
      <c r="B842" s="80" t="s">
        <v>260</v>
      </c>
      <c r="C842" s="80" t="s">
        <v>1080</v>
      </c>
      <c r="D842" s="80" t="s">
        <v>335</v>
      </c>
      <c r="E842" s="80"/>
      <c r="F842" s="80" t="s">
        <v>841</v>
      </c>
      <c r="G842" s="80" t="s">
        <v>690</v>
      </c>
      <c r="H842" s="81">
        <v>1991</v>
      </c>
      <c r="I842" s="82">
        <v>528</v>
      </c>
      <c r="J842" s="83" t="s">
        <v>402</v>
      </c>
      <c r="K842" s="80" t="s">
        <v>402</v>
      </c>
      <c r="L842" s="84" t="s">
        <v>637</v>
      </c>
      <c r="M842" s="85" t="s">
        <v>460</v>
      </c>
      <c r="N842" s="80" t="s">
        <v>461</v>
      </c>
      <c r="O842" s="80"/>
      <c r="P842" s="80"/>
      <c r="Q842" s="80"/>
      <c r="R842" s="80"/>
      <c r="S842" s="80"/>
      <c r="T842" s="80"/>
      <c r="U842" s="80"/>
      <c r="V842" s="80"/>
      <c r="W842" s="80"/>
      <c r="X842" s="80"/>
      <c r="Y842" s="80"/>
      <c r="Z842" s="80"/>
      <c r="AA842" s="80"/>
      <c r="AB842" s="80"/>
      <c r="AC842" s="80"/>
      <c r="AD842" s="80"/>
      <c r="AE842" s="80"/>
      <c r="AF842" s="80"/>
      <c r="AG842" s="80"/>
      <c r="AH842" s="80"/>
    </row>
    <row r="843" spans="1:34" ht="13">
      <c r="A843" s="80" t="s">
        <v>427</v>
      </c>
      <c r="B843" s="80" t="s">
        <v>260</v>
      </c>
      <c r="C843" s="80" t="s">
        <v>1080</v>
      </c>
      <c r="D843" s="80" t="s">
        <v>335</v>
      </c>
      <c r="E843" s="80"/>
      <c r="F843" s="80" t="s">
        <v>841</v>
      </c>
      <c r="G843" s="80" t="s">
        <v>690</v>
      </c>
      <c r="H843" s="81">
        <v>1992</v>
      </c>
      <c r="I843" s="82">
        <v>472</v>
      </c>
      <c r="J843" s="83" t="s">
        <v>402</v>
      </c>
      <c r="K843" s="80" t="s">
        <v>402</v>
      </c>
      <c r="L843" s="84" t="s">
        <v>637</v>
      </c>
      <c r="M843" s="85" t="s">
        <v>460</v>
      </c>
      <c r="N843" s="80" t="s">
        <v>461</v>
      </c>
      <c r="O843" s="80"/>
      <c r="P843" s="80"/>
      <c r="Q843" s="80"/>
      <c r="R843" s="80"/>
      <c r="S843" s="80"/>
      <c r="T843" s="80"/>
      <c r="U843" s="80"/>
      <c r="V843" s="80"/>
      <c r="W843" s="80"/>
      <c r="X843" s="80"/>
      <c r="Y843" s="80"/>
      <c r="Z843" s="80"/>
      <c r="AA843" s="80"/>
      <c r="AB843" s="80"/>
      <c r="AC843" s="80"/>
      <c r="AD843" s="80"/>
      <c r="AE843" s="80"/>
      <c r="AF843" s="80"/>
      <c r="AG843" s="80"/>
      <c r="AH843" s="80"/>
    </row>
    <row r="844" spans="1:34" ht="13">
      <c r="A844" s="80" t="s">
        <v>427</v>
      </c>
      <c r="B844" s="80" t="s">
        <v>260</v>
      </c>
      <c r="C844" s="80" t="s">
        <v>1080</v>
      </c>
      <c r="D844" s="80" t="s">
        <v>335</v>
      </c>
      <c r="E844" s="80"/>
      <c r="F844" s="80" t="s">
        <v>841</v>
      </c>
      <c r="G844" s="80" t="s">
        <v>690</v>
      </c>
      <c r="H844" s="81">
        <v>1993</v>
      </c>
      <c r="I844" s="82">
        <v>750</v>
      </c>
      <c r="J844" s="83" t="s">
        <v>402</v>
      </c>
      <c r="K844" s="80" t="s">
        <v>402</v>
      </c>
      <c r="L844" s="84" t="s">
        <v>637</v>
      </c>
      <c r="M844" s="85" t="s">
        <v>460</v>
      </c>
      <c r="N844" s="80" t="s">
        <v>461</v>
      </c>
      <c r="O844" s="80"/>
      <c r="P844" s="80"/>
      <c r="Q844" s="80"/>
      <c r="R844" s="80"/>
      <c r="S844" s="80"/>
      <c r="T844" s="80"/>
      <c r="U844" s="80"/>
      <c r="V844" s="80"/>
      <c r="W844" s="80"/>
      <c r="X844" s="80"/>
      <c r="Y844" s="80"/>
      <c r="Z844" s="80"/>
      <c r="AA844" s="80"/>
      <c r="AB844" s="80"/>
      <c r="AC844" s="80"/>
      <c r="AD844" s="80"/>
      <c r="AE844" s="80"/>
      <c r="AF844" s="80"/>
      <c r="AG844" s="80"/>
      <c r="AH844" s="80"/>
    </row>
    <row r="845" spans="1:34" ht="13">
      <c r="A845" s="80" t="s">
        <v>427</v>
      </c>
      <c r="B845" s="80" t="s">
        <v>260</v>
      </c>
      <c r="C845" s="80" t="s">
        <v>1080</v>
      </c>
      <c r="D845" s="80" t="s">
        <v>335</v>
      </c>
      <c r="E845" s="80"/>
      <c r="F845" s="80" t="s">
        <v>841</v>
      </c>
      <c r="G845" s="80" t="s">
        <v>690</v>
      </c>
      <c r="H845" s="81">
        <v>1994</v>
      </c>
      <c r="I845" s="82">
        <v>833</v>
      </c>
      <c r="J845" s="83" t="s">
        <v>402</v>
      </c>
      <c r="K845" s="80" t="s">
        <v>402</v>
      </c>
      <c r="L845" s="84" t="s">
        <v>637</v>
      </c>
      <c r="M845" s="85" t="s">
        <v>460</v>
      </c>
      <c r="N845" s="80" t="s">
        <v>461</v>
      </c>
      <c r="O845" s="80"/>
      <c r="P845" s="80"/>
      <c r="Q845" s="80"/>
      <c r="R845" s="80"/>
      <c r="S845" s="80"/>
      <c r="T845" s="80"/>
      <c r="U845" s="80"/>
      <c r="V845" s="80"/>
      <c r="W845" s="80"/>
      <c r="X845" s="80"/>
      <c r="Y845" s="80"/>
      <c r="Z845" s="80"/>
      <c r="AA845" s="80"/>
      <c r="AB845" s="80"/>
      <c r="AC845" s="80"/>
      <c r="AD845" s="80"/>
      <c r="AE845" s="80"/>
      <c r="AF845" s="80"/>
      <c r="AG845" s="80"/>
      <c r="AH845" s="80"/>
    </row>
    <row r="846" spans="1:34" ht="13">
      <c r="A846" s="80" t="s">
        <v>427</v>
      </c>
      <c r="B846" s="80" t="s">
        <v>260</v>
      </c>
      <c r="C846" s="80" t="s">
        <v>1080</v>
      </c>
      <c r="D846" s="80" t="s">
        <v>335</v>
      </c>
      <c r="E846" s="80"/>
      <c r="F846" s="80" t="s">
        <v>841</v>
      </c>
      <c r="G846" s="80" t="s">
        <v>690</v>
      </c>
      <c r="H846" s="81">
        <v>1995</v>
      </c>
      <c r="I846" s="82">
        <v>806</v>
      </c>
      <c r="J846" s="83" t="s">
        <v>402</v>
      </c>
      <c r="K846" s="80" t="s">
        <v>402</v>
      </c>
      <c r="L846" s="84" t="s">
        <v>637</v>
      </c>
      <c r="M846" s="85" t="s">
        <v>460</v>
      </c>
      <c r="N846" s="80" t="s">
        <v>461</v>
      </c>
      <c r="O846" s="80"/>
      <c r="P846" s="80"/>
      <c r="Q846" s="80"/>
      <c r="R846" s="80"/>
      <c r="S846" s="80"/>
      <c r="T846" s="80"/>
      <c r="U846" s="80"/>
      <c r="V846" s="80"/>
      <c r="W846" s="80"/>
      <c r="X846" s="80"/>
      <c r="Y846" s="80"/>
      <c r="Z846" s="80"/>
      <c r="AA846" s="80"/>
      <c r="AB846" s="80"/>
      <c r="AC846" s="80"/>
      <c r="AD846" s="80"/>
      <c r="AE846" s="80"/>
      <c r="AF846" s="80"/>
      <c r="AG846" s="80"/>
      <c r="AH846" s="80"/>
    </row>
    <row r="847" spans="1:34" ht="13">
      <c r="A847" s="80" t="s">
        <v>427</v>
      </c>
      <c r="B847" s="80" t="s">
        <v>260</v>
      </c>
      <c r="C847" s="80" t="s">
        <v>1080</v>
      </c>
      <c r="D847" s="80" t="s">
        <v>335</v>
      </c>
      <c r="E847" s="80"/>
      <c r="F847" s="80" t="s">
        <v>841</v>
      </c>
      <c r="G847" s="80" t="s">
        <v>690</v>
      </c>
      <c r="H847" s="81">
        <v>1997</v>
      </c>
      <c r="I847" s="82">
        <v>944</v>
      </c>
      <c r="J847" s="83" t="s">
        <v>402</v>
      </c>
      <c r="K847" s="80" t="s">
        <v>402</v>
      </c>
      <c r="L847" s="84" t="s">
        <v>637</v>
      </c>
      <c r="M847" s="85" t="s">
        <v>460</v>
      </c>
      <c r="N847" s="80" t="s">
        <v>461</v>
      </c>
      <c r="O847" s="80"/>
      <c r="P847" s="80"/>
      <c r="Q847" s="80"/>
      <c r="R847" s="80"/>
      <c r="S847" s="80"/>
      <c r="T847" s="80"/>
      <c r="U847" s="80"/>
      <c r="V847" s="80"/>
      <c r="W847" s="80"/>
      <c r="X847" s="80"/>
      <c r="Y847" s="80"/>
      <c r="Z847" s="80"/>
      <c r="AA847" s="80"/>
      <c r="AB847" s="80"/>
      <c r="AC847" s="80"/>
      <c r="AD847" s="80"/>
      <c r="AE847" s="80"/>
      <c r="AF847" s="80"/>
      <c r="AG847" s="80"/>
      <c r="AH847" s="80"/>
    </row>
    <row r="848" spans="1:34" ht="13">
      <c r="A848" s="80" t="s">
        <v>427</v>
      </c>
      <c r="B848" s="80" t="s">
        <v>260</v>
      </c>
      <c r="C848" s="80" t="s">
        <v>1080</v>
      </c>
      <c r="D848" s="80" t="s">
        <v>335</v>
      </c>
      <c r="E848" s="80"/>
      <c r="F848" s="80" t="s">
        <v>841</v>
      </c>
      <c r="G848" s="80" t="s">
        <v>690</v>
      </c>
      <c r="H848" s="81">
        <v>1998</v>
      </c>
      <c r="I848" s="82">
        <v>222</v>
      </c>
      <c r="J848" s="83" t="s">
        <v>402</v>
      </c>
      <c r="K848" s="80" t="s">
        <v>402</v>
      </c>
      <c r="L848" s="84" t="s">
        <v>637</v>
      </c>
      <c r="M848" s="85" t="s">
        <v>460</v>
      </c>
      <c r="N848" s="80" t="s">
        <v>461</v>
      </c>
      <c r="O848" s="80"/>
      <c r="P848" s="80"/>
      <c r="Q848" s="80"/>
      <c r="R848" s="80"/>
      <c r="S848" s="80"/>
      <c r="T848" s="80"/>
      <c r="U848" s="80"/>
      <c r="V848" s="80"/>
      <c r="W848" s="80"/>
      <c r="X848" s="80"/>
      <c r="Y848" s="80"/>
      <c r="Z848" s="80"/>
      <c r="AA848" s="80"/>
      <c r="AB848" s="80"/>
      <c r="AC848" s="80"/>
      <c r="AD848" s="80"/>
      <c r="AE848" s="80"/>
      <c r="AF848" s="80"/>
      <c r="AG848" s="80"/>
      <c r="AH848" s="80"/>
    </row>
    <row r="849" spans="1:34" ht="13">
      <c r="A849" s="80" t="s">
        <v>427</v>
      </c>
      <c r="B849" s="80" t="s">
        <v>260</v>
      </c>
      <c r="C849" s="80" t="s">
        <v>1080</v>
      </c>
      <c r="D849" s="80" t="s">
        <v>335</v>
      </c>
      <c r="E849" s="80"/>
      <c r="F849" s="80" t="s">
        <v>841</v>
      </c>
      <c r="G849" s="80" t="s">
        <v>690</v>
      </c>
      <c r="H849" s="81">
        <v>1999</v>
      </c>
      <c r="I849" s="82">
        <v>333</v>
      </c>
      <c r="J849" s="83" t="s">
        <v>402</v>
      </c>
      <c r="K849" s="80" t="s">
        <v>402</v>
      </c>
      <c r="L849" s="84" t="s">
        <v>637</v>
      </c>
      <c r="M849" s="85" t="s">
        <v>460</v>
      </c>
      <c r="N849" s="80" t="s">
        <v>461</v>
      </c>
      <c r="O849" s="80"/>
      <c r="P849" s="80"/>
      <c r="Q849" s="80"/>
      <c r="R849" s="80"/>
      <c r="S849" s="80"/>
      <c r="T849" s="80"/>
      <c r="U849" s="80"/>
      <c r="V849" s="80"/>
      <c r="W849" s="80"/>
      <c r="X849" s="80"/>
      <c r="Y849" s="80"/>
      <c r="Z849" s="80"/>
      <c r="AA849" s="80"/>
      <c r="AB849" s="80"/>
      <c r="AC849" s="80"/>
      <c r="AD849" s="80"/>
      <c r="AE849" s="80"/>
      <c r="AF849" s="80"/>
      <c r="AG849" s="80"/>
      <c r="AH849" s="80"/>
    </row>
    <row r="850" spans="1:34" ht="13">
      <c r="A850" s="80" t="s">
        <v>427</v>
      </c>
      <c r="B850" s="80" t="s">
        <v>260</v>
      </c>
      <c r="C850" s="80" t="s">
        <v>1080</v>
      </c>
      <c r="D850" s="80" t="s">
        <v>335</v>
      </c>
      <c r="E850" s="80"/>
      <c r="F850" s="80" t="s">
        <v>841</v>
      </c>
      <c r="G850" s="80" t="s">
        <v>690</v>
      </c>
      <c r="H850" s="81">
        <v>2000</v>
      </c>
      <c r="I850" s="82">
        <v>583</v>
      </c>
      <c r="J850" s="83" t="s">
        <v>402</v>
      </c>
      <c r="K850" s="80" t="s">
        <v>402</v>
      </c>
      <c r="L850" s="84" t="s">
        <v>637</v>
      </c>
      <c r="M850" s="85" t="s">
        <v>460</v>
      </c>
      <c r="N850" s="80" t="s">
        <v>461</v>
      </c>
      <c r="O850" s="80"/>
      <c r="P850" s="80"/>
      <c r="Q850" s="80"/>
      <c r="R850" s="80"/>
      <c r="S850" s="80"/>
      <c r="T850" s="80"/>
      <c r="U850" s="80"/>
      <c r="V850" s="80"/>
      <c r="W850" s="80"/>
      <c r="X850" s="80"/>
      <c r="Y850" s="80"/>
      <c r="Z850" s="80"/>
      <c r="AA850" s="80"/>
      <c r="AB850" s="80"/>
      <c r="AC850" s="80"/>
      <c r="AD850" s="80"/>
      <c r="AE850" s="80"/>
      <c r="AF850" s="80"/>
      <c r="AG850" s="80"/>
      <c r="AH850" s="80"/>
    </row>
    <row r="851" spans="1:34" ht="13">
      <c r="A851" s="80" t="s">
        <v>427</v>
      </c>
      <c r="B851" s="80" t="s">
        <v>260</v>
      </c>
      <c r="C851" s="80" t="s">
        <v>1080</v>
      </c>
      <c r="D851" s="80" t="s">
        <v>335</v>
      </c>
      <c r="E851" s="80"/>
      <c r="F851" s="80" t="s">
        <v>841</v>
      </c>
      <c r="G851" s="80" t="s">
        <v>690</v>
      </c>
      <c r="H851" s="81">
        <v>2001</v>
      </c>
      <c r="I851" s="82">
        <v>722</v>
      </c>
      <c r="J851" s="83" t="s">
        <v>402</v>
      </c>
      <c r="K851" s="80" t="s">
        <v>402</v>
      </c>
      <c r="L851" s="84" t="s">
        <v>637</v>
      </c>
      <c r="M851" s="85" t="s">
        <v>460</v>
      </c>
      <c r="N851" s="80" t="s">
        <v>461</v>
      </c>
      <c r="O851" s="80"/>
      <c r="P851" s="80"/>
      <c r="Q851" s="80"/>
      <c r="R851" s="80"/>
      <c r="S851" s="80"/>
      <c r="T851" s="80"/>
      <c r="U851" s="80"/>
      <c r="V851" s="80"/>
      <c r="W851" s="80"/>
      <c r="X851" s="80"/>
      <c r="Y851" s="80"/>
      <c r="Z851" s="80"/>
      <c r="AA851" s="80"/>
      <c r="AB851" s="80"/>
      <c r="AC851" s="80"/>
      <c r="AD851" s="80"/>
      <c r="AE851" s="80"/>
      <c r="AF851" s="80"/>
      <c r="AG851" s="80"/>
      <c r="AH851" s="80"/>
    </row>
    <row r="852" spans="1:34" ht="13">
      <c r="A852" s="80" t="s">
        <v>427</v>
      </c>
      <c r="B852" s="80" t="s">
        <v>260</v>
      </c>
      <c r="C852" s="80" t="s">
        <v>1080</v>
      </c>
      <c r="D852" s="80" t="s">
        <v>335</v>
      </c>
      <c r="E852" s="80"/>
      <c r="F852" s="80" t="s">
        <v>841</v>
      </c>
      <c r="G852" s="80" t="s">
        <v>690</v>
      </c>
      <c r="H852" s="81">
        <v>2002</v>
      </c>
      <c r="I852" s="82">
        <v>722</v>
      </c>
      <c r="J852" s="83" t="s">
        <v>402</v>
      </c>
      <c r="K852" s="80" t="s">
        <v>402</v>
      </c>
      <c r="L852" s="84" t="s">
        <v>637</v>
      </c>
      <c r="M852" s="85" t="s">
        <v>460</v>
      </c>
      <c r="N852" s="80" t="s">
        <v>461</v>
      </c>
      <c r="O852" s="80"/>
      <c r="P852" s="80"/>
      <c r="Q852" s="80"/>
      <c r="R852" s="80"/>
      <c r="S852" s="80"/>
      <c r="T852" s="80"/>
      <c r="U852" s="80"/>
      <c r="V852" s="80"/>
      <c r="W852" s="80"/>
      <c r="X852" s="80"/>
      <c r="Y852" s="80"/>
      <c r="Z852" s="80"/>
      <c r="AA852" s="80"/>
      <c r="AB852" s="80"/>
      <c r="AC852" s="80"/>
      <c r="AD852" s="80"/>
      <c r="AE852" s="80"/>
      <c r="AF852" s="80"/>
      <c r="AG852" s="80"/>
      <c r="AH852" s="80"/>
    </row>
    <row r="853" spans="1:34" ht="13">
      <c r="A853" s="80" t="s">
        <v>427</v>
      </c>
      <c r="B853" s="80" t="s">
        <v>260</v>
      </c>
      <c r="C853" s="80" t="s">
        <v>1080</v>
      </c>
      <c r="D853" s="80" t="s">
        <v>335</v>
      </c>
      <c r="E853" s="80"/>
      <c r="F853" s="80" t="s">
        <v>841</v>
      </c>
      <c r="G853" s="80" t="s">
        <v>690</v>
      </c>
      <c r="H853" s="81">
        <v>2004</v>
      </c>
      <c r="I853" s="82">
        <v>806</v>
      </c>
      <c r="J853" s="83" t="s">
        <v>402</v>
      </c>
      <c r="K853" s="80" t="s">
        <v>402</v>
      </c>
      <c r="L853" s="84" t="s">
        <v>637</v>
      </c>
      <c r="M853" s="85" t="s">
        <v>460</v>
      </c>
      <c r="N853" s="80" t="s">
        <v>461</v>
      </c>
      <c r="O853" s="80"/>
      <c r="P853" s="80"/>
      <c r="Q853" s="80"/>
      <c r="R853" s="80"/>
      <c r="S853" s="80"/>
      <c r="T853" s="80"/>
      <c r="U853" s="80"/>
      <c r="V853" s="80"/>
      <c r="W853" s="80"/>
      <c r="X853" s="80"/>
      <c r="Y853" s="80"/>
      <c r="Z853" s="80"/>
      <c r="AA853" s="80"/>
      <c r="AB853" s="80"/>
      <c r="AC853" s="80"/>
      <c r="AD853" s="80"/>
      <c r="AE853" s="80"/>
      <c r="AF853" s="80"/>
      <c r="AG853" s="80"/>
      <c r="AH853" s="80"/>
    </row>
    <row r="854" spans="1:34" ht="13">
      <c r="A854" s="80" t="s">
        <v>427</v>
      </c>
      <c r="B854" s="80" t="s">
        <v>260</v>
      </c>
      <c r="C854" s="80" t="s">
        <v>1080</v>
      </c>
      <c r="D854" s="80" t="s">
        <v>335</v>
      </c>
      <c r="E854" s="80"/>
      <c r="F854" s="80" t="s">
        <v>841</v>
      </c>
      <c r="G854" s="80" t="s">
        <v>690</v>
      </c>
      <c r="H854" s="81">
        <v>2005</v>
      </c>
      <c r="I854" s="82">
        <v>778</v>
      </c>
      <c r="J854" s="83" t="s">
        <v>402</v>
      </c>
      <c r="K854" s="80" t="s">
        <v>402</v>
      </c>
      <c r="L854" s="84" t="s">
        <v>637</v>
      </c>
      <c r="M854" s="85" t="s">
        <v>460</v>
      </c>
      <c r="N854" s="80" t="s">
        <v>461</v>
      </c>
      <c r="O854" s="80"/>
      <c r="P854" s="80"/>
      <c r="Q854" s="80"/>
      <c r="R854" s="80"/>
      <c r="S854" s="80"/>
      <c r="T854" s="80"/>
      <c r="U854" s="80"/>
      <c r="V854" s="80"/>
      <c r="W854" s="80"/>
      <c r="X854" s="80"/>
      <c r="Y854" s="80"/>
      <c r="Z854" s="80"/>
      <c r="AA854" s="80"/>
      <c r="AB854" s="80"/>
      <c r="AC854" s="80"/>
      <c r="AD854" s="80"/>
      <c r="AE854" s="80"/>
      <c r="AF854" s="80"/>
      <c r="AG854" s="80"/>
      <c r="AH854" s="80"/>
    </row>
    <row r="855" spans="1:34" ht="13">
      <c r="A855" s="80" t="s">
        <v>427</v>
      </c>
      <c r="B855" s="80" t="s">
        <v>260</v>
      </c>
      <c r="C855" s="80" t="s">
        <v>1080</v>
      </c>
      <c r="D855" s="80" t="s">
        <v>335</v>
      </c>
      <c r="E855" s="80"/>
      <c r="F855" s="80" t="s">
        <v>841</v>
      </c>
      <c r="G855" s="80" t="s">
        <v>690</v>
      </c>
      <c r="H855" s="81">
        <v>2006</v>
      </c>
      <c r="I855" s="82">
        <v>639</v>
      </c>
      <c r="J855" s="83" t="s">
        <v>402</v>
      </c>
      <c r="K855" s="80" t="s">
        <v>402</v>
      </c>
      <c r="L855" s="84" t="s">
        <v>637</v>
      </c>
      <c r="M855" s="85" t="s">
        <v>460</v>
      </c>
      <c r="N855" s="80" t="s">
        <v>461</v>
      </c>
      <c r="O855" s="80"/>
      <c r="P855" s="80"/>
      <c r="Q855" s="80"/>
      <c r="R855" s="80"/>
      <c r="S855" s="80"/>
      <c r="T855" s="80"/>
      <c r="U855" s="80"/>
      <c r="V855" s="80"/>
      <c r="W855" s="80"/>
      <c r="X855" s="80"/>
      <c r="Y855" s="80"/>
      <c r="Z855" s="80"/>
      <c r="AA855" s="80"/>
      <c r="AB855" s="80"/>
      <c r="AC855" s="80"/>
      <c r="AD855" s="80"/>
      <c r="AE855" s="80"/>
      <c r="AF855" s="80"/>
      <c r="AG855" s="80"/>
      <c r="AH855" s="80"/>
    </row>
    <row r="856" spans="1:34" ht="13">
      <c r="A856" s="80" t="s">
        <v>427</v>
      </c>
      <c r="B856" s="80" t="s">
        <v>260</v>
      </c>
      <c r="C856" s="80" t="s">
        <v>1080</v>
      </c>
      <c r="D856" s="80" t="s">
        <v>335</v>
      </c>
      <c r="E856" s="80"/>
      <c r="F856" s="80" t="s">
        <v>841</v>
      </c>
      <c r="G856" s="80" t="s">
        <v>690</v>
      </c>
      <c r="H856" s="81">
        <v>2007</v>
      </c>
      <c r="I856" s="82">
        <v>750</v>
      </c>
      <c r="J856" s="83" t="s">
        <v>402</v>
      </c>
      <c r="K856" s="80" t="s">
        <v>402</v>
      </c>
      <c r="L856" s="84" t="s">
        <v>637</v>
      </c>
      <c r="M856" s="85" t="s">
        <v>460</v>
      </c>
      <c r="N856" s="80" t="s">
        <v>461</v>
      </c>
      <c r="O856" s="80"/>
      <c r="P856" s="80"/>
      <c r="Q856" s="80"/>
      <c r="R856" s="80"/>
      <c r="S856" s="80"/>
      <c r="T856" s="80"/>
      <c r="U856" s="80"/>
      <c r="V856" s="80"/>
      <c r="W856" s="80"/>
      <c r="X856" s="80"/>
      <c r="Y856" s="80"/>
      <c r="Z856" s="80"/>
      <c r="AA856" s="80"/>
      <c r="AB856" s="80"/>
      <c r="AC856" s="80"/>
      <c r="AD856" s="80"/>
      <c r="AE856" s="80"/>
      <c r="AF856" s="80"/>
      <c r="AG856" s="80"/>
      <c r="AH856" s="80"/>
    </row>
    <row r="857" spans="1:34" ht="13">
      <c r="A857" s="80" t="s">
        <v>427</v>
      </c>
      <c r="B857" s="80" t="s">
        <v>260</v>
      </c>
      <c r="C857" s="80" t="s">
        <v>1080</v>
      </c>
      <c r="D857" s="80" t="s">
        <v>335</v>
      </c>
      <c r="E857" s="80"/>
      <c r="F857" s="80" t="s">
        <v>841</v>
      </c>
      <c r="G857" s="80" t="s">
        <v>690</v>
      </c>
      <c r="H857" s="81">
        <v>2008</v>
      </c>
      <c r="I857" s="82">
        <v>1056</v>
      </c>
      <c r="J857" s="83" t="s">
        <v>402</v>
      </c>
      <c r="K857" s="80" t="s">
        <v>402</v>
      </c>
      <c r="L857" s="84" t="s">
        <v>637</v>
      </c>
      <c r="M857" s="85" t="s">
        <v>460</v>
      </c>
      <c r="N857" s="80" t="s">
        <v>461</v>
      </c>
      <c r="O857" s="80"/>
      <c r="P857" s="80"/>
      <c r="Q857" s="80"/>
      <c r="R857" s="80"/>
      <c r="S857" s="80"/>
      <c r="T857" s="80"/>
      <c r="U857" s="80"/>
      <c r="V857" s="80"/>
      <c r="W857" s="80"/>
      <c r="X857" s="80"/>
      <c r="Y857" s="80"/>
      <c r="Z857" s="80"/>
      <c r="AA857" s="80"/>
      <c r="AB857" s="80"/>
      <c r="AC857" s="80"/>
      <c r="AD857" s="80"/>
      <c r="AE857" s="80"/>
      <c r="AF857" s="80"/>
      <c r="AG857" s="80"/>
      <c r="AH857" s="80"/>
    </row>
    <row r="858" spans="1:34" ht="13">
      <c r="A858" s="80" t="s">
        <v>427</v>
      </c>
      <c r="B858" s="80" t="s">
        <v>260</v>
      </c>
      <c r="C858" s="80" t="s">
        <v>1080</v>
      </c>
      <c r="D858" s="80" t="s">
        <v>335</v>
      </c>
      <c r="E858" s="80"/>
      <c r="F858" s="80" t="s">
        <v>841</v>
      </c>
      <c r="G858" s="80" t="s">
        <v>690</v>
      </c>
      <c r="H858" s="81">
        <v>2009</v>
      </c>
      <c r="I858" s="82">
        <v>778</v>
      </c>
      <c r="J858" s="83" t="s">
        <v>402</v>
      </c>
      <c r="K858" s="80" t="s">
        <v>402</v>
      </c>
      <c r="L858" s="84" t="s">
        <v>637</v>
      </c>
      <c r="M858" s="85" t="s">
        <v>460</v>
      </c>
      <c r="N858" s="80" t="s">
        <v>461</v>
      </c>
      <c r="O858" s="80"/>
      <c r="P858" s="80"/>
      <c r="Q858" s="80"/>
      <c r="R858" s="80"/>
      <c r="S858" s="80"/>
      <c r="T858" s="80"/>
      <c r="U858" s="80"/>
      <c r="V858" s="80"/>
      <c r="W858" s="80"/>
      <c r="X858" s="80"/>
      <c r="Y858" s="80"/>
      <c r="Z858" s="80"/>
      <c r="AA858" s="80"/>
      <c r="AB858" s="80"/>
      <c r="AC858" s="80"/>
      <c r="AD858" s="80"/>
      <c r="AE858" s="80"/>
      <c r="AF858" s="80"/>
      <c r="AG858" s="80"/>
      <c r="AH858" s="80"/>
    </row>
    <row r="859" spans="1:34" ht="13">
      <c r="A859" s="80" t="s">
        <v>427</v>
      </c>
      <c r="B859" s="80" t="s">
        <v>260</v>
      </c>
      <c r="C859" s="80" t="s">
        <v>1080</v>
      </c>
      <c r="D859" s="80" t="s">
        <v>335</v>
      </c>
      <c r="E859" s="80"/>
      <c r="F859" s="80" t="s">
        <v>841</v>
      </c>
      <c r="G859" s="80" t="s">
        <v>690</v>
      </c>
      <c r="H859" s="81">
        <v>2010</v>
      </c>
      <c r="I859" s="82">
        <v>1139</v>
      </c>
      <c r="J859" s="83" t="s">
        <v>402</v>
      </c>
      <c r="K859" s="80" t="s">
        <v>402</v>
      </c>
      <c r="L859" s="84" t="s">
        <v>637</v>
      </c>
      <c r="M859" s="85" t="s">
        <v>460</v>
      </c>
      <c r="N859" s="80" t="s">
        <v>461</v>
      </c>
      <c r="O859" s="80"/>
      <c r="P859" s="80"/>
      <c r="Q859" s="80"/>
      <c r="R859" s="80"/>
      <c r="S859" s="80"/>
      <c r="T859" s="80"/>
      <c r="U859" s="80"/>
      <c r="V859" s="80"/>
      <c r="W859" s="80"/>
      <c r="X859" s="80"/>
      <c r="Y859" s="80"/>
      <c r="Z859" s="80"/>
      <c r="AA859" s="80"/>
      <c r="AB859" s="80"/>
      <c r="AC859" s="80"/>
      <c r="AD859" s="80"/>
      <c r="AE859" s="80"/>
      <c r="AF859" s="80"/>
      <c r="AG859" s="80"/>
      <c r="AH859" s="80"/>
    </row>
    <row r="860" spans="1:34" ht="13">
      <c r="A860" s="80" t="s">
        <v>427</v>
      </c>
      <c r="B860" s="80" t="s">
        <v>260</v>
      </c>
      <c r="C860" s="80" t="s">
        <v>1080</v>
      </c>
      <c r="D860" s="80" t="s">
        <v>335</v>
      </c>
      <c r="E860" s="80"/>
      <c r="F860" s="80" t="s">
        <v>841</v>
      </c>
      <c r="G860" s="80" t="s">
        <v>690</v>
      </c>
      <c r="H860" s="81">
        <v>2011</v>
      </c>
      <c r="I860" s="82">
        <v>1139</v>
      </c>
      <c r="J860" s="83" t="s">
        <v>402</v>
      </c>
      <c r="K860" s="80" t="s">
        <v>402</v>
      </c>
      <c r="L860" s="84" t="s">
        <v>637</v>
      </c>
      <c r="M860" s="85" t="s">
        <v>460</v>
      </c>
      <c r="N860" s="80" t="s">
        <v>461</v>
      </c>
      <c r="O860" s="80"/>
      <c r="P860" s="80"/>
      <c r="Q860" s="80"/>
      <c r="R860" s="80"/>
      <c r="S860" s="80"/>
      <c r="T860" s="80"/>
      <c r="U860" s="80"/>
      <c r="V860" s="80"/>
      <c r="W860" s="80"/>
      <c r="X860" s="80"/>
      <c r="Y860" s="80"/>
      <c r="Z860" s="80"/>
      <c r="AA860" s="80"/>
      <c r="AB860" s="80"/>
      <c r="AC860" s="80"/>
      <c r="AD860" s="80"/>
      <c r="AE860" s="80"/>
      <c r="AF860" s="80"/>
      <c r="AG860" s="80"/>
      <c r="AH860" s="80"/>
    </row>
    <row r="861" spans="1:34" ht="13">
      <c r="A861" s="80" t="s">
        <v>427</v>
      </c>
      <c r="B861" s="80" t="s">
        <v>260</v>
      </c>
      <c r="C861" s="80" t="s">
        <v>1080</v>
      </c>
      <c r="D861" s="80" t="s">
        <v>335</v>
      </c>
      <c r="E861" s="80"/>
      <c r="F861" s="80" t="s">
        <v>841</v>
      </c>
      <c r="G861" s="80" t="s">
        <v>690</v>
      </c>
      <c r="H861" s="81">
        <v>2012</v>
      </c>
      <c r="I861" s="82">
        <v>1167</v>
      </c>
      <c r="J861" s="83" t="s">
        <v>402</v>
      </c>
      <c r="K861" s="80" t="s">
        <v>402</v>
      </c>
      <c r="L861" s="84" t="s">
        <v>637</v>
      </c>
      <c r="M861" s="85" t="s">
        <v>460</v>
      </c>
      <c r="N861" s="80" t="s">
        <v>461</v>
      </c>
      <c r="O861" s="80"/>
      <c r="P861" s="80"/>
      <c r="Q861" s="80"/>
      <c r="R861" s="80"/>
      <c r="S861" s="80"/>
      <c r="T861" s="80"/>
      <c r="U861" s="80"/>
      <c r="V861" s="80"/>
      <c r="W861" s="80"/>
      <c r="X861" s="80"/>
      <c r="Y861" s="80"/>
      <c r="Z861" s="80"/>
      <c r="AA861" s="80"/>
      <c r="AB861" s="80"/>
      <c r="AC861" s="80"/>
      <c r="AD861" s="80"/>
      <c r="AE861" s="80"/>
      <c r="AF861" s="80"/>
      <c r="AG861" s="80"/>
      <c r="AH861" s="80"/>
    </row>
    <row r="862" spans="1:34" ht="13">
      <c r="A862" s="80" t="s">
        <v>427</v>
      </c>
      <c r="B862" s="80" t="s">
        <v>260</v>
      </c>
      <c r="C862" s="80" t="s">
        <v>1080</v>
      </c>
      <c r="D862" s="80" t="s">
        <v>335</v>
      </c>
      <c r="E862" s="80"/>
      <c r="F862" s="80" t="s">
        <v>841</v>
      </c>
      <c r="G862" s="80" t="s">
        <v>690</v>
      </c>
      <c r="H862" s="81">
        <v>2013</v>
      </c>
      <c r="I862" s="82">
        <v>1250</v>
      </c>
      <c r="J862" s="83" t="s">
        <v>402</v>
      </c>
      <c r="K862" s="80" t="s">
        <v>402</v>
      </c>
      <c r="L862" s="84" t="s">
        <v>637</v>
      </c>
      <c r="M862" s="85" t="s">
        <v>460</v>
      </c>
      <c r="N862" s="80" t="s">
        <v>461</v>
      </c>
      <c r="O862" s="80"/>
      <c r="P862" s="80"/>
      <c r="Q862" s="80"/>
      <c r="R862" s="80"/>
      <c r="S862" s="80"/>
      <c r="T862" s="80"/>
      <c r="U862" s="80"/>
      <c r="V862" s="80"/>
      <c r="W862" s="80"/>
      <c r="X862" s="80"/>
      <c r="Y862" s="80"/>
      <c r="Z862" s="80"/>
      <c r="AA862" s="80"/>
      <c r="AB862" s="80"/>
      <c r="AC862" s="80"/>
      <c r="AD862" s="80"/>
      <c r="AE862" s="80"/>
      <c r="AF862" s="80"/>
      <c r="AG862" s="80"/>
      <c r="AH862" s="80"/>
    </row>
    <row r="863" spans="1:34" ht="13">
      <c r="A863" s="80" t="s">
        <v>427</v>
      </c>
      <c r="B863" s="80" t="s">
        <v>260</v>
      </c>
      <c r="C863" s="80" t="s">
        <v>1080</v>
      </c>
      <c r="D863" s="80" t="s">
        <v>335</v>
      </c>
      <c r="E863" s="80"/>
      <c r="F863" s="80" t="s">
        <v>841</v>
      </c>
      <c r="G863" s="80" t="s">
        <v>690</v>
      </c>
      <c r="H863" s="81">
        <v>2015</v>
      </c>
      <c r="I863" s="82">
        <v>917</v>
      </c>
      <c r="J863" s="83" t="s">
        <v>402</v>
      </c>
      <c r="K863" s="80" t="s">
        <v>402</v>
      </c>
      <c r="L863" s="84" t="s">
        <v>637</v>
      </c>
      <c r="M863" s="85" t="s">
        <v>460</v>
      </c>
      <c r="N863" s="80" t="s">
        <v>461</v>
      </c>
      <c r="O863" s="80"/>
      <c r="P863" s="80"/>
      <c r="Q863" s="80"/>
      <c r="R863" s="80"/>
      <c r="S863" s="80"/>
      <c r="T863" s="80"/>
      <c r="U863" s="80"/>
      <c r="V863" s="80"/>
      <c r="W863" s="80"/>
      <c r="X863" s="80"/>
      <c r="Y863" s="80"/>
      <c r="Z863" s="80"/>
      <c r="AA863" s="80"/>
      <c r="AB863" s="80"/>
      <c r="AC863" s="80"/>
      <c r="AD863" s="80"/>
      <c r="AE863" s="80"/>
      <c r="AF863" s="80"/>
      <c r="AG863" s="80"/>
      <c r="AH863" s="80"/>
    </row>
    <row r="864" spans="1:34" ht="13">
      <c r="A864" s="80" t="s">
        <v>427</v>
      </c>
      <c r="B864" s="80" t="s">
        <v>260</v>
      </c>
      <c r="C864" s="80" t="s">
        <v>1080</v>
      </c>
      <c r="D864" s="80" t="s">
        <v>335</v>
      </c>
      <c r="E864" s="80"/>
      <c r="F864" s="80" t="s">
        <v>841</v>
      </c>
      <c r="G864" s="80" t="s">
        <v>690</v>
      </c>
      <c r="H864" s="81">
        <v>2016</v>
      </c>
      <c r="I864" s="82">
        <v>1694</v>
      </c>
      <c r="J864" s="83" t="s">
        <v>402</v>
      </c>
      <c r="K864" s="80" t="s">
        <v>402</v>
      </c>
      <c r="L864" s="84" t="s">
        <v>637</v>
      </c>
      <c r="M864" s="85" t="s">
        <v>460</v>
      </c>
      <c r="N864" s="80" t="s">
        <v>461</v>
      </c>
      <c r="O864" s="80"/>
      <c r="P864" s="80"/>
      <c r="Q864" s="80"/>
      <c r="R864" s="80"/>
      <c r="S864" s="80"/>
      <c r="T864" s="80"/>
      <c r="U864" s="80"/>
      <c r="V864" s="80"/>
      <c r="W864" s="80"/>
      <c r="X864" s="80"/>
      <c r="Y864" s="80"/>
      <c r="Z864" s="80"/>
      <c r="AA864" s="80"/>
      <c r="AB864" s="80"/>
      <c r="AC864" s="80"/>
      <c r="AD864" s="80"/>
      <c r="AE864" s="80"/>
      <c r="AF864" s="80"/>
      <c r="AG864" s="80"/>
      <c r="AH864" s="80"/>
    </row>
    <row r="865" spans="1:34" ht="13">
      <c r="A865" s="80" t="s">
        <v>427</v>
      </c>
      <c r="B865" s="80" t="s">
        <v>260</v>
      </c>
      <c r="C865" s="80" t="s">
        <v>1080</v>
      </c>
      <c r="D865" s="80" t="s">
        <v>335</v>
      </c>
      <c r="E865" s="80"/>
      <c r="F865" s="80" t="s">
        <v>841</v>
      </c>
      <c r="G865" s="80" t="s">
        <v>690</v>
      </c>
      <c r="H865" s="81">
        <v>2017</v>
      </c>
      <c r="I865" s="82">
        <v>1778</v>
      </c>
      <c r="J865" s="83" t="s">
        <v>402</v>
      </c>
      <c r="K865" s="80" t="s">
        <v>402</v>
      </c>
      <c r="L865" s="84" t="s">
        <v>637</v>
      </c>
      <c r="M865" s="85" t="s">
        <v>460</v>
      </c>
      <c r="N865" s="80" t="s">
        <v>461</v>
      </c>
      <c r="O865" s="80"/>
      <c r="P865" s="80"/>
      <c r="Q865" s="80"/>
      <c r="R865" s="80"/>
      <c r="S865" s="80"/>
      <c r="T865" s="80"/>
      <c r="U865" s="80"/>
      <c r="V865" s="80"/>
      <c r="W865" s="80"/>
      <c r="X865" s="80"/>
      <c r="Y865" s="80"/>
      <c r="Z865" s="80"/>
      <c r="AA865" s="80"/>
      <c r="AB865" s="80"/>
      <c r="AC865" s="80"/>
      <c r="AD865" s="80"/>
      <c r="AE865" s="80"/>
      <c r="AF865" s="80"/>
      <c r="AG865" s="80"/>
      <c r="AH865" s="80"/>
    </row>
    <row r="866" spans="1:34" ht="13">
      <c r="A866" s="80" t="s">
        <v>427</v>
      </c>
      <c r="B866" s="80" t="s">
        <v>260</v>
      </c>
      <c r="C866" s="80" t="s">
        <v>1080</v>
      </c>
      <c r="D866" s="80" t="s">
        <v>335</v>
      </c>
      <c r="E866" s="80"/>
      <c r="F866" s="80" t="s">
        <v>841</v>
      </c>
      <c r="G866" s="80" t="s">
        <v>690</v>
      </c>
      <c r="H866" s="81">
        <v>2019</v>
      </c>
      <c r="I866" s="82">
        <v>1167</v>
      </c>
      <c r="J866" s="83" t="s">
        <v>402</v>
      </c>
      <c r="K866" s="80" t="s">
        <v>402</v>
      </c>
      <c r="L866" s="84" t="s">
        <v>637</v>
      </c>
      <c r="M866" s="85" t="s">
        <v>460</v>
      </c>
      <c r="N866" s="80" t="s">
        <v>461</v>
      </c>
      <c r="O866" s="80"/>
      <c r="P866" s="80"/>
      <c r="Q866" s="80"/>
      <c r="R866" s="80"/>
      <c r="S866" s="80"/>
      <c r="T866" s="80"/>
      <c r="U866" s="80"/>
      <c r="V866" s="80"/>
      <c r="W866" s="80"/>
      <c r="X866" s="80"/>
      <c r="Y866" s="80"/>
      <c r="Z866" s="80"/>
      <c r="AA866" s="80"/>
      <c r="AB866" s="80"/>
      <c r="AC866" s="80"/>
      <c r="AD866" s="80"/>
      <c r="AE866" s="80"/>
      <c r="AF866" s="80"/>
      <c r="AG866" s="80"/>
      <c r="AH866" s="80"/>
    </row>
    <row r="867" spans="1:34" ht="13">
      <c r="C867" s="9"/>
    </row>
    <row r="868" spans="1:34" ht="13">
      <c r="C868" s="9"/>
    </row>
    <row r="869" spans="1:34" ht="13">
      <c r="C869" s="9"/>
    </row>
    <row r="870" spans="1:34" ht="13">
      <c r="C870" s="9"/>
    </row>
    <row r="871" spans="1:34" ht="13">
      <c r="C871" s="9"/>
    </row>
    <row r="872" spans="1:34" ht="13">
      <c r="C872" s="9"/>
    </row>
    <row r="873" spans="1:34" ht="13">
      <c r="C873" s="9"/>
    </row>
    <row r="874" spans="1:34" ht="13">
      <c r="C874" s="9"/>
    </row>
    <row r="875" spans="1:34" ht="13">
      <c r="C875" s="9"/>
    </row>
    <row r="876" spans="1:34" ht="13">
      <c r="C876" s="9"/>
    </row>
    <row r="877" spans="1:34" ht="13">
      <c r="C877" s="9"/>
    </row>
    <row r="878" spans="1:34" ht="13">
      <c r="C878" s="9"/>
    </row>
    <row r="879" spans="1:34" ht="13">
      <c r="C879" s="9"/>
    </row>
    <row r="880" spans="1:34" ht="13">
      <c r="C880" s="9"/>
    </row>
    <row r="881" spans="3:3" ht="13">
      <c r="C881" s="9"/>
    </row>
    <row r="882" spans="3:3" ht="13">
      <c r="C882" s="9"/>
    </row>
    <row r="883" spans="3:3" ht="13">
      <c r="C883" s="9"/>
    </row>
    <row r="884" spans="3:3" ht="13">
      <c r="C884" s="9"/>
    </row>
    <row r="885" spans="3:3" ht="13">
      <c r="C885" s="9"/>
    </row>
    <row r="886" spans="3:3" ht="13">
      <c r="C886" s="9"/>
    </row>
    <row r="887" spans="3:3" ht="13">
      <c r="C887" s="9"/>
    </row>
    <row r="888" spans="3:3" ht="13">
      <c r="C888" s="9"/>
    </row>
    <row r="889" spans="3:3" ht="13">
      <c r="C889" s="9"/>
    </row>
    <row r="890" spans="3:3" ht="13">
      <c r="C890" s="9"/>
    </row>
    <row r="891" spans="3:3" ht="13">
      <c r="C891" s="9"/>
    </row>
    <row r="892" spans="3:3" ht="13">
      <c r="C892" s="9"/>
    </row>
    <row r="893" spans="3:3" ht="13">
      <c r="C893" s="9"/>
    </row>
    <row r="894" spans="3:3" ht="13">
      <c r="C894" s="9"/>
    </row>
    <row r="895" spans="3:3" ht="13">
      <c r="C895" s="9"/>
    </row>
    <row r="896" spans="3:3" ht="13">
      <c r="C896" s="9"/>
    </row>
    <row r="897" spans="3:3" ht="13">
      <c r="C897" s="9"/>
    </row>
    <row r="898" spans="3:3" ht="13">
      <c r="C898" s="9"/>
    </row>
    <row r="899" spans="3:3" ht="13">
      <c r="C899" s="9"/>
    </row>
    <row r="900" spans="3:3" ht="13">
      <c r="C900" s="9"/>
    </row>
    <row r="901" spans="3:3" ht="13">
      <c r="C901" s="9"/>
    </row>
    <row r="902" spans="3:3" ht="13">
      <c r="C902" s="9"/>
    </row>
    <row r="903" spans="3:3" ht="13">
      <c r="C903" s="9"/>
    </row>
    <row r="904" spans="3:3" ht="13">
      <c r="C904" s="9"/>
    </row>
    <row r="905" spans="3:3" ht="13">
      <c r="C905" s="9"/>
    </row>
    <row r="906" spans="3:3" ht="13">
      <c r="C906" s="9"/>
    </row>
    <row r="907" spans="3:3" ht="13">
      <c r="C907" s="9"/>
    </row>
    <row r="908" spans="3:3" ht="13">
      <c r="C908" s="9"/>
    </row>
    <row r="909" spans="3:3" ht="13">
      <c r="C909" s="9"/>
    </row>
    <row r="910" spans="3:3" ht="13">
      <c r="C910" s="9"/>
    </row>
    <row r="911" spans="3:3" ht="13">
      <c r="C911" s="9"/>
    </row>
    <row r="912" spans="3:3" ht="13">
      <c r="C912" s="9"/>
    </row>
    <row r="913" spans="3:3" ht="13">
      <c r="C913" s="9"/>
    </row>
    <row r="914" spans="3:3" ht="13">
      <c r="C914" s="9"/>
    </row>
    <row r="915" spans="3:3" ht="13">
      <c r="C915" s="9"/>
    </row>
    <row r="916" spans="3:3" ht="13">
      <c r="C916" s="9"/>
    </row>
    <row r="917" spans="3:3" ht="13">
      <c r="C917" s="9"/>
    </row>
    <row r="918" spans="3:3" ht="13">
      <c r="C918" s="9"/>
    </row>
    <row r="919" spans="3:3" ht="13">
      <c r="C919" s="9"/>
    </row>
    <row r="920" spans="3:3" ht="13">
      <c r="C920" s="9"/>
    </row>
    <row r="921" spans="3:3" ht="13">
      <c r="C921" s="9"/>
    </row>
    <row r="922" spans="3:3" ht="13">
      <c r="C922" s="9"/>
    </row>
    <row r="923" spans="3:3" ht="13">
      <c r="C923" s="9"/>
    </row>
    <row r="924" spans="3:3" ht="13">
      <c r="C924" s="9"/>
    </row>
    <row r="925" spans="3:3" ht="13">
      <c r="C925" s="9"/>
    </row>
    <row r="926" spans="3:3" ht="13">
      <c r="C926" s="9"/>
    </row>
    <row r="927" spans="3:3" ht="13">
      <c r="C927" s="9"/>
    </row>
    <row r="928" spans="3:3" ht="13">
      <c r="C928" s="9"/>
    </row>
    <row r="929" spans="3:3" ht="13">
      <c r="C929" s="9"/>
    </row>
    <row r="930" spans="3:3" ht="13">
      <c r="C930" s="9"/>
    </row>
    <row r="931" spans="3:3" ht="13">
      <c r="C931" s="9"/>
    </row>
    <row r="932" spans="3:3" ht="13">
      <c r="C932" s="9"/>
    </row>
    <row r="933" spans="3:3" ht="13">
      <c r="C933" s="9"/>
    </row>
    <row r="934" spans="3:3" ht="13">
      <c r="C934" s="9"/>
    </row>
    <row r="935" spans="3:3" ht="13">
      <c r="C935" s="9"/>
    </row>
    <row r="936" spans="3:3" ht="13">
      <c r="C936" s="9"/>
    </row>
    <row r="937" spans="3:3" ht="13">
      <c r="C937" s="9"/>
    </row>
    <row r="938" spans="3:3" ht="13">
      <c r="C938" s="9"/>
    </row>
    <row r="939" spans="3:3" ht="13">
      <c r="C939" s="9"/>
    </row>
    <row r="940" spans="3:3" ht="13">
      <c r="C940" s="9"/>
    </row>
    <row r="941" spans="3:3" ht="13">
      <c r="C941" s="9"/>
    </row>
    <row r="942" spans="3:3" ht="13">
      <c r="C942" s="9"/>
    </row>
    <row r="943" spans="3:3" ht="13">
      <c r="C943" s="9"/>
    </row>
    <row r="944" spans="3:3" ht="13">
      <c r="C944" s="9"/>
    </row>
    <row r="945" spans="3:3" ht="13">
      <c r="C945" s="9"/>
    </row>
    <row r="946" spans="3:3" ht="13">
      <c r="C946" s="9"/>
    </row>
    <row r="947" spans="3:3" ht="13">
      <c r="C947" s="9"/>
    </row>
    <row r="948" spans="3:3" ht="13">
      <c r="C948" s="9"/>
    </row>
    <row r="949" spans="3:3" ht="13">
      <c r="C949" s="9"/>
    </row>
    <row r="950" spans="3:3" ht="13">
      <c r="C950" s="9"/>
    </row>
    <row r="951" spans="3:3" ht="13">
      <c r="C951" s="9"/>
    </row>
    <row r="952" spans="3:3" ht="13">
      <c r="C952" s="9"/>
    </row>
    <row r="953" spans="3:3" ht="13">
      <c r="C953" s="9"/>
    </row>
    <row r="954" spans="3:3" ht="13">
      <c r="C954" s="9"/>
    </row>
    <row r="955" spans="3:3" ht="13">
      <c r="C955" s="9"/>
    </row>
    <row r="956" spans="3:3" ht="13">
      <c r="C956" s="9"/>
    </row>
    <row r="957" spans="3:3" ht="13">
      <c r="C957" s="9"/>
    </row>
    <row r="958" spans="3:3" ht="13">
      <c r="C958" s="9"/>
    </row>
    <row r="959" spans="3:3" ht="13">
      <c r="C959" s="9"/>
    </row>
    <row r="960" spans="3:3" ht="13">
      <c r="C960" s="9"/>
    </row>
    <row r="961" spans="3:3" ht="13">
      <c r="C961" s="9"/>
    </row>
    <row r="962" spans="3:3" ht="13">
      <c r="C962" s="9"/>
    </row>
    <row r="963" spans="3:3" ht="13">
      <c r="C963" s="9"/>
    </row>
    <row r="964" spans="3:3" ht="13">
      <c r="C964" s="9"/>
    </row>
    <row r="965" spans="3:3" ht="13">
      <c r="C965" s="9"/>
    </row>
    <row r="966" spans="3:3" ht="13">
      <c r="C966" s="9"/>
    </row>
    <row r="967" spans="3:3" ht="13">
      <c r="C967" s="9"/>
    </row>
    <row r="968" spans="3:3" ht="13">
      <c r="C968" s="9"/>
    </row>
    <row r="969" spans="3:3" ht="13">
      <c r="C969" s="9"/>
    </row>
    <row r="970" spans="3:3" ht="13">
      <c r="C970" s="9"/>
    </row>
    <row r="971" spans="3:3" ht="13">
      <c r="C971" s="9"/>
    </row>
    <row r="972" spans="3:3" ht="13">
      <c r="C972" s="9"/>
    </row>
    <row r="973" spans="3:3" ht="13">
      <c r="C973" s="9"/>
    </row>
    <row r="974" spans="3:3" ht="13">
      <c r="C974" s="9"/>
    </row>
    <row r="975" spans="3:3" ht="13">
      <c r="C975" s="9"/>
    </row>
    <row r="976" spans="3:3" ht="13">
      <c r="C976" s="9"/>
    </row>
    <row r="977" spans="3:3" ht="13">
      <c r="C977" s="9"/>
    </row>
    <row r="978" spans="3:3" ht="13">
      <c r="C978" s="9"/>
    </row>
    <row r="979" spans="3:3" ht="13">
      <c r="C979" s="9"/>
    </row>
    <row r="980" spans="3:3" ht="13">
      <c r="C980" s="9"/>
    </row>
    <row r="981" spans="3:3" ht="13">
      <c r="C981" s="9"/>
    </row>
    <row r="982" spans="3:3" ht="13">
      <c r="C982" s="9"/>
    </row>
  </sheetData>
  <autoFilter ref="A1:A982" xr:uid="{00000000-0009-0000-0000-000005000000}"/>
  <hyperlinks>
    <hyperlink ref="M746" r:id="rId1" xr:uid="{00000000-0004-0000-0500-000000000000}"/>
    <hyperlink ref="M747" r:id="rId2" xr:uid="{00000000-0004-0000-0500-000001000000}"/>
    <hyperlink ref="M748" r:id="rId3" xr:uid="{00000000-0004-0000-0500-000002000000}"/>
    <hyperlink ref="M749" r:id="rId4" xr:uid="{00000000-0004-0000-0500-000003000000}"/>
    <hyperlink ref="M750" r:id="rId5" xr:uid="{00000000-0004-0000-0500-000004000000}"/>
    <hyperlink ref="M751" r:id="rId6" xr:uid="{00000000-0004-0000-0500-000005000000}"/>
    <hyperlink ref="M752" r:id="rId7" xr:uid="{00000000-0004-0000-0500-000006000000}"/>
    <hyperlink ref="M753" r:id="rId8" xr:uid="{00000000-0004-0000-0500-000007000000}"/>
    <hyperlink ref="M754" r:id="rId9" xr:uid="{00000000-0004-0000-0500-000008000000}"/>
    <hyperlink ref="M755" r:id="rId10" xr:uid="{00000000-0004-0000-0500-000009000000}"/>
    <hyperlink ref="M756" r:id="rId11" xr:uid="{00000000-0004-0000-0500-00000A000000}"/>
    <hyperlink ref="M757" r:id="rId12" xr:uid="{00000000-0004-0000-0500-00000B000000}"/>
    <hyperlink ref="M758" r:id="rId13" xr:uid="{00000000-0004-0000-0500-00000C000000}"/>
    <hyperlink ref="M759" r:id="rId14" xr:uid="{00000000-0004-0000-0500-00000D000000}"/>
    <hyperlink ref="M760" r:id="rId15" xr:uid="{00000000-0004-0000-0500-00000E000000}"/>
    <hyperlink ref="M761" r:id="rId16" xr:uid="{00000000-0004-0000-0500-00000F000000}"/>
    <hyperlink ref="M762" r:id="rId17" xr:uid="{00000000-0004-0000-0500-000010000000}"/>
    <hyperlink ref="M763" r:id="rId18" xr:uid="{00000000-0004-0000-0500-000011000000}"/>
    <hyperlink ref="M764" r:id="rId19" xr:uid="{00000000-0004-0000-0500-000012000000}"/>
    <hyperlink ref="M765" r:id="rId20" xr:uid="{00000000-0004-0000-0500-000013000000}"/>
    <hyperlink ref="M766" r:id="rId21" xr:uid="{00000000-0004-0000-0500-000014000000}"/>
    <hyperlink ref="M767" r:id="rId22" xr:uid="{00000000-0004-0000-0500-000015000000}"/>
    <hyperlink ref="M768" r:id="rId23" xr:uid="{00000000-0004-0000-0500-000016000000}"/>
    <hyperlink ref="M769" r:id="rId24" xr:uid="{00000000-0004-0000-0500-000017000000}"/>
    <hyperlink ref="M770" r:id="rId25" xr:uid="{00000000-0004-0000-0500-000018000000}"/>
    <hyperlink ref="M771" r:id="rId26" xr:uid="{00000000-0004-0000-0500-000019000000}"/>
    <hyperlink ref="M772" r:id="rId27" xr:uid="{00000000-0004-0000-0500-00001A000000}"/>
    <hyperlink ref="M773" r:id="rId28" xr:uid="{00000000-0004-0000-0500-00001B000000}"/>
    <hyperlink ref="M774" r:id="rId29" xr:uid="{00000000-0004-0000-0500-00001C000000}"/>
    <hyperlink ref="M775" r:id="rId30" xr:uid="{00000000-0004-0000-0500-00001D000000}"/>
    <hyperlink ref="M776" r:id="rId31" xr:uid="{00000000-0004-0000-0500-00001E000000}"/>
    <hyperlink ref="M777" r:id="rId32" xr:uid="{00000000-0004-0000-0500-00001F000000}"/>
    <hyperlink ref="M778" r:id="rId33" xr:uid="{00000000-0004-0000-0500-000020000000}"/>
    <hyperlink ref="M779" r:id="rId34" xr:uid="{00000000-0004-0000-0500-000021000000}"/>
    <hyperlink ref="M780" r:id="rId35" xr:uid="{00000000-0004-0000-0500-000022000000}"/>
    <hyperlink ref="M781" r:id="rId36" xr:uid="{00000000-0004-0000-0500-000023000000}"/>
    <hyperlink ref="M782" r:id="rId37" xr:uid="{00000000-0004-0000-0500-000024000000}"/>
    <hyperlink ref="M783" r:id="rId38" xr:uid="{00000000-0004-0000-0500-000025000000}"/>
    <hyperlink ref="M784" r:id="rId39" xr:uid="{00000000-0004-0000-0500-000026000000}"/>
    <hyperlink ref="M785" r:id="rId40" xr:uid="{00000000-0004-0000-0500-000027000000}"/>
    <hyperlink ref="M786" r:id="rId41" xr:uid="{00000000-0004-0000-0500-000028000000}"/>
    <hyperlink ref="M787" r:id="rId42" xr:uid="{00000000-0004-0000-0500-000029000000}"/>
    <hyperlink ref="M788" r:id="rId43" xr:uid="{00000000-0004-0000-0500-00002A000000}"/>
    <hyperlink ref="M789" r:id="rId44" xr:uid="{00000000-0004-0000-0500-00002B000000}"/>
    <hyperlink ref="M790" r:id="rId45" xr:uid="{00000000-0004-0000-0500-00002C000000}"/>
    <hyperlink ref="M791" r:id="rId46" xr:uid="{00000000-0004-0000-0500-00002D000000}"/>
    <hyperlink ref="M792" r:id="rId47" xr:uid="{00000000-0004-0000-0500-00002E000000}"/>
    <hyperlink ref="M793" r:id="rId48" xr:uid="{00000000-0004-0000-0500-00002F000000}"/>
    <hyperlink ref="M794" r:id="rId49" xr:uid="{00000000-0004-0000-0500-000030000000}"/>
    <hyperlink ref="M795" r:id="rId50" xr:uid="{00000000-0004-0000-0500-000031000000}"/>
    <hyperlink ref="M796" r:id="rId51" xr:uid="{00000000-0004-0000-0500-000032000000}"/>
    <hyperlink ref="M797" r:id="rId52" xr:uid="{00000000-0004-0000-0500-000033000000}"/>
    <hyperlink ref="M798" r:id="rId53" xr:uid="{00000000-0004-0000-0500-000034000000}"/>
    <hyperlink ref="M799" r:id="rId54" xr:uid="{00000000-0004-0000-0500-000035000000}"/>
    <hyperlink ref="M800" r:id="rId55" xr:uid="{00000000-0004-0000-0500-000036000000}"/>
    <hyperlink ref="M801" r:id="rId56" xr:uid="{00000000-0004-0000-0500-000037000000}"/>
    <hyperlink ref="M802" r:id="rId57" xr:uid="{00000000-0004-0000-0500-000038000000}"/>
    <hyperlink ref="M803" r:id="rId58" xr:uid="{00000000-0004-0000-0500-000039000000}"/>
    <hyperlink ref="M804" r:id="rId59" xr:uid="{00000000-0004-0000-0500-00003A000000}"/>
    <hyperlink ref="M805" r:id="rId60" xr:uid="{00000000-0004-0000-0500-00003B000000}"/>
    <hyperlink ref="M806" r:id="rId61" xr:uid="{00000000-0004-0000-0500-00003C000000}"/>
    <hyperlink ref="M807" r:id="rId62" xr:uid="{00000000-0004-0000-0500-00003D000000}"/>
    <hyperlink ref="M808" r:id="rId63" xr:uid="{00000000-0004-0000-0500-00003E000000}"/>
    <hyperlink ref="M809" r:id="rId64" xr:uid="{00000000-0004-0000-0500-00003F000000}"/>
    <hyperlink ref="M810" r:id="rId65" xr:uid="{00000000-0004-0000-0500-000040000000}"/>
    <hyperlink ref="M811" r:id="rId66" xr:uid="{00000000-0004-0000-0500-000041000000}"/>
    <hyperlink ref="M812" r:id="rId67" xr:uid="{00000000-0004-0000-0500-000042000000}"/>
    <hyperlink ref="M813" r:id="rId68" xr:uid="{00000000-0004-0000-0500-000043000000}"/>
    <hyperlink ref="M814" r:id="rId69" xr:uid="{00000000-0004-0000-0500-000044000000}"/>
    <hyperlink ref="M815" r:id="rId70" xr:uid="{00000000-0004-0000-0500-000045000000}"/>
    <hyperlink ref="M816" r:id="rId71" xr:uid="{00000000-0004-0000-0500-000046000000}"/>
    <hyperlink ref="M817" r:id="rId72" xr:uid="{00000000-0004-0000-0500-000047000000}"/>
    <hyperlink ref="M818" r:id="rId73" xr:uid="{00000000-0004-0000-0500-000048000000}"/>
    <hyperlink ref="M819" r:id="rId74" xr:uid="{00000000-0004-0000-0500-000049000000}"/>
    <hyperlink ref="M820" r:id="rId75" xr:uid="{00000000-0004-0000-0500-00004A000000}"/>
    <hyperlink ref="M821" r:id="rId76" xr:uid="{00000000-0004-0000-0500-00004B000000}"/>
    <hyperlink ref="M822" r:id="rId77" xr:uid="{00000000-0004-0000-0500-00004C000000}"/>
    <hyperlink ref="M823" r:id="rId78" xr:uid="{00000000-0004-0000-0500-00004D000000}"/>
    <hyperlink ref="M824" r:id="rId79" xr:uid="{00000000-0004-0000-0500-00004E000000}"/>
    <hyperlink ref="M825" r:id="rId80" xr:uid="{00000000-0004-0000-0500-00004F000000}"/>
    <hyperlink ref="M826" r:id="rId81" xr:uid="{00000000-0004-0000-0500-000050000000}"/>
    <hyperlink ref="M827" r:id="rId82" xr:uid="{00000000-0004-0000-0500-000051000000}"/>
    <hyperlink ref="M828" r:id="rId83" xr:uid="{00000000-0004-0000-0500-000052000000}"/>
    <hyperlink ref="M829" r:id="rId84" xr:uid="{00000000-0004-0000-0500-000053000000}"/>
    <hyperlink ref="M830" r:id="rId85" xr:uid="{00000000-0004-0000-0500-000054000000}"/>
    <hyperlink ref="M831" r:id="rId86" xr:uid="{00000000-0004-0000-0500-000055000000}"/>
    <hyperlink ref="M832" r:id="rId87" xr:uid="{00000000-0004-0000-0500-000056000000}"/>
    <hyperlink ref="M833" r:id="rId88" xr:uid="{00000000-0004-0000-0500-000057000000}"/>
    <hyperlink ref="M834" r:id="rId89" xr:uid="{00000000-0004-0000-0500-000058000000}"/>
    <hyperlink ref="M835" r:id="rId90" xr:uid="{00000000-0004-0000-0500-000059000000}"/>
    <hyperlink ref="M836" r:id="rId91" xr:uid="{00000000-0004-0000-0500-00005A000000}"/>
    <hyperlink ref="M837" r:id="rId92" xr:uid="{00000000-0004-0000-0500-00005B000000}"/>
    <hyperlink ref="M838" r:id="rId93" xr:uid="{00000000-0004-0000-0500-00005C000000}"/>
    <hyperlink ref="M839" r:id="rId94" xr:uid="{00000000-0004-0000-0500-00005D000000}"/>
    <hyperlink ref="M840" r:id="rId95" xr:uid="{00000000-0004-0000-0500-00005E000000}"/>
    <hyperlink ref="M841" r:id="rId96" xr:uid="{00000000-0004-0000-0500-00005F000000}"/>
    <hyperlink ref="M842" r:id="rId97" xr:uid="{00000000-0004-0000-0500-000060000000}"/>
    <hyperlink ref="M843" r:id="rId98" xr:uid="{00000000-0004-0000-0500-000061000000}"/>
    <hyperlink ref="M844" r:id="rId99" xr:uid="{00000000-0004-0000-0500-000062000000}"/>
    <hyperlink ref="M845" r:id="rId100" xr:uid="{00000000-0004-0000-0500-000063000000}"/>
    <hyperlink ref="M846" r:id="rId101" xr:uid="{00000000-0004-0000-0500-000064000000}"/>
    <hyperlink ref="M847" r:id="rId102" xr:uid="{00000000-0004-0000-0500-000065000000}"/>
    <hyperlink ref="M848" r:id="rId103" xr:uid="{00000000-0004-0000-0500-000066000000}"/>
    <hyperlink ref="M849" r:id="rId104" xr:uid="{00000000-0004-0000-0500-000067000000}"/>
    <hyperlink ref="M850" r:id="rId105" xr:uid="{00000000-0004-0000-0500-000068000000}"/>
    <hyperlink ref="M851" r:id="rId106" xr:uid="{00000000-0004-0000-0500-000069000000}"/>
    <hyperlink ref="M852" r:id="rId107" xr:uid="{00000000-0004-0000-0500-00006A000000}"/>
    <hyperlink ref="M853" r:id="rId108" xr:uid="{00000000-0004-0000-0500-00006B000000}"/>
    <hyperlink ref="M854" r:id="rId109" xr:uid="{00000000-0004-0000-0500-00006C000000}"/>
    <hyperlink ref="M855" r:id="rId110" xr:uid="{00000000-0004-0000-0500-00006D000000}"/>
    <hyperlink ref="M856" r:id="rId111" xr:uid="{00000000-0004-0000-0500-00006E000000}"/>
    <hyperlink ref="M857" r:id="rId112" xr:uid="{00000000-0004-0000-0500-00006F000000}"/>
    <hyperlink ref="M858" r:id="rId113" xr:uid="{00000000-0004-0000-0500-000070000000}"/>
    <hyperlink ref="M859" r:id="rId114" xr:uid="{00000000-0004-0000-0500-000071000000}"/>
    <hyperlink ref="M860" r:id="rId115" xr:uid="{00000000-0004-0000-0500-000072000000}"/>
    <hyperlink ref="M861" r:id="rId116" xr:uid="{00000000-0004-0000-0500-000073000000}"/>
    <hyperlink ref="M862" r:id="rId117" xr:uid="{00000000-0004-0000-0500-000074000000}"/>
    <hyperlink ref="M863" r:id="rId118" xr:uid="{00000000-0004-0000-0500-000075000000}"/>
    <hyperlink ref="M864" r:id="rId119" xr:uid="{00000000-0004-0000-0500-000076000000}"/>
    <hyperlink ref="M865" r:id="rId120" xr:uid="{00000000-0004-0000-0500-000077000000}"/>
    <hyperlink ref="M866" r:id="rId121" xr:uid="{00000000-0004-0000-0500-000078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C47"/>
  <sheetViews>
    <sheetView workbookViewId="0"/>
  </sheetViews>
  <sheetFormatPr baseColWidth="10" defaultColWidth="12.6640625" defaultRowHeight="15.75" customHeight="1"/>
  <cols>
    <col min="2" max="2" width="14.5" customWidth="1"/>
    <col min="3" max="3" width="20.5" customWidth="1"/>
    <col min="4" max="4" width="21.33203125" customWidth="1"/>
    <col min="9" max="10" width="20.33203125" customWidth="1"/>
    <col min="11" max="11" width="20.5" customWidth="1"/>
  </cols>
  <sheetData>
    <row r="1" spans="1:29" ht="15.75" customHeight="1">
      <c r="A1" s="11" t="s">
        <v>252</v>
      </c>
      <c r="B1" s="11" t="s">
        <v>865</v>
      </c>
      <c r="C1" s="11" t="s">
        <v>866</v>
      </c>
      <c r="D1" s="11" t="s">
        <v>867</v>
      </c>
      <c r="E1" s="11" t="s">
        <v>603</v>
      </c>
      <c r="F1" s="11" t="s">
        <v>604</v>
      </c>
      <c r="G1" s="11" t="s">
        <v>868</v>
      </c>
      <c r="H1" s="11" t="s">
        <v>869</v>
      </c>
      <c r="I1" s="11" t="s">
        <v>1081</v>
      </c>
      <c r="J1" s="11" t="s">
        <v>870</v>
      </c>
      <c r="K1" s="11" t="s">
        <v>248</v>
      </c>
      <c r="L1" s="11" t="s">
        <v>258</v>
      </c>
      <c r="M1" s="11"/>
      <c r="N1" s="11"/>
      <c r="O1" s="11"/>
      <c r="P1" s="11"/>
      <c r="Q1" s="11"/>
      <c r="R1" s="11"/>
      <c r="S1" s="11"/>
      <c r="T1" s="11"/>
      <c r="U1" s="11"/>
      <c r="V1" s="11"/>
      <c r="W1" s="11"/>
      <c r="X1" s="11"/>
      <c r="Y1" s="11"/>
      <c r="Z1" s="11"/>
      <c r="AA1" s="11"/>
      <c r="AB1" s="11"/>
      <c r="AC1" s="11"/>
    </row>
    <row r="2" spans="1:29" ht="15.75" customHeight="1">
      <c r="A2" s="18" t="s">
        <v>577</v>
      </c>
      <c r="B2" s="18" t="s">
        <v>1082</v>
      </c>
      <c r="C2" s="18" t="s">
        <v>1083</v>
      </c>
      <c r="D2" s="18" t="s">
        <v>1084</v>
      </c>
      <c r="E2" s="18" t="s">
        <v>1085</v>
      </c>
      <c r="F2" s="18">
        <v>7305</v>
      </c>
      <c r="G2" s="18" t="s">
        <v>402</v>
      </c>
      <c r="H2" s="18" t="s">
        <v>402</v>
      </c>
      <c r="I2" s="18" t="s">
        <v>623</v>
      </c>
      <c r="J2" s="18" t="s">
        <v>622</v>
      </c>
      <c r="K2" s="18" t="s">
        <v>589</v>
      </c>
      <c r="L2" s="18" t="s">
        <v>1086</v>
      </c>
    </row>
    <row r="3" spans="1:29" ht="15.75" customHeight="1">
      <c r="A3" s="18" t="s">
        <v>577</v>
      </c>
      <c r="B3" s="18" t="s">
        <v>1082</v>
      </c>
      <c r="C3" s="18" t="s">
        <v>1083</v>
      </c>
      <c r="D3" s="18" t="s">
        <v>1084</v>
      </c>
      <c r="E3" s="18" t="s">
        <v>1087</v>
      </c>
      <c r="F3" s="18">
        <v>4362</v>
      </c>
      <c r="G3" s="18" t="s">
        <v>402</v>
      </c>
      <c r="H3" s="18" t="s">
        <v>402</v>
      </c>
      <c r="I3" s="18" t="s">
        <v>623</v>
      </c>
      <c r="J3" s="18" t="s">
        <v>622</v>
      </c>
      <c r="K3" s="18" t="s">
        <v>1088</v>
      </c>
    </row>
    <row r="4" spans="1:29" ht="15.75" customHeight="1">
      <c r="A4" s="18" t="s">
        <v>577</v>
      </c>
      <c r="B4" s="18" t="s">
        <v>1082</v>
      </c>
      <c r="C4" s="18" t="s">
        <v>1083</v>
      </c>
      <c r="D4" s="18" t="s">
        <v>1084</v>
      </c>
      <c r="E4" s="18" t="s">
        <v>1089</v>
      </c>
      <c r="F4" s="18">
        <v>10311</v>
      </c>
      <c r="G4" s="18" t="s">
        <v>402</v>
      </c>
      <c r="H4" s="18" t="s">
        <v>402</v>
      </c>
      <c r="I4" s="18" t="s">
        <v>623</v>
      </c>
      <c r="J4" s="18" t="s">
        <v>622</v>
      </c>
      <c r="K4" s="18" t="s">
        <v>1090</v>
      </c>
    </row>
    <row r="5" spans="1:29" ht="15.75" customHeight="1">
      <c r="A5" s="18" t="s">
        <v>577</v>
      </c>
      <c r="B5" s="18" t="s">
        <v>1082</v>
      </c>
      <c r="C5" s="18" t="s">
        <v>1083</v>
      </c>
      <c r="D5" s="18" t="s">
        <v>1084</v>
      </c>
      <c r="E5" s="86">
        <v>36923</v>
      </c>
      <c r="F5" s="18">
        <v>53619</v>
      </c>
      <c r="G5" s="18" t="s">
        <v>402</v>
      </c>
      <c r="H5" s="18" t="s">
        <v>402</v>
      </c>
      <c r="I5" s="18" t="s">
        <v>623</v>
      </c>
      <c r="J5" s="18" t="s">
        <v>622</v>
      </c>
      <c r="K5" s="18" t="s">
        <v>1091</v>
      </c>
    </row>
    <row r="6" spans="1:29" ht="15.75" customHeight="1">
      <c r="A6" s="18" t="s">
        <v>577</v>
      </c>
      <c r="B6" s="18" t="s">
        <v>1082</v>
      </c>
      <c r="C6" s="18" t="s">
        <v>1083</v>
      </c>
      <c r="D6" s="18" t="s">
        <v>1084</v>
      </c>
      <c r="E6" s="86">
        <v>37712</v>
      </c>
      <c r="F6" s="18">
        <v>19402</v>
      </c>
      <c r="G6" s="18" t="s">
        <v>402</v>
      </c>
      <c r="H6" s="18" t="s">
        <v>402</v>
      </c>
      <c r="I6" s="18" t="s">
        <v>623</v>
      </c>
      <c r="J6" s="18" t="s">
        <v>622</v>
      </c>
      <c r="K6" s="18" t="s">
        <v>1092</v>
      </c>
    </row>
    <row r="7" spans="1:29" ht="15.75" customHeight="1">
      <c r="A7" s="18" t="s">
        <v>577</v>
      </c>
      <c r="B7" s="18" t="s">
        <v>1082</v>
      </c>
      <c r="C7" s="18" t="s">
        <v>1083</v>
      </c>
      <c r="D7" s="18" t="s">
        <v>1084</v>
      </c>
      <c r="E7" s="86">
        <v>38504</v>
      </c>
      <c r="F7" s="18">
        <v>42535</v>
      </c>
      <c r="G7" s="18" t="s">
        <v>402</v>
      </c>
      <c r="H7" s="18" t="s">
        <v>402</v>
      </c>
      <c r="I7" s="18" t="s">
        <v>623</v>
      </c>
      <c r="J7" s="18" t="s">
        <v>622</v>
      </c>
      <c r="K7" s="18" t="s">
        <v>1093</v>
      </c>
    </row>
    <row r="8" spans="1:29" ht="15.75" customHeight="1">
      <c r="A8" s="18" t="s">
        <v>577</v>
      </c>
      <c r="B8" s="18" t="s">
        <v>1082</v>
      </c>
      <c r="C8" s="18" t="s">
        <v>1083</v>
      </c>
      <c r="D8" s="18" t="s">
        <v>1084</v>
      </c>
      <c r="E8" s="86">
        <v>39295</v>
      </c>
      <c r="F8" s="18">
        <v>10952</v>
      </c>
      <c r="G8" s="18" t="s">
        <v>402</v>
      </c>
      <c r="H8" s="18" t="s">
        <v>402</v>
      </c>
      <c r="I8" s="18" t="s">
        <v>623</v>
      </c>
      <c r="J8" s="18" t="s">
        <v>622</v>
      </c>
      <c r="K8" s="18" t="s">
        <v>1094</v>
      </c>
    </row>
    <row r="9" spans="1:29" ht="15.75" customHeight="1">
      <c r="A9" s="18" t="s">
        <v>577</v>
      </c>
      <c r="B9" s="18" t="s">
        <v>1082</v>
      </c>
      <c r="C9" s="18" t="s">
        <v>1095</v>
      </c>
      <c r="D9" s="18" t="s">
        <v>1084</v>
      </c>
      <c r="E9" s="18" t="s">
        <v>1096</v>
      </c>
      <c r="F9" s="18">
        <v>50736</v>
      </c>
      <c r="G9" s="18" t="s">
        <v>402</v>
      </c>
      <c r="H9" s="18" t="s">
        <v>402</v>
      </c>
      <c r="I9" s="18" t="s">
        <v>623</v>
      </c>
      <c r="J9" s="18" t="s">
        <v>622</v>
      </c>
      <c r="K9" s="18" t="s">
        <v>1097</v>
      </c>
    </row>
    <row r="10" spans="1:29" ht="15.75" customHeight="1">
      <c r="A10" s="18" t="s">
        <v>577</v>
      </c>
      <c r="B10" s="18" t="s">
        <v>1082</v>
      </c>
      <c r="C10" s="18" t="s">
        <v>1095</v>
      </c>
      <c r="D10" s="18" t="s">
        <v>1084</v>
      </c>
      <c r="E10" s="18" t="s">
        <v>1098</v>
      </c>
      <c r="F10" s="18">
        <v>55878</v>
      </c>
      <c r="G10" s="18" t="s">
        <v>402</v>
      </c>
      <c r="H10" s="18" t="s">
        <v>402</v>
      </c>
      <c r="I10" s="18" t="s">
        <v>623</v>
      </c>
      <c r="J10" s="18" t="s">
        <v>622</v>
      </c>
      <c r="K10" s="18" t="s">
        <v>1099</v>
      </c>
    </row>
    <row r="11" spans="1:29" ht="15.75" customHeight="1">
      <c r="A11" s="18" t="s">
        <v>577</v>
      </c>
      <c r="B11" s="18" t="s">
        <v>1082</v>
      </c>
      <c r="C11" s="18" t="s">
        <v>1095</v>
      </c>
      <c r="D11" s="18" t="s">
        <v>1084</v>
      </c>
      <c r="E11" s="18" t="s">
        <v>1100</v>
      </c>
      <c r="F11" s="18">
        <v>44286</v>
      </c>
      <c r="G11" s="18" t="s">
        <v>402</v>
      </c>
      <c r="H11" s="18" t="s">
        <v>402</v>
      </c>
      <c r="I11" s="18" t="s">
        <v>623</v>
      </c>
      <c r="J11" s="18" t="s">
        <v>622</v>
      </c>
      <c r="K11" s="18" t="s">
        <v>1101</v>
      </c>
    </row>
    <row r="12" spans="1:29" ht="15.75" customHeight="1">
      <c r="A12" s="18" t="s">
        <v>577</v>
      </c>
      <c r="B12" s="18" t="s">
        <v>1082</v>
      </c>
      <c r="C12" s="18" t="s">
        <v>1095</v>
      </c>
      <c r="D12" s="18" t="s">
        <v>1084</v>
      </c>
      <c r="E12" s="18" t="s">
        <v>1085</v>
      </c>
      <c r="F12" s="18">
        <v>48751</v>
      </c>
      <c r="G12" s="18" t="s">
        <v>402</v>
      </c>
      <c r="H12" s="18" t="s">
        <v>402</v>
      </c>
      <c r="I12" s="18" t="s">
        <v>623</v>
      </c>
      <c r="J12" s="18" t="s">
        <v>622</v>
      </c>
      <c r="K12" s="18" t="s">
        <v>1102</v>
      </c>
    </row>
    <row r="13" spans="1:29" ht="15.75" customHeight="1">
      <c r="A13" s="18" t="s">
        <v>577</v>
      </c>
      <c r="B13" s="18" t="s">
        <v>1082</v>
      </c>
      <c r="C13" s="18" t="s">
        <v>1095</v>
      </c>
      <c r="D13" s="18" t="s">
        <v>1084</v>
      </c>
      <c r="E13" s="18" t="s">
        <v>1087</v>
      </c>
      <c r="F13" s="18">
        <v>30637</v>
      </c>
      <c r="G13" s="18" t="s">
        <v>402</v>
      </c>
      <c r="H13" s="18" t="s">
        <v>402</v>
      </c>
      <c r="I13" s="18" t="s">
        <v>623</v>
      </c>
      <c r="J13" s="18" t="s">
        <v>622</v>
      </c>
      <c r="K13" s="18" t="s">
        <v>1103</v>
      </c>
      <c r="L13" s="18" t="s">
        <v>1104</v>
      </c>
    </row>
    <row r="14" spans="1:29" ht="15.75" customHeight="1">
      <c r="A14" s="18" t="s">
        <v>577</v>
      </c>
      <c r="B14" s="18" t="s">
        <v>1082</v>
      </c>
      <c r="C14" s="18" t="s">
        <v>1095</v>
      </c>
      <c r="D14" s="18" t="s">
        <v>1084</v>
      </c>
      <c r="E14" s="18" t="s">
        <v>1089</v>
      </c>
      <c r="F14" s="18">
        <v>87345</v>
      </c>
      <c r="G14" s="18" t="s">
        <v>402</v>
      </c>
      <c r="H14" s="18" t="s">
        <v>402</v>
      </c>
      <c r="I14" s="18" t="s">
        <v>623</v>
      </c>
      <c r="J14" s="18" t="s">
        <v>622</v>
      </c>
      <c r="K14" s="18" t="s">
        <v>1105</v>
      </c>
    </row>
    <row r="15" spans="1:29" ht="15.75" customHeight="1">
      <c r="A15" s="18" t="s">
        <v>577</v>
      </c>
      <c r="B15" s="18" t="s">
        <v>1082</v>
      </c>
      <c r="C15" s="18" t="s">
        <v>1095</v>
      </c>
      <c r="D15" s="18" t="s">
        <v>1084</v>
      </c>
      <c r="E15" s="86">
        <v>36923</v>
      </c>
      <c r="F15" s="18">
        <v>91811</v>
      </c>
      <c r="G15" s="18" t="s">
        <v>402</v>
      </c>
      <c r="H15" s="18" t="s">
        <v>402</v>
      </c>
      <c r="I15" s="18" t="s">
        <v>623</v>
      </c>
      <c r="J15" s="18" t="s">
        <v>622</v>
      </c>
      <c r="K15" s="18" t="s">
        <v>1106</v>
      </c>
    </row>
    <row r="16" spans="1:29" ht="15.75" customHeight="1">
      <c r="A16" s="18" t="s">
        <v>577</v>
      </c>
      <c r="B16" s="18" t="s">
        <v>1082</v>
      </c>
      <c r="C16" s="18" t="s">
        <v>1095</v>
      </c>
      <c r="D16" s="18" t="s">
        <v>1084</v>
      </c>
      <c r="E16" s="86">
        <v>37712</v>
      </c>
      <c r="F16" s="18">
        <v>53434</v>
      </c>
      <c r="G16" s="18" t="s">
        <v>402</v>
      </c>
      <c r="H16" s="18" t="s">
        <v>402</v>
      </c>
      <c r="I16" s="18" t="s">
        <v>623</v>
      </c>
      <c r="J16" s="18" t="s">
        <v>622</v>
      </c>
      <c r="K16" s="18" t="s">
        <v>1107</v>
      </c>
    </row>
    <row r="17" spans="1:11" ht="15.75" customHeight="1">
      <c r="A17" s="18" t="s">
        <v>577</v>
      </c>
      <c r="B17" s="18" t="s">
        <v>1082</v>
      </c>
      <c r="C17" s="18" t="s">
        <v>1095</v>
      </c>
      <c r="D17" s="18" t="s">
        <v>1084</v>
      </c>
      <c r="E17" s="86">
        <v>38504</v>
      </c>
      <c r="F17" s="18">
        <v>46628</v>
      </c>
      <c r="G17" s="18" t="s">
        <v>402</v>
      </c>
      <c r="H17" s="18" t="s">
        <v>402</v>
      </c>
      <c r="I17" s="18" t="s">
        <v>623</v>
      </c>
      <c r="J17" s="18" t="s">
        <v>622</v>
      </c>
      <c r="K17" s="18" t="s">
        <v>1108</v>
      </c>
    </row>
    <row r="18" spans="1:11" ht="15.75" customHeight="1">
      <c r="A18" s="18" t="s">
        <v>577</v>
      </c>
      <c r="B18" s="18" t="s">
        <v>1082</v>
      </c>
      <c r="C18" s="18" t="s">
        <v>1095</v>
      </c>
      <c r="D18" s="18" t="s">
        <v>1084</v>
      </c>
      <c r="E18" s="86">
        <v>39295</v>
      </c>
      <c r="F18" s="18">
        <v>40243</v>
      </c>
      <c r="G18" s="18" t="s">
        <v>402</v>
      </c>
      <c r="H18" s="18" t="s">
        <v>402</v>
      </c>
      <c r="I18" s="18" t="s">
        <v>623</v>
      </c>
      <c r="J18" s="18" t="s">
        <v>622</v>
      </c>
      <c r="K18" s="18" t="s">
        <v>1109</v>
      </c>
    </row>
    <row r="19" spans="1:11" ht="15.75" customHeight="1">
      <c r="A19" s="18" t="s">
        <v>577</v>
      </c>
      <c r="B19" s="18" t="s">
        <v>1082</v>
      </c>
      <c r="C19" s="18" t="s">
        <v>1110</v>
      </c>
      <c r="D19" s="18" t="s">
        <v>1084</v>
      </c>
      <c r="E19" s="18" t="s">
        <v>1111</v>
      </c>
      <c r="F19" s="18">
        <v>91870</v>
      </c>
      <c r="G19" s="18" t="s">
        <v>402</v>
      </c>
      <c r="H19" s="18" t="s">
        <v>402</v>
      </c>
      <c r="I19" s="18" t="s">
        <v>623</v>
      </c>
      <c r="J19" s="18" t="s">
        <v>622</v>
      </c>
      <c r="K19" s="18" t="s">
        <v>1109</v>
      </c>
    </row>
    <row r="20" spans="1:11" ht="15.75" customHeight="1">
      <c r="A20" s="18" t="s">
        <v>577</v>
      </c>
      <c r="B20" s="18" t="s">
        <v>1082</v>
      </c>
      <c r="C20" s="18" t="s">
        <v>1110</v>
      </c>
      <c r="D20" s="18" t="s">
        <v>1084</v>
      </c>
      <c r="E20" s="18" t="s">
        <v>1112</v>
      </c>
      <c r="F20" s="26">
        <v>61918</v>
      </c>
      <c r="G20" s="18" t="s">
        <v>402</v>
      </c>
      <c r="H20" s="18" t="s">
        <v>402</v>
      </c>
      <c r="I20" s="18" t="s">
        <v>623</v>
      </c>
      <c r="J20" s="18" t="s">
        <v>622</v>
      </c>
      <c r="K20" s="18" t="s">
        <v>1113</v>
      </c>
    </row>
    <row r="21" spans="1:11" ht="15.75" customHeight="1">
      <c r="A21" s="18" t="s">
        <v>577</v>
      </c>
      <c r="B21" s="18" t="s">
        <v>1082</v>
      </c>
      <c r="C21" s="18" t="s">
        <v>1110</v>
      </c>
      <c r="D21" s="18" t="s">
        <v>1084</v>
      </c>
      <c r="E21" s="18" t="s">
        <v>1114</v>
      </c>
      <c r="F21" s="18">
        <v>31972</v>
      </c>
      <c r="G21" s="18" t="s">
        <v>402</v>
      </c>
      <c r="H21" s="18" t="s">
        <v>402</v>
      </c>
      <c r="I21" s="18" t="s">
        <v>623</v>
      </c>
      <c r="J21" s="18" t="s">
        <v>622</v>
      </c>
      <c r="K21" s="18" t="s">
        <v>1115</v>
      </c>
    </row>
    <row r="22" spans="1:11" ht="15.75" customHeight="1">
      <c r="A22" s="18" t="s">
        <v>577</v>
      </c>
      <c r="B22" s="18" t="s">
        <v>1082</v>
      </c>
      <c r="C22" s="18" t="s">
        <v>1110</v>
      </c>
      <c r="D22" s="18" t="s">
        <v>1084</v>
      </c>
      <c r="E22" s="18" t="s">
        <v>1116</v>
      </c>
      <c r="F22" s="18">
        <v>41475</v>
      </c>
      <c r="G22" s="18" t="s">
        <v>402</v>
      </c>
      <c r="H22" s="18" t="s">
        <v>402</v>
      </c>
      <c r="I22" s="18" t="s">
        <v>623</v>
      </c>
      <c r="J22" s="18" t="s">
        <v>622</v>
      </c>
      <c r="K22" s="18" t="s">
        <v>1117</v>
      </c>
    </row>
    <row r="23" spans="1:11" ht="15.75" customHeight="1">
      <c r="A23" s="18" t="s">
        <v>577</v>
      </c>
      <c r="B23" s="18" t="s">
        <v>1082</v>
      </c>
      <c r="C23" s="18" t="s">
        <v>1110</v>
      </c>
      <c r="D23" s="18" t="s">
        <v>1084</v>
      </c>
      <c r="E23" s="18" t="s">
        <v>1118</v>
      </c>
      <c r="F23" s="18">
        <v>133867</v>
      </c>
      <c r="G23" s="18" t="s">
        <v>402</v>
      </c>
      <c r="H23" s="18" t="s">
        <v>402</v>
      </c>
      <c r="I23" s="18" t="s">
        <v>623</v>
      </c>
      <c r="J23" s="18" t="s">
        <v>622</v>
      </c>
      <c r="K23" s="18" t="s">
        <v>1119</v>
      </c>
    </row>
    <row r="24" spans="1:11" ht="15.75" customHeight="1">
      <c r="A24" s="18" t="s">
        <v>577</v>
      </c>
      <c r="B24" s="18" t="s">
        <v>1082</v>
      </c>
      <c r="C24" s="18" t="s">
        <v>1110</v>
      </c>
      <c r="D24" s="18" t="s">
        <v>1084</v>
      </c>
      <c r="E24" s="86">
        <v>36526</v>
      </c>
      <c r="F24" s="18">
        <v>43038</v>
      </c>
      <c r="G24" s="18" t="s">
        <v>402</v>
      </c>
      <c r="H24" s="18" t="s">
        <v>402</v>
      </c>
      <c r="I24" s="18" t="s">
        <v>623</v>
      </c>
      <c r="J24" s="18" t="s">
        <v>622</v>
      </c>
      <c r="K24" s="18" t="s">
        <v>1120</v>
      </c>
    </row>
    <row r="25" spans="1:11" ht="15.75" customHeight="1">
      <c r="A25" s="18" t="s">
        <v>577</v>
      </c>
      <c r="B25" s="18" t="s">
        <v>1082</v>
      </c>
      <c r="C25" s="18" t="s">
        <v>1110</v>
      </c>
      <c r="D25" s="18" t="s">
        <v>1084</v>
      </c>
      <c r="E25" s="86">
        <v>37316</v>
      </c>
      <c r="F25" s="18">
        <v>122469</v>
      </c>
      <c r="G25" s="18" t="s">
        <v>402</v>
      </c>
      <c r="H25" s="18" t="s">
        <v>402</v>
      </c>
      <c r="I25" s="18" t="s">
        <v>623</v>
      </c>
      <c r="J25" s="18" t="s">
        <v>622</v>
      </c>
      <c r="K25" s="18" t="s">
        <v>1121</v>
      </c>
    </row>
    <row r="26" spans="1:11" ht="15.75" customHeight="1">
      <c r="A26" s="18" t="s">
        <v>577</v>
      </c>
      <c r="B26" s="18" t="s">
        <v>1082</v>
      </c>
      <c r="C26" s="18" t="s">
        <v>1110</v>
      </c>
      <c r="D26" s="18" t="s">
        <v>1084</v>
      </c>
      <c r="E26" s="86">
        <v>38108</v>
      </c>
      <c r="F26" s="18">
        <v>34026</v>
      </c>
      <c r="G26" s="18" t="s">
        <v>402</v>
      </c>
      <c r="H26" s="18" t="s">
        <v>402</v>
      </c>
      <c r="I26" s="18" t="s">
        <v>623</v>
      </c>
      <c r="J26" s="18" t="s">
        <v>622</v>
      </c>
      <c r="K26" s="18" t="s">
        <v>1122</v>
      </c>
    </row>
    <row r="27" spans="1:11" ht="15.75" customHeight="1">
      <c r="A27" s="18" t="s">
        <v>577</v>
      </c>
      <c r="B27" s="18" t="s">
        <v>1082</v>
      </c>
      <c r="C27" s="18" t="s">
        <v>1110</v>
      </c>
      <c r="D27" s="18" t="s">
        <v>1084</v>
      </c>
      <c r="E27" s="86">
        <v>38504</v>
      </c>
      <c r="F27" s="18">
        <v>119437</v>
      </c>
      <c r="G27" s="18" t="s">
        <v>402</v>
      </c>
      <c r="H27" s="18" t="s">
        <v>402</v>
      </c>
      <c r="I27" s="18" t="s">
        <v>623</v>
      </c>
      <c r="J27" s="18" t="s">
        <v>622</v>
      </c>
      <c r="K27" s="18" t="s">
        <v>1123</v>
      </c>
    </row>
    <row r="28" spans="1:11" ht="15.75" customHeight="1">
      <c r="A28" s="18" t="s">
        <v>577</v>
      </c>
      <c r="B28" s="18" t="s">
        <v>1082</v>
      </c>
      <c r="C28" s="18" t="s">
        <v>1110</v>
      </c>
      <c r="D28" s="18" t="s">
        <v>1084</v>
      </c>
      <c r="E28" s="86">
        <v>38899</v>
      </c>
      <c r="F28" s="18">
        <v>98346</v>
      </c>
      <c r="G28" s="18" t="s">
        <v>402</v>
      </c>
      <c r="H28" s="18" t="s">
        <v>402</v>
      </c>
      <c r="I28" s="18" t="s">
        <v>623</v>
      </c>
      <c r="J28" s="18" t="s">
        <v>622</v>
      </c>
      <c r="K28" s="18" t="s">
        <v>1124</v>
      </c>
    </row>
    <row r="29" spans="1:11" ht="15.75" customHeight="1">
      <c r="A29" s="18" t="s">
        <v>577</v>
      </c>
      <c r="B29" s="18" t="s">
        <v>1082</v>
      </c>
      <c r="C29" s="18" t="s">
        <v>1110</v>
      </c>
      <c r="D29" s="18" t="s">
        <v>1084</v>
      </c>
      <c r="E29" s="86">
        <v>39295</v>
      </c>
      <c r="F29" s="18">
        <v>85943</v>
      </c>
      <c r="G29" s="18" t="s">
        <v>402</v>
      </c>
      <c r="H29" s="18" t="s">
        <v>402</v>
      </c>
      <c r="I29" s="18" t="s">
        <v>623</v>
      </c>
      <c r="J29" s="18" t="s">
        <v>622</v>
      </c>
      <c r="K29" s="18" t="s">
        <v>1125</v>
      </c>
    </row>
    <row r="30" spans="1:11" ht="15.75" customHeight="1">
      <c r="A30" s="18" t="s">
        <v>577</v>
      </c>
      <c r="B30" s="18" t="s">
        <v>1082</v>
      </c>
      <c r="C30" s="18" t="s">
        <v>1110</v>
      </c>
      <c r="D30" s="18" t="s">
        <v>1084</v>
      </c>
      <c r="E30" s="86">
        <v>39692</v>
      </c>
      <c r="F30" s="18">
        <v>143255</v>
      </c>
      <c r="G30" s="18" t="s">
        <v>402</v>
      </c>
      <c r="H30" s="18" t="s">
        <v>402</v>
      </c>
      <c r="I30" s="18" t="s">
        <v>623</v>
      </c>
      <c r="J30" s="18" t="s">
        <v>622</v>
      </c>
      <c r="K30" s="18" t="s">
        <v>1126</v>
      </c>
    </row>
    <row r="31" spans="1:11" ht="15.75" customHeight="1">
      <c r="A31" s="18" t="s">
        <v>586</v>
      </c>
      <c r="B31" s="18" t="s">
        <v>1127</v>
      </c>
      <c r="C31" s="18" t="s">
        <v>1128</v>
      </c>
      <c r="D31" s="18" t="s">
        <v>1084</v>
      </c>
      <c r="E31" s="18" t="s">
        <v>1111</v>
      </c>
      <c r="F31" s="18">
        <v>132914</v>
      </c>
      <c r="G31" s="18" t="s">
        <v>402</v>
      </c>
      <c r="H31" s="18" t="s">
        <v>402</v>
      </c>
      <c r="I31" s="18" t="s">
        <v>623</v>
      </c>
      <c r="J31" s="18" t="s">
        <v>622</v>
      </c>
      <c r="K31" s="18" t="s">
        <v>1129</v>
      </c>
    </row>
    <row r="32" spans="1:11" ht="15.75" customHeight="1">
      <c r="A32" s="18" t="s">
        <v>586</v>
      </c>
      <c r="B32" s="18" t="s">
        <v>1127</v>
      </c>
      <c r="C32" s="18" t="s">
        <v>1128</v>
      </c>
      <c r="D32" s="18" t="s">
        <v>1084</v>
      </c>
      <c r="E32" s="18" t="s">
        <v>1112</v>
      </c>
      <c r="F32" s="18">
        <v>63837</v>
      </c>
      <c r="G32" s="18" t="s">
        <v>402</v>
      </c>
      <c r="H32" s="18" t="s">
        <v>402</v>
      </c>
      <c r="I32" s="18" t="s">
        <v>623</v>
      </c>
      <c r="J32" s="18" t="s">
        <v>622</v>
      </c>
      <c r="K32" s="18" t="s">
        <v>1130</v>
      </c>
    </row>
    <row r="33" spans="1:11" ht="15.75" customHeight="1">
      <c r="A33" s="18" t="s">
        <v>586</v>
      </c>
      <c r="B33" s="18" t="s">
        <v>1127</v>
      </c>
      <c r="C33" s="18" t="s">
        <v>1128</v>
      </c>
      <c r="D33" s="18" t="s">
        <v>1084</v>
      </c>
      <c r="E33" s="18" t="s">
        <v>1114</v>
      </c>
      <c r="F33" s="18">
        <v>153534</v>
      </c>
      <c r="G33" s="18" t="s">
        <v>402</v>
      </c>
      <c r="H33" s="18" t="s">
        <v>402</v>
      </c>
      <c r="I33" s="18" t="s">
        <v>623</v>
      </c>
      <c r="J33" s="18" t="s">
        <v>622</v>
      </c>
      <c r="K33" s="18" t="s">
        <v>1131</v>
      </c>
    </row>
    <row r="34" spans="1:11" ht="15.75" customHeight="1">
      <c r="A34" s="18" t="s">
        <v>586</v>
      </c>
      <c r="B34" s="18" t="s">
        <v>1127</v>
      </c>
      <c r="C34" s="18" t="s">
        <v>1128</v>
      </c>
      <c r="D34" s="18" t="s">
        <v>1084</v>
      </c>
      <c r="E34" s="18" t="s">
        <v>1116</v>
      </c>
      <c r="F34" s="18">
        <v>231597</v>
      </c>
      <c r="G34" s="18" t="s">
        <v>402</v>
      </c>
      <c r="H34" s="18" t="s">
        <v>402</v>
      </c>
      <c r="I34" s="18" t="s">
        <v>623</v>
      </c>
      <c r="J34" s="18" t="s">
        <v>622</v>
      </c>
      <c r="K34" s="18" t="s">
        <v>1132</v>
      </c>
    </row>
    <row r="35" spans="1:11" ht="15.75" customHeight="1">
      <c r="A35" s="18" t="s">
        <v>586</v>
      </c>
      <c r="B35" s="18" t="s">
        <v>1127</v>
      </c>
      <c r="C35" s="18" t="s">
        <v>1128</v>
      </c>
      <c r="D35" s="18" t="s">
        <v>1084</v>
      </c>
      <c r="E35" s="18" t="s">
        <v>1118</v>
      </c>
      <c r="F35" s="18">
        <v>67442</v>
      </c>
      <c r="G35" s="18" t="s">
        <v>402</v>
      </c>
      <c r="H35" s="18" t="s">
        <v>402</v>
      </c>
      <c r="I35" s="18" t="s">
        <v>623</v>
      </c>
      <c r="J35" s="18" t="s">
        <v>622</v>
      </c>
      <c r="K35" s="18" t="s">
        <v>1133</v>
      </c>
    </row>
    <row r="36" spans="1:11" ht="15.75" customHeight="1">
      <c r="A36" s="18" t="s">
        <v>586</v>
      </c>
      <c r="B36" s="18" t="s">
        <v>1127</v>
      </c>
      <c r="C36" s="18" t="s">
        <v>1128</v>
      </c>
      <c r="D36" s="18" t="s">
        <v>1084</v>
      </c>
      <c r="E36" s="86">
        <v>36526</v>
      </c>
      <c r="F36" s="18">
        <v>160411</v>
      </c>
      <c r="G36" s="18" t="s">
        <v>402</v>
      </c>
      <c r="H36" s="18" t="s">
        <v>402</v>
      </c>
      <c r="I36" s="18" t="s">
        <v>623</v>
      </c>
      <c r="J36" s="18" t="s">
        <v>622</v>
      </c>
      <c r="K36" s="18" t="s">
        <v>1134</v>
      </c>
    </row>
    <row r="37" spans="1:11" ht="15.75" customHeight="1">
      <c r="A37" s="18" t="s">
        <v>586</v>
      </c>
      <c r="B37" s="18" t="s">
        <v>1127</v>
      </c>
      <c r="C37" s="18" t="s">
        <v>1128</v>
      </c>
      <c r="D37" s="18" t="s">
        <v>1084</v>
      </c>
      <c r="E37" s="86">
        <v>37316</v>
      </c>
      <c r="F37" s="18">
        <v>65040</v>
      </c>
      <c r="G37" s="18" t="s">
        <v>402</v>
      </c>
      <c r="H37" s="18" t="s">
        <v>402</v>
      </c>
      <c r="I37" s="18" t="s">
        <v>623</v>
      </c>
      <c r="J37" s="18" t="s">
        <v>622</v>
      </c>
      <c r="K37" s="18" t="s">
        <v>1135</v>
      </c>
    </row>
    <row r="38" spans="1:11" ht="15.75" customHeight="1">
      <c r="A38" s="18" t="s">
        <v>586</v>
      </c>
      <c r="B38" s="18" t="s">
        <v>1127</v>
      </c>
      <c r="C38" s="18" t="s">
        <v>1128</v>
      </c>
      <c r="D38" s="18" t="s">
        <v>1084</v>
      </c>
      <c r="E38" s="86">
        <v>38108</v>
      </c>
      <c r="F38" s="18">
        <v>99155</v>
      </c>
      <c r="G38" s="18" t="s">
        <v>402</v>
      </c>
      <c r="H38" s="18" t="s">
        <v>402</v>
      </c>
      <c r="I38" s="18" t="s">
        <v>623</v>
      </c>
      <c r="J38" s="18" t="s">
        <v>622</v>
      </c>
      <c r="K38" s="18" t="s">
        <v>1136</v>
      </c>
    </row>
    <row r="39" spans="1:11" ht="15.75" customHeight="1">
      <c r="A39" s="18" t="s">
        <v>586</v>
      </c>
      <c r="B39" s="18" t="s">
        <v>1127</v>
      </c>
      <c r="C39" s="18" t="s">
        <v>1128</v>
      </c>
      <c r="D39" s="18" t="s">
        <v>1084</v>
      </c>
      <c r="E39" s="86">
        <v>38899</v>
      </c>
      <c r="F39" s="18">
        <v>16384</v>
      </c>
      <c r="G39" s="18" t="s">
        <v>402</v>
      </c>
      <c r="H39" s="18" t="s">
        <v>402</v>
      </c>
      <c r="I39" s="18" t="s">
        <v>623</v>
      </c>
      <c r="J39" s="18" t="s">
        <v>622</v>
      </c>
      <c r="K39" s="18" t="s">
        <v>1137</v>
      </c>
    </row>
    <row r="40" spans="1:11" ht="15.75" customHeight="1">
      <c r="A40" s="18" t="s">
        <v>586</v>
      </c>
      <c r="B40" s="18" t="s">
        <v>1127</v>
      </c>
      <c r="C40" s="18" t="s">
        <v>1128</v>
      </c>
      <c r="D40" s="18" t="s">
        <v>1084</v>
      </c>
      <c r="E40" s="86">
        <v>39692</v>
      </c>
      <c r="F40" s="18">
        <v>58483</v>
      </c>
      <c r="G40" s="18" t="s">
        <v>402</v>
      </c>
      <c r="H40" s="18" t="s">
        <v>402</v>
      </c>
      <c r="I40" s="18" t="s">
        <v>623</v>
      </c>
      <c r="J40" s="18" t="s">
        <v>622</v>
      </c>
      <c r="K40" s="18" t="s">
        <v>1138</v>
      </c>
    </row>
    <row r="41" spans="1:11" ht="15.75" customHeight="1">
      <c r="A41" s="18" t="s">
        <v>586</v>
      </c>
      <c r="B41" s="18" t="s">
        <v>1127</v>
      </c>
      <c r="C41" s="18" t="s">
        <v>1139</v>
      </c>
      <c r="D41" s="18" t="s">
        <v>1084</v>
      </c>
      <c r="E41" s="18" t="s">
        <v>1116</v>
      </c>
      <c r="F41" s="18">
        <v>26703</v>
      </c>
      <c r="G41" s="18" t="s">
        <v>402</v>
      </c>
      <c r="H41" s="18" t="s">
        <v>402</v>
      </c>
      <c r="I41" s="18" t="s">
        <v>623</v>
      </c>
      <c r="J41" s="18" t="s">
        <v>622</v>
      </c>
      <c r="K41" s="18" t="s">
        <v>1140</v>
      </c>
    </row>
    <row r="42" spans="1:11" ht="15.75" customHeight="1">
      <c r="A42" s="18" t="s">
        <v>586</v>
      </c>
      <c r="B42" s="18" t="s">
        <v>1127</v>
      </c>
      <c r="C42" s="18" t="s">
        <v>1139</v>
      </c>
      <c r="D42" s="18" t="s">
        <v>1084</v>
      </c>
      <c r="E42" s="18" t="s">
        <v>1118</v>
      </c>
      <c r="F42" s="18">
        <v>39866</v>
      </c>
      <c r="G42" s="18" t="s">
        <v>402</v>
      </c>
      <c r="H42" s="18" t="s">
        <v>402</v>
      </c>
      <c r="I42" s="18" t="s">
        <v>623</v>
      </c>
      <c r="J42" s="18" t="s">
        <v>622</v>
      </c>
      <c r="K42" s="18" t="s">
        <v>1141</v>
      </c>
    </row>
    <row r="43" spans="1:11" ht="15.75" customHeight="1">
      <c r="A43" s="18" t="s">
        <v>586</v>
      </c>
      <c r="B43" s="18" t="s">
        <v>1127</v>
      </c>
      <c r="C43" s="18" t="s">
        <v>1139</v>
      </c>
      <c r="D43" s="18" t="s">
        <v>1084</v>
      </c>
      <c r="E43" s="86">
        <v>36526</v>
      </c>
      <c r="F43" s="18">
        <v>48532</v>
      </c>
      <c r="G43" s="18" t="s">
        <v>402</v>
      </c>
      <c r="H43" s="18" t="s">
        <v>402</v>
      </c>
      <c r="I43" s="18" t="s">
        <v>623</v>
      </c>
      <c r="J43" s="18" t="s">
        <v>622</v>
      </c>
      <c r="K43" s="18" t="s">
        <v>1142</v>
      </c>
    </row>
    <row r="44" spans="1:11" ht="15.75" customHeight="1">
      <c r="A44" s="18" t="s">
        <v>586</v>
      </c>
      <c r="B44" s="18" t="s">
        <v>1127</v>
      </c>
      <c r="C44" s="18" t="s">
        <v>1139</v>
      </c>
      <c r="D44" s="18" t="s">
        <v>1084</v>
      </c>
      <c r="E44" s="86">
        <v>37316</v>
      </c>
      <c r="F44" s="18">
        <v>25483</v>
      </c>
      <c r="G44" s="18" t="s">
        <v>402</v>
      </c>
      <c r="H44" s="18" t="s">
        <v>402</v>
      </c>
      <c r="I44" s="18" t="s">
        <v>623</v>
      </c>
      <c r="J44" s="18" t="s">
        <v>622</v>
      </c>
      <c r="K44" s="18" t="s">
        <v>1143</v>
      </c>
    </row>
    <row r="45" spans="1:11" ht="15.75" customHeight="1">
      <c r="A45" s="18" t="s">
        <v>586</v>
      </c>
      <c r="B45" s="18" t="s">
        <v>1127</v>
      </c>
      <c r="C45" s="18" t="s">
        <v>1139</v>
      </c>
      <c r="D45" s="18" t="s">
        <v>1084</v>
      </c>
      <c r="E45" s="86">
        <v>38108</v>
      </c>
      <c r="F45" s="18">
        <v>42453</v>
      </c>
      <c r="G45" s="18" t="s">
        <v>402</v>
      </c>
      <c r="H45" s="18" t="s">
        <v>402</v>
      </c>
      <c r="I45" s="18" t="s">
        <v>623</v>
      </c>
      <c r="J45" s="18" t="s">
        <v>622</v>
      </c>
      <c r="K45" s="18" t="s">
        <v>1144</v>
      </c>
    </row>
    <row r="46" spans="1:11" ht="15.75" customHeight="1">
      <c r="A46" s="18" t="s">
        <v>586</v>
      </c>
      <c r="B46" s="18" t="s">
        <v>1127</v>
      </c>
      <c r="C46" s="18" t="s">
        <v>1139</v>
      </c>
      <c r="D46" s="18" t="s">
        <v>1084</v>
      </c>
      <c r="E46" s="86">
        <v>38899</v>
      </c>
      <c r="F46" s="18">
        <v>36540</v>
      </c>
      <c r="G46" s="18" t="s">
        <v>402</v>
      </c>
      <c r="H46" s="18" t="s">
        <v>402</v>
      </c>
      <c r="I46" s="18" t="s">
        <v>623</v>
      </c>
      <c r="J46" s="18" t="s">
        <v>622</v>
      </c>
      <c r="K46" s="18" t="s">
        <v>1145</v>
      </c>
    </row>
    <row r="47" spans="1:11" ht="15.75" customHeight="1">
      <c r="A47" s="18" t="s">
        <v>586</v>
      </c>
      <c r="B47" s="18" t="s">
        <v>1127</v>
      </c>
      <c r="C47" s="18" t="s">
        <v>1139</v>
      </c>
      <c r="D47" s="18" t="s">
        <v>1084</v>
      </c>
      <c r="E47" s="86">
        <v>39692</v>
      </c>
      <c r="F47" s="18">
        <v>40565</v>
      </c>
      <c r="G47" s="18" t="s">
        <v>402</v>
      </c>
      <c r="H47" s="18" t="s">
        <v>402</v>
      </c>
      <c r="I47" s="18" t="s">
        <v>623</v>
      </c>
      <c r="J47" s="18" t="s">
        <v>622</v>
      </c>
      <c r="K47" s="18" t="s">
        <v>1146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G216"/>
  <sheetViews>
    <sheetView workbookViewId="0"/>
  </sheetViews>
  <sheetFormatPr baseColWidth="10" defaultColWidth="12.6640625" defaultRowHeight="15.75" customHeight="1"/>
  <sheetData>
    <row r="1" spans="1:13" ht="15.75" customHeight="1">
      <c r="A1" s="18" t="s">
        <v>400</v>
      </c>
      <c r="B1" s="18" t="s">
        <v>260</v>
      </c>
      <c r="C1" s="18" t="s">
        <v>1147</v>
      </c>
      <c r="D1" s="18" t="s">
        <v>381</v>
      </c>
      <c r="E1" s="18" t="s">
        <v>1148</v>
      </c>
      <c r="F1" s="18" t="s">
        <v>611</v>
      </c>
      <c r="G1" s="18">
        <v>1980</v>
      </c>
      <c r="H1" s="40">
        <v>5876</v>
      </c>
      <c r="I1" s="40" t="s">
        <v>402</v>
      </c>
      <c r="J1" s="18" t="s">
        <v>402</v>
      </c>
      <c r="K1" s="18"/>
      <c r="L1" s="87" t="s">
        <v>403</v>
      </c>
      <c r="M1" s="30" t="s">
        <v>404</v>
      </c>
    </row>
    <row r="2" spans="1:13" ht="15.75" customHeight="1">
      <c r="A2" s="18" t="s">
        <v>400</v>
      </c>
      <c r="B2" s="18" t="s">
        <v>260</v>
      </c>
      <c r="C2" s="18" t="s">
        <v>1147</v>
      </c>
      <c r="D2" s="18" t="s">
        <v>381</v>
      </c>
      <c r="E2" s="18" t="s">
        <v>1148</v>
      </c>
      <c r="F2" s="18" t="s">
        <v>611</v>
      </c>
      <c r="G2" s="18">
        <v>1981</v>
      </c>
      <c r="H2" s="40">
        <v>7237</v>
      </c>
      <c r="I2" s="40" t="s">
        <v>402</v>
      </c>
      <c r="J2" s="18" t="s">
        <v>402</v>
      </c>
      <c r="K2" s="18"/>
      <c r="L2" s="87" t="s">
        <v>403</v>
      </c>
      <c r="M2" s="30" t="s">
        <v>404</v>
      </c>
    </row>
    <row r="3" spans="1:13" ht="15.75" customHeight="1">
      <c r="A3" s="18" t="s">
        <v>400</v>
      </c>
      <c r="B3" s="18" t="s">
        <v>260</v>
      </c>
      <c r="C3" s="18" t="s">
        <v>1147</v>
      </c>
      <c r="D3" s="18" t="s">
        <v>381</v>
      </c>
      <c r="E3" s="18" t="s">
        <v>1148</v>
      </c>
      <c r="F3" s="18" t="s">
        <v>611</v>
      </c>
      <c r="G3" s="18">
        <v>1983</v>
      </c>
      <c r="H3" s="40">
        <v>7814</v>
      </c>
      <c r="I3" s="40" t="s">
        <v>402</v>
      </c>
      <c r="J3" s="18" t="s">
        <v>402</v>
      </c>
      <c r="K3" s="18"/>
      <c r="L3" s="87" t="s">
        <v>403</v>
      </c>
      <c r="M3" s="30" t="s">
        <v>404</v>
      </c>
    </row>
    <row r="4" spans="1:13" ht="15.75" customHeight="1">
      <c r="A4" s="18" t="s">
        <v>400</v>
      </c>
      <c r="B4" s="18" t="s">
        <v>260</v>
      </c>
      <c r="C4" s="18" t="s">
        <v>1147</v>
      </c>
      <c r="D4" s="18" t="s">
        <v>381</v>
      </c>
      <c r="E4" s="18" t="s">
        <v>1148</v>
      </c>
      <c r="F4" s="18" t="s">
        <v>611</v>
      </c>
      <c r="G4" s="18">
        <v>1986</v>
      </c>
      <c r="H4" s="40">
        <v>7649</v>
      </c>
      <c r="I4" s="40" t="s">
        <v>402</v>
      </c>
      <c r="J4" s="18" t="s">
        <v>402</v>
      </c>
      <c r="K4" s="18"/>
      <c r="L4" s="87" t="s">
        <v>403</v>
      </c>
      <c r="M4" s="30" t="s">
        <v>404</v>
      </c>
    </row>
    <row r="5" spans="1:13" ht="15.75" customHeight="1">
      <c r="A5" s="18" t="s">
        <v>400</v>
      </c>
      <c r="B5" s="18" t="s">
        <v>260</v>
      </c>
      <c r="C5" s="18" t="s">
        <v>1147</v>
      </c>
      <c r="D5" s="18" t="s">
        <v>381</v>
      </c>
      <c r="E5" s="18" t="s">
        <v>1148</v>
      </c>
      <c r="F5" s="18" t="s">
        <v>611</v>
      </c>
      <c r="G5" s="18">
        <v>1987</v>
      </c>
      <c r="H5" s="40">
        <v>11278</v>
      </c>
      <c r="I5" s="40" t="s">
        <v>402</v>
      </c>
      <c r="J5" s="18" t="s">
        <v>402</v>
      </c>
      <c r="K5" s="18"/>
      <c r="L5" s="87" t="s">
        <v>403</v>
      </c>
      <c r="M5" s="30" t="s">
        <v>404</v>
      </c>
    </row>
    <row r="6" spans="1:13" ht="15.75" customHeight="1">
      <c r="A6" s="18" t="s">
        <v>400</v>
      </c>
      <c r="B6" s="18" t="s">
        <v>260</v>
      </c>
      <c r="C6" s="18" t="s">
        <v>1147</v>
      </c>
      <c r="D6" s="18" t="s">
        <v>381</v>
      </c>
      <c r="E6" s="18" t="s">
        <v>1148</v>
      </c>
      <c r="F6" s="18" t="s">
        <v>611</v>
      </c>
      <c r="G6" s="18">
        <v>1989</v>
      </c>
      <c r="H6" s="40">
        <v>10701</v>
      </c>
      <c r="I6" s="40" t="s">
        <v>402</v>
      </c>
      <c r="J6" s="18" t="s">
        <v>402</v>
      </c>
      <c r="K6" s="18"/>
      <c r="L6" s="87" t="s">
        <v>403</v>
      </c>
      <c r="M6" s="30" t="s">
        <v>404</v>
      </c>
    </row>
    <row r="7" spans="1:13" ht="15.75" customHeight="1">
      <c r="A7" s="18" t="s">
        <v>400</v>
      </c>
      <c r="B7" s="18" t="s">
        <v>260</v>
      </c>
      <c r="C7" s="18" t="s">
        <v>1147</v>
      </c>
      <c r="D7" s="18" t="s">
        <v>381</v>
      </c>
      <c r="E7" s="18" t="s">
        <v>1148</v>
      </c>
      <c r="F7" s="18" t="s">
        <v>611</v>
      </c>
      <c r="G7" s="18">
        <v>1991</v>
      </c>
      <c r="H7" s="40">
        <v>12722</v>
      </c>
      <c r="I7" s="40" t="s">
        <v>402</v>
      </c>
      <c r="J7" s="18" t="s">
        <v>402</v>
      </c>
      <c r="K7" s="18"/>
      <c r="L7" s="87" t="s">
        <v>403</v>
      </c>
      <c r="M7" s="30" t="s">
        <v>404</v>
      </c>
    </row>
    <row r="8" spans="1:13" ht="15.75" customHeight="1">
      <c r="A8" s="18" t="s">
        <v>400</v>
      </c>
      <c r="B8" s="18" t="s">
        <v>260</v>
      </c>
      <c r="C8" s="18" t="s">
        <v>1147</v>
      </c>
      <c r="D8" s="18" t="s">
        <v>381</v>
      </c>
      <c r="E8" s="18" t="s">
        <v>1148</v>
      </c>
      <c r="F8" s="18" t="s">
        <v>611</v>
      </c>
      <c r="G8" s="18">
        <v>1992</v>
      </c>
      <c r="H8" s="40">
        <v>12227</v>
      </c>
      <c r="I8" s="40" t="s">
        <v>402</v>
      </c>
      <c r="J8" s="18" t="s">
        <v>402</v>
      </c>
      <c r="K8" s="18"/>
      <c r="L8" s="87" t="s">
        <v>403</v>
      </c>
      <c r="M8" s="30" t="s">
        <v>404</v>
      </c>
    </row>
    <row r="9" spans="1:13" ht="15.75" customHeight="1">
      <c r="A9" s="18" t="s">
        <v>400</v>
      </c>
      <c r="B9" s="18" t="s">
        <v>260</v>
      </c>
      <c r="C9" s="18" t="s">
        <v>1147</v>
      </c>
      <c r="D9" s="18" t="s">
        <v>381</v>
      </c>
      <c r="E9" s="18" t="s">
        <v>1148</v>
      </c>
      <c r="F9" s="18" t="s">
        <v>611</v>
      </c>
      <c r="G9" s="18">
        <v>1993</v>
      </c>
      <c r="H9" s="40">
        <v>12021</v>
      </c>
      <c r="I9" s="40" t="s">
        <v>402</v>
      </c>
      <c r="J9" s="18" t="s">
        <v>402</v>
      </c>
      <c r="K9" s="18"/>
      <c r="L9" s="87" t="s">
        <v>403</v>
      </c>
      <c r="M9" s="30" t="s">
        <v>404</v>
      </c>
    </row>
    <row r="10" spans="1:13" ht="15.75" customHeight="1">
      <c r="A10" s="18" t="s">
        <v>400</v>
      </c>
      <c r="B10" s="18" t="s">
        <v>260</v>
      </c>
      <c r="C10" s="18" t="s">
        <v>1147</v>
      </c>
      <c r="D10" s="18" t="s">
        <v>381</v>
      </c>
      <c r="E10" s="18" t="s">
        <v>1148</v>
      </c>
      <c r="F10" s="18" t="s">
        <v>611</v>
      </c>
      <c r="G10" s="18">
        <v>1994</v>
      </c>
      <c r="H10" s="40">
        <v>10000</v>
      </c>
      <c r="I10" s="40" t="s">
        <v>402</v>
      </c>
      <c r="J10" s="18" t="s">
        <v>402</v>
      </c>
      <c r="K10" s="18"/>
      <c r="L10" s="87" t="s">
        <v>403</v>
      </c>
      <c r="M10" s="30" t="s">
        <v>404</v>
      </c>
    </row>
    <row r="11" spans="1:13" ht="15.75" customHeight="1">
      <c r="A11" s="18" t="s">
        <v>400</v>
      </c>
      <c r="B11" s="18" t="s">
        <v>260</v>
      </c>
      <c r="C11" s="18" t="s">
        <v>1147</v>
      </c>
      <c r="D11" s="18" t="s">
        <v>381</v>
      </c>
      <c r="E11" s="18" t="s">
        <v>1148</v>
      </c>
      <c r="F11" s="18" t="s">
        <v>611</v>
      </c>
      <c r="G11" s="18">
        <v>1995</v>
      </c>
      <c r="H11" s="40">
        <v>11732</v>
      </c>
      <c r="I11" s="40" t="s">
        <v>402</v>
      </c>
      <c r="J11" s="18" t="s">
        <v>402</v>
      </c>
      <c r="K11" s="18"/>
      <c r="L11" s="87" t="s">
        <v>403</v>
      </c>
      <c r="M11" s="30" t="s">
        <v>404</v>
      </c>
    </row>
    <row r="12" spans="1:13" ht="15.75" customHeight="1">
      <c r="A12" s="18" t="s">
        <v>400</v>
      </c>
      <c r="B12" s="18" t="s">
        <v>260</v>
      </c>
      <c r="C12" s="18" t="s">
        <v>1147</v>
      </c>
      <c r="D12" s="18" t="s">
        <v>381</v>
      </c>
      <c r="E12" s="18" t="s">
        <v>1148</v>
      </c>
      <c r="F12" s="18" t="s">
        <v>611</v>
      </c>
      <c r="G12" s="18">
        <v>1996</v>
      </c>
      <c r="H12" s="40">
        <v>10866</v>
      </c>
      <c r="I12" s="40" t="s">
        <v>402</v>
      </c>
      <c r="J12" s="18" t="s">
        <v>402</v>
      </c>
      <c r="K12" s="18"/>
      <c r="L12" s="87" t="s">
        <v>403</v>
      </c>
      <c r="M12" s="30" t="s">
        <v>404</v>
      </c>
    </row>
    <row r="13" spans="1:13" ht="15.75" customHeight="1">
      <c r="A13" s="18" t="s">
        <v>400</v>
      </c>
      <c r="B13" s="18" t="s">
        <v>260</v>
      </c>
      <c r="C13" s="18" t="s">
        <v>1147</v>
      </c>
      <c r="D13" s="18" t="s">
        <v>381</v>
      </c>
      <c r="E13" s="18" t="s">
        <v>1148</v>
      </c>
      <c r="F13" s="18" t="s">
        <v>611</v>
      </c>
      <c r="G13" s="18">
        <v>1997</v>
      </c>
      <c r="H13" s="40">
        <v>12186</v>
      </c>
      <c r="I13" s="40" t="s">
        <v>402</v>
      </c>
      <c r="J13" s="18" t="s">
        <v>402</v>
      </c>
      <c r="K13" s="18"/>
      <c r="L13" s="87" t="s">
        <v>403</v>
      </c>
      <c r="M13" s="30" t="s">
        <v>404</v>
      </c>
    </row>
    <row r="14" spans="1:13" ht="15.75" customHeight="1">
      <c r="A14" s="18" t="s">
        <v>400</v>
      </c>
      <c r="B14" s="18" t="s">
        <v>260</v>
      </c>
      <c r="C14" s="18" t="s">
        <v>1147</v>
      </c>
      <c r="D14" s="18" t="s">
        <v>381</v>
      </c>
      <c r="E14" s="18" t="s">
        <v>1148</v>
      </c>
      <c r="F14" s="18" t="s">
        <v>611</v>
      </c>
      <c r="G14" s="18">
        <v>1999</v>
      </c>
      <c r="H14" s="40">
        <v>10948</v>
      </c>
      <c r="I14" s="40" t="s">
        <v>402</v>
      </c>
      <c r="J14" s="18" t="s">
        <v>402</v>
      </c>
      <c r="K14" s="18"/>
      <c r="L14" s="87" t="s">
        <v>403</v>
      </c>
      <c r="M14" s="30" t="s">
        <v>404</v>
      </c>
    </row>
    <row r="15" spans="1:13" ht="15.75" customHeight="1">
      <c r="A15" s="18" t="s">
        <v>400</v>
      </c>
      <c r="B15" s="18" t="s">
        <v>260</v>
      </c>
      <c r="C15" s="18" t="s">
        <v>1149</v>
      </c>
      <c r="D15" s="18" t="s">
        <v>381</v>
      </c>
      <c r="E15" s="18" t="s">
        <v>1148</v>
      </c>
      <c r="F15" s="18" t="s">
        <v>611</v>
      </c>
      <c r="G15" s="18">
        <v>1982</v>
      </c>
      <c r="H15" s="40">
        <v>2720</v>
      </c>
      <c r="I15" s="40" t="s">
        <v>402</v>
      </c>
      <c r="J15" s="18" t="s">
        <v>402</v>
      </c>
      <c r="K15" s="18"/>
      <c r="L15" s="87" t="s">
        <v>403</v>
      </c>
      <c r="M15" s="30" t="s">
        <v>404</v>
      </c>
    </row>
    <row r="16" spans="1:13" ht="15.75" customHeight="1">
      <c r="A16" s="18" t="s">
        <v>400</v>
      </c>
      <c r="B16" s="18" t="s">
        <v>260</v>
      </c>
      <c r="C16" s="18" t="s">
        <v>1149</v>
      </c>
      <c r="D16" s="18" t="s">
        <v>381</v>
      </c>
      <c r="E16" s="18" t="s">
        <v>1148</v>
      </c>
      <c r="F16" s="18" t="s">
        <v>611</v>
      </c>
      <c r="G16" s="18">
        <v>1983</v>
      </c>
      <c r="H16" s="40">
        <v>3413</v>
      </c>
      <c r="I16" s="40" t="s">
        <v>402</v>
      </c>
      <c r="J16" s="18" t="s">
        <v>402</v>
      </c>
      <c r="K16" s="18"/>
      <c r="L16" s="87" t="s">
        <v>403</v>
      </c>
      <c r="M16" s="30" t="s">
        <v>404</v>
      </c>
    </row>
    <row r="17" spans="1:13" ht="15.75" customHeight="1">
      <c r="A17" s="18" t="s">
        <v>400</v>
      </c>
      <c r="B17" s="18" t="s">
        <v>260</v>
      </c>
      <c r="C17" s="18" t="s">
        <v>1149</v>
      </c>
      <c r="D17" s="18" t="s">
        <v>381</v>
      </c>
      <c r="E17" s="18" t="s">
        <v>1148</v>
      </c>
      <c r="F17" s="18" t="s">
        <v>611</v>
      </c>
      <c r="G17" s="18">
        <v>1985</v>
      </c>
      <c r="H17" s="40">
        <v>3771</v>
      </c>
      <c r="I17" s="40" t="s">
        <v>402</v>
      </c>
      <c r="J17" s="18" t="s">
        <v>402</v>
      </c>
      <c r="K17" s="18"/>
      <c r="L17" s="87" t="s">
        <v>403</v>
      </c>
      <c r="M17" s="30" t="s">
        <v>404</v>
      </c>
    </row>
    <row r="18" spans="1:13" ht="15.75" customHeight="1">
      <c r="A18" s="18" t="s">
        <v>400</v>
      </c>
      <c r="B18" s="18" t="s">
        <v>260</v>
      </c>
      <c r="C18" s="18" t="s">
        <v>1149</v>
      </c>
      <c r="D18" s="18" t="s">
        <v>381</v>
      </c>
      <c r="E18" s="18" t="s">
        <v>1148</v>
      </c>
      <c r="F18" s="18" t="s">
        <v>611</v>
      </c>
      <c r="G18" s="18">
        <v>1986</v>
      </c>
      <c r="H18" s="40">
        <v>3336</v>
      </c>
      <c r="I18" s="40" t="s">
        <v>402</v>
      </c>
      <c r="J18" s="18" t="s">
        <v>402</v>
      </c>
      <c r="K18" s="18"/>
      <c r="L18" s="87" t="s">
        <v>403</v>
      </c>
      <c r="M18" s="30" t="s">
        <v>404</v>
      </c>
    </row>
    <row r="19" spans="1:13" ht="15.75" customHeight="1">
      <c r="A19" s="18" t="s">
        <v>400</v>
      </c>
      <c r="B19" s="18" t="s">
        <v>260</v>
      </c>
      <c r="C19" s="18" t="s">
        <v>1149</v>
      </c>
      <c r="D19" s="18" t="s">
        <v>381</v>
      </c>
      <c r="E19" s="18" t="s">
        <v>1148</v>
      </c>
      <c r="F19" s="18" t="s">
        <v>611</v>
      </c>
      <c r="G19" s="18">
        <v>1987</v>
      </c>
      <c r="H19" s="40">
        <v>3990</v>
      </c>
      <c r="I19" s="40" t="s">
        <v>402</v>
      </c>
      <c r="J19" s="18" t="s">
        <v>402</v>
      </c>
      <c r="K19" s="18"/>
      <c r="L19" s="87" t="s">
        <v>403</v>
      </c>
      <c r="M19" s="30" t="s">
        <v>404</v>
      </c>
    </row>
    <row r="20" spans="1:13" ht="15.75" customHeight="1">
      <c r="A20" s="18" t="s">
        <v>400</v>
      </c>
      <c r="B20" s="18" t="s">
        <v>260</v>
      </c>
      <c r="C20" s="18" t="s">
        <v>1149</v>
      </c>
      <c r="D20" s="18" t="s">
        <v>381</v>
      </c>
      <c r="E20" s="18" t="s">
        <v>1148</v>
      </c>
      <c r="F20" s="18" t="s">
        <v>611</v>
      </c>
      <c r="G20" s="18">
        <v>1988</v>
      </c>
      <c r="H20" s="40">
        <v>4485</v>
      </c>
      <c r="I20" s="40" t="s">
        <v>402</v>
      </c>
      <c r="J20" s="18" t="s">
        <v>402</v>
      </c>
      <c r="K20" s="18"/>
      <c r="L20" s="87" t="s">
        <v>403</v>
      </c>
      <c r="M20" s="30" t="s">
        <v>404</v>
      </c>
    </row>
    <row r="21" spans="1:13" ht="15.75" customHeight="1">
      <c r="A21" s="18" t="s">
        <v>400</v>
      </c>
      <c r="B21" s="18" t="s">
        <v>260</v>
      </c>
      <c r="C21" s="18" t="s">
        <v>1149</v>
      </c>
      <c r="D21" s="18" t="s">
        <v>381</v>
      </c>
      <c r="E21" s="18" t="s">
        <v>1148</v>
      </c>
      <c r="F21" s="18" t="s">
        <v>611</v>
      </c>
      <c r="G21" s="18">
        <v>1989</v>
      </c>
      <c r="H21" s="40">
        <v>5040</v>
      </c>
      <c r="I21" s="40" t="s">
        <v>402</v>
      </c>
      <c r="J21" s="18" t="s">
        <v>402</v>
      </c>
      <c r="K21" s="18"/>
      <c r="L21" s="87" t="s">
        <v>403</v>
      </c>
      <c r="M21" s="30" t="s">
        <v>404</v>
      </c>
    </row>
    <row r="22" spans="1:13" ht="15.75" customHeight="1">
      <c r="A22" s="18" t="s">
        <v>400</v>
      </c>
      <c r="B22" s="18" t="s">
        <v>260</v>
      </c>
      <c r="C22" s="18" t="s">
        <v>1149</v>
      </c>
      <c r="D22" s="18" t="s">
        <v>381</v>
      </c>
      <c r="E22" s="18" t="s">
        <v>1148</v>
      </c>
      <c r="F22" s="18" t="s">
        <v>611</v>
      </c>
      <c r="G22" s="18">
        <v>1990</v>
      </c>
      <c r="H22" s="40">
        <v>4823</v>
      </c>
      <c r="I22" s="40" t="s">
        <v>402</v>
      </c>
      <c r="J22" s="18" t="s">
        <v>402</v>
      </c>
      <c r="K22" s="18"/>
      <c r="L22" s="87" t="s">
        <v>403</v>
      </c>
      <c r="M22" s="30" t="s">
        <v>404</v>
      </c>
    </row>
    <row r="23" spans="1:13" ht="15.75" customHeight="1">
      <c r="A23" s="18" t="s">
        <v>400</v>
      </c>
      <c r="B23" s="18" t="s">
        <v>260</v>
      </c>
      <c r="C23" s="18" t="s">
        <v>1149</v>
      </c>
      <c r="D23" s="18" t="s">
        <v>381</v>
      </c>
      <c r="E23" s="18" t="s">
        <v>1148</v>
      </c>
      <c r="F23" s="18" t="s">
        <v>611</v>
      </c>
      <c r="G23" s="18">
        <v>1991</v>
      </c>
      <c r="H23" s="40">
        <v>4606</v>
      </c>
      <c r="I23" s="40" t="s">
        <v>402</v>
      </c>
      <c r="J23" s="18" t="s">
        <v>402</v>
      </c>
      <c r="K23" s="18"/>
      <c r="L23" s="87" t="s">
        <v>403</v>
      </c>
      <c r="M23" s="30" t="s">
        <v>404</v>
      </c>
    </row>
    <row r="24" spans="1:13" ht="15.75" customHeight="1">
      <c r="A24" s="18" t="s">
        <v>400</v>
      </c>
      <c r="B24" s="18" t="s">
        <v>260</v>
      </c>
      <c r="C24" s="18" t="s">
        <v>1149</v>
      </c>
      <c r="D24" s="18" t="s">
        <v>381</v>
      </c>
      <c r="E24" s="18" t="s">
        <v>1148</v>
      </c>
      <c r="F24" s="18" t="s">
        <v>611</v>
      </c>
      <c r="G24" s="18">
        <v>1992</v>
      </c>
      <c r="H24" s="40">
        <v>5517</v>
      </c>
      <c r="I24" s="40" t="s">
        <v>402</v>
      </c>
      <c r="J24" s="18" t="s">
        <v>402</v>
      </c>
      <c r="K24" s="18"/>
      <c r="L24" s="87" t="s">
        <v>403</v>
      </c>
      <c r="M24" s="30" t="s">
        <v>404</v>
      </c>
    </row>
    <row r="25" spans="1:13" ht="15.75" customHeight="1">
      <c r="A25" s="18" t="s">
        <v>400</v>
      </c>
      <c r="B25" s="18" t="s">
        <v>260</v>
      </c>
      <c r="C25" s="18" t="s">
        <v>1149</v>
      </c>
      <c r="D25" s="18" t="s">
        <v>381</v>
      </c>
      <c r="E25" s="18" t="s">
        <v>1148</v>
      </c>
      <c r="F25" s="18" t="s">
        <v>611</v>
      </c>
      <c r="G25" s="18">
        <v>1993</v>
      </c>
      <c r="H25" s="40">
        <v>5221</v>
      </c>
      <c r="I25" s="40" t="s">
        <v>402</v>
      </c>
      <c r="J25" s="18" t="s">
        <v>402</v>
      </c>
      <c r="K25" s="18"/>
      <c r="L25" s="87" t="s">
        <v>403</v>
      </c>
      <c r="M25" s="30" t="s">
        <v>404</v>
      </c>
    </row>
    <row r="26" spans="1:13" ht="15.75" customHeight="1">
      <c r="A26" s="18" t="s">
        <v>400</v>
      </c>
      <c r="B26" s="18" t="s">
        <v>260</v>
      </c>
      <c r="C26" s="18" t="s">
        <v>1149</v>
      </c>
      <c r="D26" s="18" t="s">
        <v>381</v>
      </c>
      <c r="E26" s="18" t="s">
        <v>1148</v>
      </c>
      <c r="F26" s="18" t="s">
        <v>611</v>
      </c>
      <c r="G26" s="18">
        <v>1994</v>
      </c>
      <c r="H26" s="40">
        <v>4687</v>
      </c>
      <c r="I26" s="40" t="s">
        <v>402</v>
      </c>
      <c r="J26" s="18" t="s">
        <v>402</v>
      </c>
      <c r="K26" s="18"/>
      <c r="L26" s="87" t="s">
        <v>403</v>
      </c>
      <c r="M26" s="30" t="s">
        <v>404</v>
      </c>
    </row>
    <row r="27" spans="1:13" ht="15.75" customHeight="1">
      <c r="A27" s="18" t="s">
        <v>400</v>
      </c>
      <c r="B27" s="18" t="s">
        <v>260</v>
      </c>
      <c r="C27" s="18" t="s">
        <v>1149</v>
      </c>
      <c r="D27" s="18" t="s">
        <v>381</v>
      </c>
      <c r="E27" s="18" t="s">
        <v>1148</v>
      </c>
      <c r="F27" s="18" t="s">
        <v>611</v>
      </c>
      <c r="G27" s="18">
        <v>1995</v>
      </c>
      <c r="H27" s="40">
        <v>4232</v>
      </c>
      <c r="I27" s="40" t="s">
        <v>402</v>
      </c>
      <c r="J27" s="18" t="s">
        <v>402</v>
      </c>
      <c r="K27" s="18"/>
      <c r="L27" s="87" t="s">
        <v>403</v>
      </c>
      <c r="M27" s="30" t="s">
        <v>404</v>
      </c>
    </row>
    <row r="28" spans="1:13" ht="15.75" customHeight="1">
      <c r="A28" s="18" t="s">
        <v>400</v>
      </c>
      <c r="B28" s="18" t="s">
        <v>260</v>
      </c>
      <c r="C28" s="18" t="s">
        <v>1149</v>
      </c>
      <c r="D28" s="18" t="s">
        <v>381</v>
      </c>
      <c r="E28" s="18" t="s">
        <v>1148</v>
      </c>
      <c r="F28" s="18" t="s">
        <v>611</v>
      </c>
      <c r="G28" s="18">
        <v>1996</v>
      </c>
      <c r="H28" s="40">
        <v>4629</v>
      </c>
      <c r="I28" s="40" t="s">
        <v>402</v>
      </c>
      <c r="J28" s="18" t="s">
        <v>402</v>
      </c>
      <c r="K28" s="18"/>
      <c r="L28" s="87" t="s">
        <v>403</v>
      </c>
      <c r="M28" s="30" t="s">
        <v>404</v>
      </c>
    </row>
    <row r="29" spans="1:13" ht="15.75" customHeight="1">
      <c r="A29" s="18" t="s">
        <v>400</v>
      </c>
      <c r="B29" s="18" t="s">
        <v>260</v>
      </c>
      <c r="C29" s="18" t="s">
        <v>1149</v>
      </c>
      <c r="D29" s="18" t="s">
        <v>381</v>
      </c>
      <c r="E29" s="18" t="s">
        <v>1148</v>
      </c>
      <c r="F29" s="18" t="s">
        <v>611</v>
      </c>
      <c r="G29" s="18">
        <v>1998</v>
      </c>
      <c r="H29" s="40">
        <v>5362</v>
      </c>
      <c r="I29" s="40" t="s">
        <v>402</v>
      </c>
      <c r="J29" s="18" t="s">
        <v>402</v>
      </c>
      <c r="K29" s="18"/>
      <c r="L29" s="87" t="s">
        <v>403</v>
      </c>
      <c r="M29" s="30" t="s">
        <v>404</v>
      </c>
    </row>
    <row r="30" spans="1:13" ht="15.75" customHeight="1">
      <c r="A30" s="18" t="s">
        <v>400</v>
      </c>
      <c r="B30" s="18" t="s">
        <v>260</v>
      </c>
      <c r="C30" s="18" t="s">
        <v>1149</v>
      </c>
      <c r="D30" s="18" t="s">
        <v>381</v>
      </c>
      <c r="E30" s="18" t="s">
        <v>1148</v>
      </c>
      <c r="F30" s="18" t="s">
        <v>611</v>
      </c>
      <c r="G30" s="18">
        <v>1999</v>
      </c>
      <c r="H30" s="40">
        <v>4393</v>
      </c>
      <c r="I30" s="40" t="s">
        <v>402</v>
      </c>
      <c r="J30" s="18" t="s">
        <v>402</v>
      </c>
      <c r="K30" s="18"/>
      <c r="L30" s="87" t="s">
        <v>403</v>
      </c>
      <c r="M30" s="30" t="s">
        <v>404</v>
      </c>
    </row>
    <row r="31" spans="1:13" ht="15.75" customHeight="1">
      <c r="A31" s="18" t="s">
        <v>400</v>
      </c>
      <c r="B31" s="18" t="s">
        <v>260</v>
      </c>
      <c r="C31" s="18" t="s">
        <v>1149</v>
      </c>
      <c r="D31" s="18" t="s">
        <v>381</v>
      </c>
      <c r="E31" s="18" t="s">
        <v>1148</v>
      </c>
      <c r="F31" s="18" t="s">
        <v>611</v>
      </c>
      <c r="G31" s="18">
        <v>2000</v>
      </c>
      <c r="H31" s="40">
        <v>4571</v>
      </c>
      <c r="I31" s="40" t="s">
        <v>402</v>
      </c>
      <c r="J31" s="18" t="s">
        <v>402</v>
      </c>
      <c r="K31" s="18"/>
      <c r="L31" s="87" t="s">
        <v>403</v>
      </c>
      <c r="M31" s="30" t="s">
        <v>404</v>
      </c>
    </row>
    <row r="32" spans="1:13" ht="15.75" customHeight="1">
      <c r="A32" s="18" t="s">
        <v>400</v>
      </c>
      <c r="B32" s="18" t="s">
        <v>260</v>
      </c>
      <c r="C32" s="18" t="s">
        <v>1149</v>
      </c>
      <c r="D32" s="18" t="s">
        <v>381</v>
      </c>
      <c r="E32" s="18" t="s">
        <v>1148</v>
      </c>
      <c r="F32" s="18" t="s">
        <v>611</v>
      </c>
      <c r="G32" s="18">
        <v>2001</v>
      </c>
      <c r="H32" s="40">
        <v>4493</v>
      </c>
      <c r="I32" s="40" t="s">
        <v>402</v>
      </c>
      <c r="J32" s="18" t="s">
        <v>402</v>
      </c>
      <c r="K32" s="18"/>
      <c r="L32" s="87" t="s">
        <v>403</v>
      </c>
      <c r="M32" s="30" t="s">
        <v>404</v>
      </c>
    </row>
    <row r="33" spans="1:33" ht="15.75" customHeight="1">
      <c r="A33" s="18" t="s">
        <v>400</v>
      </c>
      <c r="B33" s="18" t="s">
        <v>260</v>
      </c>
      <c r="C33" s="18" t="s">
        <v>1149</v>
      </c>
      <c r="D33" s="18" t="s">
        <v>381</v>
      </c>
      <c r="E33" s="18" t="s">
        <v>1148</v>
      </c>
      <c r="F33" s="18" t="s">
        <v>611</v>
      </c>
      <c r="G33" s="18">
        <v>2002</v>
      </c>
      <c r="H33" s="40">
        <v>5246</v>
      </c>
      <c r="I33" s="40" t="s">
        <v>402</v>
      </c>
      <c r="J33" s="18" t="s">
        <v>402</v>
      </c>
      <c r="K33" s="18"/>
      <c r="L33" s="87" t="s">
        <v>403</v>
      </c>
      <c r="M33" s="30" t="s">
        <v>404</v>
      </c>
    </row>
    <row r="34" spans="1:33" ht="15.75" customHeight="1">
      <c r="A34" s="18" t="s">
        <v>400</v>
      </c>
      <c r="B34" s="18" t="s">
        <v>260</v>
      </c>
      <c r="C34" s="18" t="s">
        <v>1149</v>
      </c>
      <c r="D34" s="18" t="s">
        <v>381</v>
      </c>
      <c r="E34" s="18" t="s">
        <v>1148</v>
      </c>
      <c r="F34" s="18" t="s">
        <v>611</v>
      </c>
      <c r="G34" s="18">
        <v>2003</v>
      </c>
      <c r="H34" s="40">
        <v>5484</v>
      </c>
      <c r="I34" s="40" t="s">
        <v>402</v>
      </c>
      <c r="J34" s="18" t="s">
        <v>402</v>
      </c>
      <c r="K34" s="18"/>
      <c r="L34" s="87" t="s">
        <v>403</v>
      </c>
      <c r="M34" s="30" t="s">
        <v>404</v>
      </c>
    </row>
    <row r="35" spans="1:33" ht="15.75" customHeight="1">
      <c r="A35" s="30" t="s">
        <v>406</v>
      </c>
      <c r="B35" s="30" t="s">
        <v>260</v>
      </c>
      <c r="C35" s="30" t="s">
        <v>731</v>
      </c>
      <c r="D35" s="30" t="s">
        <v>381</v>
      </c>
      <c r="E35" s="30" t="s">
        <v>1150</v>
      </c>
      <c r="F35" s="30" t="s">
        <v>611</v>
      </c>
      <c r="G35" s="48">
        <v>1984</v>
      </c>
      <c r="H35" s="49">
        <v>3048</v>
      </c>
      <c r="I35" s="53" t="s">
        <v>402</v>
      </c>
      <c r="J35" s="30" t="s">
        <v>402</v>
      </c>
      <c r="K35" s="30"/>
      <c r="L35" s="32" t="s">
        <v>408</v>
      </c>
      <c r="M35" s="30" t="s">
        <v>409</v>
      </c>
      <c r="N35" s="30"/>
      <c r="O35" s="30"/>
      <c r="P35" s="30"/>
      <c r="Q35" s="30"/>
      <c r="R35" s="30"/>
      <c r="S35" s="30"/>
      <c r="T35" s="30"/>
      <c r="U35" s="30"/>
      <c r="V35" s="30"/>
      <c r="W35" s="30"/>
      <c r="X35" s="30"/>
      <c r="Y35" s="30"/>
      <c r="Z35" s="30"/>
      <c r="AA35" s="30"/>
      <c r="AB35" s="30"/>
      <c r="AC35" s="30"/>
      <c r="AD35" s="30"/>
      <c r="AE35" s="30"/>
      <c r="AF35" s="30"/>
      <c r="AG35" s="30"/>
    </row>
    <row r="36" spans="1:33" ht="15.75" customHeight="1">
      <c r="A36" s="30" t="s">
        <v>406</v>
      </c>
      <c r="B36" s="30" t="s">
        <v>260</v>
      </c>
      <c r="C36" s="30" t="s">
        <v>731</v>
      </c>
      <c r="D36" s="30" t="s">
        <v>381</v>
      </c>
      <c r="E36" s="30" t="s">
        <v>1150</v>
      </c>
      <c r="F36" s="30" t="s">
        <v>611</v>
      </c>
      <c r="G36" s="48">
        <v>1985</v>
      </c>
      <c r="H36" s="49">
        <v>2092</v>
      </c>
      <c r="I36" s="53" t="s">
        <v>402</v>
      </c>
      <c r="J36" s="30" t="s">
        <v>402</v>
      </c>
      <c r="K36" s="30"/>
      <c r="L36" s="32" t="s">
        <v>408</v>
      </c>
      <c r="M36" s="30" t="s">
        <v>409</v>
      </c>
      <c r="N36" s="30"/>
      <c r="O36" s="30"/>
      <c r="P36" s="30"/>
      <c r="Q36" s="30"/>
      <c r="R36" s="30"/>
      <c r="S36" s="30"/>
      <c r="T36" s="30"/>
      <c r="U36" s="30"/>
      <c r="V36" s="30"/>
      <c r="W36" s="30"/>
      <c r="X36" s="30"/>
      <c r="Y36" s="30"/>
      <c r="Z36" s="30"/>
      <c r="AA36" s="30"/>
      <c r="AB36" s="30"/>
      <c r="AC36" s="30"/>
      <c r="AD36" s="30"/>
      <c r="AE36" s="30"/>
      <c r="AF36" s="30"/>
      <c r="AG36" s="30"/>
    </row>
    <row r="37" spans="1:33" ht="15.75" customHeight="1">
      <c r="A37" s="30" t="s">
        <v>406</v>
      </c>
      <c r="B37" s="30" t="s">
        <v>260</v>
      </c>
      <c r="C37" s="30" t="s">
        <v>731</v>
      </c>
      <c r="D37" s="30" t="s">
        <v>381</v>
      </c>
      <c r="E37" s="30" t="s">
        <v>1150</v>
      </c>
      <c r="F37" s="30" t="s">
        <v>611</v>
      </c>
      <c r="G37" s="48">
        <v>1986</v>
      </c>
      <c r="H37" s="49">
        <v>1494</v>
      </c>
      <c r="I37" s="53" t="s">
        <v>402</v>
      </c>
      <c r="J37" s="30" t="s">
        <v>402</v>
      </c>
      <c r="K37" s="30"/>
      <c r="L37" s="32" t="s">
        <v>408</v>
      </c>
      <c r="M37" s="30" t="s">
        <v>409</v>
      </c>
      <c r="N37" s="30"/>
      <c r="O37" s="30"/>
      <c r="P37" s="30"/>
      <c r="Q37" s="30"/>
      <c r="R37" s="30"/>
      <c r="S37" s="30"/>
      <c r="T37" s="30"/>
      <c r="U37" s="30"/>
      <c r="V37" s="30"/>
      <c r="W37" s="30"/>
      <c r="X37" s="30"/>
      <c r="Y37" s="30"/>
      <c r="Z37" s="30"/>
      <c r="AA37" s="30"/>
      <c r="AB37" s="30"/>
      <c r="AC37" s="30"/>
      <c r="AD37" s="30"/>
      <c r="AE37" s="30"/>
      <c r="AF37" s="30"/>
      <c r="AG37" s="30"/>
    </row>
    <row r="38" spans="1:33" ht="15.75" customHeight="1">
      <c r="A38" s="30" t="s">
        <v>406</v>
      </c>
      <c r="B38" s="30" t="s">
        <v>260</v>
      </c>
      <c r="C38" s="30" t="s">
        <v>731</v>
      </c>
      <c r="D38" s="30" t="s">
        <v>381</v>
      </c>
      <c r="E38" s="30" t="s">
        <v>1150</v>
      </c>
      <c r="F38" s="30" t="s">
        <v>611</v>
      </c>
      <c r="G38" s="48">
        <v>1987</v>
      </c>
      <c r="H38" s="49">
        <v>4124</v>
      </c>
      <c r="I38" s="53" t="s">
        <v>402</v>
      </c>
      <c r="J38" s="30" t="s">
        <v>402</v>
      </c>
      <c r="K38" s="30"/>
      <c r="L38" s="32" t="s">
        <v>408</v>
      </c>
      <c r="M38" s="30" t="s">
        <v>409</v>
      </c>
      <c r="N38" s="30"/>
      <c r="O38" s="30"/>
      <c r="P38" s="30"/>
      <c r="Q38" s="30"/>
      <c r="R38" s="30"/>
      <c r="S38" s="30"/>
      <c r="T38" s="30"/>
      <c r="U38" s="30"/>
      <c r="V38" s="30"/>
      <c r="W38" s="30"/>
      <c r="X38" s="30"/>
      <c r="Y38" s="30"/>
      <c r="Z38" s="30"/>
      <c r="AA38" s="30"/>
      <c r="AB38" s="30"/>
      <c r="AC38" s="30"/>
      <c r="AD38" s="30"/>
      <c r="AE38" s="30"/>
      <c r="AF38" s="30"/>
      <c r="AG38" s="30"/>
    </row>
    <row r="39" spans="1:33" ht="15.75" customHeight="1">
      <c r="A39" s="30" t="s">
        <v>406</v>
      </c>
      <c r="B39" s="30" t="s">
        <v>260</v>
      </c>
      <c r="C39" s="30" t="s">
        <v>731</v>
      </c>
      <c r="D39" s="30" t="s">
        <v>381</v>
      </c>
      <c r="E39" s="30" t="s">
        <v>1150</v>
      </c>
      <c r="F39" s="30" t="s">
        <v>611</v>
      </c>
      <c r="G39" s="48">
        <v>1988</v>
      </c>
      <c r="H39" s="49">
        <v>3705</v>
      </c>
      <c r="I39" s="53" t="s">
        <v>402</v>
      </c>
      <c r="J39" s="30" t="s">
        <v>402</v>
      </c>
      <c r="K39" s="30"/>
      <c r="L39" s="32" t="s">
        <v>408</v>
      </c>
      <c r="M39" s="30" t="s">
        <v>409</v>
      </c>
      <c r="N39" s="30"/>
      <c r="O39" s="30"/>
      <c r="P39" s="30"/>
      <c r="Q39" s="30"/>
      <c r="R39" s="30"/>
      <c r="S39" s="30"/>
      <c r="T39" s="30"/>
      <c r="U39" s="30"/>
      <c r="V39" s="30"/>
      <c r="W39" s="30"/>
      <c r="X39" s="30"/>
      <c r="Y39" s="30"/>
      <c r="Z39" s="30"/>
      <c r="AA39" s="30"/>
      <c r="AB39" s="30"/>
      <c r="AC39" s="30"/>
      <c r="AD39" s="30"/>
      <c r="AE39" s="30"/>
      <c r="AF39" s="30"/>
      <c r="AG39" s="30"/>
    </row>
    <row r="40" spans="1:33" ht="15.75" customHeight="1">
      <c r="A40" s="30" t="s">
        <v>406</v>
      </c>
      <c r="B40" s="30" t="s">
        <v>260</v>
      </c>
      <c r="C40" s="30" t="s">
        <v>731</v>
      </c>
      <c r="D40" s="30" t="s">
        <v>381</v>
      </c>
      <c r="E40" s="30" t="s">
        <v>1150</v>
      </c>
      <c r="F40" s="30" t="s">
        <v>611</v>
      </c>
      <c r="G40" s="48">
        <v>1989</v>
      </c>
      <c r="H40" s="49">
        <v>4124</v>
      </c>
      <c r="I40" s="53" t="s">
        <v>402</v>
      </c>
      <c r="J40" s="30" t="s">
        <v>402</v>
      </c>
      <c r="K40" s="30"/>
      <c r="L40" s="32" t="s">
        <v>408</v>
      </c>
      <c r="M40" s="30" t="s">
        <v>409</v>
      </c>
      <c r="N40" s="30"/>
      <c r="O40" s="30"/>
      <c r="P40" s="30"/>
      <c r="Q40" s="30"/>
      <c r="R40" s="30"/>
      <c r="S40" s="30"/>
      <c r="T40" s="30"/>
      <c r="U40" s="30"/>
      <c r="V40" s="30"/>
      <c r="W40" s="30"/>
      <c r="X40" s="30"/>
      <c r="Y40" s="30"/>
      <c r="Z40" s="30"/>
      <c r="AA40" s="30"/>
      <c r="AB40" s="30"/>
      <c r="AC40" s="30"/>
      <c r="AD40" s="30"/>
      <c r="AE40" s="30"/>
      <c r="AF40" s="30"/>
      <c r="AG40" s="30"/>
    </row>
    <row r="41" spans="1:33" ht="15.75" customHeight="1">
      <c r="A41" s="30" t="s">
        <v>406</v>
      </c>
      <c r="B41" s="30" t="s">
        <v>260</v>
      </c>
      <c r="C41" s="30" t="s">
        <v>731</v>
      </c>
      <c r="D41" s="30" t="s">
        <v>381</v>
      </c>
      <c r="E41" s="30" t="s">
        <v>1150</v>
      </c>
      <c r="F41" s="30" t="s">
        <v>611</v>
      </c>
      <c r="G41" s="48">
        <v>1990</v>
      </c>
      <c r="H41" s="49">
        <v>2570</v>
      </c>
      <c r="I41" s="53" t="s">
        <v>402</v>
      </c>
      <c r="J41" s="30" t="s">
        <v>402</v>
      </c>
      <c r="K41" s="30"/>
      <c r="L41" s="32" t="s">
        <v>408</v>
      </c>
      <c r="M41" s="30" t="s">
        <v>409</v>
      </c>
      <c r="N41" s="30"/>
      <c r="O41" s="30"/>
      <c r="P41" s="30"/>
      <c r="Q41" s="30"/>
      <c r="R41" s="30"/>
      <c r="S41" s="30"/>
      <c r="T41" s="30"/>
      <c r="U41" s="30"/>
      <c r="V41" s="30"/>
      <c r="W41" s="30"/>
      <c r="X41" s="30"/>
      <c r="Y41" s="30"/>
      <c r="Z41" s="30"/>
      <c r="AA41" s="30"/>
      <c r="AB41" s="30"/>
      <c r="AC41" s="30"/>
      <c r="AD41" s="30"/>
      <c r="AE41" s="30"/>
      <c r="AF41" s="30"/>
      <c r="AG41" s="30"/>
    </row>
    <row r="42" spans="1:33" ht="15.75" customHeight="1">
      <c r="A42" s="30" t="s">
        <v>406</v>
      </c>
      <c r="B42" s="30" t="s">
        <v>260</v>
      </c>
      <c r="C42" s="30" t="s">
        <v>731</v>
      </c>
      <c r="D42" s="30" t="s">
        <v>381</v>
      </c>
      <c r="E42" s="30" t="s">
        <v>1150</v>
      </c>
      <c r="F42" s="30" t="s">
        <v>611</v>
      </c>
      <c r="G42" s="48">
        <v>1991</v>
      </c>
      <c r="H42" s="49">
        <v>4542</v>
      </c>
      <c r="I42" s="53" t="s">
        <v>402</v>
      </c>
      <c r="J42" s="30" t="s">
        <v>402</v>
      </c>
      <c r="K42" s="30"/>
      <c r="L42" s="32" t="s">
        <v>408</v>
      </c>
      <c r="M42" s="30" t="s">
        <v>409</v>
      </c>
      <c r="N42" s="30"/>
      <c r="O42" s="30"/>
      <c r="P42" s="30"/>
      <c r="Q42" s="30"/>
      <c r="R42" s="30"/>
      <c r="S42" s="30"/>
      <c r="T42" s="30"/>
      <c r="U42" s="30"/>
      <c r="V42" s="30"/>
      <c r="W42" s="30"/>
      <c r="X42" s="30"/>
      <c r="Y42" s="30"/>
      <c r="Z42" s="30"/>
      <c r="AA42" s="30"/>
      <c r="AB42" s="30"/>
      <c r="AC42" s="30"/>
      <c r="AD42" s="30"/>
      <c r="AE42" s="30"/>
      <c r="AF42" s="30"/>
      <c r="AG42" s="30"/>
    </row>
    <row r="43" spans="1:33" ht="15.75" customHeight="1">
      <c r="A43" s="30" t="s">
        <v>406</v>
      </c>
      <c r="B43" s="30" t="s">
        <v>260</v>
      </c>
      <c r="C43" s="30" t="s">
        <v>731</v>
      </c>
      <c r="D43" s="30" t="s">
        <v>381</v>
      </c>
      <c r="E43" s="30" t="s">
        <v>1150</v>
      </c>
      <c r="F43" s="30" t="s">
        <v>611</v>
      </c>
      <c r="G43" s="48">
        <v>1992</v>
      </c>
      <c r="H43" s="49">
        <v>4243</v>
      </c>
      <c r="I43" s="53" t="s">
        <v>402</v>
      </c>
      <c r="J43" s="30" t="s">
        <v>402</v>
      </c>
      <c r="K43" s="30"/>
      <c r="L43" s="32" t="s">
        <v>408</v>
      </c>
      <c r="M43" s="30" t="s">
        <v>409</v>
      </c>
      <c r="N43" s="30"/>
      <c r="O43" s="30"/>
      <c r="P43" s="30"/>
      <c r="Q43" s="30"/>
      <c r="R43" s="30"/>
      <c r="S43" s="30"/>
      <c r="T43" s="30"/>
      <c r="U43" s="30"/>
      <c r="V43" s="30"/>
      <c r="W43" s="30"/>
      <c r="X43" s="30"/>
      <c r="Y43" s="30"/>
      <c r="Z43" s="30"/>
      <c r="AA43" s="30"/>
      <c r="AB43" s="30"/>
      <c r="AC43" s="30"/>
      <c r="AD43" s="30"/>
      <c r="AE43" s="30"/>
      <c r="AF43" s="30"/>
      <c r="AG43" s="30"/>
    </row>
    <row r="44" spans="1:33" ht="15.75" customHeight="1">
      <c r="A44" s="30" t="s">
        <v>406</v>
      </c>
      <c r="B44" s="30" t="s">
        <v>260</v>
      </c>
      <c r="C44" s="30" t="s">
        <v>731</v>
      </c>
      <c r="D44" s="30" t="s">
        <v>381</v>
      </c>
      <c r="E44" s="30" t="s">
        <v>1150</v>
      </c>
      <c r="F44" s="30" t="s">
        <v>611</v>
      </c>
      <c r="G44" s="48">
        <v>1993</v>
      </c>
      <c r="H44" s="49">
        <v>3048</v>
      </c>
      <c r="I44" s="53" t="s">
        <v>402</v>
      </c>
      <c r="J44" s="30" t="s">
        <v>402</v>
      </c>
      <c r="K44" s="30"/>
      <c r="L44" s="32" t="s">
        <v>408</v>
      </c>
      <c r="M44" s="30" t="s">
        <v>409</v>
      </c>
      <c r="N44" s="30"/>
      <c r="O44" s="30"/>
      <c r="P44" s="30"/>
      <c r="Q44" s="30"/>
      <c r="R44" s="30"/>
      <c r="S44" s="30"/>
      <c r="T44" s="30"/>
      <c r="U44" s="30"/>
      <c r="V44" s="30"/>
      <c r="W44" s="30"/>
      <c r="X44" s="30"/>
      <c r="Y44" s="30"/>
      <c r="Z44" s="30"/>
      <c r="AA44" s="30"/>
      <c r="AB44" s="30"/>
      <c r="AC44" s="30"/>
      <c r="AD44" s="30"/>
      <c r="AE44" s="30"/>
      <c r="AF44" s="30"/>
      <c r="AG44" s="30"/>
    </row>
    <row r="45" spans="1:33" ht="15.75" customHeight="1">
      <c r="A45" s="30" t="s">
        <v>406</v>
      </c>
      <c r="B45" s="30" t="s">
        <v>260</v>
      </c>
      <c r="C45" s="30" t="s">
        <v>731</v>
      </c>
      <c r="D45" s="30" t="s">
        <v>381</v>
      </c>
      <c r="E45" s="30" t="s">
        <v>1150</v>
      </c>
      <c r="F45" s="30" t="s">
        <v>611</v>
      </c>
      <c r="G45" s="48">
        <v>1994</v>
      </c>
      <c r="H45" s="49">
        <v>4183</v>
      </c>
      <c r="I45" s="53" t="s">
        <v>402</v>
      </c>
      <c r="J45" s="30" t="s">
        <v>402</v>
      </c>
      <c r="K45" s="30"/>
      <c r="L45" s="32" t="s">
        <v>408</v>
      </c>
      <c r="M45" s="30" t="s">
        <v>409</v>
      </c>
      <c r="N45" s="30"/>
      <c r="O45" s="30"/>
      <c r="P45" s="30"/>
      <c r="Q45" s="30"/>
      <c r="R45" s="30"/>
      <c r="S45" s="30"/>
      <c r="T45" s="30"/>
      <c r="U45" s="30"/>
      <c r="V45" s="30"/>
      <c r="W45" s="30"/>
      <c r="X45" s="30"/>
      <c r="Y45" s="30"/>
      <c r="Z45" s="30"/>
      <c r="AA45" s="30"/>
      <c r="AB45" s="30"/>
      <c r="AC45" s="30"/>
      <c r="AD45" s="30"/>
      <c r="AE45" s="30"/>
      <c r="AF45" s="30"/>
      <c r="AG45" s="30"/>
    </row>
    <row r="46" spans="1:33" ht="15.75" customHeight="1">
      <c r="A46" s="30" t="s">
        <v>406</v>
      </c>
      <c r="B46" s="30" t="s">
        <v>260</v>
      </c>
      <c r="C46" s="30" t="s">
        <v>731</v>
      </c>
      <c r="D46" s="30" t="s">
        <v>381</v>
      </c>
      <c r="E46" s="30" t="s">
        <v>1150</v>
      </c>
      <c r="F46" s="30" t="s">
        <v>611</v>
      </c>
      <c r="G46" s="48">
        <v>1995</v>
      </c>
      <c r="H46" s="49">
        <v>2869</v>
      </c>
      <c r="I46" s="53" t="s">
        <v>402</v>
      </c>
      <c r="J46" s="30" t="s">
        <v>402</v>
      </c>
      <c r="K46" s="30"/>
      <c r="L46" s="32" t="s">
        <v>408</v>
      </c>
      <c r="M46" s="30" t="s">
        <v>409</v>
      </c>
      <c r="N46" s="30"/>
      <c r="O46" s="30"/>
      <c r="P46" s="30"/>
      <c r="Q46" s="30"/>
      <c r="R46" s="30"/>
      <c r="S46" s="30"/>
      <c r="T46" s="30"/>
      <c r="U46" s="30"/>
      <c r="V46" s="30"/>
      <c r="W46" s="30"/>
      <c r="X46" s="30"/>
      <c r="Y46" s="30"/>
      <c r="Z46" s="30"/>
      <c r="AA46" s="30"/>
      <c r="AB46" s="30"/>
      <c r="AC46" s="30"/>
      <c r="AD46" s="30"/>
      <c r="AE46" s="30"/>
      <c r="AF46" s="30"/>
      <c r="AG46" s="30"/>
    </row>
    <row r="47" spans="1:33" ht="15.75" customHeight="1">
      <c r="A47" s="30" t="s">
        <v>406</v>
      </c>
      <c r="B47" s="30" t="s">
        <v>260</v>
      </c>
      <c r="C47" s="30" t="s">
        <v>731</v>
      </c>
      <c r="D47" s="30" t="s">
        <v>381</v>
      </c>
      <c r="E47" s="30" t="s">
        <v>1150</v>
      </c>
      <c r="F47" s="30" t="s">
        <v>611</v>
      </c>
      <c r="G47" s="48">
        <v>2000</v>
      </c>
      <c r="H47" s="49">
        <v>3705</v>
      </c>
      <c r="I47" s="53" t="s">
        <v>402</v>
      </c>
      <c r="J47" s="30" t="s">
        <v>402</v>
      </c>
      <c r="K47" s="30"/>
      <c r="L47" s="32" t="s">
        <v>408</v>
      </c>
      <c r="M47" s="30" t="s">
        <v>409</v>
      </c>
      <c r="N47" s="30"/>
      <c r="O47" s="30"/>
      <c r="P47" s="30"/>
      <c r="Q47" s="30"/>
      <c r="R47" s="30"/>
      <c r="S47" s="30"/>
      <c r="T47" s="30"/>
      <c r="U47" s="30"/>
      <c r="V47" s="30"/>
      <c r="W47" s="30"/>
      <c r="X47" s="30"/>
      <c r="Y47" s="30"/>
      <c r="Z47" s="30"/>
      <c r="AA47" s="30"/>
      <c r="AB47" s="30"/>
      <c r="AC47" s="30"/>
      <c r="AD47" s="30"/>
      <c r="AE47" s="30"/>
      <c r="AF47" s="30"/>
      <c r="AG47" s="30"/>
    </row>
    <row r="48" spans="1:33" ht="15.75" customHeight="1">
      <c r="A48" s="30" t="s">
        <v>406</v>
      </c>
      <c r="B48" s="30" t="s">
        <v>260</v>
      </c>
      <c r="C48" s="30" t="s">
        <v>731</v>
      </c>
      <c r="D48" s="30" t="s">
        <v>381</v>
      </c>
      <c r="E48" s="30" t="s">
        <v>1150</v>
      </c>
      <c r="F48" s="30" t="s">
        <v>611</v>
      </c>
      <c r="G48" s="48">
        <v>2002</v>
      </c>
      <c r="H48" s="49">
        <v>3645</v>
      </c>
      <c r="I48" s="53" t="s">
        <v>402</v>
      </c>
      <c r="J48" s="30" t="s">
        <v>402</v>
      </c>
      <c r="K48" s="30"/>
      <c r="L48" s="32" t="s">
        <v>408</v>
      </c>
      <c r="M48" s="30" t="s">
        <v>409</v>
      </c>
      <c r="N48" s="30"/>
      <c r="O48" s="30"/>
      <c r="P48" s="30"/>
      <c r="Q48" s="30"/>
      <c r="R48" s="30"/>
      <c r="S48" s="30"/>
      <c r="T48" s="30"/>
      <c r="U48" s="30"/>
      <c r="V48" s="30"/>
      <c r="W48" s="30"/>
      <c r="X48" s="30"/>
      <c r="Y48" s="30"/>
      <c r="Z48" s="30"/>
      <c r="AA48" s="30"/>
      <c r="AB48" s="30"/>
      <c r="AC48" s="30"/>
      <c r="AD48" s="30"/>
      <c r="AE48" s="30"/>
      <c r="AF48" s="30"/>
      <c r="AG48" s="30"/>
    </row>
    <row r="49" spans="1:33" ht="15.75" customHeight="1">
      <c r="A49" s="30" t="s">
        <v>406</v>
      </c>
      <c r="B49" s="30" t="s">
        <v>260</v>
      </c>
      <c r="C49" s="30" t="s">
        <v>731</v>
      </c>
      <c r="D49" s="30" t="s">
        <v>381</v>
      </c>
      <c r="E49" s="30" t="s">
        <v>1150</v>
      </c>
      <c r="F49" s="30" t="s">
        <v>611</v>
      </c>
      <c r="G49" s="48">
        <v>2004</v>
      </c>
      <c r="H49" s="49">
        <v>4124</v>
      </c>
      <c r="I49" s="53" t="s">
        <v>402</v>
      </c>
      <c r="J49" s="30" t="s">
        <v>402</v>
      </c>
      <c r="K49" s="30"/>
      <c r="L49" s="32" t="s">
        <v>408</v>
      </c>
      <c r="M49" s="30" t="s">
        <v>409</v>
      </c>
      <c r="N49" s="30"/>
      <c r="O49" s="30"/>
      <c r="P49" s="30"/>
      <c r="Q49" s="30"/>
      <c r="R49" s="30"/>
      <c r="S49" s="30"/>
      <c r="T49" s="30"/>
      <c r="U49" s="30"/>
      <c r="V49" s="30"/>
      <c r="W49" s="30"/>
      <c r="X49" s="30"/>
      <c r="Y49" s="30"/>
      <c r="Z49" s="30"/>
      <c r="AA49" s="30"/>
      <c r="AB49" s="30"/>
      <c r="AC49" s="30"/>
      <c r="AD49" s="30"/>
      <c r="AE49" s="30"/>
      <c r="AF49" s="30"/>
      <c r="AG49" s="30"/>
    </row>
    <row r="50" spans="1:33" ht="15.75" customHeight="1">
      <c r="A50" s="30" t="s">
        <v>406</v>
      </c>
      <c r="B50" s="30" t="s">
        <v>260</v>
      </c>
      <c r="C50" s="30" t="s">
        <v>731</v>
      </c>
      <c r="D50" s="30" t="s">
        <v>381</v>
      </c>
      <c r="E50" s="30" t="s">
        <v>1150</v>
      </c>
      <c r="F50" s="30" t="s">
        <v>611</v>
      </c>
      <c r="G50" s="48">
        <v>2007</v>
      </c>
      <c r="H50" s="49">
        <v>3765</v>
      </c>
      <c r="I50" s="53" t="s">
        <v>402</v>
      </c>
      <c r="J50" s="30" t="s">
        <v>402</v>
      </c>
      <c r="K50" s="30"/>
      <c r="L50" s="32" t="s">
        <v>408</v>
      </c>
      <c r="M50" s="30" t="s">
        <v>409</v>
      </c>
      <c r="N50" s="30"/>
      <c r="O50" s="30"/>
      <c r="P50" s="30"/>
      <c r="Q50" s="30"/>
      <c r="R50" s="30"/>
      <c r="S50" s="30"/>
      <c r="T50" s="30"/>
      <c r="U50" s="30"/>
      <c r="V50" s="30"/>
      <c r="W50" s="30"/>
      <c r="X50" s="30"/>
      <c r="Y50" s="30"/>
      <c r="Z50" s="30"/>
      <c r="AA50" s="30"/>
      <c r="AB50" s="30"/>
      <c r="AC50" s="30"/>
      <c r="AD50" s="30"/>
      <c r="AE50" s="30"/>
      <c r="AF50" s="30"/>
      <c r="AG50" s="30"/>
    </row>
    <row r="51" spans="1:33" ht="15.75" customHeight="1">
      <c r="A51" s="30" t="s">
        <v>406</v>
      </c>
      <c r="B51" s="30" t="s">
        <v>260</v>
      </c>
      <c r="C51" s="30" t="s">
        <v>731</v>
      </c>
      <c r="D51" s="30" t="s">
        <v>381</v>
      </c>
      <c r="E51" s="30" t="s">
        <v>1150</v>
      </c>
      <c r="F51" s="30" t="s">
        <v>611</v>
      </c>
      <c r="G51" s="48">
        <v>2009</v>
      </c>
      <c r="H51" s="49">
        <v>3347</v>
      </c>
      <c r="I51" s="53" t="s">
        <v>402</v>
      </c>
      <c r="J51" s="30" t="s">
        <v>402</v>
      </c>
      <c r="K51" s="30"/>
      <c r="L51" s="32" t="s">
        <v>408</v>
      </c>
      <c r="M51" s="30" t="s">
        <v>409</v>
      </c>
      <c r="N51" s="30"/>
      <c r="O51" s="30"/>
      <c r="P51" s="30"/>
      <c r="Q51" s="30"/>
      <c r="R51" s="30"/>
      <c r="S51" s="30"/>
      <c r="T51" s="30"/>
      <c r="U51" s="30"/>
      <c r="V51" s="30"/>
      <c r="W51" s="30"/>
      <c r="X51" s="30"/>
      <c r="Y51" s="30"/>
      <c r="Z51" s="30"/>
      <c r="AA51" s="30"/>
      <c r="AB51" s="30"/>
      <c r="AC51" s="30"/>
      <c r="AD51" s="30"/>
      <c r="AE51" s="30"/>
      <c r="AF51" s="30"/>
      <c r="AG51" s="30"/>
    </row>
    <row r="52" spans="1:33" ht="15.75" customHeight="1">
      <c r="A52" s="30" t="s">
        <v>406</v>
      </c>
      <c r="B52" s="30" t="s">
        <v>260</v>
      </c>
      <c r="C52" s="30" t="s">
        <v>731</v>
      </c>
      <c r="D52" s="30" t="s">
        <v>381</v>
      </c>
      <c r="E52" s="30" t="s">
        <v>1150</v>
      </c>
      <c r="F52" s="30" t="s">
        <v>611</v>
      </c>
      <c r="G52" s="48">
        <v>2012</v>
      </c>
      <c r="H52" s="49">
        <v>4602</v>
      </c>
      <c r="I52" s="53" t="s">
        <v>402</v>
      </c>
      <c r="J52" s="30" t="s">
        <v>402</v>
      </c>
      <c r="K52" s="30"/>
      <c r="L52" s="32" t="s">
        <v>408</v>
      </c>
      <c r="M52" s="30" t="s">
        <v>409</v>
      </c>
      <c r="N52" s="30"/>
      <c r="O52" s="30"/>
      <c r="P52" s="30"/>
      <c r="Q52" s="30"/>
      <c r="R52" s="30"/>
      <c r="S52" s="30"/>
      <c r="T52" s="30"/>
      <c r="U52" s="30"/>
      <c r="V52" s="30"/>
      <c r="W52" s="30"/>
      <c r="X52" s="30"/>
      <c r="Y52" s="30"/>
      <c r="Z52" s="30"/>
      <c r="AA52" s="30"/>
      <c r="AB52" s="30"/>
      <c r="AC52" s="30"/>
      <c r="AD52" s="30"/>
      <c r="AE52" s="30"/>
      <c r="AF52" s="30"/>
      <c r="AG52" s="30"/>
    </row>
    <row r="53" spans="1:33" ht="15.75" customHeight="1">
      <c r="A53" s="30" t="s">
        <v>406</v>
      </c>
      <c r="B53" s="30" t="s">
        <v>260</v>
      </c>
      <c r="C53" s="30" t="s">
        <v>735</v>
      </c>
      <c r="D53" s="30" t="s">
        <v>381</v>
      </c>
      <c r="E53" s="30" t="s">
        <v>1150</v>
      </c>
      <c r="F53" s="30" t="s">
        <v>611</v>
      </c>
      <c r="G53" s="48">
        <v>1982</v>
      </c>
      <c r="H53" s="49">
        <v>12729</v>
      </c>
      <c r="I53" s="53" t="s">
        <v>402</v>
      </c>
      <c r="J53" s="30" t="s">
        <v>402</v>
      </c>
      <c r="K53" s="30"/>
      <c r="L53" s="32" t="s">
        <v>408</v>
      </c>
      <c r="M53" s="30" t="s">
        <v>409</v>
      </c>
      <c r="N53" s="30"/>
      <c r="O53" s="30"/>
      <c r="P53" s="30"/>
      <c r="Q53" s="30"/>
      <c r="R53" s="30"/>
      <c r="S53" s="30"/>
      <c r="T53" s="30"/>
      <c r="U53" s="30"/>
      <c r="V53" s="30"/>
      <c r="W53" s="30"/>
      <c r="X53" s="30"/>
      <c r="Y53" s="30"/>
      <c r="Z53" s="30"/>
      <c r="AA53" s="30"/>
      <c r="AB53" s="30"/>
      <c r="AC53" s="30"/>
      <c r="AD53" s="30"/>
      <c r="AE53" s="30"/>
      <c r="AF53" s="30"/>
      <c r="AG53" s="30"/>
    </row>
    <row r="54" spans="1:33" ht="15.75" customHeight="1">
      <c r="A54" s="30" t="s">
        <v>406</v>
      </c>
      <c r="B54" s="30" t="s">
        <v>260</v>
      </c>
      <c r="C54" s="30" t="s">
        <v>735</v>
      </c>
      <c r="D54" s="30" t="s">
        <v>381</v>
      </c>
      <c r="E54" s="30" t="s">
        <v>1150</v>
      </c>
      <c r="F54" s="30" t="s">
        <v>611</v>
      </c>
      <c r="G54" s="48">
        <v>1983</v>
      </c>
      <c r="H54" s="49">
        <v>10936</v>
      </c>
      <c r="I54" s="53" t="s">
        <v>402</v>
      </c>
      <c r="J54" s="30" t="s">
        <v>402</v>
      </c>
      <c r="K54" s="30"/>
      <c r="L54" s="32" t="s">
        <v>408</v>
      </c>
      <c r="M54" s="30" t="s">
        <v>409</v>
      </c>
      <c r="N54" s="30"/>
      <c r="O54" s="30"/>
      <c r="P54" s="30"/>
      <c r="Q54" s="30"/>
      <c r="R54" s="30"/>
      <c r="S54" s="30"/>
      <c r="T54" s="30"/>
      <c r="U54" s="30"/>
      <c r="V54" s="30"/>
      <c r="W54" s="30"/>
      <c r="X54" s="30"/>
      <c r="Y54" s="30"/>
      <c r="Z54" s="30"/>
      <c r="AA54" s="30"/>
      <c r="AB54" s="30"/>
      <c r="AC54" s="30"/>
      <c r="AD54" s="30"/>
      <c r="AE54" s="30"/>
      <c r="AF54" s="30"/>
      <c r="AG54" s="30"/>
    </row>
    <row r="55" spans="1:33" ht="15.75" customHeight="1">
      <c r="A55" s="30" t="s">
        <v>406</v>
      </c>
      <c r="B55" s="30" t="s">
        <v>260</v>
      </c>
      <c r="C55" s="30" t="s">
        <v>735</v>
      </c>
      <c r="D55" s="30" t="s">
        <v>381</v>
      </c>
      <c r="E55" s="30" t="s">
        <v>1150</v>
      </c>
      <c r="F55" s="30" t="s">
        <v>611</v>
      </c>
      <c r="G55" s="48">
        <v>1984</v>
      </c>
      <c r="H55" s="49">
        <v>10936</v>
      </c>
      <c r="I55" s="53" t="s">
        <v>402</v>
      </c>
      <c r="J55" s="30" t="s">
        <v>402</v>
      </c>
      <c r="K55" s="30"/>
      <c r="L55" s="32" t="s">
        <v>408</v>
      </c>
      <c r="M55" s="30" t="s">
        <v>409</v>
      </c>
      <c r="N55" s="30"/>
      <c r="O55" s="30"/>
      <c r="P55" s="30"/>
      <c r="Q55" s="30"/>
      <c r="R55" s="30"/>
      <c r="S55" s="30"/>
      <c r="T55" s="30"/>
      <c r="U55" s="30"/>
      <c r="V55" s="30"/>
      <c r="W55" s="30"/>
      <c r="X55" s="30"/>
      <c r="Y55" s="30"/>
      <c r="Z55" s="30"/>
      <c r="AA55" s="30"/>
      <c r="AB55" s="30"/>
      <c r="AC55" s="30"/>
      <c r="AD55" s="30"/>
      <c r="AE55" s="30"/>
      <c r="AF55" s="30"/>
      <c r="AG55" s="30"/>
    </row>
    <row r="56" spans="1:33" ht="15.75" customHeight="1">
      <c r="A56" s="30" t="s">
        <v>406</v>
      </c>
      <c r="B56" s="30" t="s">
        <v>260</v>
      </c>
      <c r="C56" s="30" t="s">
        <v>735</v>
      </c>
      <c r="D56" s="30" t="s">
        <v>381</v>
      </c>
      <c r="E56" s="30" t="s">
        <v>1150</v>
      </c>
      <c r="F56" s="30" t="s">
        <v>611</v>
      </c>
      <c r="G56" s="48">
        <v>1985</v>
      </c>
      <c r="H56" s="49">
        <v>12550</v>
      </c>
      <c r="I56" s="53" t="s">
        <v>402</v>
      </c>
      <c r="J56" s="30" t="s">
        <v>402</v>
      </c>
      <c r="K56" s="30"/>
      <c r="L56" s="32" t="s">
        <v>408</v>
      </c>
      <c r="M56" s="30" t="s">
        <v>409</v>
      </c>
      <c r="N56" s="30"/>
      <c r="O56" s="30"/>
      <c r="P56" s="30"/>
      <c r="Q56" s="30"/>
      <c r="R56" s="30"/>
      <c r="S56" s="30"/>
      <c r="T56" s="30"/>
      <c r="U56" s="30"/>
      <c r="V56" s="30"/>
      <c r="W56" s="30"/>
      <c r="X56" s="30"/>
      <c r="Y56" s="30"/>
      <c r="Z56" s="30"/>
      <c r="AA56" s="30"/>
      <c r="AB56" s="30"/>
      <c r="AC56" s="30"/>
      <c r="AD56" s="30"/>
      <c r="AE56" s="30"/>
      <c r="AF56" s="30"/>
      <c r="AG56" s="30"/>
    </row>
    <row r="57" spans="1:33" ht="15.75" customHeight="1">
      <c r="A57" s="30" t="s">
        <v>406</v>
      </c>
      <c r="B57" s="30" t="s">
        <v>260</v>
      </c>
      <c r="C57" s="30" t="s">
        <v>735</v>
      </c>
      <c r="D57" s="30" t="s">
        <v>381</v>
      </c>
      <c r="E57" s="30" t="s">
        <v>1150</v>
      </c>
      <c r="F57" s="30" t="s">
        <v>611</v>
      </c>
      <c r="G57" s="48">
        <v>1986</v>
      </c>
      <c r="H57" s="49">
        <v>13805</v>
      </c>
      <c r="I57" s="53" t="s">
        <v>402</v>
      </c>
      <c r="J57" s="30" t="s">
        <v>402</v>
      </c>
      <c r="K57" s="30"/>
      <c r="L57" s="32" t="s">
        <v>408</v>
      </c>
      <c r="M57" s="30" t="s">
        <v>409</v>
      </c>
      <c r="N57" s="30"/>
      <c r="O57" s="30"/>
      <c r="P57" s="30"/>
      <c r="Q57" s="30"/>
      <c r="R57" s="30"/>
      <c r="S57" s="30"/>
      <c r="T57" s="30"/>
      <c r="U57" s="30"/>
      <c r="V57" s="30"/>
      <c r="W57" s="30"/>
      <c r="X57" s="30"/>
      <c r="Y57" s="30"/>
      <c r="Z57" s="30"/>
      <c r="AA57" s="30"/>
      <c r="AB57" s="30"/>
      <c r="AC57" s="30"/>
      <c r="AD57" s="30"/>
      <c r="AE57" s="30"/>
      <c r="AF57" s="30"/>
      <c r="AG57" s="30"/>
    </row>
    <row r="58" spans="1:33" ht="15.75" customHeight="1">
      <c r="A58" s="30" t="s">
        <v>406</v>
      </c>
      <c r="B58" s="30" t="s">
        <v>260</v>
      </c>
      <c r="C58" s="30" t="s">
        <v>735</v>
      </c>
      <c r="D58" s="30" t="s">
        <v>381</v>
      </c>
      <c r="E58" s="30" t="s">
        <v>1150</v>
      </c>
      <c r="F58" s="30" t="s">
        <v>611</v>
      </c>
      <c r="G58" s="48">
        <v>1987</v>
      </c>
      <c r="H58" s="49">
        <v>15120</v>
      </c>
      <c r="I58" s="53" t="s">
        <v>402</v>
      </c>
      <c r="J58" s="30" t="s">
        <v>402</v>
      </c>
      <c r="K58" s="30"/>
      <c r="L58" s="32" t="s">
        <v>408</v>
      </c>
      <c r="M58" s="30" t="s">
        <v>409</v>
      </c>
      <c r="N58" s="30"/>
      <c r="O58" s="30"/>
      <c r="P58" s="30"/>
      <c r="Q58" s="30"/>
      <c r="R58" s="30"/>
      <c r="S58" s="30"/>
      <c r="T58" s="30"/>
      <c r="U58" s="30"/>
      <c r="V58" s="30"/>
      <c r="W58" s="30"/>
      <c r="X58" s="30"/>
      <c r="Y58" s="30"/>
      <c r="Z58" s="30"/>
      <c r="AA58" s="30"/>
      <c r="AB58" s="30"/>
      <c r="AC58" s="30"/>
      <c r="AD58" s="30"/>
      <c r="AE58" s="30"/>
      <c r="AF58" s="30"/>
      <c r="AG58" s="30"/>
    </row>
    <row r="59" spans="1:33" ht="15.75" customHeight="1">
      <c r="A59" s="30" t="s">
        <v>406</v>
      </c>
      <c r="B59" s="30" t="s">
        <v>260</v>
      </c>
      <c r="C59" s="30" t="s">
        <v>735</v>
      </c>
      <c r="D59" s="30" t="s">
        <v>381</v>
      </c>
      <c r="E59" s="30" t="s">
        <v>1150</v>
      </c>
      <c r="F59" s="30" t="s">
        <v>611</v>
      </c>
      <c r="G59" s="48">
        <v>1988</v>
      </c>
      <c r="H59" s="49">
        <v>14044</v>
      </c>
      <c r="I59" s="53" t="s">
        <v>402</v>
      </c>
      <c r="J59" s="30" t="s">
        <v>402</v>
      </c>
      <c r="K59" s="30"/>
      <c r="L59" s="32" t="s">
        <v>408</v>
      </c>
      <c r="M59" s="30" t="s">
        <v>409</v>
      </c>
      <c r="N59" s="30"/>
      <c r="O59" s="30"/>
      <c r="P59" s="30"/>
      <c r="Q59" s="30"/>
      <c r="R59" s="30"/>
      <c r="S59" s="30"/>
      <c r="T59" s="30"/>
      <c r="U59" s="30"/>
      <c r="V59" s="30"/>
      <c r="W59" s="30"/>
      <c r="X59" s="30"/>
      <c r="Y59" s="30"/>
      <c r="Z59" s="30"/>
      <c r="AA59" s="30"/>
      <c r="AB59" s="30"/>
      <c r="AC59" s="30"/>
      <c r="AD59" s="30"/>
      <c r="AE59" s="30"/>
      <c r="AF59" s="30"/>
      <c r="AG59" s="30"/>
    </row>
    <row r="60" spans="1:33" ht="13">
      <c r="A60" s="30" t="s">
        <v>406</v>
      </c>
      <c r="B60" s="30" t="s">
        <v>260</v>
      </c>
      <c r="C60" s="30" t="s">
        <v>735</v>
      </c>
      <c r="D60" s="30" t="s">
        <v>381</v>
      </c>
      <c r="E60" s="30" t="s">
        <v>1150</v>
      </c>
      <c r="F60" s="30" t="s">
        <v>611</v>
      </c>
      <c r="G60" s="48">
        <v>1989</v>
      </c>
      <c r="H60" s="49">
        <v>16016</v>
      </c>
      <c r="I60" s="53" t="s">
        <v>402</v>
      </c>
      <c r="J60" s="30" t="s">
        <v>402</v>
      </c>
      <c r="K60" s="30"/>
      <c r="L60" s="32" t="s">
        <v>408</v>
      </c>
      <c r="M60" s="30" t="s">
        <v>409</v>
      </c>
      <c r="N60" s="30"/>
      <c r="O60" s="30"/>
      <c r="P60" s="30"/>
      <c r="Q60" s="30"/>
      <c r="R60" s="30"/>
      <c r="S60" s="30"/>
      <c r="T60" s="30"/>
      <c r="U60" s="30"/>
      <c r="V60" s="30"/>
      <c r="W60" s="30"/>
      <c r="X60" s="30"/>
      <c r="Y60" s="30"/>
      <c r="Z60" s="30"/>
      <c r="AA60" s="30"/>
      <c r="AB60" s="30"/>
      <c r="AC60" s="30"/>
      <c r="AD60" s="30"/>
      <c r="AE60" s="30"/>
      <c r="AF60" s="30"/>
      <c r="AG60" s="30"/>
    </row>
    <row r="61" spans="1:33" ht="13">
      <c r="A61" s="30" t="s">
        <v>406</v>
      </c>
      <c r="B61" s="30" t="s">
        <v>260</v>
      </c>
      <c r="C61" s="30" t="s">
        <v>735</v>
      </c>
      <c r="D61" s="30" t="s">
        <v>381</v>
      </c>
      <c r="E61" s="30" t="s">
        <v>1150</v>
      </c>
      <c r="F61" s="30" t="s">
        <v>611</v>
      </c>
      <c r="G61" s="48">
        <v>1990</v>
      </c>
      <c r="H61" s="49">
        <v>15657</v>
      </c>
      <c r="I61" s="53" t="s">
        <v>402</v>
      </c>
      <c r="J61" s="30" t="s">
        <v>402</v>
      </c>
      <c r="K61" s="30"/>
      <c r="L61" s="32" t="s">
        <v>408</v>
      </c>
      <c r="M61" s="30" t="s">
        <v>409</v>
      </c>
      <c r="N61" s="30"/>
      <c r="O61" s="30"/>
      <c r="P61" s="30"/>
      <c r="Q61" s="30"/>
      <c r="R61" s="30"/>
      <c r="S61" s="30"/>
      <c r="T61" s="30"/>
      <c r="U61" s="30"/>
      <c r="V61" s="30"/>
      <c r="W61" s="30"/>
      <c r="X61" s="30"/>
      <c r="Y61" s="30"/>
      <c r="Z61" s="30"/>
      <c r="AA61" s="30"/>
      <c r="AB61" s="30"/>
      <c r="AC61" s="30"/>
      <c r="AD61" s="30"/>
      <c r="AE61" s="30"/>
      <c r="AF61" s="30"/>
      <c r="AG61" s="30"/>
    </row>
    <row r="62" spans="1:33" ht="13">
      <c r="A62" s="30" t="s">
        <v>406</v>
      </c>
      <c r="B62" s="30" t="s">
        <v>260</v>
      </c>
      <c r="C62" s="30" t="s">
        <v>735</v>
      </c>
      <c r="D62" s="30" t="s">
        <v>381</v>
      </c>
      <c r="E62" s="30" t="s">
        <v>1150</v>
      </c>
      <c r="F62" s="30" t="s">
        <v>611</v>
      </c>
      <c r="G62" s="48">
        <v>1991</v>
      </c>
      <c r="H62" s="49">
        <v>18108</v>
      </c>
      <c r="I62" s="53" t="s">
        <v>402</v>
      </c>
      <c r="J62" s="30" t="s">
        <v>402</v>
      </c>
      <c r="K62" s="30"/>
      <c r="L62" s="32" t="s">
        <v>408</v>
      </c>
      <c r="M62" s="30" t="s">
        <v>409</v>
      </c>
      <c r="N62" s="30"/>
      <c r="O62" s="30"/>
      <c r="P62" s="30"/>
      <c r="Q62" s="30"/>
      <c r="R62" s="30"/>
      <c r="S62" s="30"/>
      <c r="T62" s="30"/>
      <c r="U62" s="30"/>
      <c r="V62" s="30"/>
      <c r="W62" s="30"/>
      <c r="X62" s="30"/>
      <c r="Y62" s="30"/>
      <c r="Z62" s="30"/>
      <c r="AA62" s="30"/>
      <c r="AB62" s="30"/>
      <c r="AC62" s="30"/>
      <c r="AD62" s="30"/>
      <c r="AE62" s="30"/>
      <c r="AF62" s="30"/>
      <c r="AG62" s="30"/>
    </row>
    <row r="63" spans="1:33" ht="13">
      <c r="A63" s="30" t="s">
        <v>406</v>
      </c>
      <c r="B63" s="30" t="s">
        <v>260</v>
      </c>
      <c r="C63" s="30" t="s">
        <v>735</v>
      </c>
      <c r="D63" s="30" t="s">
        <v>381</v>
      </c>
      <c r="E63" s="30" t="s">
        <v>1150</v>
      </c>
      <c r="F63" s="30" t="s">
        <v>611</v>
      </c>
      <c r="G63" s="48">
        <v>1992</v>
      </c>
      <c r="H63" s="49">
        <v>18645</v>
      </c>
      <c r="I63" s="53" t="s">
        <v>402</v>
      </c>
      <c r="J63" s="30" t="s">
        <v>402</v>
      </c>
      <c r="K63" s="30"/>
      <c r="L63" s="32" t="s">
        <v>408</v>
      </c>
      <c r="M63" s="30" t="s">
        <v>409</v>
      </c>
      <c r="N63" s="30"/>
      <c r="O63" s="30"/>
      <c r="P63" s="30"/>
      <c r="Q63" s="30"/>
      <c r="R63" s="30"/>
      <c r="S63" s="30"/>
      <c r="T63" s="30"/>
      <c r="U63" s="30"/>
      <c r="V63" s="30"/>
      <c r="W63" s="30"/>
      <c r="X63" s="30"/>
      <c r="Y63" s="30"/>
      <c r="Z63" s="30"/>
      <c r="AA63" s="30"/>
      <c r="AB63" s="30"/>
      <c r="AC63" s="30"/>
      <c r="AD63" s="30"/>
      <c r="AE63" s="30"/>
      <c r="AF63" s="30"/>
      <c r="AG63" s="30"/>
    </row>
    <row r="64" spans="1:33" ht="13">
      <c r="A64" s="30" t="s">
        <v>406</v>
      </c>
      <c r="B64" s="30" t="s">
        <v>260</v>
      </c>
      <c r="C64" s="30" t="s">
        <v>735</v>
      </c>
      <c r="D64" s="30" t="s">
        <v>381</v>
      </c>
      <c r="E64" s="30" t="s">
        <v>1150</v>
      </c>
      <c r="F64" s="30" t="s">
        <v>611</v>
      </c>
      <c r="G64" s="48">
        <v>1993</v>
      </c>
      <c r="H64" s="49">
        <v>14880</v>
      </c>
      <c r="I64" s="53" t="s">
        <v>402</v>
      </c>
      <c r="J64" s="30" t="s">
        <v>402</v>
      </c>
      <c r="K64" s="30"/>
      <c r="L64" s="32" t="s">
        <v>408</v>
      </c>
      <c r="M64" s="30" t="s">
        <v>409</v>
      </c>
      <c r="N64" s="30"/>
      <c r="O64" s="30"/>
      <c r="P64" s="30"/>
      <c r="Q64" s="30"/>
      <c r="R64" s="30"/>
      <c r="S64" s="30"/>
      <c r="T64" s="30"/>
      <c r="U64" s="30"/>
      <c r="V64" s="30"/>
      <c r="W64" s="30"/>
      <c r="X64" s="30"/>
      <c r="Y64" s="30"/>
      <c r="Z64" s="30"/>
      <c r="AA64" s="30"/>
      <c r="AB64" s="30"/>
      <c r="AC64" s="30"/>
      <c r="AD64" s="30"/>
      <c r="AE64" s="30"/>
      <c r="AF64" s="30"/>
      <c r="AG64" s="30"/>
    </row>
    <row r="65" spans="1:33" ht="13">
      <c r="A65" s="30" t="s">
        <v>406</v>
      </c>
      <c r="B65" s="30" t="s">
        <v>260</v>
      </c>
      <c r="C65" s="30" t="s">
        <v>735</v>
      </c>
      <c r="D65" s="30" t="s">
        <v>381</v>
      </c>
      <c r="E65" s="30" t="s">
        <v>1150</v>
      </c>
      <c r="F65" s="30" t="s">
        <v>611</v>
      </c>
      <c r="G65" s="48">
        <v>1994</v>
      </c>
      <c r="H65" s="49">
        <v>17092</v>
      </c>
      <c r="I65" s="53" t="s">
        <v>402</v>
      </c>
      <c r="J65" s="30" t="s">
        <v>402</v>
      </c>
      <c r="K65" s="30"/>
      <c r="L65" s="32" t="s">
        <v>408</v>
      </c>
      <c r="M65" s="30" t="s">
        <v>409</v>
      </c>
      <c r="N65" s="30"/>
      <c r="O65" s="30"/>
      <c r="P65" s="30"/>
      <c r="Q65" s="30"/>
      <c r="R65" s="30"/>
      <c r="S65" s="30"/>
      <c r="T65" s="30"/>
      <c r="U65" s="30"/>
      <c r="V65" s="30"/>
      <c r="W65" s="30"/>
      <c r="X65" s="30"/>
      <c r="Y65" s="30"/>
      <c r="Z65" s="30"/>
      <c r="AA65" s="30"/>
      <c r="AB65" s="30"/>
      <c r="AC65" s="30"/>
      <c r="AD65" s="30"/>
      <c r="AE65" s="30"/>
      <c r="AF65" s="30"/>
      <c r="AG65" s="30"/>
    </row>
    <row r="66" spans="1:33" ht="13">
      <c r="A66" s="30" t="s">
        <v>406</v>
      </c>
      <c r="B66" s="30" t="s">
        <v>260</v>
      </c>
      <c r="C66" s="30" t="s">
        <v>735</v>
      </c>
      <c r="D66" s="30" t="s">
        <v>381</v>
      </c>
      <c r="E66" s="30" t="s">
        <v>1150</v>
      </c>
      <c r="F66" s="30" t="s">
        <v>611</v>
      </c>
      <c r="G66" s="48">
        <v>1995</v>
      </c>
      <c r="H66" s="49">
        <v>20319</v>
      </c>
      <c r="I66" s="53" t="s">
        <v>402</v>
      </c>
      <c r="J66" s="30" t="s">
        <v>402</v>
      </c>
      <c r="K66" s="30"/>
      <c r="L66" s="32" t="s">
        <v>408</v>
      </c>
      <c r="M66" s="30" t="s">
        <v>409</v>
      </c>
      <c r="N66" s="30"/>
      <c r="O66" s="30"/>
      <c r="P66" s="30"/>
      <c r="Q66" s="30"/>
      <c r="R66" s="30"/>
      <c r="S66" s="30"/>
      <c r="T66" s="30"/>
      <c r="U66" s="30"/>
      <c r="V66" s="30"/>
      <c r="W66" s="30"/>
      <c r="X66" s="30"/>
      <c r="Y66" s="30"/>
      <c r="Z66" s="30"/>
      <c r="AA66" s="30"/>
      <c r="AB66" s="30"/>
      <c r="AC66" s="30"/>
      <c r="AD66" s="30"/>
      <c r="AE66" s="30"/>
      <c r="AF66" s="30"/>
      <c r="AG66" s="30"/>
    </row>
    <row r="67" spans="1:33" ht="13">
      <c r="A67" s="30" t="s">
        <v>406</v>
      </c>
      <c r="B67" s="30" t="s">
        <v>260</v>
      </c>
      <c r="C67" s="30" t="s">
        <v>735</v>
      </c>
      <c r="D67" s="30" t="s">
        <v>381</v>
      </c>
      <c r="E67" s="30" t="s">
        <v>1150</v>
      </c>
      <c r="F67" s="30" t="s">
        <v>611</v>
      </c>
      <c r="G67" s="48">
        <v>2002</v>
      </c>
      <c r="H67" s="49">
        <v>17510</v>
      </c>
      <c r="I67" s="53" t="s">
        <v>402</v>
      </c>
      <c r="J67" s="30" t="s">
        <v>402</v>
      </c>
      <c r="K67" s="30"/>
      <c r="L67" s="32" t="s">
        <v>408</v>
      </c>
      <c r="M67" s="30" t="s">
        <v>409</v>
      </c>
      <c r="N67" s="30"/>
      <c r="O67" s="30"/>
      <c r="P67" s="30"/>
      <c r="Q67" s="30"/>
      <c r="R67" s="30"/>
      <c r="S67" s="30"/>
      <c r="T67" s="30"/>
      <c r="U67" s="30"/>
      <c r="V67" s="30"/>
      <c r="W67" s="30"/>
      <c r="X67" s="30"/>
      <c r="Y67" s="30"/>
      <c r="Z67" s="30"/>
      <c r="AA67" s="30"/>
      <c r="AB67" s="30"/>
      <c r="AC67" s="30"/>
      <c r="AD67" s="30"/>
      <c r="AE67" s="30"/>
      <c r="AF67" s="30"/>
      <c r="AG67" s="30"/>
    </row>
    <row r="68" spans="1:33" ht="13">
      <c r="A68" s="30" t="s">
        <v>406</v>
      </c>
      <c r="B68" s="30" t="s">
        <v>260</v>
      </c>
      <c r="C68" s="30" t="s">
        <v>735</v>
      </c>
      <c r="D68" s="30" t="s">
        <v>381</v>
      </c>
      <c r="E68" s="30" t="s">
        <v>1150</v>
      </c>
      <c r="F68" s="30" t="s">
        <v>611</v>
      </c>
      <c r="G68" s="48">
        <v>2004</v>
      </c>
      <c r="H68" s="49">
        <v>21992</v>
      </c>
      <c r="I68" s="53" t="s">
        <v>402</v>
      </c>
      <c r="J68" s="30" t="s">
        <v>402</v>
      </c>
      <c r="K68" s="30"/>
      <c r="L68" s="32" t="s">
        <v>408</v>
      </c>
      <c r="M68" s="30" t="s">
        <v>409</v>
      </c>
      <c r="N68" s="30"/>
      <c r="O68" s="30"/>
      <c r="P68" s="30"/>
      <c r="Q68" s="30"/>
      <c r="R68" s="30"/>
      <c r="S68" s="30"/>
      <c r="T68" s="30"/>
      <c r="U68" s="30"/>
      <c r="V68" s="30"/>
      <c r="W68" s="30"/>
      <c r="X68" s="30"/>
      <c r="Y68" s="30"/>
      <c r="Z68" s="30"/>
      <c r="AA68" s="30"/>
      <c r="AB68" s="30"/>
      <c r="AC68" s="30"/>
      <c r="AD68" s="30"/>
      <c r="AE68" s="30"/>
      <c r="AF68" s="30"/>
      <c r="AG68" s="30"/>
    </row>
    <row r="69" spans="1:33" ht="13">
      <c r="A69" s="30" t="s">
        <v>406</v>
      </c>
      <c r="B69" s="30" t="s">
        <v>260</v>
      </c>
      <c r="C69" s="30" t="s">
        <v>735</v>
      </c>
      <c r="D69" s="30" t="s">
        <v>381</v>
      </c>
      <c r="E69" s="30" t="s">
        <v>1150</v>
      </c>
      <c r="F69" s="30" t="s">
        <v>611</v>
      </c>
      <c r="G69" s="48">
        <v>2009</v>
      </c>
      <c r="H69" s="49">
        <v>16076</v>
      </c>
      <c r="I69" s="53" t="s">
        <v>402</v>
      </c>
      <c r="J69" s="30" t="s">
        <v>402</v>
      </c>
      <c r="K69" s="30"/>
      <c r="L69" s="32" t="s">
        <v>408</v>
      </c>
      <c r="M69" s="30" t="s">
        <v>409</v>
      </c>
      <c r="N69" s="30"/>
      <c r="O69" s="30"/>
      <c r="P69" s="30"/>
      <c r="Q69" s="30"/>
      <c r="R69" s="30"/>
      <c r="S69" s="30"/>
      <c r="T69" s="30"/>
      <c r="U69" s="30"/>
      <c r="V69" s="30"/>
      <c r="W69" s="30"/>
      <c r="X69" s="30"/>
      <c r="Y69" s="30"/>
      <c r="Z69" s="30"/>
      <c r="AA69" s="30"/>
      <c r="AB69" s="30"/>
      <c r="AC69" s="30"/>
      <c r="AD69" s="30"/>
      <c r="AE69" s="30"/>
      <c r="AF69" s="30"/>
      <c r="AG69" s="30"/>
    </row>
    <row r="70" spans="1:33" ht="13">
      <c r="A70" s="30" t="s">
        <v>406</v>
      </c>
      <c r="B70" s="30" t="s">
        <v>260</v>
      </c>
      <c r="C70" s="30" t="s">
        <v>735</v>
      </c>
      <c r="D70" s="30" t="s">
        <v>381</v>
      </c>
      <c r="E70" s="30" t="s">
        <v>1150</v>
      </c>
      <c r="F70" s="30" t="s">
        <v>611</v>
      </c>
      <c r="G70" s="48">
        <v>2012</v>
      </c>
      <c r="H70" s="49">
        <v>15299</v>
      </c>
      <c r="I70" s="53" t="s">
        <v>402</v>
      </c>
      <c r="J70" s="30" t="s">
        <v>402</v>
      </c>
      <c r="K70" s="30"/>
      <c r="L70" s="32" t="s">
        <v>408</v>
      </c>
      <c r="M70" s="30" t="s">
        <v>409</v>
      </c>
      <c r="N70" s="30"/>
      <c r="O70" s="30"/>
      <c r="P70" s="30"/>
      <c r="Q70" s="30"/>
      <c r="R70" s="30"/>
      <c r="S70" s="30"/>
      <c r="T70" s="30"/>
      <c r="U70" s="30"/>
      <c r="V70" s="30"/>
      <c r="W70" s="30"/>
      <c r="X70" s="30"/>
      <c r="Y70" s="30"/>
      <c r="Z70" s="30"/>
      <c r="AA70" s="30"/>
      <c r="AB70" s="30"/>
      <c r="AC70" s="30"/>
      <c r="AD70" s="30"/>
      <c r="AE70" s="30"/>
      <c r="AF70" s="30"/>
      <c r="AG70" s="30"/>
    </row>
    <row r="71" spans="1:33" ht="13">
      <c r="A71" s="30" t="s">
        <v>406</v>
      </c>
      <c r="B71" s="30" t="s">
        <v>260</v>
      </c>
      <c r="C71" s="30" t="s">
        <v>737</v>
      </c>
      <c r="D71" s="30" t="s">
        <v>381</v>
      </c>
      <c r="E71" s="30" t="s">
        <v>1150</v>
      </c>
      <c r="F71" s="30" t="s">
        <v>611</v>
      </c>
      <c r="G71" s="48">
        <v>1984</v>
      </c>
      <c r="H71" s="49">
        <v>14104</v>
      </c>
      <c r="I71" s="53" t="s">
        <v>402</v>
      </c>
      <c r="J71" s="30" t="s">
        <v>402</v>
      </c>
      <c r="K71" s="30"/>
      <c r="L71" s="32" t="s">
        <v>408</v>
      </c>
      <c r="M71" s="30" t="s">
        <v>409</v>
      </c>
      <c r="N71" s="30"/>
      <c r="O71" s="30"/>
      <c r="P71" s="30"/>
      <c r="Q71" s="30"/>
      <c r="R71" s="30"/>
      <c r="S71" s="30"/>
      <c r="T71" s="30"/>
      <c r="U71" s="30"/>
      <c r="V71" s="30"/>
      <c r="W71" s="30"/>
      <c r="X71" s="30"/>
      <c r="Y71" s="30"/>
      <c r="Z71" s="30"/>
      <c r="AA71" s="30"/>
      <c r="AB71" s="30"/>
      <c r="AC71" s="30"/>
      <c r="AD71" s="30"/>
      <c r="AE71" s="30"/>
      <c r="AF71" s="30"/>
      <c r="AG71" s="30"/>
    </row>
    <row r="72" spans="1:33" ht="13">
      <c r="A72" s="30" t="s">
        <v>406</v>
      </c>
      <c r="B72" s="30" t="s">
        <v>260</v>
      </c>
      <c r="C72" s="30" t="s">
        <v>737</v>
      </c>
      <c r="D72" s="30" t="s">
        <v>381</v>
      </c>
      <c r="E72" s="30" t="s">
        <v>1150</v>
      </c>
      <c r="F72" s="30" t="s">
        <v>611</v>
      </c>
      <c r="G72" s="48">
        <v>1985</v>
      </c>
      <c r="H72" s="49">
        <v>14880</v>
      </c>
      <c r="I72" s="53" t="s">
        <v>402</v>
      </c>
      <c r="J72" s="30" t="s">
        <v>402</v>
      </c>
      <c r="K72" s="30"/>
      <c r="L72" s="32" t="s">
        <v>408</v>
      </c>
      <c r="M72" s="30" t="s">
        <v>409</v>
      </c>
      <c r="N72" s="30"/>
      <c r="O72" s="30"/>
      <c r="P72" s="30"/>
      <c r="Q72" s="30"/>
      <c r="R72" s="30"/>
      <c r="S72" s="30"/>
      <c r="T72" s="30"/>
      <c r="U72" s="30"/>
      <c r="V72" s="30"/>
      <c r="W72" s="30"/>
      <c r="X72" s="30"/>
      <c r="Y72" s="30"/>
      <c r="Z72" s="30"/>
      <c r="AA72" s="30"/>
      <c r="AB72" s="30"/>
      <c r="AC72" s="30"/>
      <c r="AD72" s="30"/>
      <c r="AE72" s="30"/>
      <c r="AF72" s="30"/>
      <c r="AG72" s="30"/>
    </row>
    <row r="73" spans="1:33" ht="13">
      <c r="A73" s="30" t="s">
        <v>406</v>
      </c>
      <c r="B73" s="30" t="s">
        <v>260</v>
      </c>
      <c r="C73" s="30" t="s">
        <v>737</v>
      </c>
      <c r="D73" s="30" t="s">
        <v>381</v>
      </c>
      <c r="E73" s="30" t="s">
        <v>1150</v>
      </c>
      <c r="F73" s="30" t="s">
        <v>611</v>
      </c>
      <c r="G73" s="48">
        <v>1986</v>
      </c>
      <c r="H73" s="49">
        <v>15598</v>
      </c>
      <c r="I73" s="53" t="s">
        <v>402</v>
      </c>
      <c r="J73" s="30" t="s">
        <v>402</v>
      </c>
      <c r="K73" s="30"/>
      <c r="L73" s="32" t="s">
        <v>408</v>
      </c>
      <c r="M73" s="30" t="s">
        <v>409</v>
      </c>
      <c r="N73" s="30"/>
      <c r="O73" s="30"/>
      <c r="P73" s="30"/>
      <c r="Q73" s="30"/>
      <c r="R73" s="30"/>
      <c r="S73" s="30"/>
      <c r="T73" s="30"/>
      <c r="U73" s="30"/>
      <c r="V73" s="30"/>
      <c r="W73" s="30"/>
      <c r="X73" s="30"/>
      <c r="Y73" s="30"/>
      <c r="Z73" s="30"/>
      <c r="AA73" s="30"/>
      <c r="AB73" s="30"/>
      <c r="AC73" s="30"/>
      <c r="AD73" s="30"/>
      <c r="AE73" s="30"/>
      <c r="AF73" s="30"/>
      <c r="AG73" s="30"/>
    </row>
    <row r="74" spans="1:33" ht="13">
      <c r="A74" s="30" t="s">
        <v>406</v>
      </c>
      <c r="B74" s="30" t="s">
        <v>260</v>
      </c>
      <c r="C74" s="30" t="s">
        <v>737</v>
      </c>
      <c r="D74" s="30" t="s">
        <v>381</v>
      </c>
      <c r="E74" s="30" t="s">
        <v>1150</v>
      </c>
      <c r="F74" s="30" t="s">
        <v>611</v>
      </c>
      <c r="G74" s="48">
        <v>1987</v>
      </c>
      <c r="H74" s="49">
        <v>19422</v>
      </c>
      <c r="I74" s="53" t="s">
        <v>402</v>
      </c>
      <c r="J74" s="30" t="s">
        <v>402</v>
      </c>
      <c r="K74" s="30"/>
      <c r="L74" s="32" t="s">
        <v>408</v>
      </c>
      <c r="M74" s="30" t="s">
        <v>409</v>
      </c>
      <c r="N74" s="30"/>
      <c r="O74" s="30"/>
      <c r="P74" s="30"/>
      <c r="Q74" s="30"/>
      <c r="R74" s="30"/>
      <c r="S74" s="30"/>
      <c r="T74" s="30"/>
      <c r="U74" s="30"/>
      <c r="V74" s="30"/>
      <c r="W74" s="30"/>
      <c r="X74" s="30"/>
      <c r="Y74" s="30"/>
      <c r="Z74" s="30"/>
      <c r="AA74" s="30"/>
      <c r="AB74" s="30"/>
      <c r="AC74" s="30"/>
      <c r="AD74" s="30"/>
      <c r="AE74" s="30"/>
      <c r="AF74" s="30"/>
      <c r="AG74" s="30"/>
    </row>
    <row r="75" spans="1:33" ht="13">
      <c r="A75" s="30" t="s">
        <v>406</v>
      </c>
      <c r="B75" s="30" t="s">
        <v>260</v>
      </c>
      <c r="C75" s="30" t="s">
        <v>737</v>
      </c>
      <c r="D75" s="30" t="s">
        <v>381</v>
      </c>
      <c r="E75" s="30" t="s">
        <v>1150</v>
      </c>
      <c r="F75" s="30" t="s">
        <v>611</v>
      </c>
      <c r="G75" s="48">
        <v>1988</v>
      </c>
      <c r="H75" s="49">
        <v>17988</v>
      </c>
      <c r="I75" s="53" t="s">
        <v>402</v>
      </c>
      <c r="J75" s="30" t="s">
        <v>402</v>
      </c>
      <c r="K75" s="30"/>
      <c r="L75" s="32" t="s">
        <v>408</v>
      </c>
      <c r="M75" s="30" t="s">
        <v>409</v>
      </c>
      <c r="N75" s="30"/>
      <c r="O75" s="30"/>
      <c r="P75" s="30"/>
      <c r="Q75" s="30"/>
      <c r="R75" s="30"/>
      <c r="S75" s="30"/>
      <c r="T75" s="30"/>
      <c r="U75" s="30"/>
      <c r="V75" s="30"/>
      <c r="W75" s="30"/>
      <c r="X75" s="30"/>
      <c r="Y75" s="30"/>
      <c r="Z75" s="30"/>
      <c r="AA75" s="30"/>
      <c r="AB75" s="30"/>
      <c r="AC75" s="30"/>
      <c r="AD75" s="30"/>
      <c r="AE75" s="30"/>
      <c r="AF75" s="30"/>
      <c r="AG75" s="30"/>
    </row>
    <row r="76" spans="1:33" ht="13">
      <c r="A76" s="30" t="s">
        <v>406</v>
      </c>
      <c r="B76" s="30" t="s">
        <v>260</v>
      </c>
      <c r="C76" s="30" t="s">
        <v>737</v>
      </c>
      <c r="D76" s="30" t="s">
        <v>381</v>
      </c>
      <c r="E76" s="30" t="s">
        <v>1150</v>
      </c>
      <c r="F76" s="30" t="s">
        <v>611</v>
      </c>
      <c r="G76" s="48">
        <v>1989</v>
      </c>
      <c r="H76" s="49">
        <v>20378</v>
      </c>
      <c r="I76" s="53" t="s">
        <v>402</v>
      </c>
      <c r="J76" s="30" t="s">
        <v>402</v>
      </c>
      <c r="K76" s="30"/>
      <c r="L76" s="32" t="s">
        <v>408</v>
      </c>
      <c r="M76" s="30" t="s">
        <v>409</v>
      </c>
      <c r="N76" s="30"/>
      <c r="O76" s="30"/>
      <c r="P76" s="30"/>
      <c r="Q76" s="30"/>
      <c r="R76" s="30"/>
      <c r="S76" s="30"/>
      <c r="T76" s="30"/>
      <c r="U76" s="30"/>
      <c r="V76" s="30"/>
      <c r="W76" s="30"/>
      <c r="X76" s="30"/>
      <c r="Y76" s="30"/>
      <c r="Z76" s="30"/>
      <c r="AA76" s="30"/>
      <c r="AB76" s="30"/>
      <c r="AC76" s="30"/>
      <c r="AD76" s="30"/>
      <c r="AE76" s="30"/>
      <c r="AF76" s="30"/>
      <c r="AG76" s="30"/>
    </row>
    <row r="77" spans="1:33" ht="13">
      <c r="A77" s="30" t="s">
        <v>406</v>
      </c>
      <c r="B77" s="30" t="s">
        <v>260</v>
      </c>
      <c r="C77" s="30" t="s">
        <v>737</v>
      </c>
      <c r="D77" s="30" t="s">
        <v>381</v>
      </c>
      <c r="E77" s="30" t="s">
        <v>1150</v>
      </c>
      <c r="F77" s="30" t="s">
        <v>611</v>
      </c>
      <c r="G77" s="48">
        <v>1990</v>
      </c>
      <c r="H77" s="49">
        <v>18406</v>
      </c>
      <c r="I77" s="53" t="s">
        <v>402</v>
      </c>
      <c r="J77" s="30" t="s">
        <v>402</v>
      </c>
      <c r="K77" s="30"/>
      <c r="L77" s="32" t="s">
        <v>408</v>
      </c>
      <c r="M77" s="30" t="s">
        <v>409</v>
      </c>
      <c r="N77" s="30"/>
      <c r="O77" s="30"/>
      <c r="P77" s="30"/>
      <c r="Q77" s="30"/>
      <c r="R77" s="30"/>
      <c r="S77" s="30"/>
      <c r="T77" s="30"/>
      <c r="U77" s="30"/>
      <c r="V77" s="30"/>
      <c r="W77" s="30"/>
      <c r="X77" s="30"/>
      <c r="Y77" s="30"/>
      <c r="Z77" s="30"/>
      <c r="AA77" s="30"/>
      <c r="AB77" s="30"/>
      <c r="AC77" s="30"/>
      <c r="AD77" s="30"/>
      <c r="AE77" s="30"/>
      <c r="AF77" s="30"/>
      <c r="AG77" s="30"/>
    </row>
    <row r="78" spans="1:33" ht="13">
      <c r="A78" s="30" t="s">
        <v>406</v>
      </c>
      <c r="B78" s="30" t="s">
        <v>260</v>
      </c>
      <c r="C78" s="30" t="s">
        <v>737</v>
      </c>
      <c r="D78" s="30" t="s">
        <v>381</v>
      </c>
      <c r="E78" s="30" t="s">
        <v>1150</v>
      </c>
      <c r="F78" s="30" t="s">
        <v>611</v>
      </c>
      <c r="G78" s="48">
        <v>1991</v>
      </c>
      <c r="H78" s="49">
        <v>22829</v>
      </c>
      <c r="I78" s="53" t="s">
        <v>402</v>
      </c>
      <c r="J78" s="30" t="s">
        <v>402</v>
      </c>
      <c r="K78" s="30"/>
      <c r="L78" s="32" t="s">
        <v>408</v>
      </c>
      <c r="M78" s="30" t="s">
        <v>409</v>
      </c>
      <c r="N78" s="30"/>
      <c r="O78" s="30"/>
      <c r="P78" s="30"/>
      <c r="Q78" s="30"/>
      <c r="R78" s="30"/>
      <c r="S78" s="30"/>
      <c r="T78" s="30"/>
      <c r="U78" s="30"/>
      <c r="V78" s="30"/>
      <c r="W78" s="30"/>
      <c r="X78" s="30"/>
      <c r="Y78" s="30"/>
      <c r="Z78" s="30"/>
      <c r="AA78" s="30"/>
      <c r="AB78" s="30"/>
      <c r="AC78" s="30"/>
      <c r="AD78" s="30"/>
      <c r="AE78" s="30"/>
      <c r="AF78" s="30"/>
      <c r="AG78" s="30"/>
    </row>
    <row r="79" spans="1:33" ht="13">
      <c r="A79" s="30" t="s">
        <v>406</v>
      </c>
      <c r="B79" s="30" t="s">
        <v>260</v>
      </c>
      <c r="C79" s="30" t="s">
        <v>737</v>
      </c>
      <c r="D79" s="30" t="s">
        <v>381</v>
      </c>
      <c r="E79" s="30" t="s">
        <v>1150</v>
      </c>
      <c r="F79" s="30" t="s">
        <v>611</v>
      </c>
      <c r="G79" s="48">
        <v>1992</v>
      </c>
      <c r="H79" s="49">
        <v>23068</v>
      </c>
      <c r="I79" s="53" t="s">
        <v>402</v>
      </c>
      <c r="J79" s="30" t="s">
        <v>402</v>
      </c>
      <c r="K79" s="30"/>
      <c r="L79" s="32" t="s">
        <v>408</v>
      </c>
      <c r="M79" s="30" t="s">
        <v>409</v>
      </c>
      <c r="N79" s="30"/>
      <c r="O79" s="30"/>
      <c r="P79" s="30"/>
      <c r="Q79" s="30"/>
      <c r="R79" s="30"/>
      <c r="S79" s="30"/>
      <c r="T79" s="30"/>
      <c r="U79" s="30"/>
      <c r="V79" s="30"/>
      <c r="W79" s="30"/>
      <c r="X79" s="30"/>
      <c r="Y79" s="30"/>
      <c r="Z79" s="30"/>
      <c r="AA79" s="30"/>
      <c r="AB79" s="30"/>
      <c r="AC79" s="30"/>
      <c r="AD79" s="30"/>
      <c r="AE79" s="30"/>
      <c r="AF79" s="30"/>
      <c r="AG79" s="30"/>
    </row>
    <row r="80" spans="1:33" ht="13">
      <c r="A80" s="30" t="s">
        <v>406</v>
      </c>
      <c r="B80" s="30" t="s">
        <v>260</v>
      </c>
      <c r="C80" s="30" t="s">
        <v>737</v>
      </c>
      <c r="D80" s="30" t="s">
        <v>381</v>
      </c>
      <c r="E80" s="30" t="s">
        <v>1150</v>
      </c>
      <c r="F80" s="30" t="s">
        <v>611</v>
      </c>
      <c r="G80" s="48">
        <v>1993</v>
      </c>
      <c r="H80" s="49">
        <v>17988</v>
      </c>
      <c r="I80" s="53" t="s">
        <v>402</v>
      </c>
      <c r="J80" s="30" t="s">
        <v>402</v>
      </c>
      <c r="K80" s="30"/>
      <c r="L80" s="32" t="s">
        <v>408</v>
      </c>
      <c r="M80" s="30" t="s">
        <v>409</v>
      </c>
      <c r="N80" s="30"/>
      <c r="O80" s="30"/>
      <c r="P80" s="30"/>
      <c r="Q80" s="30"/>
      <c r="R80" s="30"/>
      <c r="S80" s="30"/>
      <c r="T80" s="30"/>
      <c r="U80" s="30"/>
      <c r="V80" s="30"/>
      <c r="W80" s="30"/>
      <c r="X80" s="30"/>
      <c r="Y80" s="30"/>
      <c r="Z80" s="30"/>
      <c r="AA80" s="30"/>
      <c r="AB80" s="30"/>
      <c r="AC80" s="30"/>
      <c r="AD80" s="30"/>
      <c r="AE80" s="30"/>
      <c r="AF80" s="30"/>
      <c r="AG80" s="30"/>
    </row>
    <row r="81" spans="1:33" ht="13">
      <c r="A81" s="30" t="s">
        <v>406</v>
      </c>
      <c r="B81" s="30" t="s">
        <v>260</v>
      </c>
      <c r="C81" s="30" t="s">
        <v>737</v>
      </c>
      <c r="D81" s="30" t="s">
        <v>381</v>
      </c>
      <c r="E81" s="30" t="s">
        <v>1150</v>
      </c>
      <c r="F81" s="30" t="s">
        <v>611</v>
      </c>
      <c r="G81" s="48">
        <v>1994</v>
      </c>
      <c r="H81" s="49">
        <v>21394</v>
      </c>
      <c r="I81" s="53" t="s">
        <v>402</v>
      </c>
      <c r="J81" s="30" t="s">
        <v>402</v>
      </c>
      <c r="K81" s="30"/>
      <c r="L81" s="32" t="s">
        <v>408</v>
      </c>
      <c r="M81" s="30" t="s">
        <v>409</v>
      </c>
      <c r="N81" s="30"/>
      <c r="O81" s="30"/>
      <c r="P81" s="30"/>
      <c r="Q81" s="30"/>
      <c r="R81" s="30"/>
      <c r="S81" s="30"/>
      <c r="T81" s="30"/>
      <c r="U81" s="30"/>
      <c r="V81" s="30"/>
      <c r="W81" s="30"/>
      <c r="X81" s="30"/>
      <c r="Y81" s="30"/>
      <c r="Z81" s="30"/>
      <c r="AA81" s="30"/>
      <c r="AB81" s="30"/>
      <c r="AC81" s="30"/>
      <c r="AD81" s="30"/>
      <c r="AE81" s="30"/>
      <c r="AF81" s="30"/>
      <c r="AG81" s="30"/>
    </row>
    <row r="82" spans="1:33" ht="13">
      <c r="A82" s="30" t="s">
        <v>406</v>
      </c>
      <c r="B82" s="30" t="s">
        <v>260</v>
      </c>
      <c r="C82" s="30" t="s">
        <v>737</v>
      </c>
      <c r="D82" s="30" t="s">
        <v>381</v>
      </c>
      <c r="E82" s="30" t="s">
        <v>1150</v>
      </c>
      <c r="F82" s="30" t="s">
        <v>611</v>
      </c>
      <c r="G82" s="48">
        <v>1995</v>
      </c>
      <c r="H82" s="49">
        <v>23367</v>
      </c>
      <c r="I82" s="53" t="s">
        <v>402</v>
      </c>
      <c r="J82" s="30" t="s">
        <v>402</v>
      </c>
      <c r="K82" s="30"/>
      <c r="L82" s="32" t="s">
        <v>408</v>
      </c>
      <c r="M82" s="30" t="s">
        <v>409</v>
      </c>
      <c r="N82" s="30"/>
      <c r="O82" s="30"/>
      <c r="P82" s="30"/>
      <c r="Q82" s="30"/>
      <c r="R82" s="30"/>
      <c r="S82" s="30"/>
      <c r="T82" s="30"/>
      <c r="U82" s="30"/>
      <c r="V82" s="30"/>
      <c r="W82" s="30"/>
      <c r="X82" s="30"/>
      <c r="Y82" s="30"/>
      <c r="Z82" s="30"/>
      <c r="AA82" s="30"/>
      <c r="AB82" s="30"/>
      <c r="AC82" s="30"/>
      <c r="AD82" s="30"/>
      <c r="AE82" s="30"/>
      <c r="AF82" s="30"/>
      <c r="AG82" s="30"/>
    </row>
    <row r="83" spans="1:33" ht="13">
      <c r="A83" s="30" t="s">
        <v>406</v>
      </c>
      <c r="B83" s="30" t="s">
        <v>260</v>
      </c>
      <c r="C83" s="30" t="s">
        <v>737</v>
      </c>
      <c r="D83" s="30" t="s">
        <v>381</v>
      </c>
      <c r="E83" s="30" t="s">
        <v>1150</v>
      </c>
      <c r="F83" s="30" t="s">
        <v>611</v>
      </c>
      <c r="G83" s="48">
        <v>2002</v>
      </c>
      <c r="H83" s="49">
        <v>21394</v>
      </c>
      <c r="I83" s="53" t="s">
        <v>402</v>
      </c>
      <c r="J83" s="30" t="s">
        <v>402</v>
      </c>
      <c r="K83" s="30"/>
      <c r="L83" s="32" t="s">
        <v>408</v>
      </c>
      <c r="M83" s="30" t="s">
        <v>409</v>
      </c>
      <c r="N83" s="30"/>
      <c r="O83" s="30"/>
      <c r="P83" s="30"/>
      <c r="Q83" s="30"/>
      <c r="R83" s="30"/>
      <c r="S83" s="30"/>
      <c r="T83" s="30"/>
      <c r="U83" s="30"/>
      <c r="V83" s="30"/>
      <c r="W83" s="30"/>
      <c r="X83" s="30"/>
      <c r="Y83" s="30"/>
      <c r="Z83" s="30"/>
      <c r="AA83" s="30"/>
      <c r="AB83" s="30"/>
      <c r="AC83" s="30"/>
      <c r="AD83" s="30"/>
      <c r="AE83" s="30"/>
      <c r="AF83" s="30"/>
      <c r="AG83" s="30"/>
    </row>
    <row r="84" spans="1:33" ht="13">
      <c r="A84" s="30" t="s">
        <v>406</v>
      </c>
      <c r="B84" s="30" t="s">
        <v>260</v>
      </c>
      <c r="C84" s="30" t="s">
        <v>737</v>
      </c>
      <c r="D84" s="30" t="s">
        <v>381</v>
      </c>
      <c r="E84" s="30" t="s">
        <v>1150</v>
      </c>
      <c r="F84" s="30" t="s">
        <v>611</v>
      </c>
      <c r="G84" s="48">
        <v>2004</v>
      </c>
      <c r="H84" s="49">
        <v>26295</v>
      </c>
      <c r="I84" s="53" t="s">
        <v>402</v>
      </c>
      <c r="J84" s="30" t="s">
        <v>402</v>
      </c>
      <c r="K84" s="30"/>
      <c r="L84" s="32" t="s">
        <v>408</v>
      </c>
      <c r="M84" s="30" t="s">
        <v>409</v>
      </c>
      <c r="N84" s="30"/>
      <c r="O84" s="30"/>
      <c r="P84" s="30"/>
      <c r="Q84" s="30"/>
      <c r="R84" s="30"/>
      <c r="S84" s="30"/>
      <c r="T84" s="30"/>
      <c r="U84" s="30"/>
      <c r="V84" s="30"/>
      <c r="W84" s="30"/>
      <c r="X84" s="30"/>
      <c r="Y84" s="30"/>
      <c r="Z84" s="30"/>
      <c r="AA84" s="30"/>
      <c r="AB84" s="30"/>
      <c r="AC84" s="30"/>
      <c r="AD84" s="30"/>
      <c r="AE84" s="30"/>
      <c r="AF84" s="30"/>
      <c r="AG84" s="30"/>
    </row>
    <row r="85" spans="1:33" ht="13">
      <c r="A85" s="30" t="s">
        <v>406</v>
      </c>
      <c r="B85" s="30" t="s">
        <v>260</v>
      </c>
      <c r="C85" s="30" t="s">
        <v>737</v>
      </c>
      <c r="D85" s="30" t="s">
        <v>381</v>
      </c>
      <c r="E85" s="30" t="s">
        <v>1150</v>
      </c>
      <c r="F85" s="30" t="s">
        <v>611</v>
      </c>
      <c r="G85" s="48">
        <v>2009</v>
      </c>
      <c r="H85" s="49">
        <v>19542</v>
      </c>
      <c r="I85" s="53" t="s">
        <v>402</v>
      </c>
      <c r="J85" s="30" t="s">
        <v>402</v>
      </c>
      <c r="K85" s="30"/>
      <c r="L85" s="32" t="s">
        <v>408</v>
      </c>
      <c r="M85" s="30" t="s">
        <v>409</v>
      </c>
      <c r="N85" s="30"/>
      <c r="O85" s="30"/>
      <c r="P85" s="30"/>
      <c r="Q85" s="30"/>
      <c r="R85" s="30"/>
      <c r="S85" s="30"/>
      <c r="T85" s="30"/>
      <c r="U85" s="30"/>
      <c r="V85" s="30"/>
      <c r="W85" s="30"/>
      <c r="X85" s="30"/>
      <c r="Y85" s="30"/>
      <c r="Z85" s="30"/>
      <c r="AA85" s="30"/>
      <c r="AB85" s="30"/>
      <c r="AC85" s="30"/>
      <c r="AD85" s="30"/>
      <c r="AE85" s="30"/>
      <c r="AF85" s="30"/>
      <c r="AG85" s="30"/>
    </row>
    <row r="86" spans="1:33" ht="13">
      <c r="A86" s="30" t="s">
        <v>406</v>
      </c>
      <c r="B86" s="30" t="s">
        <v>260</v>
      </c>
      <c r="C86" s="30" t="s">
        <v>737</v>
      </c>
      <c r="D86" s="30" t="s">
        <v>381</v>
      </c>
      <c r="E86" s="30" t="s">
        <v>1150</v>
      </c>
      <c r="F86" s="30" t="s">
        <v>611</v>
      </c>
      <c r="G86" s="48">
        <v>2012</v>
      </c>
      <c r="H86" s="49">
        <v>20080</v>
      </c>
      <c r="I86" s="53" t="s">
        <v>402</v>
      </c>
      <c r="J86" s="30" t="s">
        <v>402</v>
      </c>
      <c r="K86" s="30"/>
      <c r="L86" s="32" t="s">
        <v>408</v>
      </c>
      <c r="M86" s="30" t="s">
        <v>409</v>
      </c>
      <c r="N86" s="30"/>
      <c r="O86" s="30"/>
      <c r="P86" s="30"/>
      <c r="Q86" s="30"/>
      <c r="R86" s="30"/>
      <c r="S86" s="30"/>
      <c r="T86" s="30"/>
      <c r="U86" s="30"/>
      <c r="V86" s="30"/>
      <c r="W86" s="30"/>
      <c r="X86" s="30"/>
      <c r="Y86" s="30"/>
      <c r="Z86" s="30"/>
      <c r="AA86" s="30"/>
      <c r="AB86" s="30"/>
      <c r="AC86" s="30"/>
      <c r="AD86" s="30"/>
      <c r="AE86" s="30"/>
      <c r="AF86" s="30"/>
      <c r="AG86" s="30"/>
    </row>
    <row r="87" spans="1:33" ht="13">
      <c r="A87" s="18" t="s">
        <v>427</v>
      </c>
      <c r="B87" s="18" t="s">
        <v>260</v>
      </c>
      <c r="C87" s="18" t="s">
        <v>1078</v>
      </c>
      <c r="D87" s="18" t="s">
        <v>1151</v>
      </c>
      <c r="E87" s="18" t="s">
        <v>841</v>
      </c>
      <c r="F87" s="18" t="s">
        <v>690</v>
      </c>
      <c r="G87" s="18">
        <v>1996</v>
      </c>
      <c r="H87" s="40">
        <v>28</v>
      </c>
      <c r="I87" s="40" t="s">
        <v>402</v>
      </c>
      <c r="J87" s="18" t="s">
        <v>402</v>
      </c>
      <c r="L87" s="18" t="s">
        <v>460</v>
      </c>
      <c r="M87" s="18" t="s">
        <v>461</v>
      </c>
    </row>
    <row r="88" spans="1:33" ht="13">
      <c r="A88" s="18" t="s">
        <v>427</v>
      </c>
      <c r="B88" s="18" t="s">
        <v>260</v>
      </c>
      <c r="C88" s="18" t="s">
        <v>1078</v>
      </c>
      <c r="D88" s="18" t="s">
        <v>1151</v>
      </c>
      <c r="E88" s="18" t="s">
        <v>841</v>
      </c>
      <c r="F88" s="18" t="s">
        <v>690</v>
      </c>
      <c r="G88" s="18">
        <v>1997</v>
      </c>
      <c r="H88" s="40">
        <v>28</v>
      </c>
      <c r="I88" s="40" t="s">
        <v>402</v>
      </c>
      <c r="J88" s="18" t="s">
        <v>402</v>
      </c>
      <c r="L88" s="18" t="s">
        <v>460</v>
      </c>
      <c r="M88" s="18" t="s">
        <v>461</v>
      </c>
    </row>
    <row r="89" spans="1:33" ht="13">
      <c r="A89" s="18" t="s">
        <v>427</v>
      </c>
      <c r="B89" s="18" t="s">
        <v>260</v>
      </c>
      <c r="C89" s="18" t="s">
        <v>1078</v>
      </c>
      <c r="D89" s="18" t="s">
        <v>1151</v>
      </c>
      <c r="E89" s="18" t="s">
        <v>841</v>
      </c>
      <c r="F89" s="18" t="s">
        <v>690</v>
      </c>
      <c r="G89" s="18">
        <v>1998</v>
      </c>
      <c r="H89" s="40">
        <v>14</v>
      </c>
      <c r="I89" s="40" t="s">
        <v>402</v>
      </c>
      <c r="J89" s="18" t="s">
        <v>402</v>
      </c>
      <c r="L89" s="18" t="s">
        <v>460</v>
      </c>
      <c r="M89" s="18" t="s">
        <v>461</v>
      </c>
    </row>
    <row r="90" spans="1:33" ht="13">
      <c r="A90" s="18" t="s">
        <v>427</v>
      </c>
      <c r="B90" s="18" t="s">
        <v>260</v>
      </c>
      <c r="C90" s="18" t="s">
        <v>1078</v>
      </c>
      <c r="D90" s="18" t="s">
        <v>1151</v>
      </c>
      <c r="E90" s="18" t="s">
        <v>841</v>
      </c>
      <c r="F90" s="18" t="s">
        <v>690</v>
      </c>
      <c r="G90" s="18">
        <v>1999</v>
      </c>
      <c r="H90" s="40">
        <v>28</v>
      </c>
      <c r="I90" s="40" t="s">
        <v>402</v>
      </c>
      <c r="J90" s="18" t="s">
        <v>402</v>
      </c>
      <c r="L90" s="18" t="s">
        <v>460</v>
      </c>
      <c r="M90" s="18" t="s">
        <v>461</v>
      </c>
    </row>
    <row r="91" spans="1:33" ht="13">
      <c r="A91" s="18" t="s">
        <v>427</v>
      </c>
      <c r="B91" s="18" t="s">
        <v>260</v>
      </c>
      <c r="C91" s="18" t="s">
        <v>1078</v>
      </c>
      <c r="D91" s="18" t="s">
        <v>1151</v>
      </c>
      <c r="E91" s="18" t="s">
        <v>841</v>
      </c>
      <c r="F91" s="18" t="s">
        <v>690</v>
      </c>
      <c r="G91" s="18">
        <v>2000</v>
      </c>
      <c r="H91" s="40">
        <v>28</v>
      </c>
      <c r="I91" s="40" t="s">
        <v>402</v>
      </c>
      <c r="J91" s="18" t="s">
        <v>402</v>
      </c>
      <c r="L91" s="18" t="s">
        <v>460</v>
      </c>
      <c r="M91" s="18" t="s">
        <v>461</v>
      </c>
    </row>
    <row r="92" spans="1:33" ht="13">
      <c r="A92" s="18" t="s">
        <v>427</v>
      </c>
      <c r="B92" s="18" t="s">
        <v>260</v>
      </c>
      <c r="C92" s="18" t="s">
        <v>1078</v>
      </c>
      <c r="D92" s="18" t="s">
        <v>1151</v>
      </c>
      <c r="E92" s="18" t="s">
        <v>841</v>
      </c>
      <c r="F92" s="18" t="s">
        <v>690</v>
      </c>
      <c r="G92" s="18">
        <v>2001</v>
      </c>
      <c r="H92" s="40">
        <v>28</v>
      </c>
      <c r="I92" s="40" t="s">
        <v>402</v>
      </c>
      <c r="J92" s="18" t="s">
        <v>402</v>
      </c>
      <c r="L92" s="18" t="s">
        <v>460</v>
      </c>
      <c r="M92" s="18" t="s">
        <v>461</v>
      </c>
    </row>
    <row r="93" spans="1:33" ht="13">
      <c r="A93" s="18" t="s">
        <v>427</v>
      </c>
      <c r="B93" s="18" t="s">
        <v>260</v>
      </c>
      <c r="C93" s="18" t="s">
        <v>1078</v>
      </c>
      <c r="D93" s="18" t="s">
        <v>1151</v>
      </c>
      <c r="E93" s="18" t="s">
        <v>841</v>
      </c>
      <c r="F93" s="18" t="s">
        <v>690</v>
      </c>
      <c r="G93" s="18">
        <v>2002</v>
      </c>
      <c r="H93" s="40">
        <v>57</v>
      </c>
      <c r="I93" s="40" t="s">
        <v>402</v>
      </c>
      <c r="J93" s="18" t="s">
        <v>402</v>
      </c>
      <c r="L93" s="18" t="s">
        <v>460</v>
      </c>
      <c r="M93" s="18" t="s">
        <v>461</v>
      </c>
    </row>
    <row r="94" spans="1:33" ht="13">
      <c r="A94" s="18" t="s">
        <v>427</v>
      </c>
      <c r="B94" s="18" t="s">
        <v>260</v>
      </c>
      <c r="C94" s="18" t="s">
        <v>1078</v>
      </c>
      <c r="D94" s="18" t="s">
        <v>1151</v>
      </c>
      <c r="E94" s="18" t="s">
        <v>841</v>
      </c>
      <c r="F94" s="18" t="s">
        <v>690</v>
      </c>
      <c r="G94" s="18">
        <v>2003</v>
      </c>
      <c r="H94" s="40">
        <v>28</v>
      </c>
      <c r="I94" s="40" t="s">
        <v>402</v>
      </c>
      <c r="J94" s="18" t="s">
        <v>402</v>
      </c>
      <c r="L94" s="18" t="s">
        <v>460</v>
      </c>
      <c r="M94" s="18" t="s">
        <v>461</v>
      </c>
    </row>
    <row r="95" spans="1:33" ht="13">
      <c r="A95" s="18" t="s">
        <v>427</v>
      </c>
      <c r="B95" s="18" t="s">
        <v>260</v>
      </c>
      <c r="C95" s="18" t="s">
        <v>1078</v>
      </c>
      <c r="D95" s="18" t="s">
        <v>1151</v>
      </c>
      <c r="E95" s="18" t="s">
        <v>841</v>
      </c>
      <c r="F95" s="18" t="s">
        <v>690</v>
      </c>
      <c r="G95" s="18">
        <v>2004</v>
      </c>
      <c r="H95" s="40">
        <v>57</v>
      </c>
      <c r="I95" s="40" t="s">
        <v>402</v>
      </c>
      <c r="J95" s="18" t="s">
        <v>402</v>
      </c>
      <c r="L95" s="18" t="s">
        <v>460</v>
      </c>
      <c r="M95" s="18" t="s">
        <v>461</v>
      </c>
    </row>
    <row r="96" spans="1:33" ht="13">
      <c r="A96" s="18" t="s">
        <v>427</v>
      </c>
      <c r="B96" s="18" t="s">
        <v>260</v>
      </c>
      <c r="C96" s="18" t="s">
        <v>1078</v>
      </c>
      <c r="D96" s="18" t="s">
        <v>1151</v>
      </c>
      <c r="E96" s="18" t="s">
        <v>841</v>
      </c>
      <c r="F96" s="18" t="s">
        <v>690</v>
      </c>
      <c r="G96" s="18">
        <v>2005</v>
      </c>
      <c r="H96" s="40">
        <v>85</v>
      </c>
      <c r="I96" s="40" t="s">
        <v>402</v>
      </c>
      <c r="J96" s="18" t="s">
        <v>402</v>
      </c>
      <c r="L96" s="18" t="s">
        <v>460</v>
      </c>
      <c r="M96" s="18" t="s">
        <v>461</v>
      </c>
    </row>
    <row r="97" spans="1:13" ht="13">
      <c r="A97" s="18" t="s">
        <v>427</v>
      </c>
      <c r="B97" s="18" t="s">
        <v>260</v>
      </c>
      <c r="C97" s="18" t="s">
        <v>1078</v>
      </c>
      <c r="D97" s="18" t="s">
        <v>1151</v>
      </c>
      <c r="E97" s="18" t="s">
        <v>841</v>
      </c>
      <c r="F97" s="18" t="s">
        <v>690</v>
      </c>
      <c r="G97" s="18">
        <v>2006</v>
      </c>
      <c r="H97" s="40">
        <v>313</v>
      </c>
      <c r="I97" s="40" t="s">
        <v>402</v>
      </c>
      <c r="J97" s="18" t="s">
        <v>402</v>
      </c>
      <c r="L97" s="18" t="s">
        <v>460</v>
      </c>
      <c r="M97" s="18" t="s">
        <v>461</v>
      </c>
    </row>
    <row r="98" spans="1:13" ht="13">
      <c r="A98" s="18" t="s">
        <v>427</v>
      </c>
      <c r="B98" s="18" t="s">
        <v>260</v>
      </c>
      <c r="C98" s="18" t="s">
        <v>1078</v>
      </c>
      <c r="D98" s="18" t="s">
        <v>1151</v>
      </c>
      <c r="E98" s="18" t="s">
        <v>841</v>
      </c>
      <c r="F98" s="18" t="s">
        <v>690</v>
      </c>
      <c r="G98" s="18">
        <v>2007</v>
      </c>
      <c r="H98" s="40">
        <v>199</v>
      </c>
      <c r="I98" s="40" t="s">
        <v>402</v>
      </c>
      <c r="J98" s="18" t="s">
        <v>402</v>
      </c>
      <c r="L98" s="18" t="s">
        <v>460</v>
      </c>
      <c r="M98" s="18" t="s">
        <v>461</v>
      </c>
    </row>
    <row r="99" spans="1:13" ht="13">
      <c r="A99" s="18" t="s">
        <v>427</v>
      </c>
      <c r="B99" s="18" t="s">
        <v>260</v>
      </c>
      <c r="C99" s="18" t="s">
        <v>1078</v>
      </c>
      <c r="D99" s="18" t="s">
        <v>1151</v>
      </c>
      <c r="E99" s="18" t="s">
        <v>841</v>
      </c>
      <c r="F99" s="18" t="s">
        <v>690</v>
      </c>
      <c r="G99" s="18">
        <v>2008</v>
      </c>
      <c r="H99" s="40">
        <v>199</v>
      </c>
      <c r="I99" s="40" t="s">
        <v>402</v>
      </c>
      <c r="J99" s="18" t="s">
        <v>402</v>
      </c>
      <c r="L99" s="18" t="s">
        <v>460</v>
      </c>
      <c r="M99" s="18" t="s">
        <v>461</v>
      </c>
    </row>
    <row r="100" spans="1:13" ht="13">
      <c r="A100" s="18" t="s">
        <v>427</v>
      </c>
      <c r="B100" s="18" t="s">
        <v>260</v>
      </c>
      <c r="C100" s="18" t="s">
        <v>1078</v>
      </c>
      <c r="D100" s="18" t="s">
        <v>1151</v>
      </c>
      <c r="E100" s="18" t="s">
        <v>841</v>
      </c>
      <c r="F100" s="18" t="s">
        <v>690</v>
      </c>
      <c r="G100" s="18">
        <v>2009</v>
      </c>
      <c r="H100" s="40">
        <v>227</v>
      </c>
      <c r="I100" s="40" t="s">
        <v>402</v>
      </c>
      <c r="J100" s="18" t="s">
        <v>402</v>
      </c>
      <c r="L100" s="18" t="s">
        <v>460</v>
      </c>
      <c r="M100" s="18" t="s">
        <v>461</v>
      </c>
    </row>
    <row r="101" spans="1:13" ht="13">
      <c r="A101" s="18" t="s">
        <v>427</v>
      </c>
      <c r="B101" s="18" t="s">
        <v>260</v>
      </c>
      <c r="C101" s="18" t="s">
        <v>1078</v>
      </c>
      <c r="D101" s="18" t="s">
        <v>1151</v>
      </c>
      <c r="E101" s="18" t="s">
        <v>841</v>
      </c>
      <c r="F101" s="18" t="s">
        <v>690</v>
      </c>
      <c r="G101" s="18">
        <v>2010</v>
      </c>
      <c r="H101" s="40">
        <v>398</v>
      </c>
      <c r="I101" s="40" t="s">
        <v>402</v>
      </c>
      <c r="J101" s="18" t="s">
        <v>402</v>
      </c>
      <c r="L101" s="18" t="s">
        <v>460</v>
      </c>
      <c r="M101" s="18" t="s">
        <v>461</v>
      </c>
    </row>
    <row r="102" spans="1:13" ht="13">
      <c r="A102" s="18" t="s">
        <v>427</v>
      </c>
      <c r="B102" s="18" t="s">
        <v>260</v>
      </c>
      <c r="C102" s="18" t="s">
        <v>1078</v>
      </c>
      <c r="D102" s="18" t="s">
        <v>1151</v>
      </c>
      <c r="E102" s="18" t="s">
        <v>841</v>
      </c>
      <c r="F102" s="18" t="s">
        <v>690</v>
      </c>
      <c r="G102" s="18">
        <v>2011</v>
      </c>
      <c r="H102" s="40">
        <v>512</v>
      </c>
      <c r="I102" s="40" t="s">
        <v>402</v>
      </c>
      <c r="J102" s="18" t="s">
        <v>402</v>
      </c>
      <c r="L102" s="18" t="s">
        <v>460</v>
      </c>
      <c r="M102" s="18" t="s">
        <v>461</v>
      </c>
    </row>
    <row r="103" spans="1:13" ht="13">
      <c r="A103" s="18" t="s">
        <v>427</v>
      </c>
      <c r="B103" s="18" t="s">
        <v>260</v>
      </c>
      <c r="C103" s="18" t="s">
        <v>1078</v>
      </c>
      <c r="D103" s="18" t="s">
        <v>1151</v>
      </c>
      <c r="E103" s="18" t="s">
        <v>841</v>
      </c>
      <c r="F103" s="18" t="s">
        <v>690</v>
      </c>
      <c r="G103" s="18">
        <v>2012</v>
      </c>
      <c r="H103" s="40">
        <v>597</v>
      </c>
      <c r="I103" s="40" t="s">
        <v>402</v>
      </c>
      <c r="J103" s="18" t="s">
        <v>402</v>
      </c>
      <c r="L103" s="18" t="s">
        <v>460</v>
      </c>
      <c r="M103" s="18" t="s">
        <v>461</v>
      </c>
    </row>
    <row r="104" spans="1:13" ht="13">
      <c r="A104" s="18" t="s">
        <v>427</v>
      </c>
      <c r="B104" s="18" t="s">
        <v>260</v>
      </c>
      <c r="C104" s="18" t="s">
        <v>1078</v>
      </c>
      <c r="D104" s="18" t="s">
        <v>1151</v>
      </c>
      <c r="E104" s="18" t="s">
        <v>841</v>
      </c>
      <c r="F104" s="18" t="s">
        <v>690</v>
      </c>
      <c r="G104" s="18">
        <v>2013</v>
      </c>
      <c r="H104" s="40">
        <v>398</v>
      </c>
      <c r="I104" s="40" t="s">
        <v>402</v>
      </c>
      <c r="J104" s="18" t="s">
        <v>402</v>
      </c>
      <c r="L104" s="18" t="s">
        <v>460</v>
      </c>
      <c r="M104" s="18" t="s">
        <v>461</v>
      </c>
    </row>
    <row r="105" spans="1:13" ht="13">
      <c r="A105" s="18" t="s">
        <v>427</v>
      </c>
      <c r="B105" s="18" t="s">
        <v>260</v>
      </c>
      <c r="C105" s="18" t="s">
        <v>1078</v>
      </c>
      <c r="D105" s="18" t="s">
        <v>1151</v>
      </c>
      <c r="E105" s="18" t="s">
        <v>841</v>
      </c>
      <c r="F105" s="18" t="s">
        <v>690</v>
      </c>
      <c r="G105" s="18">
        <v>2014</v>
      </c>
      <c r="H105" s="40">
        <v>682</v>
      </c>
      <c r="I105" s="40" t="s">
        <v>402</v>
      </c>
      <c r="J105" s="18" t="s">
        <v>402</v>
      </c>
      <c r="L105" s="18" t="s">
        <v>460</v>
      </c>
      <c r="M105" s="18" t="s">
        <v>461</v>
      </c>
    </row>
    <row r="106" spans="1:13" ht="13">
      <c r="A106" s="18" t="s">
        <v>427</v>
      </c>
      <c r="B106" s="18" t="s">
        <v>260</v>
      </c>
      <c r="C106" s="18" t="s">
        <v>1078</v>
      </c>
      <c r="D106" s="18" t="s">
        <v>1151</v>
      </c>
      <c r="E106" s="18" t="s">
        <v>841</v>
      </c>
      <c r="F106" s="18" t="s">
        <v>690</v>
      </c>
      <c r="G106" s="18">
        <v>2015</v>
      </c>
      <c r="H106" s="40">
        <v>1137</v>
      </c>
      <c r="I106" s="40" t="s">
        <v>402</v>
      </c>
      <c r="J106" s="18" t="s">
        <v>402</v>
      </c>
      <c r="L106" s="18" t="s">
        <v>460</v>
      </c>
      <c r="M106" s="18" t="s">
        <v>461</v>
      </c>
    </row>
    <row r="107" spans="1:13" ht="13">
      <c r="A107" s="18" t="s">
        <v>427</v>
      </c>
      <c r="B107" s="18" t="s">
        <v>260</v>
      </c>
      <c r="C107" s="18" t="s">
        <v>1078</v>
      </c>
      <c r="D107" s="18" t="s">
        <v>1151</v>
      </c>
      <c r="E107" s="18" t="s">
        <v>841</v>
      </c>
      <c r="F107" s="18" t="s">
        <v>690</v>
      </c>
      <c r="G107" s="18">
        <v>2016</v>
      </c>
      <c r="H107" s="40">
        <v>1137</v>
      </c>
      <c r="I107" s="40" t="s">
        <v>402</v>
      </c>
      <c r="J107" s="18" t="s">
        <v>402</v>
      </c>
      <c r="L107" s="18" t="s">
        <v>460</v>
      </c>
      <c r="M107" s="18" t="s">
        <v>461</v>
      </c>
    </row>
    <row r="108" spans="1:13" ht="13">
      <c r="A108" s="18" t="s">
        <v>427</v>
      </c>
      <c r="B108" s="18" t="s">
        <v>260</v>
      </c>
      <c r="C108" s="18" t="s">
        <v>1078</v>
      </c>
      <c r="D108" s="18" t="s">
        <v>1151</v>
      </c>
      <c r="E108" s="18" t="s">
        <v>841</v>
      </c>
      <c r="F108" s="18" t="s">
        <v>690</v>
      </c>
      <c r="G108" s="18">
        <v>2017</v>
      </c>
      <c r="H108" s="40">
        <v>1592</v>
      </c>
      <c r="I108" s="40" t="s">
        <v>402</v>
      </c>
      <c r="J108" s="18" t="s">
        <v>402</v>
      </c>
      <c r="L108" s="18" t="s">
        <v>460</v>
      </c>
      <c r="M108" s="18" t="s">
        <v>461</v>
      </c>
    </row>
    <row r="109" spans="1:13" ht="13">
      <c r="A109" s="18" t="s">
        <v>427</v>
      </c>
      <c r="B109" s="18" t="s">
        <v>260</v>
      </c>
      <c r="C109" s="18" t="s">
        <v>1078</v>
      </c>
      <c r="D109" s="18" t="s">
        <v>1151</v>
      </c>
      <c r="E109" s="18" t="s">
        <v>841</v>
      </c>
      <c r="F109" s="18" t="s">
        <v>690</v>
      </c>
      <c r="G109" s="18">
        <v>2018</v>
      </c>
      <c r="H109" s="40">
        <v>1820</v>
      </c>
      <c r="I109" s="40" t="s">
        <v>402</v>
      </c>
      <c r="J109" s="18" t="s">
        <v>402</v>
      </c>
      <c r="L109" s="18" t="s">
        <v>460</v>
      </c>
      <c r="M109" s="18" t="s">
        <v>461</v>
      </c>
    </row>
    <row r="110" spans="1:13" ht="13">
      <c r="A110" s="18" t="s">
        <v>427</v>
      </c>
      <c r="B110" s="18" t="s">
        <v>260</v>
      </c>
      <c r="C110" s="18" t="s">
        <v>1078</v>
      </c>
      <c r="D110" s="18" t="s">
        <v>1151</v>
      </c>
      <c r="E110" s="18" t="s">
        <v>841</v>
      </c>
      <c r="F110" s="18" t="s">
        <v>690</v>
      </c>
      <c r="G110" s="18">
        <v>2019</v>
      </c>
      <c r="H110" s="40">
        <v>1592</v>
      </c>
      <c r="I110" s="40" t="s">
        <v>402</v>
      </c>
      <c r="J110" s="18" t="s">
        <v>402</v>
      </c>
      <c r="L110" s="18" t="s">
        <v>460</v>
      </c>
      <c r="M110" s="18" t="s">
        <v>461</v>
      </c>
    </row>
    <row r="111" spans="1:13" ht="13">
      <c r="A111" s="18" t="s">
        <v>427</v>
      </c>
      <c r="B111" s="18" t="s">
        <v>260</v>
      </c>
      <c r="C111" s="18" t="s">
        <v>1078</v>
      </c>
      <c r="D111" s="18" t="s">
        <v>1151</v>
      </c>
      <c r="E111" s="18" t="s">
        <v>841</v>
      </c>
      <c r="F111" s="18" t="s">
        <v>690</v>
      </c>
      <c r="G111" s="18">
        <v>2020</v>
      </c>
      <c r="H111" s="40">
        <v>2246</v>
      </c>
      <c r="I111" s="40" t="s">
        <v>402</v>
      </c>
      <c r="J111" s="18" t="s">
        <v>402</v>
      </c>
      <c r="L111" s="18" t="s">
        <v>460</v>
      </c>
      <c r="M111" s="18" t="s">
        <v>461</v>
      </c>
    </row>
    <row r="112" spans="1:13" ht="13">
      <c r="A112" s="18" t="s">
        <v>427</v>
      </c>
      <c r="B112" s="18" t="s">
        <v>260</v>
      </c>
      <c r="C112" s="18" t="s">
        <v>1079</v>
      </c>
      <c r="D112" s="18" t="s">
        <v>1151</v>
      </c>
      <c r="E112" s="18" t="s">
        <v>841</v>
      </c>
      <c r="F112" s="18" t="s">
        <v>690</v>
      </c>
      <c r="G112" s="18">
        <v>1968</v>
      </c>
      <c r="H112" s="40">
        <v>55</v>
      </c>
      <c r="I112" s="40" t="s">
        <v>402</v>
      </c>
      <c r="J112" s="18" t="s">
        <v>402</v>
      </c>
      <c r="L112" s="18" t="s">
        <v>460</v>
      </c>
      <c r="M112" s="18" t="s">
        <v>461</v>
      </c>
    </row>
    <row r="113" spans="1:13" ht="13">
      <c r="A113" s="18" t="s">
        <v>427</v>
      </c>
      <c r="B113" s="18" t="s">
        <v>260</v>
      </c>
      <c r="C113" s="18" t="s">
        <v>1079</v>
      </c>
      <c r="D113" s="18" t="s">
        <v>1151</v>
      </c>
      <c r="E113" s="18" t="s">
        <v>841</v>
      </c>
      <c r="F113" s="18" t="s">
        <v>690</v>
      </c>
      <c r="G113" s="18">
        <v>1969</v>
      </c>
      <c r="H113" s="40">
        <v>55</v>
      </c>
      <c r="I113" s="40" t="s">
        <v>402</v>
      </c>
      <c r="J113" s="18" t="s">
        <v>402</v>
      </c>
      <c r="L113" s="18" t="s">
        <v>460</v>
      </c>
      <c r="M113" s="18" t="s">
        <v>461</v>
      </c>
    </row>
    <row r="114" spans="1:13" ht="13">
      <c r="A114" s="18" t="s">
        <v>427</v>
      </c>
      <c r="B114" s="18" t="s">
        <v>260</v>
      </c>
      <c r="C114" s="18" t="s">
        <v>1079</v>
      </c>
      <c r="D114" s="18" t="s">
        <v>1151</v>
      </c>
      <c r="E114" s="18" t="s">
        <v>841</v>
      </c>
      <c r="F114" s="18" t="s">
        <v>690</v>
      </c>
      <c r="G114" s="18">
        <v>1970</v>
      </c>
      <c r="H114" s="40">
        <v>55</v>
      </c>
      <c r="I114" s="40" t="s">
        <v>402</v>
      </c>
      <c r="J114" s="18" t="s">
        <v>402</v>
      </c>
      <c r="L114" s="18" t="s">
        <v>460</v>
      </c>
      <c r="M114" s="18" t="s">
        <v>461</v>
      </c>
    </row>
    <row r="115" spans="1:13" ht="13">
      <c r="A115" s="18" t="s">
        <v>427</v>
      </c>
      <c r="B115" s="18" t="s">
        <v>260</v>
      </c>
      <c r="C115" s="18" t="s">
        <v>1079</v>
      </c>
      <c r="D115" s="18" t="s">
        <v>1151</v>
      </c>
      <c r="E115" s="18" t="s">
        <v>841</v>
      </c>
      <c r="F115" s="18" t="s">
        <v>690</v>
      </c>
      <c r="G115" s="18">
        <v>1971</v>
      </c>
      <c r="H115" s="40">
        <v>82</v>
      </c>
      <c r="I115" s="40" t="s">
        <v>402</v>
      </c>
      <c r="J115" s="18" t="s">
        <v>402</v>
      </c>
      <c r="L115" s="18" t="s">
        <v>460</v>
      </c>
      <c r="M115" s="18" t="s">
        <v>461</v>
      </c>
    </row>
    <row r="116" spans="1:13" ht="13">
      <c r="A116" s="18" t="s">
        <v>427</v>
      </c>
      <c r="B116" s="18" t="s">
        <v>260</v>
      </c>
      <c r="C116" s="18" t="s">
        <v>1079</v>
      </c>
      <c r="D116" s="18" t="s">
        <v>1151</v>
      </c>
      <c r="E116" s="18" t="s">
        <v>841</v>
      </c>
      <c r="F116" s="18" t="s">
        <v>690</v>
      </c>
      <c r="G116" s="18">
        <v>1972</v>
      </c>
      <c r="H116" s="40">
        <v>109</v>
      </c>
      <c r="I116" s="40" t="s">
        <v>402</v>
      </c>
      <c r="J116" s="18" t="s">
        <v>402</v>
      </c>
      <c r="L116" s="18" t="s">
        <v>460</v>
      </c>
      <c r="M116" s="18" t="s">
        <v>461</v>
      </c>
    </row>
    <row r="117" spans="1:13" ht="13">
      <c r="A117" s="18" t="s">
        <v>427</v>
      </c>
      <c r="B117" s="18" t="s">
        <v>260</v>
      </c>
      <c r="C117" s="18" t="s">
        <v>1079</v>
      </c>
      <c r="D117" s="18" t="s">
        <v>1151</v>
      </c>
      <c r="E117" s="18" t="s">
        <v>841</v>
      </c>
      <c r="F117" s="18" t="s">
        <v>690</v>
      </c>
      <c r="G117" s="18">
        <v>1973</v>
      </c>
      <c r="H117" s="40">
        <v>82</v>
      </c>
      <c r="I117" s="40" t="s">
        <v>402</v>
      </c>
      <c r="J117" s="18" t="s">
        <v>402</v>
      </c>
      <c r="L117" s="18" t="s">
        <v>460</v>
      </c>
      <c r="M117" s="18" t="s">
        <v>461</v>
      </c>
    </row>
    <row r="118" spans="1:13" ht="13">
      <c r="A118" s="18" t="s">
        <v>427</v>
      </c>
      <c r="B118" s="18" t="s">
        <v>260</v>
      </c>
      <c r="C118" s="18" t="s">
        <v>1079</v>
      </c>
      <c r="D118" s="18" t="s">
        <v>1151</v>
      </c>
      <c r="E118" s="18" t="s">
        <v>841</v>
      </c>
      <c r="F118" s="18" t="s">
        <v>690</v>
      </c>
      <c r="G118" s="18">
        <v>1974</v>
      </c>
      <c r="H118" s="40">
        <v>245</v>
      </c>
      <c r="I118" s="40" t="s">
        <v>402</v>
      </c>
      <c r="J118" s="18" t="s">
        <v>402</v>
      </c>
      <c r="L118" s="18" t="s">
        <v>460</v>
      </c>
      <c r="M118" s="18" t="s">
        <v>461</v>
      </c>
    </row>
    <row r="119" spans="1:13" ht="13">
      <c r="A119" s="18" t="s">
        <v>427</v>
      </c>
      <c r="B119" s="18" t="s">
        <v>260</v>
      </c>
      <c r="C119" s="18" t="s">
        <v>1079</v>
      </c>
      <c r="D119" s="18" t="s">
        <v>1151</v>
      </c>
      <c r="E119" s="18" t="s">
        <v>841</v>
      </c>
      <c r="F119" s="18" t="s">
        <v>690</v>
      </c>
      <c r="G119" s="18">
        <v>1975</v>
      </c>
      <c r="H119" s="40">
        <v>327</v>
      </c>
      <c r="I119" s="40" t="s">
        <v>402</v>
      </c>
      <c r="J119" s="18" t="s">
        <v>402</v>
      </c>
      <c r="L119" s="18" t="s">
        <v>460</v>
      </c>
      <c r="M119" s="18" t="s">
        <v>461</v>
      </c>
    </row>
    <row r="120" spans="1:13" ht="13">
      <c r="A120" s="18" t="s">
        <v>427</v>
      </c>
      <c r="B120" s="18" t="s">
        <v>260</v>
      </c>
      <c r="C120" s="18" t="s">
        <v>1079</v>
      </c>
      <c r="D120" s="18" t="s">
        <v>1151</v>
      </c>
      <c r="E120" s="18" t="s">
        <v>841</v>
      </c>
      <c r="F120" s="18" t="s">
        <v>690</v>
      </c>
      <c r="G120" s="18">
        <v>1976</v>
      </c>
      <c r="H120" s="40">
        <v>409</v>
      </c>
      <c r="I120" s="40" t="s">
        <v>402</v>
      </c>
      <c r="J120" s="18" t="s">
        <v>402</v>
      </c>
      <c r="L120" s="18" t="s">
        <v>460</v>
      </c>
      <c r="M120" s="18" t="s">
        <v>461</v>
      </c>
    </row>
    <row r="121" spans="1:13" ht="13">
      <c r="A121" s="18" t="s">
        <v>427</v>
      </c>
      <c r="B121" s="18" t="s">
        <v>260</v>
      </c>
      <c r="C121" s="18" t="s">
        <v>1079</v>
      </c>
      <c r="D121" s="18" t="s">
        <v>1151</v>
      </c>
      <c r="E121" s="18" t="s">
        <v>841</v>
      </c>
      <c r="F121" s="18" t="s">
        <v>690</v>
      </c>
      <c r="G121" s="18">
        <v>1977</v>
      </c>
      <c r="H121" s="40">
        <v>409</v>
      </c>
      <c r="I121" s="40" t="s">
        <v>402</v>
      </c>
      <c r="J121" s="18" t="s">
        <v>402</v>
      </c>
      <c r="L121" s="18" t="s">
        <v>460</v>
      </c>
      <c r="M121" s="18" t="s">
        <v>461</v>
      </c>
    </row>
    <row r="122" spans="1:13" ht="13">
      <c r="A122" s="18" t="s">
        <v>427</v>
      </c>
      <c r="B122" s="18" t="s">
        <v>260</v>
      </c>
      <c r="C122" s="18" t="s">
        <v>1079</v>
      </c>
      <c r="D122" s="18" t="s">
        <v>1151</v>
      </c>
      <c r="E122" s="18" t="s">
        <v>841</v>
      </c>
      <c r="F122" s="18" t="s">
        <v>690</v>
      </c>
      <c r="G122" s="18">
        <v>1978</v>
      </c>
      <c r="H122" s="40">
        <v>655</v>
      </c>
      <c r="I122" s="40" t="s">
        <v>402</v>
      </c>
      <c r="J122" s="18" t="s">
        <v>402</v>
      </c>
      <c r="L122" s="18" t="s">
        <v>460</v>
      </c>
      <c r="M122" s="18" t="s">
        <v>461</v>
      </c>
    </row>
    <row r="123" spans="1:13" ht="13">
      <c r="A123" s="18" t="s">
        <v>427</v>
      </c>
      <c r="B123" s="18" t="s">
        <v>260</v>
      </c>
      <c r="C123" s="18" t="s">
        <v>1079</v>
      </c>
      <c r="D123" s="18" t="s">
        <v>1151</v>
      </c>
      <c r="E123" s="18" t="s">
        <v>841</v>
      </c>
      <c r="F123" s="18" t="s">
        <v>690</v>
      </c>
      <c r="G123" s="18">
        <v>1979</v>
      </c>
      <c r="H123" s="40">
        <v>818</v>
      </c>
      <c r="I123" s="40" t="s">
        <v>402</v>
      </c>
      <c r="J123" s="18" t="s">
        <v>402</v>
      </c>
      <c r="L123" s="18" t="s">
        <v>460</v>
      </c>
      <c r="M123" s="18" t="s">
        <v>461</v>
      </c>
    </row>
    <row r="124" spans="1:13" ht="13">
      <c r="A124" s="18" t="s">
        <v>427</v>
      </c>
      <c r="B124" s="18" t="s">
        <v>260</v>
      </c>
      <c r="C124" s="18" t="s">
        <v>1079</v>
      </c>
      <c r="D124" s="18" t="s">
        <v>1151</v>
      </c>
      <c r="E124" s="18" t="s">
        <v>841</v>
      </c>
      <c r="F124" s="18" t="s">
        <v>690</v>
      </c>
      <c r="G124" s="18">
        <v>1980</v>
      </c>
      <c r="H124" s="40">
        <v>900</v>
      </c>
      <c r="I124" s="40" t="s">
        <v>402</v>
      </c>
      <c r="J124" s="18" t="s">
        <v>402</v>
      </c>
      <c r="L124" s="18" t="s">
        <v>460</v>
      </c>
      <c r="M124" s="18" t="s">
        <v>461</v>
      </c>
    </row>
    <row r="125" spans="1:13" ht="13">
      <c r="A125" s="18" t="s">
        <v>427</v>
      </c>
      <c r="B125" s="18" t="s">
        <v>260</v>
      </c>
      <c r="C125" s="18" t="s">
        <v>1079</v>
      </c>
      <c r="D125" s="18" t="s">
        <v>1151</v>
      </c>
      <c r="E125" s="18" t="s">
        <v>841</v>
      </c>
      <c r="F125" s="18" t="s">
        <v>690</v>
      </c>
      <c r="G125" s="18">
        <v>1981</v>
      </c>
      <c r="H125" s="40">
        <v>927</v>
      </c>
      <c r="I125" s="40" t="s">
        <v>402</v>
      </c>
      <c r="J125" s="18" t="s">
        <v>402</v>
      </c>
      <c r="L125" s="18" t="s">
        <v>460</v>
      </c>
      <c r="M125" s="18" t="s">
        <v>461</v>
      </c>
    </row>
    <row r="126" spans="1:13" ht="13">
      <c r="A126" s="18" t="s">
        <v>427</v>
      </c>
      <c r="B126" s="18" t="s">
        <v>260</v>
      </c>
      <c r="C126" s="18" t="s">
        <v>1079</v>
      </c>
      <c r="D126" s="18" t="s">
        <v>1151</v>
      </c>
      <c r="E126" s="18" t="s">
        <v>841</v>
      </c>
      <c r="F126" s="18" t="s">
        <v>690</v>
      </c>
      <c r="G126" s="18">
        <v>1982</v>
      </c>
      <c r="H126" s="40">
        <v>1009</v>
      </c>
      <c r="I126" s="40" t="s">
        <v>402</v>
      </c>
      <c r="J126" s="18" t="s">
        <v>402</v>
      </c>
      <c r="L126" s="18" t="s">
        <v>460</v>
      </c>
      <c r="M126" s="18" t="s">
        <v>461</v>
      </c>
    </row>
    <row r="127" spans="1:13" ht="13">
      <c r="A127" s="18" t="s">
        <v>427</v>
      </c>
      <c r="B127" s="18" t="s">
        <v>260</v>
      </c>
      <c r="C127" s="18" t="s">
        <v>1079</v>
      </c>
      <c r="D127" s="18" t="s">
        <v>1151</v>
      </c>
      <c r="E127" s="18" t="s">
        <v>841</v>
      </c>
      <c r="F127" s="18" t="s">
        <v>690</v>
      </c>
      <c r="G127" s="18">
        <v>1983</v>
      </c>
      <c r="H127" s="40">
        <v>382</v>
      </c>
      <c r="I127" s="40" t="s">
        <v>402</v>
      </c>
      <c r="J127" s="18" t="s">
        <v>402</v>
      </c>
      <c r="L127" s="18" t="s">
        <v>460</v>
      </c>
      <c r="M127" s="18" t="s">
        <v>461</v>
      </c>
    </row>
    <row r="128" spans="1:13" ht="13">
      <c r="A128" s="18" t="s">
        <v>427</v>
      </c>
      <c r="B128" s="18" t="s">
        <v>260</v>
      </c>
      <c r="C128" s="18" t="s">
        <v>1079</v>
      </c>
      <c r="D128" s="18" t="s">
        <v>1151</v>
      </c>
      <c r="E128" s="18" t="s">
        <v>841</v>
      </c>
      <c r="F128" s="18" t="s">
        <v>690</v>
      </c>
      <c r="G128" s="18">
        <v>1984</v>
      </c>
      <c r="H128" s="40">
        <v>491</v>
      </c>
      <c r="I128" s="40" t="s">
        <v>402</v>
      </c>
      <c r="J128" s="18" t="s">
        <v>402</v>
      </c>
      <c r="L128" s="18" t="s">
        <v>460</v>
      </c>
      <c r="M128" s="18" t="s">
        <v>461</v>
      </c>
    </row>
    <row r="129" spans="1:13" ht="13">
      <c r="A129" s="18" t="s">
        <v>427</v>
      </c>
      <c r="B129" s="18" t="s">
        <v>260</v>
      </c>
      <c r="C129" s="18" t="s">
        <v>1079</v>
      </c>
      <c r="D129" s="18" t="s">
        <v>1151</v>
      </c>
      <c r="E129" s="18" t="s">
        <v>841</v>
      </c>
      <c r="F129" s="18" t="s">
        <v>690</v>
      </c>
      <c r="G129" s="18">
        <v>1985</v>
      </c>
      <c r="H129" s="40">
        <v>436</v>
      </c>
      <c r="I129" s="40" t="s">
        <v>402</v>
      </c>
      <c r="J129" s="18" t="s">
        <v>402</v>
      </c>
      <c r="L129" s="18" t="s">
        <v>460</v>
      </c>
      <c r="M129" s="18" t="s">
        <v>461</v>
      </c>
    </row>
    <row r="130" spans="1:13" ht="13">
      <c r="A130" s="18" t="s">
        <v>427</v>
      </c>
      <c r="B130" s="18" t="s">
        <v>260</v>
      </c>
      <c r="C130" s="18" t="s">
        <v>1079</v>
      </c>
      <c r="D130" s="18" t="s">
        <v>1151</v>
      </c>
      <c r="E130" s="18" t="s">
        <v>841</v>
      </c>
      <c r="F130" s="18" t="s">
        <v>690</v>
      </c>
      <c r="G130" s="18">
        <v>1986</v>
      </c>
      <c r="H130" s="40">
        <v>682</v>
      </c>
      <c r="I130" s="40" t="s">
        <v>402</v>
      </c>
      <c r="J130" s="18" t="s">
        <v>402</v>
      </c>
      <c r="L130" s="18" t="s">
        <v>460</v>
      </c>
      <c r="M130" s="18" t="s">
        <v>461</v>
      </c>
    </row>
    <row r="131" spans="1:13" ht="13">
      <c r="A131" s="18" t="s">
        <v>427</v>
      </c>
      <c r="B131" s="18" t="s">
        <v>260</v>
      </c>
      <c r="C131" s="18" t="s">
        <v>1079</v>
      </c>
      <c r="D131" s="18" t="s">
        <v>1151</v>
      </c>
      <c r="E131" s="18" t="s">
        <v>841</v>
      </c>
      <c r="F131" s="18" t="s">
        <v>690</v>
      </c>
      <c r="G131" s="18">
        <v>1987</v>
      </c>
      <c r="H131" s="40">
        <v>736</v>
      </c>
      <c r="I131" s="40" t="s">
        <v>402</v>
      </c>
      <c r="J131" s="18" t="s">
        <v>402</v>
      </c>
      <c r="L131" s="18" t="s">
        <v>460</v>
      </c>
      <c r="M131" s="18" t="s">
        <v>461</v>
      </c>
    </row>
    <row r="132" spans="1:13" ht="13">
      <c r="A132" s="18" t="s">
        <v>427</v>
      </c>
      <c r="B132" s="18" t="s">
        <v>260</v>
      </c>
      <c r="C132" s="18" t="s">
        <v>1079</v>
      </c>
      <c r="D132" s="18" t="s">
        <v>1151</v>
      </c>
      <c r="E132" s="18" t="s">
        <v>841</v>
      </c>
      <c r="F132" s="18" t="s">
        <v>690</v>
      </c>
      <c r="G132" s="18">
        <v>1988</v>
      </c>
      <c r="H132" s="40">
        <v>709</v>
      </c>
      <c r="I132" s="40" t="s">
        <v>402</v>
      </c>
      <c r="J132" s="18" t="s">
        <v>402</v>
      </c>
      <c r="L132" s="18" t="s">
        <v>460</v>
      </c>
      <c r="M132" s="18" t="s">
        <v>461</v>
      </c>
    </row>
    <row r="133" spans="1:13" ht="13">
      <c r="A133" s="18" t="s">
        <v>427</v>
      </c>
      <c r="B133" s="18" t="s">
        <v>260</v>
      </c>
      <c r="C133" s="18" t="s">
        <v>1079</v>
      </c>
      <c r="D133" s="18" t="s">
        <v>1151</v>
      </c>
      <c r="E133" s="18" t="s">
        <v>841</v>
      </c>
      <c r="F133" s="18" t="s">
        <v>690</v>
      </c>
      <c r="G133" s="18">
        <v>1989</v>
      </c>
      <c r="H133" s="40">
        <v>736</v>
      </c>
      <c r="I133" s="40" t="s">
        <v>402</v>
      </c>
      <c r="J133" s="18" t="s">
        <v>402</v>
      </c>
      <c r="L133" s="18" t="s">
        <v>460</v>
      </c>
      <c r="M133" s="18" t="s">
        <v>461</v>
      </c>
    </row>
    <row r="134" spans="1:13" ht="13">
      <c r="A134" s="18" t="s">
        <v>427</v>
      </c>
      <c r="B134" s="18" t="s">
        <v>260</v>
      </c>
      <c r="C134" s="18" t="s">
        <v>1079</v>
      </c>
      <c r="D134" s="18" t="s">
        <v>1151</v>
      </c>
      <c r="E134" s="18" t="s">
        <v>841</v>
      </c>
      <c r="F134" s="18" t="s">
        <v>690</v>
      </c>
      <c r="G134" s="18">
        <v>1990</v>
      </c>
      <c r="H134" s="40">
        <v>1064</v>
      </c>
      <c r="I134" s="40" t="s">
        <v>402</v>
      </c>
      <c r="J134" s="18" t="s">
        <v>402</v>
      </c>
      <c r="L134" s="18" t="s">
        <v>460</v>
      </c>
      <c r="M134" s="18" t="s">
        <v>461</v>
      </c>
    </row>
    <row r="135" spans="1:13" ht="13">
      <c r="A135" s="18" t="s">
        <v>427</v>
      </c>
      <c r="B135" s="18" t="s">
        <v>260</v>
      </c>
      <c r="C135" s="18" t="s">
        <v>1079</v>
      </c>
      <c r="D135" s="18" t="s">
        <v>1151</v>
      </c>
      <c r="E135" s="18" t="s">
        <v>841</v>
      </c>
      <c r="F135" s="18" t="s">
        <v>690</v>
      </c>
      <c r="G135" s="18">
        <v>1991</v>
      </c>
      <c r="H135" s="40">
        <v>982</v>
      </c>
      <c r="I135" s="40" t="s">
        <v>402</v>
      </c>
      <c r="J135" s="18" t="s">
        <v>402</v>
      </c>
      <c r="L135" s="18" t="s">
        <v>460</v>
      </c>
      <c r="M135" s="18" t="s">
        <v>461</v>
      </c>
    </row>
    <row r="136" spans="1:13" ht="13">
      <c r="A136" s="18" t="s">
        <v>427</v>
      </c>
      <c r="B136" s="18" t="s">
        <v>260</v>
      </c>
      <c r="C136" s="18" t="s">
        <v>1079</v>
      </c>
      <c r="D136" s="18" t="s">
        <v>1151</v>
      </c>
      <c r="E136" s="18" t="s">
        <v>841</v>
      </c>
      <c r="F136" s="18" t="s">
        <v>690</v>
      </c>
      <c r="G136" s="18">
        <v>1992</v>
      </c>
      <c r="H136" s="40">
        <v>927</v>
      </c>
      <c r="I136" s="40" t="s">
        <v>402</v>
      </c>
      <c r="J136" s="18" t="s">
        <v>402</v>
      </c>
      <c r="L136" s="18" t="s">
        <v>460</v>
      </c>
      <c r="M136" s="18" t="s">
        <v>461</v>
      </c>
    </row>
    <row r="137" spans="1:13" ht="13">
      <c r="A137" s="18" t="s">
        <v>427</v>
      </c>
      <c r="B137" s="18" t="s">
        <v>260</v>
      </c>
      <c r="C137" s="18" t="s">
        <v>1079</v>
      </c>
      <c r="D137" s="18" t="s">
        <v>1151</v>
      </c>
      <c r="E137" s="18" t="s">
        <v>841</v>
      </c>
      <c r="F137" s="18" t="s">
        <v>690</v>
      </c>
      <c r="G137" s="18">
        <v>1993</v>
      </c>
      <c r="H137" s="40">
        <v>1255</v>
      </c>
      <c r="I137" s="40" t="s">
        <v>402</v>
      </c>
      <c r="J137" s="18" t="s">
        <v>402</v>
      </c>
      <c r="L137" s="18" t="s">
        <v>460</v>
      </c>
      <c r="M137" s="18" t="s">
        <v>461</v>
      </c>
    </row>
    <row r="138" spans="1:13" ht="13">
      <c r="A138" s="18" t="s">
        <v>427</v>
      </c>
      <c r="B138" s="18" t="s">
        <v>260</v>
      </c>
      <c r="C138" s="18" t="s">
        <v>1079</v>
      </c>
      <c r="D138" s="18" t="s">
        <v>1151</v>
      </c>
      <c r="E138" s="18" t="s">
        <v>841</v>
      </c>
      <c r="F138" s="18" t="s">
        <v>690</v>
      </c>
      <c r="G138" s="18">
        <v>1994</v>
      </c>
      <c r="H138" s="40">
        <v>1473</v>
      </c>
      <c r="I138" s="40" t="s">
        <v>402</v>
      </c>
      <c r="J138" s="18" t="s">
        <v>402</v>
      </c>
      <c r="L138" s="18" t="s">
        <v>460</v>
      </c>
      <c r="M138" s="18" t="s">
        <v>461</v>
      </c>
    </row>
    <row r="139" spans="1:13" ht="13">
      <c r="A139" s="18" t="s">
        <v>427</v>
      </c>
      <c r="B139" s="18" t="s">
        <v>260</v>
      </c>
      <c r="C139" s="18" t="s">
        <v>1079</v>
      </c>
      <c r="D139" s="18" t="s">
        <v>1151</v>
      </c>
      <c r="E139" s="18" t="s">
        <v>841</v>
      </c>
      <c r="F139" s="18" t="s">
        <v>690</v>
      </c>
      <c r="G139" s="18">
        <v>1995</v>
      </c>
      <c r="H139" s="40">
        <v>1555</v>
      </c>
      <c r="I139" s="40" t="s">
        <v>402</v>
      </c>
      <c r="J139" s="18" t="s">
        <v>402</v>
      </c>
      <c r="L139" s="18" t="s">
        <v>460</v>
      </c>
      <c r="M139" s="18" t="s">
        <v>461</v>
      </c>
    </row>
    <row r="140" spans="1:13" ht="13">
      <c r="A140" s="18" t="s">
        <v>427</v>
      </c>
      <c r="B140" s="18" t="s">
        <v>260</v>
      </c>
      <c r="C140" s="18" t="s">
        <v>1079</v>
      </c>
      <c r="D140" s="18" t="s">
        <v>1151</v>
      </c>
      <c r="E140" s="18" t="s">
        <v>841</v>
      </c>
      <c r="F140" s="18" t="s">
        <v>690</v>
      </c>
      <c r="G140" s="18">
        <v>1996</v>
      </c>
      <c r="H140" s="40">
        <v>1773</v>
      </c>
      <c r="I140" s="40" t="s">
        <v>402</v>
      </c>
      <c r="J140" s="18" t="s">
        <v>402</v>
      </c>
      <c r="L140" s="18" t="s">
        <v>460</v>
      </c>
      <c r="M140" s="18" t="s">
        <v>461</v>
      </c>
    </row>
    <row r="141" spans="1:13" ht="13">
      <c r="A141" s="18" t="s">
        <v>427</v>
      </c>
      <c r="B141" s="18" t="s">
        <v>260</v>
      </c>
      <c r="C141" s="18" t="s">
        <v>1079</v>
      </c>
      <c r="D141" s="18" t="s">
        <v>1151</v>
      </c>
      <c r="E141" s="18" t="s">
        <v>841</v>
      </c>
      <c r="F141" s="18" t="s">
        <v>690</v>
      </c>
      <c r="G141" s="18">
        <v>1997</v>
      </c>
      <c r="H141" s="40">
        <v>1718</v>
      </c>
      <c r="I141" s="40" t="s">
        <v>402</v>
      </c>
      <c r="J141" s="18" t="s">
        <v>402</v>
      </c>
      <c r="L141" s="18" t="s">
        <v>460</v>
      </c>
      <c r="M141" s="18" t="s">
        <v>461</v>
      </c>
    </row>
    <row r="142" spans="1:13" ht="13">
      <c r="A142" s="18" t="s">
        <v>427</v>
      </c>
      <c r="B142" s="18" t="s">
        <v>260</v>
      </c>
      <c r="C142" s="18" t="s">
        <v>1079</v>
      </c>
      <c r="D142" s="18" t="s">
        <v>1151</v>
      </c>
      <c r="E142" s="18" t="s">
        <v>841</v>
      </c>
      <c r="F142" s="18" t="s">
        <v>690</v>
      </c>
      <c r="G142" s="18">
        <v>1998</v>
      </c>
      <c r="H142" s="40">
        <v>327</v>
      </c>
      <c r="I142" s="40" t="s">
        <v>402</v>
      </c>
      <c r="J142" s="18" t="s">
        <v>402</v>
      </c>
      <c r="L142" s="18" t="s">
        <v>460</v>
      </c>
      <c r="M142" s="18" t="s">
        <v>461</v>
      </c>
    </row>
    <row r="143" spans="1:13" ht="13">
      <c r="A143" s="18" t="s">
        <v>427</v>
      </c>
      <c r="B143" s="18" t="s">
        <v>260</v>
      </c>
      <c r="C143" s="18" t="s">
        <v>1079</v>
      </c>
      <c r="D143" s="18" t="s">
        <v>1151</v>
      </c>
      <c r="E143" s="18" t="s">
        <v>841</v>
      </c>
      <c r="F143" s="18" t="s">
        <v>690</v>
      </c>
      <c r="G143" s="18">
        <v>1999</v>
      </c>
      <c r="H143" s="40">
        <v>600</v>
      </c>
      <c r="I143" s="40" t="s">
        <v>402</v>
      </c>
      <c r="J143" s="18" t="s">
        <v>402</v>
      </c>
      <c r="L143" s="18" t="s">
        <v>460</v>
      </c>
      <c r="M143" s="18" t="s">
        <v>461</v>
      </c>
    </row>
    <row r="144" spans="1:13" ht="13">
      <c r="A144" s="18" t="s">
        <v>427</v>
      </c>
      <c r="B144" s="18" t="s">
        <v>260</v>
      </c>
      <c r="C144" s="18" t="s">
        <v>1079</v>
      </c>
      <c r="D144" s="18" t="s">
        <v>1151</v>
      </c>
      <c r="E144" s="18" t="s">
        <v>841</v>
      </c>
      <c r="F144" s="18" t="s">
        <v>690</v>
      </c>
      <c r="G144" s="18">
        <v>2000</v>
      </c>
      <c r="H144" s="40">
        <v>927</v>
      </c>
      <c r="I144" s="40" t="s">
        <v>402</v>
      </c>
      <c r="J144" s="18" t="s">
        <v>402</v>
      </c>
      <c r="L144" s="18" t="s">
        <v>460</v>
      </c>
      <c r="M144" s="18" t="s">
        <v>461</v>
      </c>
    </row>
    <row r="145" spans="1:13" ht="13">
      <c r="A145" s="18" t="s">
        <v>427</v>
      </c>
      <c r="B145" s="18" t="s">
        <v>260</v>
      </c>
      <c r="C145" s="18" t="s">
        <v>1079</v>
      </c>
      <c r="D145" s="18" t="s">
        <v>1151</v>
      </c>
      <c r="E145" s="18" t="s">
        <v>841</v>
      </c>
      <c r="F145" s="18" t="s">
        <v>690</v>
      </c>
      <c r="G145" s="18">
        <v>2001</v>
      </c>
      <c r="H145" s="40">
        <v>1173</v>
      </c>
      <c r="I145" s="40" t="s">
        <v>402</v>
      </c>
      <c r="J145" s="18" t="s">
        <v>402</v>
      </c>
      <c r="L145" s="18" t="s">
        <v>460</v>
      </c>
      <c r="M145" s="18" t="s">
        <v>461</v>
      </c>
    </row>
    <row r="146" spans="1:13" ht="13">
      <c r="A146" s="18" t="s">
        <v>427</v>
      </c>
      <c r="B146" s="18" t="s">
        <v>260</v>
      </c>
      <c r="C146" s="18" t="s">
        <v>1079</v>
      </c>
      <c r="D146" s="18" t="s">
        <v>1151</v>
      </c>
      <c r="E146" s="18" t="s">
        <v>841</v>
      </c>
      <c r="F146" s="18" t="s">
        <v>690</v>
      </c>
      <c r="G146" s="18">
        <v>2002</v>
      </c>
      <c r="H146" s="40">
        <v>1091</v>
      </c>
      <c r="I146" s="40" t="s">
        <v>402</v>
      </c>
      <c r="J146" s="18" t="s">
        <v>402</v>
      </c>
      <c r="L146" s="18" t="s">
        <v>460</v>
      </c>
      <c r="M146" s="18" t="s">
        <v>461</v>
      </c>
    </row>
    <row r="147" spans="1:13" ht="13">
      <c r="A147" s="18" t="s">
        <v>427</v>
      </c>
      <c r="B147" s="18" t="s">
        <v>260</v>
      </c>
      <c r="C147" s="18" t="s">
        <v>1079</v>
      </c>
      <c r="D147" s="18" t="s">
        <v>1151</v>
      </c>
      <c r="E147" s="18" t="s">
        <v>841</v>
      </c>
      <c r="F147" s="18" t="s">
        <v>690</v>
      </c>
      <c r="G147" s="18">
        <v>2003</v>
      </c>
      <c r="H147" s="40">
        <v>1064</v>
      </c>
      <c r="I147" s="40" t="s">
        <v>402</v>
      </c>
      <c r="J147" s="18" t="s">
        <v>402</v>
      </c>
      <c r="L147" s="18" t="s">
        <v>460</v>
      </c>
      <c r="M147" s="18" t="s">
        <v>461</v>
      </c>
    </row>
    <row r="148" spans="1:13" ht="13">
      <c r="A148" s="18" t="s">
        <v>427</v>
      </c>
      <c r="B148" s="18" t="s">
        <v>260</v>
      </c>
      <c r="C148" s="18" t="s">
        <v>1079</v>
      </c>
      <c r="D148" s="18" t="s">
        <v>1151</v>
      </c>
      <c r="E148" s="18" t="s">
        <v>841</v>
      </c>
      <c r="F148" s="18" t="s">
        <v>690</v>
      </c>
      <c r="G148" s="18">
        <v>2004</v>
      </c>
      <c r="H148" s="40">
        <v>818</v>
      </c>
      <c r="I148" s="40" t="s">
        <v>402</v>
      </c>
      <c r="J148" s="18" t="s">
        <v>402</v>
      </c>
      <c r="L148" s="18" t="s">
        <v>460</v>
      </c>
      <c r="M148" s="18" t="s">
        <v>461</v>
      </c>
    </row>
    <row r="149" spans="1:13" ht="13">
      <c r="A149" s="18" t="s">
        <v>427</v>
      </c>
      <c r="B149" s="18" t="s">
        <v>260</v>
      </c>
      <c r="C149" s="18" t="s">
        <v>1079</v>
      </c>
      <c r="D149" s="18" t="s">
        <v>1151</v>
      </c>
      <c r="E149" s="18" t="s">
        <v>841</v>
      </c>
      <c r="F149" s="18" t="s">
        <v>690</v>
      </c>
      <c r="G149" s="18">
        <v>2005</v>
      </c>
      <c r="H149" s="40">
        <v>1118</v>
      </c>
      <c r="I149" s="40" t="s">
        <v>402</v>
      </c>
      <c r="J149" s="18" t="s">
        <v>402</v>
      </c>
      <c r="L149" s="18" t="s">
        <v>460</v>
      </c>
      <c r="M149" s="18" t="s">
        <v>461</v>
      </c>
    </row>
    <row r="150" spans="1:13" ht="13">
      <c r="A150" s="18" t="s">
        <v>427</v>
      </c>
      <c r="B150" s="18" t="s">
        <v>260</v>
      </c>
      <c r="C150" s="18" t="s">
        <v>1079</v>
      </c>
      <c r="D150" s="18" t="s">
        <v>1151</v>
      </c>
      <c r="E150" s="18" t="s">
        <v>841</v>
      </c>
      <c r="F150" s="18" t="s">
        <v>690</v>
      </c>
      <c r="G150" s="18">
        <v>2006</v>
      </c>
      <c r="H150" s="40">
        <v>1118</v>
      </c>
      <c r="I150" s="40" t="s">
        <v>402</v>
      </c>
      <c r="J150" s="18" t="s">
        <v>402</v>
      </c>
      <c r="L150" s="18" t="s">
        <v>460</v>
      </c>
      <c r="M150" s="18" t="s">
        <v>461</v>
      </c>
    </row>
    <row r="151" spans="1:13" ht="13">
      <c r="A151" s="18" t="s">
        <v>427</v>
      </c>
      <c r="B151" s="18" t="s">
        <v>260</v>
      </c>
      <c r="C151" s="18" t="s">
        <v>1079</v>
      </c>
      <c r="D151" s="18" t="s">
        <v>1151</v>
      </c>
      <c r="E151" s="18" t="s">
        <v>841</v>
      </c>
      <c r="F151" s="18" t="s">
        <v>690</v>
      </c>
      <c r="G151" s="18">
        <v>2007</v>
      </c>
      <c r="H151" s="40">
        <v>955</v>
      </c>
      <c r="I151" s="40" t="s">
        <v>402</v>
      </c>
      <c r="J151" s="18" t="s">
        <v>402</v>
      </c>
      <c r="L151" s="18" t="s">
        <v>460</v>
      </c>
      <c r="M151" s="18" t="s">
        <v>461</v>
      </c>
    </row>
    <row r="152" spans="1:13" ht="13">
      <c r="A152" s="18" t="s">
        <v>427</v>
      </c>
      <c r="B152" s="18" t="s">
        <v>260</v>
      </c>
      <c r="C152" s="18" t="s">
        <v>1079</v>
      </c>
      <c r="D152" s="18" t="s">
        <v>1151</v>
      </c>
      <c r="E152" s="18" t="s">
        <v>841</v>
      </c>
      <c r="F152" s="18" t="s">
        <v>690</v>
      </c>
      <c r="G152" s="18">
        <v>2008</v>
      </c>
      <c r="H152" s="40">
        <v>1364</v>
      </c>
      <c r="I152" s="40" t="s">
        <v>402</v>
      </c>
      <c r="J152" s="18" t="s">
        <v>402</v>
      </c>
      <c r="L152" s="18" t="s">
        <v>460</v>
      </c>
      <c r="M152" s="18" t="s">
        <v>461</v>
      </c>
    </row>
    <row r="153" spans="1:13" ht="13">
      <c r="A153" s="18" t="s">
        <v>427</v>
      </c>
      <c r="B153" s="18" t="s">
        <v>260</v>
      </c>
      <c r="C153" s="18" t="s">
        <v>1079</v>
      </c>
      <c r="D153" s="18" t="s">
        <v>1151</v>
      </c>
      <c r="E153" s="18" t="s">
        <v>841</v>
      </c>
      <c r="F153" s="18" t="s">
        <v>690</v>
      </c>
      <c r="G153" s="18">
        <v>2009</v>
      </c>
      <c r="H153" s="40">
        <v>1227</v>
      </c>
      <c r="I153" s="40" t="s">
        <v>402</v>
      </c>
      <c r="J153" s="18" t="s">
        <v>402</v>
      </c>
      <c r="L153" s="18" t="s">
        <v>460</v>
      </c>
      <c r="M153" s="18" t="s">
        <v>461</v>
      </c>
    </row>
    <row r="154" spans="1:13" ht="13">
      <c r="A154" s="18" t="s">
        <v>427</v>
      </c>
      <c r="B154" s="18" t="s">
        <v>260</v>
      </c>
      <c r="C154" s="18" t="s">
        <v>1079</v>
      </c>
      <c r="D154" s="18" t="s">
        <v>1151</v>
      </c>
      <c r="E154" s="18" t="s">
        <v>841</v>
      </c>
      <c r="F154" s="18" t="s">
        <v>690</v>
      </c>
      <c r="G154" s="18">
        <v>2010</v>
      </c>
      <c r="H154" s="40">
        <v>1500</v>
      </c>
      <c r="I154" s="40" t="s">
        <v>402</v>
      </c>
      <c r="J154" s="18" t="s">
        <v>402</v>
      </c>
      <c r="L154" s="18" t="s">
        <v>460</v>
      </c>
      <c r="M154" s="18" t="s">
        <v>461</v>
      </c>
    </row>
    <row r="155" spans="1:13" ht="13">
      <c r="A155" s="18" t="s">
        <v>427</v>
      </c>
      <c r="B155" s="18" t="s">
        <v>260</v>
      </c>
      <c r="C155" s="18" t="s">
        <v>1079</v>
      </c>
      <c r="D155" s="18" t="s">
        <v>1151</v>
      </c>
      <c r="E155" s="18" t="s">
        <v>841</v>
      </c>
      <c r="F155" s="18" t="s">
        <v>690</v>
      </c>
      <c r="G155" s="18">
        <v>2011</v>
      </c>
      <c r="H155" s="40">
        <v>1364</v>
      </c>
      <c r="I155" s="40" t="s">
        <v>402</v>
      </c>
      <c r="J155" s="18" t="s">
        <v>402</v>
      </c>
      <c r="L155" s="18" t="s">
        <v>460</v>
      </c>
      <c r="M155" s="18" t="s">
        <v>461</v>
      </c>
    </row>
    <row r="156" spans="1:13" ht="13">
      <c r="A156" s="18" t="s">
        <v>427</v>
      </c>
      <c r="B156" s="18" t="s">
        <v>260</v>
      </c>
      <c r="C156" s="18" t="s">
        <v>1079</v>
      </c>
      <c r="D156" s="18" t="s">
        <v>1151</v>
      </c>
      <c r="E156" s="18" t="s">
        <v>841</v>
      </c>
      <c r="F156" s="18" t="s">
        <v>690</v>
      </c>
      <c r="G156" s="18">
        <v>2012</v>
      </c>
      <c r="H156" s="40">
        <v>1636</v>
      </c>
      <c r="I156" s="40" t="s">
        <v>402</v>
      </c>
      <c r="J156" s="18" t="s">
        <v>402</v>
      </c>
      <c r="L156" s="18" t="s">
        <v>460</v>
      </c>
      <c r="M156" s="18" t="s">
        <v>461</v>
      </c>
    </row>
    <row r="157" spans="1:13" ht="13">
      <c r="A157" s="18" t="s">
        <v>427</v>
      </c>
      <c r="B157" s="18" t="s">
        <v>260</v>
      </c>
      <c r="C157" s="18" t="s">
        <v>1079</v>
      </c>
      <c r="D157" s="18" t="s">
        <v>1151</v>
      </c>
      <c r="E157" s="18" t="s">
        <v>841</v>
      </c>
      <c r="F157" s="18" t="s">
        <v>690</v>
      </c>
      <c r="G157" s="18">
        <v>2013</v>
      </c>
      <c r="H157" s="40">
        <v>1227</v>
      </c>
      <c r="I157" s="40" t="s">
        <v>402</v>
      </c>
      <c r="J157" s="18" t="s">
        <v>402</v>
      </c>
      <c r="L157" s="18" t="s">
        <v>460</v>
      </c>
      <c r="M157" s="18" t="s">
        <v>461</v>
      </c>
    </row>
    <row r="158" spans="1:13" ht="13">
      <c r="A158" s="18" t="s">
        <v>427</v>
      </c>
      <c r="B158" s="18" t="s">
        <v>260</v>
      </c>
      <c r="C158" s="18" t="s">
        <v>1079</v>
      </c>
      <c r="D158" s="18" t="s">
        <v>1151</v>
      </c>
      <c r="E158" s="18" t="s">
        <v>841</v>
      </c>
      <c r="F158" s="18" t="s">
        <v>690</v>
      </c>
      <c r="G158" s="18">
        <v>2014</v>
      </c>
      <c r="H158" s="40">
        <v>1609</v>
      </c>
      <c r="I158" s="40" t="s">
        <v>402</v>
      </c>
      <c r="J158" s="18" t="s">
        <v>402</v>
      </c>
      <c r="L158" s="18" t="s">
        <v>460</v>
      </c>
      <c r="M158" s="18" t="s">
        <v>461</v>
      </c>
    </row>
    <row r="159" spans="1:13" ht="13">
      <c r="A159" s="18" t="s">
        <v>427</v>
      </c>
      <c r="B159" s="18" t="s">
        <v>260</v>
      </c>
      <c r="C159" s="18" t="s">
        <v>1079</v>
      </c>
      <c r="D159" s="18" t="s">
        <v>1151</v>
      </c>
      <c r="E159" s="18" t="s">
        <v>841</v>
      </c>
      <c r="F159" s="18" t="s">
        <v>690</v>
      </c>
      <c r="G159" s="18">
        <v>2015</v>
      </c>
      <c r="H159" s="40">
        <v>1636</v>
      </c>
      <c r="I159" s="40" t="s">
        <v>402</v>
      </c>
      <c r="J159" s="18" t="s">
        <v>402</v>
      </c>
      <c r="L159" s="18" t="s">
        <v>460</v>
      </c>
      <c r="M159" s="18" t="s">
        <v>461</v>
      </c>
    </row>
    <row r="160" spans="1:13" ht="13">
      <c r="A160" s="18" t="s">
        <v>427</v>
      </c>
      <c r="B160" s="18" t="s">
        <v>260</v>
      </c>
      <c r="C160" s="18" t="s">
        <v>1079</v>
      </c>
      <c r="D160" s="18" t="s">
        <v>1151</v>
      </c>
      <c r="E160" s="18" t="s">
        <v>841</v>
      </c>
      <c r="F160" s="18" t="s">
        <v>690</v>
      </c>
      <c r="G160" s="18">
        <v>2016</v>
      </c>
      <c r="H160" s="40">
        <v>2182</v>
      </c>
      <c r="I160" s="40" t="s">
        <v>402</v>
      </c>
      <c r="J160" s="18" t="s">
        <v>402</v>
      </c>
      <c r="L160" s="18" t="s">
        <v>460</v>
      </c>
      <c r="M160" s="18" t="s">
        <v>461</v>
      </c>
    </row>
    <row r="161" spans="1:13" ht="13">
      <c r="A161" s="18" t="s">
        <v>427</v>
      </c>
      <c r="B161" s="18" t="s">
        <v>260</v>
      </c>
      <c r="C161" s="18" t="s">
        <v>1079</v>
      </c>
      <c r="D161" s="18" t="s">
        <v>1151</v>
      </c>
      <c r="E161" s="18" t="s">
        <v>841</v>
      </c>
      <c r="F161" s="18" t="s">
        <v>690</v>
      </c>
      <c r="G161" s="18">
        <v>2017</v>
      </c>
      <c r="H161" s="40">
        <v>2564</v>
      </c>
      <c r="I161" s="40" t="s">
        <v>402</v>
      </c>
      <c r="J161" s="18" t="s">
        <v>402</v>
      </c>
      <c r="L161" s="18" t="s">
        <v>460</v>
      </c>
      <c r="M161" s="18" t="s">
        <v>461</v>
      </c>
    </row>
    <row r="162" spans="1:13" ht="13">
      <c r="A162" s="18" t="s">
        <v>427</v>
      </c>
      <c r="B162" s="18" t="s">
        <v>260</v>
      </c>
      <c r="C162" s="18" t="s">
        <v>1079</v>
      </c>
      <c r="D162" s="18" t="s">
        <v>1151</v>
      </c>
      <c r="E162" s="18" t="s">
        <v>841</v>
      </c>
      <c r="F162" s="18" t="s">
        <v>690</v>
      </c>
      <c r="G162" s="18">
        <v>2018</v>
      </c>
      <c r="H162" s="40">
        <v>1902</v>
      </c>
      <c r="I162" s="40" t="s">
        <v>402</v>
      </c>
      <c r="J162" s="18" t="s">
        <v>402</v>
      </c>
      <c r="L162" s="18" t="s">
        <v>460</v>
      </c>
      <c r="M162" s="18" t="s">
        <v>461</v>
      </c>
    </row>
    <row r="163" spans="1:13" ht="13">
      <c r="A163" s="18" t="s">
        <v>427</v>
      </c>
      <c r="B163" s="18" t="s">
        <v>260</v>
      </c>
      <c r="C163" s="18" t="s">
        <v>1079</v>
      </c>
      <c r="D163" s="18" t="s">
        <v>1151</v>
      </c>
      <c r="E163" s="18" t="s">
        <v>841</v>
      </c>
      <c r="F163" s="18" t="s">
        <v>690</v>
      </c>
      <c r="G163" s="18">
        <v>2019</v>
      </c>
      <c r="H163" s="40">
        <v>1909</v>
      </c>
      <c r="I163" s="40" t="s">
        <v>402</v>
      </c>
      <c r="J163" s="18" t="s">
        <v>402</v>
      </c>
      <c r="L163" s="18" t="s">
        <v>460</v>
      </c>
      <c r="M163" s="18" t="s">
        <v>461</v>
      </c>
    </row>
    <row r="164" spans="1:13" ht="13">
      <c r="A164" s="18" t="s">
        <v>427</v>
      </c>
      <c r="B164" s="18" t="s">
        <v>260</v>
      </c>
      <c r="C164" s="18" t="s">
        <v>1080</v>
      </c>
      <c r="D164" s="18" t="s">
        <v>1151</v>
      </c>
      <c r="E164" s="18" t="s">
        <v>841</v>
      </c>
      <c r="F164" s="18" t="s">
        <v>690</v>
      </c>
      <c r="G164" s="18">
        <v>1972</v>
      </c>
      <c r="H164" s="40">
        <v>167</v>
      </c>
      <c r="I164" s="40" t="s">
        <v>402</v>
      </c>
      <c r="J164" s="18" t="s">
        <v>402</v>
      </c>
      <c r="L164" s="18" t="s">
        <v>460</v>
      </c>
      <c r="M164" s="18" t="s">
        <v>461</v>
      </c>
    </row>
    <row r="165" spans="1:13" ht="13">
      <c r="A165" s="18" t="s">
        <v>427</v>
      </c>
      <c r="B165" s="18" t="s">
        <v>260</v>
      </c>
      <c r="C165" s="18" t="s">
        <v>1080</v>
      </c>
      <c r="D165" s="18" t="s">
        <v>1151</v>
      </c>
      <c r="E165" s="18" t="s">
        <v>841</v>
      </c>
      <c r="F165" s="18" t="s">
        <v>690</v>
      </c>
      <c r="G165" s="18">
        <v>1973</v>
      </c>
      <c r="H165" s="40">
        <v>250</v>
      </c>
      <c r="I165" s="40" t="s">
        <v>402</v>
      </c>
      <c r="J165" s="18" t="s">
        <v>402</v>
      </c>
      <c r="L165" s="18" t="s">
        <v>460</v>
      </c>
      <c r="M165" s="18" t="s">
        <v>461</v>
      </c>
    </row>
    <row r="166" spans="1:13" ht="13">
      <c r="A166" s="18" t="s">
        <v>427</v>
      </c>
      <c r="B166" s="18" t="s">
        <v>260</v>
      </c>
      <c r="C166" s="18" t="s">
        <v>1080</v>
      </c>
      <c r="D166" s="18" t="s">
        <v>1151</v>
      </c>
      <c r="E166" s="18" t="s">
        <v>841</v>
      </c>
      <c r="F166" s="18" t="s">
        <v>690</v>
      </c>
      <c r="G166" s="18">
        <v>1974</v>
      </c>
      <c r="H166" s="40">
        <v>278</v>
      </c>
      <c r="I166" s="40" t="s">
        <v>402</v>
      </c>
      <c r="J166" s="18" t="s">
        <v>402</v>
      </c>
      <c r="L166" s="18" t="s">
        <v>460</v>
      </c>
      <c r="M166" s="18" t="s">
        <v>461</v>
      </c>
    </row>
    <row r="167" spans="1:13" ht="13">
      <c r="A167" s="18" t="s">
        <v>427</v>
      </c>
      <c r="B167" s="18" t="s">
        <v>260</v>
      </c>
      <c r="C167" s="18" t="s">
        <v>1080</v>
      </c>
      <c r="D167" s="18" t="s">
        <v>1151</v>
      </c>
      <c r="E167" s="18" t="s">
        <v>841</v>
      </c>
      <c r="F167" s="18" t="s">
        <v>690</v>
      </c>
      <c r="G167" s="18">
        <v>1975</v>
      </c>
      <c r="H167" s="40">
        <v>389</v>
      </c>
      <c r="I167" s="40" t="s">
        <v>402</v>
      </c>
      <c r="J167" s="18" t="s">
        <v>402</v>
      </c>
      <c r="L167" s="18" t="s">
        <v>460</v>
      </c>
      <c r="M167" s="18" t="s">
        <v>461</v>
      </c>
    </row>
    <row r="168" spans="1:13" ht="13">
      <c r="A168" s="18" t="s">
        <v>427</v>
      </c>
      <c r="B168" s="18" t="s">
        <v>260</v>
      </c>
      <c r="C168" s="18" t="s">
        <v>1080</v>
      </c>
      <c r="D168" s="18" t="s">
        <v>1151</v>
      </c>
      <c r="E168" s="18" t="s">
        <v>841</v>
      </c>
      <c r="F168" s="18" t="s">
        <v>690</v>
      </c>
      <c r="G168" s="18">
        <v>1976</v>
      </c>
      <c r="H168" s="40">
        <v>500</v>
      </c>
      <c r="I168" s="40" t="s">
        <v>402</v>
      </c>
      <c r="J168" s="18" t="s">
        <v>402</v>
      </c>
      <c r="L168" s="18" t="s">
        <v>460</v>
      </c>
      <c r="M168" s="18" t="s">
        <v>461</v>
      </c>
    </row>
    <row r="169" spans="1:13" ht="13">
      <c r="A169" s="18" t="s">
        <v>427</v>
      </c>
      <c r="B169" s="18" t="s">
        <v>260</v>
      </c>
      <c r="C169" s="18" t="s">
        <v>1080</v>
      </c>
      <c r="D169" s="18" t="s">
        <v>1151</v>
      </c>
      <c r="E169" s="18" t="s">
        <v>841</v>
      </c>
      <c r="F169" s="18" t="s">
        <v>690</v>
      </c>
      <c r="G169" s="18">
        <v>1977</v>
      </c>
      <c r="H169" s="40">
        <v>639</v>
      </c>
      <c r="I169" s="40" t="s">
        <v>402</v>
      </c>
      <c r="J169" s="18" t="s">
        <v>402</v>
      </c>
      <c r="L169" s="18" t="s">
        <v>460</v>
      </c>
      <c r="M169" s="18" t="s">
        <v>461</v>
      </c>
    </row>
    <row r="170" spans="1:13" ht="13">
      <c r="A170" s="18" t="s">
        <v>427</v>
      </c>
      <c r="B170" s="18" t="s">
        <v>260</v>
      </c>
      <c r="C170" s="18" t="s">
        <v>1080</v>
      </c>
      <c r="D170" s="18" t="s">
        <v>1151</v>
      </c>
      <c r="E170" s="18" t="s">
        <v>841</v>
      </c>
      <c r="F170" s="18" t="s">
        <v>690</v>
      </c>
      <c r="G170" s="18">
        <v>1978</v>
      </c>
      <c r="H170" s="40">
        <v>528</v>
      </c>
      <c r="I170" s="40" t="s">
        <v>402</v>
      </c>
      <c r="J170" s="18" t="s">
        <v>402</v>
      </c>
      <c r="L170" s="18" t="s">
        <v>460</v>
      </c>
      <c r="M170" s="18" t="s">
        <v>461</v>
      </c>
    </row>
    <row r="171" spans="1:13" ht="13">
      <c r="A171" s="18" t="s">
        <v>427</v>
      </c>
      <c r="B171" s="18" t="s">
        <v>260</v>
      </c>
      <c r="C171" s="18" t="s">
        <v>1080</v>
      </c>
      <c r="D171" s="18" t="s">
        <v>1151</v>
      </c>
      <c r="E171" s="18" t="s">
        <v>841</v>
      </c>
      <c r="F171" s="18" t="s">
        <v>690</v>
      </c>
      <c r="G171" s="18">
        <v>1979</v>
      </c>
      <c r="H171" s="40">
        <v>667</v>
      </c>
      <c r="I171" s="40" t="s">
        <v>402</v>
      </c>
      <c r="J171" s="18" t="s">
        <v>402</v>
      </c>
      <c r="L171" s="18" t="s">
        <v>460</v>
      </c>
      <c r="M171" s="18" t="s">
        <v>461</v>
      </c>
    </row>
    <row r="172" spans="1:13" ht="13">
      <c r="A172" s="18" t="s">
        <v>427</v>
      </c>
      <c r="B172" s="18" t="s">
        <v>260</v>
      </c>
      <c r="C172" s="18" t="s">
        <v>1080</v>
      </c>
      <c r="D172" s="18" t="s">
        <v>1151</v>
      </c>
      <c r="E172" s="18" t="s">
        <v>841</v>
      </c>
      <c r="F172" s="18" t="s">
        <v>690</v>
      </c>
      <c r="G172" s="18">
        <v>1980</v>
      </c>
      <c r="H172" s="40">
        <v>583</v>
      </c>
      <c r="I172" s="40" t="s">
        <v>402</v>
      </c>
      <c r="J172" s="18" t="s">
        <v>402</v>
      </c>
      <c r="L172" s="18" t="s">
        <v>460</v>
      </c>
      <c r="M172" s="18" t="s">
        <v>461</v>
      </c>
    </row>
    <row r="173" spans="1:13" ht="13">
      <c r="A173" s="18" t="s">
        <v>427</v>
      </c>
      <c r="B173" s="18" t="s">
        <v>260</v>
      </c>
      <c r="C173" s="18" t="s">
        <v>1080</v>
      </c>
      <c r="D173" s="18" t="s">
        <v>1151</v>
      </c>
      <c r="E173" s="18" t="s">
        <v>841</v>
      </c>
      <c r="F173" s="18" t="s">
        <v>690</v>
      </c>
      <c r="G173" s="18">
        <v>1981</v>
      </c>
      <c r="H173" s="40">
        <v>611</v>
      </c>
      <c r="I173" s="40" t="s">
        <v>402</v>
      </c>
      <c r="J173" s="18" t="s">
        <v>402</v>
      </c>
      <c r="L173" s="18" t="s">
        <v>460</v>
      </c>
      <c r="M173" s="18" t="s">
        <v>461</v>
      </c>
    </row>
    <row r="174" spans="1:13" ht="13">
      <c r="A174" s="18" t="s">
        <v>427</v>
      </c>
      <c r="B174" s="18" t="s">
        <v>260</v>
      </c>
      <c r="C174" s="18" t="s">
        <v>1080</v>
      </c>
      <c r="D174" s="18" t="s">
        <v>1151</v>
      </c>
      <c r="E174" s="18" t="s">
        <v>841</v>
      </c>
      <c r="F174" s="18" t="s">
        <v>690</v>
      </c>
      <c r="G174" s="18">
        <v>1982</v>
      </c>
      <c r="H174" s="40">
        <v>694</v>
      </c>
      <c r="I174" s="40" t="s">
        <v>402</v>
      </c>
      <c r="J174" s="18" t="s">
        <v>402</v>
      </c>
      <c r="L174" s="18" t="s">
        <v>460</v>
      </c>
      <c r="M174" s="18" t="s">
        <v>461</v>
      </c>
    </row>
    <row r="175" spans="1:13" ht="13">
      <c r="A175" s="18" t="s">
        <v>427</v>
      </c>
      <c r="B175" s="18" t="s">
        <v>260</v>
      </c>
      <c r="C175" s="18" t="s">
        <v>1080</v>
      </c>
      <c r="D175" s="18" t="s">
        <v>1151</v>
      </c>
      <c r="E175" s="18" t="s">
        <v>841</v>
      </c>
      <c r="F175" s="18" t="s">
        <v>690</v>
      </c>
      <c r="G175" s="18">
        <v>1983</v>
      </c>
      <c r="H175" s="40">
        <v>222</v>
      </c>
      <c r="I175" s="40" t="s">
        <v>402</v>
      </c>
      <c r="J175" s="18" t="s">
        <v>402</v>
      </c>
      <c r="L175" s="18" t="s">
        <v>460</v>
      </c>
      <c r="M175" s="18" t="s">
        <v>461</v>
      </c>
    </row>
    <row r="176" spans="1:13" ht="13">
      <c r="A176" s="18" t="s">
        <v>427</v>
      </c>
      <c r="B176" s="18" t="s">
        <v>260</v>
      </c>
      <c r="C176" s="18" t="s">
        <v>1080</v>
      </c>
      <c r="D176" s="18" t="s">
        <v>1151</v>
      </c>
      <c r="E176" s="18" t="s">
        <v>841</v>
      </c>
      <c r="F176" s="18" t="s">
        <v>690</v>
      </c>
      <c r="G176" s="18">
        <v>1984</v>
      </c>
      <c r="H176" s="40">
        <v>417</v>
      </c>
      <c r="I176" s="40" t="s">
        <v>402</v>
      </c>
      <c r="J176" s="18" t="s">
        <v>402</v>
      </c>
      <c r="L176" s="18" t="s">
        <v>460</v>
      </c>
      <c r="M176" s="18" t="s">
        <v>461</v>
      </c>
    </row>
    <row r="177" spans="1:13" ht="13">
      <c r="A177" s="18" t="s">
        <v>427</v>
      </c>
      <c r="B177" s="18" t="s">
        <v>260</v>
      </c>
      <c r="C177" s="18" t="s">
        <v>1080</v>
      </c>
      <c r="D177" s="18" t="s">
        <v>1151</v>
      </c>
      <c r="E177" s="18" t="s">
        <v>841</v>
      </c>
      <c r="F177" s="18" t="s">
        <v>690</v>
      </c>
      <c r="G177" s="18">
        <v>1985</v>
      </c>
      <c r="H177" s="40">
        <v>333</v>
      </c>
      <c r="I177" s="40" t="s">
        <v>402</v>
      </c>
      <c r="J177" s="18" t="s">
        <v>402</v>
      </c>
      <c r="L177" s="18" t="s">
        <v>460</v>
      </c>
      <c r="M177" s="18" t="s">
        <v>461</v>
      </c>
    </row>
    <row r="178" spans="1:13" ht="13">
      <c r="A178" s="18" t="s">
        <v>427</v>
      </c>
      <c r="B178" s="18" t="s">
        <v>260</v>
      </c>
      <c r="C178" s="18" t="s">
        <v>1080</v>
      </c>
      <c r="D178" s="18" t="s">
        <v>1151</v>
      </c>
      <c r="E178" s="18" t="s">
        <v>841</v>
      </c>
      <c r="F178" s="18" t="s">
        <v>690</v>
      </c>
      <c r="G178" s="18">
        <v>1986</v>
      </c>
      <c r="H178" s="40">
        <v>556</v>
      </c>
      <c r="I178" s="40" t="s">
        <v>402</v>
      </c>
      <c r="J178" s="18" t="s">
        <v>402</v>
      </c>
      <c r="L178" s="18" t="s">
        <v>460</v>
      </c>
      <c r="M178" s="18" t="s">
        <v>461</v>
      </c>
    </row>
    <row r="179" spans="1:13" ht="13">
      <c r="A179" s="18" t="s">
        <v>427</v>
      </c>
      <c r="B179" s="18" t="s">
        <v>260</v>
      </c>
      <c r="C179" s="18" t="s">
        <v>1080</v>
      </c>
      <c r="D179" s="18" t="s">
        <v>1151</v>
      </c>
      <c r="E179" s="18" t="s">
        <v>841</v>
      </c>
      <c r="F179" s="18" t="s">
        <v>690</v>
      </c>
      <c r="G179" s="18">
        <v>1987</v>
      </c>
      <c r="H179" s="40">
        <v>500</v>
      </c>
      <c r="I179" s="40" t="s">
        <v>402</v>
      </c>
      <c r="J179" s="18" t="s">
        <v>402</v>
      </c>
      <c r="L179" s="18" t="s">
        <v>460</v>
      </c>
      <c r="M179" s="18" t="s">
        <v>461</v>
      </c>
    </row>
    <row r="180" spans="1:13" ht="13">
      <c r="A180" s="18" t="s">
        <v>427</v>
      </c>
      <c r="B180" s="18" t="s">
        <v>260</v>
      </c>
      <c r="C180" s="18" t="s">
        <v>1080</v>
      </c>
      <c r="D180" s="18" t="s">
        <v>1151</v>
      </c>
      <c r="E180" s="18" t="s">
        <v>841</v>
      </c>
      <c r="F180" s="18" t="s">
        <v>690</v>
      </c>
      <c r="G180" s="18">
        <v>1988</v>
      </c>
      <c r="H180" s="40">
        <v>500</v>
      </c>
      <c r="I180" s="40" t="s">
        <v>402</v>
      </c>
      <c r="J180" s="18" t="s">
        <v>402</v>
      </c>
      <c r="L180" s="18" t="s">
        <v>460</v>
      </c>
      <c r="M180" s="18" t="s">
        <v>461</v>
      </c>
    </row>
    <row r="181" spans="1:13" ht="13">
      <c r="A181" s="18" t="s">
        <v>427</v>
      </c>
      <c r="B181" s="18" t="s">
        <v>260</v>
      </c>
      <c r="C181" s="18" t="s">
        <v>1080</v>
      </c>
      <c r="D181" s="18" t="s">
        <v>1151</v>
      </c>
      <c r="E181" s="18" t="s">
        <v>841</v>
      </c>
      <c r="F181" s="18" t="s">
        <v>690</v>
      </c>
      <c r="G181" s="18">
        <v>1989</v>
      </c>
      <c r="H181" s="40">
        <v>639</v>
      </c>
      <c r="I181" s="40" t="s">
        <v>402</v>
      </c>
      <c r="J181" s="18" t="s">
        <v>402</v>
      </c>
      <c r="L181" s="18" t="s">
        <v>460</v>
      </c>
      <c r="M181" s="18" t="s">
        <v>461</v>
      </c>
    </row>
    <row r="182" spans="1:13" ht="13">
      <c r="A182" s="18" t="s">
        <v>427</v>
      </c>
      <c r="B182" s="18" t="s">
        <v>260</v>
      </c>
      <c r="C182" s="18" t="s">
        <v>1080</v>
      </c>
      <c r="D182" s="18" t="s">
        <v>1151</v>
      </c>
      <c r="E182" s="18" t="s">
        <v>841</v>
      </c>
      <c r="F182" s="18" t="s">
        <v>690</v>
      </c>
      <c r="G182" s="18">
        <v>1990</v>
      </c>
      <c r="H182" s="40">
        <v>639</v>
      </c>
      <c r="I182" s="40" t="s">
        <v>402</v>
      </c>
      <c r="J182" s="18" t="s">
        <v>402</v>
      </c>
      <c r="L182" s="18" t="s">
        <v>460</v>
      </c>
      <c r="M182" s="18" t="s">
        <v>461</v>
      </c>
    </row>
    <row r="183" spans="1:13" ht="13">
      <c r="A183" s="18" t="s">
        <v>427</v>
      </c>
      <c r="B183" s="18" t="s">
        <v>260</v>
      </c>
      <c r="C183" s="18" t="s">
        <v>1080</v>
      </c>
      <c r="D183" s="18" t="s">
        <v>1151</v>
      </c>
      <c r="E183" s="18" t="s">
        <v>841</v>
      </c>
      <c r="F183" s="18" t="s">
        <v>690</v>
      </c>
      <c r="G183" s="18">
        <v>1991</v>
      </c>
      <c r="H183" s="40">
        <v>528</v>
      </c>
      <c r="I183" s="40" t="s">
        <v>402</v>
      </c>
      <c r="J183" s="18" t="s">
        <v>402</v>
      </c>
      <c r="L183" s="18" t="s">
        <v>460</v>
      </c>
      <c r="M183" s="18" t="s">
        <v>461</v>
      </c>
    </row>
    <row r="184" spans="1:13" ht="13">
      <c r="A184" s="18" t="s">
        <v>427</v>
      </c>
      <c r="B184" s="18" t="s">
        <v>260</v>
      </c>
      <c r="C184" s="18" t="s">
        <v>1080</v>
      </c>
      <c r="D184" s="18" t="s">
        <v>1151</v>
      </c>
      <c r="E184" s="18" t="s">
        <v>841</v>
      </c>
      <c r="F184" s="18" t="s">
        <v>690</v>
      </c>
      <c r="G184" s="18">
        <v>1992</v>
      </c>
      <c r="H184" s="40">
        <v>472</v>
      </c>
      <c r="I184" s="40" t="s">
        <v>402</v>
      </c>
      <c r="J184" s="18" t="s">
        <v>402</v>
      </c>
      <c r="L184" s="18" t="s">
        <v>460</v>
      </c>
      <c r="M184" s="18" t="s">
        <v>461</v>
      </c>
    </row>
    <row r="185" spans="1:13" ht="13">
      <c r="A185" s="18" t="s">
        <v>427</v>
      </c>
      <c r="B185" s="18" t="s">
        <v>260</v>
      </c>
      <c r="C185" s="18" t="s">
        <v>1080</v>
      </c>
      <c r="D185" s="18" t="s">
        <v>1151</v>
      </c>
      <c r="E185" s="18" t="s">
        <v>841</v>
      </c>
      <c r="F185" s="18" t="s">
        <v>690</v>
      </c>
      <c r="G185" s="18">
        <v>1993</v>
      </c>
      <c r="H185" s="40">
        <v>750</v>
      </c>
      <c r="I185" s="40" t="s">
        <v>402</v>
      </c>
      <c r="J185" s="18" t="s">
        <v>402</v>
      </c>
      <c r="L185" s="18" t="s">
        <v>460</v>
      </c>
      <c r="M185" s="18" t="s">
        <v>461</v>
      </c>
    </row>
    <row r="186" spans="1:13" ht="13">
      <c r="A186" s="18" t="s">
        <v>427</v>
      </c>
      <c r="B186" s="18" t="s">
        <v>260</v>
      </c>
      <c r="C186" s="18" t="s">
        <v>1080</v>
      </c>
      <c r="D186" s="18" t="s">
        <v>1151</v>
      </c>
      <c r="E186" s="18" t="s">
        <v>841</v>
      </c>
      <c r="F186" s="18" t="s">
        <v>690</v>
      </c>
      <c r="G186" s="18">
        <v>1994</v>
      </c>
      <c r="H186" s="40">
        <v>833</v>
      </c>
      <c r="I186" s="40" t="s">
        <v>402</v>
      </c>
      <c r="J186" s="18" t="s">
        <v>402</v>
      </c>
      <c r="L186" s="18" t="s">
        <v>460</v>
      </c>
      <c r="M186" s="18" t="s">
        <v>461</v>
      </c>
    </row>
    <row r="187" spans="1:13" ht="13">
      <c r="A187" s="18" t="s">
        <v>427</v>
      </c>
      <c r="B187" s="18" t="s">
        <v>260</v>
      </c>
      <c r="C187" s="18" t="s">
        <v>1080</v>
      </c>
      <c r="D187" s="18" t="s">
        <v>1151</v>
      </c>
      <c r="E187" s="18" t="s">
        <v>841</v>
      </c>
      <c r="F187" s="18" t="s">
        <v>690</v>
      </c>
      <c r="G187" s="18">
        <v>1995</v>
      </c>
      <c r="H187" s="40">
        <v>806</v>
      </c>
      <c r="I187" s="40" t="s">
        <v>402</v>
      </c>
      <c r="J187" s="18" t="s">
        <v>402</v>
      </c>
      <c r="L187" s="18" t="s">
        <v>460</v>
      </c>
      <c r="M187" s="18" t="s">
        <v>461</v>
      </c>
    </row>
    <row r="188" spans="1:13" ht="13">
      <c r="A188" s="18" t="s">
        <v>427</v>
      </c>
      <c r="B188" s="18" t="s">
        <v>260</v>
      </c>
      <c r="C188" s="18" t="s">
        <v>1080</v>
      </c>
      <c r="D188" s="18" t="s">
        <v>1151</v>
      </c>
      <c r="E188" s="18" t="s">
        <v>841</v>
      </c>
      <c r="F188" s="18" t="s">
        <v>690</v>
      </c>
      <c r="G188" s="18">
        <v>1997</v>
      </c>
      <c r="H188" s="40">
        <v>944</v>
      </c>
      <c r="I188" s="40" t="s">
        <v>402</v>
      </c>
      <c r="J188" s="18" t="s">
        <v>402</v>
      </c>
      <c r="L188" s="18" t="s">
        <v>460</v>
      </c>
      <c r="M188" s="18" t="s">
        <v>461</v>
      </c>
    </row>
    <row r="189" spans="1:13" ht="13">
      <c r="A189" s="18" t="s">
        <v>427</v>
      </c>
      <c r="B189" s="18" t="s">
        <v>260</v>
      </c>
      <c r="C189" s="18" t="s">
        <v>1080</v>
      </c>
      <c r="D189" s="18" t="s">
        <v>1151</v>
      </c>
      <c r="E189" s="18" t="s">
        <v>841</v>
      </c>
      <c r="F189" s="18" t="s">
        <v>690</v>
      </c>
      <c r="G189" s="18">
        <v>1998</v>
      </c>
      <c r="H189" s="40">
        <v>222</v>
      </c>
      <c r="I189" s="40" t="s">
        <v>402</v>
      </c>
      <c r="J189" s="18" t="s">
        <v>402</v>
      </c>
      <c r="L189" s="18" t="s">
        <v>460</v>
      </c>
      <c r="M189" s="18" t="s">
        <v>461</v>
      </c>
    </row>
    <row r="190" spans="1:13" ht="13">
      <c r="A190" s="18" t="s">
        <v>427</v>
      </c>
      <c r="B190" s="18" t="s">
        <v>260</v>
      </c>
      <c r="C190" s="18" t="s">
        <v>1080</v>
      </c>
      <c r="D190" s="18" t="s">
        <v>1151</v>
      </c>
      <c r="E190" s="18" t="s">
        <v>841</v>
      </c>
      <c r="F190" s="18" t="s">
        <v>690</v>
      </c>
      <c r="G190" s="18">
        <v>1999</v>
      </c>
      <c r="H190" s="40">
        <v>333</v>
      </c>
      <c r="I190" s="40" t="s">
        <v>402</v>
      </c>
      <c r="J190" s="18" t="s">
        <v>402</v>
      </c>
      <c r="L190" s="18" t="s">
        <v>460</v>
      </c>
      <c r="M190" s="18" t="s">
        <v>461</v>
      </c>
    </row>
    <row r="191" spans="1:13" ht="13">
      <c r="A191" s="18" t="s">
        <v>427</v>
      </c>
      <c r="B191" s="18" t="s">
        <v>260</v>
      </c>
      <c r="C191" s="18" t="s">
        <v>1080</v>
      </c>
      <c r="D191" s="18" t="s">
        <v>1151</v>
      </c>
      <c r="E191" s="18" t="s">
        <v>841</v>
      </c>
      <c r="F191" s="18" t="s">
        <v>690</v>
      </c>
      <c r="G191" s="18">
        <v>2000</v>
      </c>
      <c r="H191" s="40">
        <v>583</v>
      </c>
      <c r="I191" s="40" t="s">
        <v>402</v>
      </c>
      <c r="J191" s="18" t="s">
        <v>402</v>
      </c>
      <c r="L191" s="18" t="s">
        <v>460</v>
      </c>
      <c r="M191" s="18" t="s">
        <v>461</v>
      </c>
    </row>
    <row r="192" spans="1:13" ht="13">
      <c r="A192" s="18" t="s">
        <v>427</v>
      </c>
      <c r="B192" s="18" t="s">
        <v>260</v>
      </c>
      <c r="C192" s="18" t="s">
        <v>1080</v>
      </c>
      <c r="D192" s="18" t="s">
        <v>1151</v>
      </c>
      <c r="E192" s="18" t="s">
        <v>841</v>
      </c>
      <c r="F192" s="18" t="s">
        <v>690</v>
      </c>
      <c r="G192" s="18">
        <v>2001</v>
      </c>
      <c r="H192" s="40">
        <v>722</v>
      </c>
      <c r="I192" s="40" t="s">
        <v>402</v>
      </c>
      <c r="J192" s="18" t="s">
        <v>402</v>
      </c>
      <c r="L192" s="18" t="s">
        <v>460</v>
      </c>
      <c r="M192" s="18" t="s">
        <v>461</v>
      </c>
    </row>
    <row r="193" spans="1:28" ht="13">
      <c r="A193" s="18" t="s">
        <v>427</v>
      </c>
      <c r="B193" s="18" t="s">
        <v>260</v>
      </c>
      <c r="C193" s="18" t="s">
        <v>1080</v>
      </c>
      <c r="D193" s="18" t="s">
        <v>1151</v>
      </c>
      <c r="E193" s="18" t="s">
        <v>841</v>
      </c>
      <c r="F193" s="18" t="s">
        <v>690</v>
      </c>
      <c r="G193" s="18">
        <v>2002</v>
      </c>
      <c r="H193" s="40">
        <v>722</v>
      </c>
      <c r="I193" s="40" t="s">
        <v>402</v>
      </c>
      <c r="J193" s="18" t="s">
        <v>402</v>
      </c>
      <c r="L193" s="18" t="s">
        <v>460</v>
      </c>
      <c r="M193" s="18" t="s">
        <v>461</v>
      </c>
    </row>
    <row r="194" spans="1:28" ht="13">
      <c r="A194" s="18" t="s">
        <v>427</v>
      </c>
      <c r="B194" s="18" t="s">
        <v>260</v>
      </c>
      <c r="C194" s="18" t="s">
        <v>1080</v>
      </c>
      <c r="D194" s="18" t="s">
        <v>1151</v>
      </c>
      <c r="E194" s="18" t="s">
        <v>841</v>
      </c>
      <c r="F194" s="18" t="s">
        <v>690</v>
      </c>
      <c r="G194" s="18">
        <v>2004</v>
      </c>
      <c r="H194" s="40">
        <v>806</v>
      </c>
      <c r="I194" s="40" t="s">
        <v>402</v>
      </c>
      <c r="J194" s="18" t="s">
        <v>402</v>
      </c>
      <c r="L194" s="18" t="s">
        <v>460</v>
      </c>
      <c r="M194" s="18" t="s">
        <v>461</v>
      </c>
    </row>
    <row r="195" spans="1:28" ht="13">
      <c r="A195" s="18" t="s">
        <v>427</v>
      </c>
      <c r="B195" s="18" t="s">
        <v>260</v>
      </c>
      <c r="C195" s="18" t="s">
        <v>1080</v>
      </c>
      <c r="D195" s="18" t="s">
        <v>1151</v>
      </c>
      <c r="E195" s="18" t="s">
        <v>841</v>
      </c>
      <c r="F195" s="18" t="s">
        <v>690</v>
      </c>
      <c r="G195" s="18">
        <v>2005</v>
      </c>
      <c r="H195" s="40">
        <v>778</v>
      </c>
      <c r="I195" s="40" t="s">
        <v>402</v>
      </c>
      <c r="J195" s="18" t="s">
        <v>402</v>
      </c>
      <c r="L195" s="18" t="s">
        <v>460</v>
      </c>
      <c r="M195" s="18" t="s">
        <v>461</v>
      </c>
    </row>
    <row r="196" spans="1:28" ht="13">
      <c r="A196" s="18" t="s">
        <v>427</v>
      </c>
      <c r="B196" s="18" t="s">
        <v>260</v>
      </c>
      <c r="C196" s="18" t="s">
        <v>1080</v>
      </c>
      <c r="D196" s="18" t="s">
        <v>1151</v>
      </c>
      <c r="E196" s="18" t="s">
        <v>841</v>
      </c>
      <c r="F196" s="18" t="s">
        <v>690</v>
      </c>
      <c r="G196" s="18">
        <v>2006</v>
      </c>
      <c r="H196" s="40">
        <v>639</v>
      </c>
      <c r="I196" s="40" t="s">
        <v>402</v>
      </c>
      <c r="J196" s="18" t="s">
        <v>402</v>
      </c>
      <c r="L196" s="18" t="s">
        <v>460</v>
      </c>
      <c r="M196" s="18" t="s">
        <v>461</v>
      </c>
    </row>
    <row r="197" spans="1:28" ht="13">
      <c r="A197" s="18" t="s">
        <v>427</v>
      </c>
      <c r="B197" s="18" t="s">
        <v>260</v>
      </c>
      <c r="C197" s="18" t="s">
        <v>1080</v>
      </c>
      <c r="D197" s="18" t="s">
        <v>1151</v>
      </c>
      <c r="E197" s="18" t="s">
        <v>841</v>
      </c>
      <c r="F197" s="18" t="s">
        <v>690</v>
      </c>
      <c r="G197" s="18">
        <v>2007</v>
      </c>
      <c r="H197" s="40">
        <v>750</v>
      </c>
      <c r="I197" s="40" t="s">
        <v>402</v>
      </c>
      <c r="J197" s="18" t="s">
        <v>402</v>
      </c>
      <c r="L197" s="18" t="s">
        <v>460</v>
      </c>
      <c r="M197" s="18" t="s">
        <v>461</v>
      </c>
    </row>
    <row r="198" spans="1:28" ht="13">
      <c r="A198" s="18" t="s">
        <v>427</v>
      </c>
      <c r="B198" s="18" t="s">
        <v>260</v>
      </c>
      <c r="C198" s="18" t="s">
        <v>1080</v>
      </c>
      <c r="D198" s="18" t="s">
        <v>1151</v>
      </c>
      <c r="E198" s="18" t="s">
        <v>841</v>
      </c>
      <c r="F198" s="18" t="s">
        <v>690</v>
      </c>
      <c r="G198" s="18">
        <v>2008</v>
      </c>
      <c r="H198" s="40">
        <v>1056</v>
      </c>
      <c r="I198" s="40" t="s">
        <v>402</v>
      </c>
      <c r="J198" s="18" t="s">
        <v>402</v>
      </c>
      <c r="L198" s="18" t="s">
        <v>460</v>
      </c>
      <c r="M198" s="18" t="s">
        <v>461</v>
      </c>
    </row>
    <row r="199" spans="1:28" ht="13">
      <c r="A199" s="18" t="s">
        <v>427</v>
      </c>
      <c r="B199" s="18" t="s">
        <v>260</v>
      </c>
      <c r="C199" s="18" t="s">
        <v>1080</v>
      </c>
      <c r="D199" s="18" t="s">
        <v>1151</v>
      </c>
      <c r="E199" s="18" t="s">
        <v>841</v>
      </c>
      <c r="F199" s="18" t="s">
        <v>690</v>
      </c>
      <c r="G199" s="18">
        <v>2009</v>
      </c>
      <c r="H199" s="40">
        <v>778</v>
      </c>
      <c r="I199" s="40" t="s">
        <v>402</v>
      </c>
      <c r="J199" s="18" t="s">
        <v>402</v>
      </c>
      <c r="L199" s="18" t="s">
        <v>460</v>
      </c>
      <c r="M199" s="18" t="s">
        <v>461</v>
      </c>
    </row>
    <row r="200" spans="1:28" ht="13">
      <c r="A200" s="18" t="s">
        <v>427</v>
      </c>
      <c r="B200" s="18" t="s">
        <v>260</v>
      </c>
      <c r="C200" s="18" t="s">
        <v>1080</v>
      </c>
      <c r="D200" s="18" t="s">
        <v>1151</v>
      </c>
      <c r="E200" s="18" t="s">
        <v>841</v>
      </c>
      <c r="F200" s="18" t="s">
        <v>690</v>
      </c>
      <c r="G200" s="18">
        <v>2010</v>
      </c>
      <c r="H200" s="40">
        <v>1139</v>
      </c>
      <c r="I200" s="40" t="s">
        <v>402</v>
      </c>
      <c r="J200" s="18" t="s">
        <v>402</v>
      </c>
      <c r="L200" s="18" t="s">
        <v>460</v>
      </c>
      <c r="M200" s="18" t="s">
        <v>461</v>
      </c>
    </row>
    <row r="201" spans="1:28" ht="13">
      <c r="A201" s="18" t="s">
        <v>427</v>
      </c>
      <c r="B201" s="18" t="s">
        <v>260</v>
      </c>
      <c r="C201" s="18" t="s">
        <v>1080</v>
      </c>
      <c r="D201" s="18" t="s">
        <v>1151</v>
      </c>
      <c r="E201" s="18" t="s">
        <v>841</v>
      </c>
      <c r="F201" s="18" t="s">
        <v>690</v>
      </c>
      <c r="G201" s="18">
        <v>2011</v>
      </c>
      <c r="H201" s="40">
        <v>1139</v>
      </c>
      <c r="I201" s="40" t="s">
        <v>402</v>
      </c>
      <c r="J201" s="18" t="s">
        <v>402</v>
      </c>
      <c r="L201" s="18" t="s">
        <v>460</v>
      </c>
      <c r="M201" s="18" t="s">
        <v>461</v>
      </c>
    </row>
    <row r="202" spans="1:28" ht="13">
      <c r="A202" s="18" t="s">
        <v>427</v>
      </c>
      <c r="B202" s="18" t="s">
        <v>260</v>
      </c>
      <c r="C202" s="18" t="s">
        <v>1080</v>
      </c>
      <c r="D202" s="18" t="s">
        <v>1151</v>
      </c>
      <c r="E202" s="18" t="s">
        <v>841</v>
      </c>
      <c r="F202" s="18" t="s">
        <v>690</v>
      </c>
      <c r="G202" s="18">
        <v>2012</v>
      </c>
      <c r="H202" s="40">
        <v>1167</v>
      </c>
      <c r="I202" s="40" t="s">
        <v>402</v>
      </c>
      <c r="J202" s="18" t="s">
        <v>402</v>
      </c>
      <c r="L202" s="18" t="s">
        <v>460</v>
      </c>
      <c r="M202" s="18" t="s">
        <v>461</v>
      </c>
    </row>
    <row r="203" spans="1:28" ht="13">
      <c r="A203" s="18" t="s">
        <v>427</v>
      </c>
      <c r="B203" s="18" t="s">
        <v>260</v>
      </c>
      <c r="C203" s="18" t="s">
        <v>1080</v>
      </c>
      <c r="D203" s="18" t="s">
        <v>1151</v>
      </c>
      <c r="E203" s="18" t="s">
        <v>841</v>
      </c>
      <c r="F203" s="18" t="s">
        <v>690</v>
      </c>
      <c r="G203" s="18">
        <v>2013</v>
      </c>
      <c r="H203" s="40">
        <v>1250</v>
      </c>
      <c r="I203" s="40" t="s">
        <v>402</v>
      </c>
      <c r="J203" s="18" t="s">
        <v>402</v>
      </c>
      <c r="L203" s="18" t="s">
        <v>460</v>
      </c>
      <c r="M203" s="18" t="s">
        <v>461</v>
      </c>
    </row>
    <row r="204" spans="1:28" ht="13">
      <c r="A204" s="18" t="s">
        <v>427</v>
      </c>
      <c r="B204" s="18" t="s">
        <v>260</v>
      </c>
      <c r="C204" s="18" t="s">
        <v>1080</v>
      </c>
      <c r="D204" s="18" t="s">
        <v>1151</v>
      </c>
      <c r="E204" s="18" t="s">
        <v>841</v>
      </c>
      <c r="F204" s="18" t="s">
        <v>690</v>
      </c>
      <c r="G204" s="18">
        <v>2015</v>
      </c>
      <c r="H204" s="40">
        <v>917</v>
      </c>
      <c r="I204" s="40" t="s">
        <v>402</v>
      </c>
      <c r="J204" s="18" t="s">
        <v>402</v>
      </c>
      <c r="L204" s="18" t="s">
        <v>460</v>
      </c>
      <c r="M204" s="18" t="s">
        <v>461</v>
      </c>
    </row>
    <row r="205" spans="1:28" ht="13">
      <c r="A205" s="18" t="s">
        <v>427</v>
      </c>
      <c r="B205" s="18" t="s">
        <v>260</v>
      </c>
      <c r="C205" s="18" t="s">
        <v>1080</v>
      </c>
      <c r="D205" s="18" t="s">
        <v>1151</v>
      </c>
      <c r="E205" s="18" t="s">
        <v>841</v>
      </c>
      <c r="F205" s="18" t="s">
        <v>690</v>
      </c>
      <c r="G205" s="18">
        <v>2016</v>
      </c>
      <c r="H205" s="40">
        <v>1694</v>
      </c>
      <c r="I205" s="40" t="s">
        <v>402</v>
      </c>
      <c r="J205" s="18" t="s">
        <v>402</v>
      </c>
      <c r="L205" s="18" t="s">
        <v>460</v>
      </c>
      <c r="M205" s="18" t="s">
        <v>461</v>
      </c>
    </row>
    <row r="206" spans="1:28" ht="13">
      <c r="A206" s="18" t="s">
        <v>427</v>
      </c>
      <c r="B206" s="18" t="s">
        <v>260</v>
      </c>
      <c r="C206" s="18" t="s">
        <v>1080</v>
      </c>
      <c r="D206" s="18" t="s">
        <v>1151</v>
      </c>
      <c r="E206" s="18" t="s">
        <v>841</v>
      </c>
      <c r="F206" s="18" t="s">
        <v>690</v>
      </c>
      <c r="G206" s="18">
        <v>2017</v>
      </c>
      <c r="H206" s="40">
        <v>1778</v>
      </c>
      <c r="I206" s="40" t="s">
        <v>402</v>
      </c>
      <c r="J206" s="18" t="s">
        <v>402</v>
      </c>
      <c r="L206" s="18" t="s">
        <v>460</v>
      </c>
      <c r="M206" s="18" t="s">
        <v>461</v>
      </c>
    </row>
    <row r="207" spans="1:28" ht="13">
      <c r="A207" s="18" t="s">
        <v>427</v>
      </c>
      <c r="B207" s="18" t="s">
        <v>260</v>
      </c>
      <c r="C207" s="18" t="s">
        <v>1080</v>
      </c>
      <c r="D207" s="18" t="s">
        <v>1151</v>
      </c>
      <c r="E207" s="18" t="s">
        <v>841</v>
      </c>
      <c r="F207" s="18" t="s">
        <v>690</v>
      </c>
      <c r="G207" s="18">
        <v>2019</v>
      </c>
      <c r="H207" s="40">
        <v>1167</v>
      </c>
      <c r="I207" s="40" t="s">
        <v>402</v>
      </c>
      <c r="J207" s="18" t="s">
        <v>402</v>
      </c>
      <c r="L207" s="18" t="s">
        <v>460</v>
      </c>
      <c r="M207" s="18" t="s">
        <v>461</v>
      </c>
    </row>
    <row r="208" spans="1:28" ht="28">
      <c r="A208" s="30" t="s">
        <v>345</v>
      </c>
      <c r="B208" s="30" t="s">
        <v>1058</v>
      </c>
      <c r="C208" s="88" t="s">
        <v>1152</v>
      </c>
      <c r="D208" s="30" t="s">
        <v>632</v>
      </c>
      <c r="E208" s="48">
        <v>1987</v>
      </c>
      <c r="F208" s="48">
        <v>7236</v>
      </c>
      <c r="G208" s="30" t="s">
        <v>402</v>
      </c>
      <c r="H208" s="30" t="s">
        <v>402</v>
      </c>
      <c r="I208" s="30" t="s">
        <v>647</v>
      </c>
      <c r="J208" s="30" t="s">
        <v>349</v>
      </c>
      <c r="K208" s="30" t="s">
        <v>1153</v>
      </c>
      <c r="L208" s="30"/>
      <c r="M208" s="30"/>
      <c r="N208" s="30"/>
      <c r="O208" s="30"/>
      <c r="P208" s="30"/>
      <c r="Q208" s="30"/>
      <c r="R208" s="30"/>
      <c r="S208" s="30"/>
      <c r="T208" s="30"/>
      <c r="U208" s="30"/>
      <c r="V208" s="30"/>
      <c r="W208" s="30"/>
      <c r="X208" s="30"/>
      <c r="Y208" s="30"/>
      <c r="Z208" s="30"/>
      <c r="AA208" s="30"/>
      <c r="AB208" s="30"/>
    </row>
    <row r="209" spans="1:28" ht="28">
      <c r="A209" s="30" t="s">
        <v>345</v>
      </c>
      <c r="B209" s="30" t="s">
        <v>1058</v>
      </c>
      <c r="C209" s="88" t="s">
        <v>1152</v>
      </c>
      <c r="D209" s="30" t="s">
        <v>632</v>
      </c>
      <c r="E209" s="48">
        <v>1992</v>
      </c>
      <c r="F209" s="48">
        <v>8415</v>
      </c>
      <c r="G209" s="30" t="s">
        <v>402</v>
      </c>
      <c r="H209" s="30" t="s">
        <v>402</v>
      </c>
      <c r="I209" s="30" t="s">
        <v>647</v>
      </c>
      <c r="J209" s="30" t="s">
        <v>349</v>
      </c>
      <c r="K209" s="30"/>
      <c r="L209" s="30"/>
      <c r="M209" s="30"/>
      <c r="N209" s="30"/>
      <c r="O209" s="30"/>
      <c r="P209" s="30"/>
      <c r="Q209" s="30"/>
      <c r="R209" s="30"/>
      <c r="S209" s="30"/>
      <c r="T209" s="30"/>
      <c r="U209" s="30"/>
      <c r="V209" s="30"/>
      <c r="W209" s="30"/>
      <c r="X209" s="30"/>
      <c r="Y209" s="30"/>
      <c r="Z209" s="30"/>
      <c r="AA209" s="30"/>
      <c r="AB209" s="30"/>
    </row>
    <row r="210" spans="1:28" ht="28">
      <c r="A210" s="30" t="s">
        <v>345</v>
      </c>
      <c r="B210" s="30" t="s">
        <v>1058</v>
      </c>
      <c r="C210" s="88" t="s">
        <v>1152</v>
      </c>
      <c r="D210" s="30" t="s">
        <v>632</v>
      </c>
      <c r="E210" s="48">
        <v>1994</v>
      </c>
      <c r="F210" s="48">
        <v>9210</v>
      </c>
      <c r="G210" s="30" t="s">
        <v>402</v>
      </c>
      <c r="H210" s="30" t="s">
        <v>402</v>
      </c>
      <c r="I210" s="30" t="s">
        <v>647</v>
      </c>
      <c r="J210" s="30" t="s">
        <v>349</v>
      </c>
      <c r="K210" s="30"/>
      <c r="L210" s="30"/>
      <c r="M210" s="30"/>
      <c r="N210" s="30"/>
      <c r="O210" s="30"/>
      <c r="P210" s="30"/>
      <c r="Q210" s="30"/>
      <c r="R210" s="30"/>
      <c r="S210" s="30"/>
      <c r="T210" s="30"/>
      <c r="U210" s="30"/>
      <c r="V210" s="30"/>
      <c r="W210" s="30"/>
      <c r="X210" s="30"/>
      <c r="Y210" s="30"/>
      <c r="Z210" s="30"/>
      <c r="AA210" s="30"/>
      <c r="AB210" s="30"/>
    </row>
    <row r="211" spans="1:28" ht="28">
      <c r="A211" s="30" t="s">
        <v>345</v>
      </c>
      <c r="B211" s="30" t="s">
        <v>1058</v>
      </c>
      <c r="C211" s="88" t="s">
        <v>1152</v>
      </c>
      <c r="D211" s="30" t="s">
        <v>632</v>
      </c>
      <c r="E211" s="48">
        <v>1998</v>
      </c>
      <c r="F211" s="48">
        <v>11005</v>
      </c>
      <c r="G211" s="30" t="s">
        <v>402</v>
      </c>
      <c r="H211" s="30" t="s">
        <v>402</v>
      </c>
      <c r="I211" s="30" t="s">
        <v>647</v>
      </c>
      <c r="J211" s="30" t="s">
        <v>349</v>
      </c>
      <c r="K211" s="30"/>
      <c r="L211" s="30"/>
      <c r="M211" s="30"/>
      <c r="N211" s="30"/>
      <c r="O211" s="30"/>
      <c r="P211" s="30"/>
      <c r="Q211" s="30"/>
      <c r="R211" s="30"/>
      <c r="S211" s="30"/>
      <c r="T211" s="30"/>
      <c r="U211" s="30"/>
      <c r="V211" s="30"/>
      <c r="W211" s="30"/>
      <c r="X211" s="30"/>
      <c r="Y211" s="30"/>
      <c r="Z211" s="30"/>
      <c r="AA211" s="30"/>
      <c r="AB211" s="30"/>
    </row>
    <row r="212" spans="1:28" ht="28">
      <c r="A212" s="30" t="s">
        <v>345</v>
      </c>
      <c r="B212" s="30" t="s">
        <v>1058</v>
      </c>
      <c r="C212" s="88" t="s">
        <v>1152</v>
      </c>
      <c r="D212" s="30" t="s">
        <v>632</v>
      </c>
      <c r="E212" s="48">
        <v>2002</v>
      </c>
      <c r="F212" s="48">
        <v>12799</v>
      </c>
      <c r="G212" s="30" t="s">
        <v>402</v>
      </c>
      <c r="H212" s="30" t="s">
        <v>402</v>
      </c>
      <c r="I212" s="30" t="s">
        <v>647</v>
      </c>
      <c r="J212" s="30" t="s">
        <v>349</v>
      </c>
      <c r="K212" s="30"/>
      <c r="L212" s="30"/>
      <c r="M212" s="30"/>
      <c r="N212" s="30"/>
      <c r="O212" s="30"/>
      <c r="P212" s="30"/>
      <c r="Q212" s="30"/>
      <c r="R212" s="30"/>
      <c r="S212" s="30"/>
      <c r="T212" s="30"/>
      <c r="U212" s="30"/>
      <c r="V212" s="30"/>
      <c r="W212" s="30"/>
      <c r="X212" s="30"/>
      <c r="Y212" s="30"/>
      <c r="Z212" s="30"/>
      <c r="AA212" s="30"/>
      <c r="AB212" s="30"/>
    </row>
    <row r="213" spans="1:28" ht="28">
      <c r="A213" s="30" t="s">
        <v>345</v>
      </c>
      <c r="B213" s="30" t="s">
        <v>1058</v>
      </c>
      <c r="C213" s="88" t="s">
        <v>1152</v>
      </c>
      <c r="D213" s="30" t="s">
        <v>632</v>
      </c>
      <c r="E213" s="48">
        <v>2006</v>
      </c>
      <c r="F213" s="48">
        <v>16215</v>
      </c>
      <c r="G213" s="30" t="s">
        <v>402</v>
      </c>
      <c r="H213" s="30" t="s">
        <v>402</v>
      </c>
      <c r="I213" s="30" t="s">
        <v>647</v>
      </c>
      <c r="J213" s="30" t="s">
        <v>349</v>
      </c>
      <c r="K213" s="30"/>
      <c r="L213" s="30"/>
      <c r="M213" s="30"/>
      <c r="N213" s="30"/>
      <c r="O213" s="30"/>
      <c r="P213" s="30"/>
      <c r="Q213" s="30"/>
      <c r="R213" s="30"/>
      <c r="S213" s="30"/>
      <c r="T213" s="30"/>
      <c r="U213" s="30"/>
      <c r="V213" s="30"/>
      <c r="W213" s="30"/>
      <c r="X213" s="30"/>
      <c r="Y213" s="30"/>
      <c r="Z213" s="30"/>
      <c r="AA213" s="30"/>
      <c r="AB213" s="30"/>
    </row>
    <row r="214" spans="1:28" ht="28">
      <c r="A214" s="30" t="s">
        <v>345</v>
      </c>
      <c r="B214" s="30" t="s">
        <v>1058</v>
      </c>
      <c r="C214" s="88" t="s">
        <v>1152</v>
      </c>
      <c r="D214" s="30" t="s">
        <v>632</v>
      </c>
      <c r="E214" s="48">
        <v>2008</v>
      </c>
      <c r="F214" s="48">
        <v>15186</v>
      </c>
      <c r="G214" s="30" t="s">
        <v>402</v>
      </c>
      <c r="H214" s="30" t="s">
        <v>402</v>
      </c>
      <c r="I214" s="30" t="s">
        <v>647</v>
      </c>
      <c r="J214" s="30" t="s">
        <v>349</v>
      </c>
      <c r="K214" s="30"/>
      <c r="L214" s="30"/>
      <c r="M214" s="30"/>
      <c r="N214" s="30"/>
      <c r="O214" s="30"/>
      <c r="P214" s="30"/>
      <c r="Q214" s="30"/>
      <c r="R214" s="30"/>
      <c r="S214" s="30"/>
      <c r="T214" s="30"/>
      <c r="U214" s="30"/>
      <c r="V214" s="30"/>
      <c r="W214" s="30"/>
      <c r="X214" s="30"/>
      <c r="Y214" s="30"/>
      <c r="Z214" s="30"/>
      <c r="AA214" s="30"/>
      <c r="AB214" s="30"/>
    </row>
    <row r="215" spans="1:28" ht="28">
      <c r="A215" s="30" t="s">
        <v>345</v>
      </c>
      <c r="B215" s="30" t="s">
        <v>1058</v>
      </c>
      <c r="C215" s="88" t="s">
        <v>1152</v>
      </c>
      <c r="D215" s="30" t="s">
        <v>632</v>
      </c>
      <c r="E215" s="48">
        <v>2010</v>
      </c>
      <c r="F215" s="48">
        <v>18821</v>
      </c>
      <c r="G215" s="30" t="s">
        <v>402</v>
      </c>
      <c r="H215" s="30" t="s">
        <v>402</v>
      </c>
      <c r="I215" s="30" t="s">
        <v>647</v>
      </c>
      <c r="J215" s="30" t="s">
        <v>349</v>
      </c>
      <c r="K215" s="30"/>
      <c r="L215" s="30"/>
      <c r="M215" s="30"/>
      <c r="N215" s="30"/>
      <c r="O215" s="30"/>
      <c r="P215" s="30"/>
      <c r="Q215" s="30"/>
      <c r="R215" s="30"/>
      <c r="S215" s="30"/>
      <c r="T215" s="30"/>
      <c r="U215" s="30"/>
      <c r="V215" s="30"/>
      <c r="W215" s="30"/>
      <c r="X215" s="30"/>
      <c r="Y215" s="30"/>
      <c r="Z215" s="30"/>
      <c r="AA215" s="30"/>
      <c r="AB215" s="30"/>
    </row>
    <row r="216" spans="1:28" ht="28">
      <c r="A216" s="30" t="s">
        <v>345</v>
      </c>
      <c r="B216" s="30" t="s">
        <v>1058</v>
      </c>
      <c r="C216" s="88" t="s">
        <v>1152</v>
      </c>
      <c r="D216" s="30" t="s">
        <v>632</v>
      </c>
      <c r="E216" s="48">
        <v>2013</v>
      </c>
      <c r="F216" s="48">
        <v>22650</v>
      </c>
      <c r="G216" s="30" t="s">
        <v>402</v>
      </c>
      <c r="H216" s="30" t="s">
        <v>402</v>
      </c>
      <c r="I216" s="30" t="s">
        <v>647</v>
      </c>
      <c r="J216" s="30" t="s">
        <v>349</v>
      </c>
      <c r="K216" s="30"/>
      <c r="L216" s="30"/>
      <c r="M216" s="30"/>
      <c r="N216" s="30"/>
      <c r="O216" s="30"/>
      <c r="P216" s="30"/>
      <c r="Q216" s="30"/>
      <c r="R216" s="30"/>
      <c r="S216" s="30"/>
      <c r="T216" s="30"/>
      <c r="U216" s="30"/>
      <c r="V216" s="30"/>
      <c r="W216" s="30"/>
      <c r="X216" s="30"/>
      <c r="Y216" s="30"/>
      <c r="Z216" s="30"/>
      <c r="AA216" s="30"/>
      <c r="AB216" s="30"/>
    </row>
  </sheetData>
  <hyperlinks>
    <hyperlink ref="L1" r:id="rId1" xr:uid="{00000000-0004-0000-0700-000000000000}"/>
    <hyperlink ref="L2" r:id="rId2" xr:uid="{00000000-0004-0000-0700-000001000000}"/>
    <hyperlink ref="L3" r:id="rId3" xr:uid="{00000000-0004-0000-0700-000002000000}"/>
    <hyperlink ref="L4" r:id="rId4" xr:uid="{00000000-0004-0000-0700-000003000000}"/>
    <hyperlink ref="L5" r:id="rId5" xr:uid="{00000000-0004-0000-0700-000004000000}"/>
    <hyperlink ref="L6" r:id="rId6" xr:uid="{00000000-0004-0000-0700-000005000000}"/>
    <hyperlink ref="L7" r:id="rId7" xr:uid="{00000000-0004-0000-0700-000006000000}"/>
    <hyperlink ref="L8" r:id="rId8" xr:uid="{00000000-0004-0000-0700-000007000000}"/>
    <hyperlink ref="L9" r:id="rId9" xr:uid="{00000000-0004-0000-0700-000008000000}"/>
    <hyperlink ref="L10" r:id="rId10" xr:uid="{00000000-0004-0000-0700-000009000000}"/>
    <hyperlink ref="L11" r:id="rId11" xr:uid="{00000000-0004-0000-0700-00000A000000}"/>
    <hyperlink ref="L12" r:id="rId12" xr:uid="{00000000-0004-0000-0700-00000B000000}"/>
    <hyperlink ref="L13" r:id="rId13" xr:uid="{00000000-0004-0000-0700-00000C000000}"/>
    <hyperlink ref="L14" r:id="rId14" xr:uid="{00000000-0004-0000-0700-00000D000000}"/>
    <hyperlink ref="L15" r:id="rId15" xr:uid="{00000000-0004-0000-0700-00000E000000}"/>
    <hyperlink ref="L16" r:id="rId16" xr:uid="{00000000-0004-0000-0700-00000F000000}"/>
    <hyperlink ref="L17" r:id="rId17" xr:uid="{00000000-0004-0000-0700-000010000000}"/>
    <hyperlink ref="L18" r:id="rId18" xr:uid="{00000000-0004-0000-0700-000011000000}"/>
    <hyperlink ref="L19" r:id="rId19" xr:uid="{00000000-0004-0000-0700-000012000000}"/>
    <hyperlink ref="L20" r:id="rId20" xr:uid="{00000000-0004-0000-0700-000013000000}"/>
    <hyperlink ref="L21" r:id="rId21" xr:uid="{00000000-0004-0000-0700-000014000000}"/>
    <hyperlink ref="L22" r:id="rId22" xr:uid="{00000000-0004-0000-0700-000015000000}"/>
    <hyperlink ref="L23" r:id="rId23" xr:uid="{00000000-0004-0000-0700-000016000000}"/>
    <hyperlink ref="L24" r:id="rId24" xr:uid="{00000000-0004-0000-0700-000017000000}"/>
    <hyperlink ref="L25" r:id="rId25" xr:uid="{00000000-0004-0000-0700-000018000000}"/>
    <hyperlink ref="L26" r:id="rId26" xr:uid="{00000000-0004-0000-0700-000019000000}"/>
    <hyperlink ref="L27" r:id="rId27" xr:uid="{00000000-0004-0000-0700-00001A000000}"/>
    <hyperlink ref="L28" r:id="rId28" xr:uid="{00000000-0004-0000-0700-00001B000000}"/>
    <hyperlink ref="L29" r:id="rId29" xr:uid="{00000000-0004-0000-0700-00001C000000}"/>
    <hyperlink ref="L30" r:id="rId30" xr:uid="{00000000-0004-0000-0700-00001D000000}"/>
    <hyperlink ref="L31" r:id="rId31" xr:uid="{00000000-0004-0000-0700-00001E000000}"/>
    <hyperlink ref="L32" r:id="rId32" xr:uid="{00000000-0004-0000-0700-00001F000000}"/>
    <hyperlink ref="L33" r:id="rId33" xr:uid="{00000000-0004-0000-0700-000020000000}"/>
    <hyperlink ref="L34" r:id="rId34" xr:uid="{00000000-0004-0000-0700-000021000000}"/>
    <hyperlink ref="L35" r:id="rId35" xr:uid="{00000000-0004-0000-0700-000022000000}"/>
    <hyperlink ref="L36" r:id="rId36" xr:uid="{00000000-0004-0000-0700-000023000000}"/>
    <hyperlink ref="L37" r:id="rId37" xr:uid="{00000000-0004-0000-0700-000024000000}"/>
    <hyperlink ref="L38" r:id="rId38" xr:uid="{00000000-0004-0000-0700-000025000000}"/>
    <hyperlink ref="L39" r:id="rId39" xr:uid="{00000000-0004-0000-0700-000026000000}"/>
    <hyperlink ref="L40" r:id="rId40" xr:uid="{00000000-0004-0000-0700-000027000000}"/>
    <hyperlink ref="L41" r:id="rId41" xr:uid="{00000000-0004-0000-0700-000028000000}"/>
    <hyperlink ref="L42" r:id="rId42" xr:uid="{00000000-0004-0000-0700-000029000000}"/>
    <hyperlink ref="L43" r:id="rId43" xr:uid="{00000000-0004-0000-0700-00002A000000}"/>
    <hyperlink ref="L44" r:id="rId44" xr:uid="{00000000-0004-0000-0700-00002B000000}"/>
    <hyperlink ref="L45" r:id="rId45" xr:uid="{00000000-0004-0000-0700-00002C000000}"/>
    <hyperlink ref="L46" r:id="rId46" xr:uid="{00000000-0004-0000-0700-00002D000000}"/>
    <hyperlink ref="L47" r:id="rId47" xr:uid="{00000000-0004-0000-0700-00002E000000}"/>
    <hyperlink ref="L48" r:id="rId48" xr:uid="{00000000-0004-0000-0700-00002F000000}"/>
    <hyperlink ref="L49" r:id="rId49" xr:uid="{00000000-0004-0000-0700-000030000000}"/>
    <hyperlink ref="L50" r:id="rId50" xr:uid="{00000000-0004-0000-0700-000031000000}"/>
    <hyperlink ref="L51" r:id="rId51" xr:uid="{00000000-0004-0000-0700-000032000000}"/>
    <hyperlink ref="L52" r:id="rId52" xr:uid="{00000000-0004-0000-0700-000033000000}"/>
    <hyperlink ref="L53" r:id="rId53" xr:uid="{00000000-0004-0000-0700-000034000000}"/>
    <hyperlink ref="L54" r:id="rId54" xr:uid="{00000000-0004-0000-0700-000035000000}"/>
    <hyperlink ref="L55" r:id="rId55" xr:uid="{00000000-0004-0000-0700-000036000000}"/>
    <hyperlink ref="L56" r:id="rId56" xr:uid="{00000000-0004-0000-0700-000037000000}"/>
    <hyperlink ref="L57" r:id="rId57" xr:uid="{00000000-0004-0000-0700-000038000000}"/>
    <hyperlink ref="L58" r:id="rId58" xr:uid="{00000000-0004-0000-0700-000039000000}"/>
    <hyperlink ref="L59" r:id="rId59" xr:uid="{00000000-0004-0000-0700-00003A000000}"/>
    <hyperlink ref="L60" r:id="rId60" xr:uid="{00000000-0004-0000-0700-00003B000000}"/>
    <hyperlink ref="L61" r:id="rId61" xr:uid="{00000000-0004-0000-0700-00003C000000}"/>
    <hyperlink ref="L62" r:id="rId62" xr:uid="{00000000-0004-0000-0700-00003D000000}"/>
    <hyperlink ref="L63" r:id="rId63" xr:uid="{00000000-0004-0000-0700-00003E000000}"/>
    <hyperlink ref="L64" r:id="rId64" xr:uid="{00000000-0004-0000-0700-00003F000000}"/>
    <hyperlink ref="L65" r:id="rId65" xr:uid="{00000000-0004-0000-0700-000040000000}"/>
    <hyperlink ref="L66" r:id="rId66" xr:uid="{00000000-0004-0000-0700-000041000000}"/>
    <hyperlink ref="L67" r:id="rId67" xr:uid="{00000000-0004-0000-0700-000042000000}"/>
    <hyperlink ref="L68" r:id="rId68" xr:uid="{00000000-0004-0000-0700-000043000000}"/>
    <hyperlink ref="L69" r:id="rId69" xr:uid="{00000000-0004-0000-0700-000044000000}"/>
    <hyperlink ref="L70" r:id="rId70" xr:uid="{00000000-0004-0000-0700-000045000000}"/>
    <hyperlink ref="L71" r:id="rId71" xr:uid="{00000000-0004-0000-0700-000046000000}"/>
    <hyperlink ref="L72" r:id="rId72" xr:uid="{00000000-0004-0000-0700-000047000000}"/>
    <hyperlink ref="L73" r:id="rId73" xr:uid="{00000000-0004-0000-0700-000048000000}"/>
    <hyperlink ref="L74" r:id="rId74" xr:uid="{00000000-0004-0000-0700-000049000000}"/>
    <hyperlink ref="L75" r:id="rId75" xr:uid="{00000000-0004-0000-0700-00004A000000}"/>
    <hyperlink ref="L76" r:id="rId76" xr:uid="{00000000-0004-0000-0700-00004B000000}"/>
    <hyperlink ref="L77" r:id="rId77" xr:uid="{00000000-0004-0000-0700-00004C000000}"/>
    <hyperlink ref="L78" r:id="rId78" xr:uid="{00000000-0004-0000-0700-00004D000000}"/>
    <hyperlink ref="L79" r:id="rId79" xr:uid="{00000000-0004-0000-0700-00004E000000}"/>
    <hyperlink ref="L80" r:id="rId80" xr:uid="{00000000-0004-0000-0700-00004F000000}"/>
    <hyperlink ref="L81" r:id="rId81" xr:uid="{00000000-0004-0000-0700-000050000000}"/>
    <hyperlink ref="L82" r:id="rId82" xr:uid="{00000000-0004-0000-0700-000051000000}"/>
    <hyperlink ref="L83" r:id="rId83" xr:uid="{00000000-0004-0000-0700-000052000000}"/>
    <hyperlink ref="L84" r:id="rId84" xr:uid="{00000000-0004-0000-0700-000053000000}"/>
    <hyperlink ref="L85" r:id="rId85" xr:uid="{00000000-0004-0000-0700-000054000000}"/>
    <hyperlink ref="L86" r:id="rId86" xr:uid="{00000000-0004-0000-0700-000055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D99"/>
  <sheetViews>
    <sheetView workbookViewId="0">
      <pane ySplit="2" topLeftCell="A3" activePane="bottomLeft" state="frozen"/>
      <selection pane="bottomLeft" activeCell="B4" sqref="B4"/>
    </sheetView>
  </sheetViews>
  <sheetFormatPr baseColWidth="10" defaultColWidth="12.6640625" defaultRowHeight="15.75" customHeight="1"/>
  <cols>
    <col min="3" max="3" width="22.33203125" customWidth="1"/>
    <col min="4" max="4" width="22.5" customWidth="1"/>
    <col min="6" max="6" width="28.1640625" customWidth="1"/>
    <col min="9" max="9" width="35" customWidth="1"/>
    <col min="10" max="10" width="27.1640625" customWidth="1"/>
  </cols>
  <sheetData>
    <row r="1" spans="1:30" ht="15.75" customHeight="1">
      <c r="A1" s="11" t="s">
        <v>1154</v>
      </c>
      <c r="B1" s="11" t="s">
        <v>0</v>
      </c>
      <c r="C1" s="11" t="s">
        <v>1155</v>
      </c>
      <c r="D1" s="11" t="s">
        <v>1156</v>
      </c>
      <c r="E1" s="11" t="s">
        <v>1157</v>
      </c>
      <c r="F1" s="11" t="s">
        <v>1158</v>
      </c>
      <c r="G1" s="11" t="s">
        <v>1159</v>
      </c>
      <c r="H1" s="11" t="s">
        <v>1160</v>
      </c>
      <c r="I1" s="11" t="s">
        <v>1161</v>
      </c>
      <c r="J1" s="11" t="s">
        <v>1162</v>
      </c>
      <c r="K1" s="11" t="s">
        <v>1163</v>
      </c>
      <c r="L1" s="11"/>
      <c r="M1" s="11"/>
      <c r="N1" s="11"/>
      <c r="O1" s="11"/>
      <c r="P1" s="11"/>
      <c r="Q1" s="11"/>
      <c r="R1" s="11"/>
      <c r="S1" s="11"/>
      <c r="T1" s="11"/>
      <c r="U1" s="11"/>
      <c r="V1" s="11"/>
      <c r="W1" s="11"/>
      <c r="X1" s="11"/>
      <c r="Y1" s="11"/>
      <c r="Z1" s="11"/>
      <c r="AA1" s="11"/>
      <c r="AB1" s="11"/>
      <c r="AC1" s="11"/>
      <c r="AD1" s="11"/>
    </row>
    <row r="2" spans="1:30" ht="15.75" customHeight="1">
      <c r="A2" s="112" t="s">
        <v>1164</v>
      </c>
      <c r="B2" s="113"/>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row>
    <row r="3" spans="1:30" ht="15.75" customHeight="1">
      <c r="A3" s="89" t="s">
        <v>260</v>
      </c>
      <c r="B3" s="89" t="s">
        <v>634</v>
      </c>
      <c r="C3" s="89" t="s">
        <v>268</v>
      </c>
      <c r="D3" s="89" t="s">
        <v>635</v>
      </c>
      <c r="E3" s="89" t="s">
        <v>636</v>
      </c>
      <c r="F3" s="89" t="s">
        <v>1165</v>
      </c>
      <c r="G3" s="89" t="s">
        <v>1166</v>
      </c>
      <c r="H3" s="89" t="s">
        <v>1167</v>
      </c>
      <c r="I3" s="89" t="s">
        <v>1168</v>
      </c>
      <c r="J3" s="89" t="s">
        <v>1169</v>
      </c>
      <c r="K3" s="89" t="s">
        <v>1170</v>
      </c>
      <c r="L3" s="89"/>
      <c r="M3" s="89"/>
      <c r="N3" s="89"/>
      <c r="O3" s="89"/>
      <c r="P3" s="89"/>
      <c r="Q3" s="89"/>
      <c r="R3" s="89"/>
      <c r="S3" s="89"/>
      <c r="T3" s="89"/>
      <c r="U3" s="89"/>
      <c r="V3" s="89"/>
      <c r="W3" s="89"/>
      <c r="X3" s="89"/>
      <c r="Y3" s="89"/>
      <c r="Z3" s="89"/>
      <c r="AA3" s="89"/>
      <c r="AB3" s="89"/>
      <c r="AC3" s="89"/>
      <c r="AD3" s="89"/>
    </row>
    <row r="4" spans="1:30" ht="15.75" customHeight="1">
      <c r="A4" s="89" t="s">
        <v>260</v>
      </c>
      <c r="B4" s="89" t="s">
        <v>634</v>
      </c>
      <c r="C4" s="89" t="s">
        <v>268</v>
      </c>
      <c r="D4" s="89" t="s">
        <v>635</v>
      </c>
      <c r="E4" s="89" t="s">
        <v>106</v>
      </c>
      <c r="F4" s="89" t="s">
        <v>1165</v>
      </c>
      <c r="G4" s="89" t="s">
        <v>1171</v>
      </c>
      <c r="H4" s="89" t="s">
        <v>1172</v>
      </c>
      <c r="I4" s="89" t="s">
        <v>1173</v>
      </c>
      <c r="J4" s="89" t="s">
        <v>1169</v>
      </c>
      <c r="K4" s="90" t="s">
        <v>555</v>
      </c>
      <c r="L4" s="89"/>
      <c r="M4" s="89"/>
      <c r="N4" s="89"/>
      <c r="O4" s="89"/>
      <c r="P4" s="89"/>
      <c r="Q4" s="89"/>
      <c r="R4" s="89"/>
      <c r="S4" s="89"/>
      <c r="T4" s="89"/>
      <c r="U4" s="89"/>
      <c r="V4" s="89"/>
      <c r="W4" s="89"/>
      <c r="X4" s="89"/>
      <c r="Y4" s="89"/>
      <c r="Z4" s="89"/>
      <c r="AA4" s="89"/>
      <c r="AB4" s="89"/>
      <c r="AC4" s="89"/>
      <c r="AD4" s="89"/>
    </row>
    <row r="5" spans="1:30" ht="15.75" customHeight="1">
      <c r="A5" s="89" t="s">
        <v>260</v>
      </c>
      <c r="B5" s="89" t="s">
        <v>634</v>
      </c>
      <c r="C5" s="89" t="s">
        <v>268</v>
      </c>
      <c r="D5" s="89" t="s">
        <v>635</v>
      </c>
      <c r="E5" s="89" t="s">
        <v>1174</v>
      </c>
      <c r="F5" s="89" t="s">
        <v>1165</v>
      </c>
      <c r="G5" s="89" t="s">
        <v>1175</v>
      </c>
      <c r="H5" s="89" t="s">
        <v>1176</v>
      </c>
      <c r="I5" s="89" t="s">
        <v>1173</v>
      </c>
      <c r="J5" s="89" t="s">
        <v>1169</v>
      </c>
      <c r="K5" s="91" t="s">
        <v>559</v>
      </c>
      <c r="L5" s="89"/>
      <c r="M5" s="89"/>
      <c r="N5" s="89"/>
      <c r="O5" s="89"/>
      <c r="P5" s="89"/>
      <c r="Q5" s="89"/>
      <c r="R5" s="89"/>
      <c r="S5" s="89"/>
      <c r="T5" s="89"/>
      <c r="U5" s="89"/>
      <c r="V5" s="89"/>
      <c r="W5" s="89"/>
      <c r="X5" s="89"/>
      <c r="Y5" s="89"/>
      <c r="Z5" s="89"/>
      <c r="AA5" s="89"/>
      <c r="AB5" s="89"/>
      <c r="AC5" s="89"/>
      <c r="AD5" s="89"/>
    </row>
    <row r="6" spans="1:30" ht="15.75" customHeight="1">
      <c r="A6" s="89" t="s">
        <v>260</v>
      </c>
      <c r="B6" s="89" t="s">
        <v>641</v>
      </c>
      <c r="C6" s="89" t="s">
        <v>274</v>
      </c>
      <c r="D6" s="89" t="s">
        <v>642</v>
      </c>
      <c r="E6" s="89" t="s">
        <v>1177</v>
      </c>
      <c r="F6" s="89" t="s">
        <v>1165</v>
      </c>
      <c r="G6" s="89" t="s">
        <v>1178</v>
      </c>
      <c r="H6" s="89" t="s">
        <v>1179</v>
      </c>
      <c r="I6" s="89" t="s">
        <v>1168</v>
      </c>
      <c r="J6" s="92" t="s">
        <v>1169</v>
      </c>
      <c r="K6" s="93" t="s">
        <v>1180</v>
      </c>
      <c r="L6" s="89"/>
      <c r="M6" s="89"/>
      <c r="N6" s="89"/>
      <c r="O6" s="89"/>
      <c r="P6" s="89"/>
      <c r="Q6" s="89"/>
      <c r="R6" s="89"/>
      <c r="S6" s="89"/>
      <c r="T6" s="89"/>
      <c r="U6" s="89"/>
      <c r="V6" s="89"/>
      <c r="W6" s="89"/>
      <c r="X6" s="89"/>
      <c r="Y6" s="89"/>
      <c r="Z6" s="89"/>
      <c r="AA6" s="89"/>
      <c r="AB6" s="89"/>
      <c r="AC6" s="89"/>
      <c r="AD6" s="89"/>
    </row>
    <row r="7" spans="1:30" ht="15.75" customHeight="1">
      <c r="A7" s="89" t="s">
        <v>260</v>
      </c>
      <c r="B7" s="89" t="s">
        <v>371</v>
      </c>
      <c r="C7" s="89" t="s">
        <v>279</v>
      </c>
      <c r="D7" s="89" t="s">
        <v>705</v>
      </c>
      <c r="E7" s="89" t="s">
        <v>636</v>
      </c>
      <c r="F7" s="89" t="s">
        <v>1165</v>
      </c>
      <c r="G7" s="89" t="s">
        <v>1166</v>
      </c>
      <c r="H7" s="89" t="s">
        <v>1167</v>
      </c>
      <c r="I7" s="89" t="s">
        <v>1168</v>
      </c>
      <c r="J7" s="92" t="s">
        <v>1169</v>
      </c>
      <c r="K7" s="92" t="s">
        <v>1170</v>
      </c>
      <c r="L7" s="92"/>
      <c r="M7" s="89"/>
      <c r="N7" s="89"/>
      <c r="O7" s="89"/>
      <c r="P7" s="89"/>
      <c r="Q7" s="89"/>
      <c r="R7" s="89"/>
      <c r="S7" s="89"/>
      <c r="T7" s="89"/>
      <c r="U7" s="89"/>
      <c r="V7" s="89"/>
      <c r="W7" s="89"/>
      <c r="X7" s="89"/>
      <c r="Y7" s="89"/>
      <c r="Z7" s="89"/>
      <c r="AA7" s="89"/>
      <c r="AB7" s="89"/>
      <c r="AC7" s="89"/>
      <c r="AD7" s="89"/>
    </row>
    <row r="8" spans="1:30" ht="15.75" customHeight="1">
      <c r="A8" s="89" t="s">
        <v>260</v>
      </c>
      <c r="B8" s="89" t="s">
        <v>371</v>
      </c>
      <c r="C8" s="89" t="s">
        <v>279</v>
      </c>
      <c r="D8" s="89" t="s">
        <v>705</v>
      </c>
      <c r="E8" s="89" t="s">
        <v>106</v>
      </c>
      <c r="F8" s="89" t="s">
        <v>1165</v>
      </c>
      <c r="G8" s="89" t="s">
        <v>1171</v>
      </c>
      <c r="H8" s="89" t="s">
        <v>1172</v>
      </c>
      <c r="I8" s="89" t="s">
        <v>1173</v>
      </c>
      <c r="J8" s="92" t="s">
        <v>1169</v>
      </c>
      <c r="K8" s="90" t="s">
        <v>555</v>
      </c>
      <c r="L8" s="92"/>
      <c r="M8" s="89"/>
      <c r="N8" s="89"/>
      <c r="O8" s="89"/>
      <c r="P8" s="89"/>
      <c r="Q8" s="89"/>
      <c r="R8" s="89"/>
      <c r="S8" s="89"/>
      <c r="T8" s="89"/>
      <c r="U8" s="89"/>
      <c r="V8" s="89"/>
      <c r="W8" s="89"/>
      <c r="X8" s="89"/>
      <c r="Y8" s="89"/>
      <c r="Z8" s="89"/>
      <c r="AA8" s="89"/>
      <c r="AB8" s="89"/>
      <c r="AC8" s="89"/>
      <c r="AD8" s="89"/>
    </row>
    <row r="9" spans="1:30" ht="15.75" customHeight="1">
      <c r="A9" s="89" t="s">
        <v>260</v>
      </c>
      <c r="B9" s="89" t="s">
        <v>371</v>
      </c>
      <c r="C9" s="89" t="s">
        <v>279</v>
      </c>
      <c r="D9" s="89" t="s">
        <v>705</v>
      </c>
      <c r="E9" s="89" t="s">
        <v>700</v>
      </c>
      <c r="F9" s="89" t="s">
        <v>1165</v>
      </c>
      <c r="G9" s="89" t="s">
        <v>1181</v>
      </c>
      <c r="H9" s="89" t="s">
        <v>1182</v>
      </c>
      <c r="I9" s="89" t="s">
        <v>1183</v>
      </c>
      <c r="J9" s="92" t="s">
        <v>1169</v>
      </c>
      <c r="K9" s="93" t="s">
        <v>1184</v>
      </c>
      <c r="L9" s="92"/>
      <c r="M9" s="89"/>
      <c r="N9" s="89"/>
      <c r="O9" s="89"/>
      <c r="P9" s="89"/>
      <c r="Q9" s="89"/>
      <c r="R9" s="89"/>
      <c r="S9" s="89"/>
      <c r="T9" s="89"/>
      <c r="U9" s="89"/>
      <c r="V9" s="89"/>
      <c r="W9" s="89"/>
      <c r="X9" s="89"/>
      <c r="Y9" s="89"/>
      <c r="Z9" s="89"/>
      <c r="AA9" s="89"/>
      <c r="AB9" s="89"/>
      <c r="AC9" s="89"/>
      <c r="AD9" s="89"/>
    </row>
    <row r="10" spans="1:30" ht="15.75" customHeight="1">
      <c r="A10" s="89" t="s">
        <v>260</v>
      </c>
      <c r="B10" s="89" t="s">
        <v>634</v>
      </c>
      <c r="C10" s="89" t="s">
        <v>288</v>
      </c>
      <c r="D10" s="89" t="s">
        <v>709</v>
      </c>
      <c r="E10" s="89" t="s">
        <v>162</v>
      </c>
      <c r="F10" s="89" t="s">
        <v>1185</v>
      </c>
      <c r="G10" s="89" t="s">
        <v>1186</v>
      </c>
      <c r="H10" s="94" t="s">
        <v>1187</v>
      </c>
      <c r="I10" s="89" t="s">
        <v>1188</v>
      </c>
      <c r="J10" s="92" t="s">
        <v>1169</v>
      </c>
      <c r="K10" s="90" t="s">
        <v>1189</v>
      </c>
      <c r="L10" s="89"/>
      <c r="M10" s="89"/>
      <c r="N10" s="89"/>
      <c r="O10" s="89"/>
      <c r="P10" s="89"/>
      <c r="Q10" s="89"/>
      <c r="R10" s="89"/>
      <c r="S10" s="89"/>
      <c r="T10" s="89"/>
      <c r="U10" s="89"/>
      <c r="V10" s="89"/>
      <c r="W10" s="89"/>
      <c r="X10" s="89"/>
      <c r="Y10" s="89"/>
      <c r="Z10" s="89"/>
      <c r="AA10" s="89"/>
      <c r="AB10" s="89"/>
      <c r="AC10" s="89"/>
      <c r="AD10" s="89"/>
    </row>
    <row r="11" spans="1:30" ht="15.75" customHeight="1">
      <c r="A11" s="89" t="s">
        <v>260</v>
      </c>
      <c r="B11" s="89" t="s">
        <v>634</v>
      </c>
      <c r="C11" s="89" t="s">
        <v>288</v>
      </c>
      <c r="D11" s="89" t="s">
        <v>709</v>
      </c>
      <c r="E11" s="89" t="s">
        <v>162</v>
      </c>
      <c r="F11" s="89" t="s">
        <v>1190</v>
      </c>
      <c r="G11" s="89" t="s">
        <v>1191</v>
      </c>
      <c r="H11" s="94" t="s">
        <v>1192</v>
      </c>
      <c r="I11" s="95" t="s">
        <v>1188</v>
      </c>
      <c r="J11" s="92" t="s">
        <v>1169</v>
      </c>
      <c r="K11" s="90" t="s">
        <v>1189</v>
      </c>
      <c r="L11" s="89"/>
      <c r="M11" s="89"/>
      <c r="N11" s="89"/>
      <c r="O11" s="89"/>
      <c r="P11" s="89"/>
      <c r="Q11" s="89"/>
      <c r="R11" s="89"/>
      <c r="S11" s="89"/>
      <c r="T11" s="89"/>
      <c r="U11" s="89"/>
      <c r="V11" s="89"/>
      <c r="W11" s="89"/>
      <c r="X11" s="89"/>
      <c r="Y11" s="89"/>
      <c r="Z11" s="89"/>
      <c r="AA11" s="89"/>
      <c r="AB11" s="89"/>
      <c r="AC11" s="89"/>
      <c r="AD11" s="89"/>
    </row>
    <row r="12" spans="1:30" ht="15.75" customHeight="1">
      <c r="A12" s="89" t="s">
        <v>260</v>
      </c>
      <c r="B12" s="89" t="s">
        <v>634</v>
      </c>
      <c r="C12" s="89" t="s">
        <v>288</v>
      </c>
      <c r="D12" s="89" t="s">
        <v>709</v>
      </c>
      <c r="E12" s="89" t="s">
        <v>162</v>
      </c>
      <c r="F12" s="89" t="s">
        <v>1193</v>
      </c>
      <c r="G12" s="89" t="s">
        <v>1194</v>
      </c>
      <c r="H12" s="94" t="s">
        <v>1195</v>
      </c>
      <c r="I12" s="95" t="s">
        <v>1188</v>
      </c>
      <c r="J12" s="92" t="s">
        <v>1169</v>
      </c>
      <c r="K12" s="90" t="s">
        <v>1189</v>
      </c>
      <c r="L12" s="89"/>
      <c r="M12" s="89"/>
      <c r="N12" s="89"/>
      <c r="O12" s="89"/>
      <c r="P12" s="89"/>
      <c r="Q12" s="89"/>
      <c r="R12" s="89"/>
      <c r="S12" s="89"/>
      <c r="T12" s="89"/>
      <c r="U12" s="89"/>
      <c r="V12" s="89"/>
      <c r="W12" s="89"/>
      <c r="X12" s="89"/>
      <c r="Y12" s="89"/>
      <c r="Z12" s="89"/>
      <c r="AA12" s="89"/>
      <c r="AB12" s="89"/>
      <c r="AC12" s="89"/>
      <c r="AD12" s="89"/>
    </row>
    <row r="13" spans="1:30" ht="15.75" customHeight="1">
      <c r="A13" s="89" t="s">
        <v>260</v>
      </c>
      <c r="B13" s="89" t="s">
        <v>371</v>
      </c>
      <c r="C13" s="89" t="s">
        <v>292</v>
      </c>
      <c r="D13" s="89" t="s">
        <v>749</v>
      </c>
      <c r="E13" s="89" t="s">
        <v>636</v>
      </c>
      <c r="F13" s="89" t="s">
        <v>1165</v>
      </c>
      <c r="G13" s="89" t="s">
        <v>1166</v>
      </c>
      <c r="H13" s="89" t="s">
        <v>1167</v>
      </c>
      <c r="I13" s="89" t="s">
        <v>1168</v>
      </c>
      <c r="J13" s="92" t="s">
        <v>1169</v>
      </c>
      <c r="K13" s="89" t="s">
        <v>1170</v>
      </c>
      <c r="L13" s="92"/>
      <c r="M13" s="89"/>
      <c r="N13" s="89"/>
      <c r="O13" s="89"/>
      <c r="P13" s="89"/>
      <c r="Q13" s="89"/>
      <c r="R13" s="89"/>
      <c r="S13" s="89"/>
      <c r="T13" s="89"/>
      <c r="U13" s="89"/>
      <c r="V13" s="89"/>
      <c r="W13" s="89"/>
      <c r="X13" s="89"/>
      <c r="Y13" s="89"/>
      <c r="Z13" s="89"/>
      <c r="AA13" s="89"/>
      <c r="AB13" s="89"/>
      <c r="AC13" s="89"/>
      <c r="AD13" s="89"/>
    </row>
    <row r="14" spans="1:30" ht="15.75" customHeight="1">
      <c r="A14" s="89" t="s">
        <v>260</v>
      </c>
      <c r="B14" s="89" t="s">
        <v>371</v>
      </c>
      <c r="C14" s="89" t="s">
        <v>292</v>
      </c>
      <c r="D14" s="89" t="s">
        <v>749</v>
      </c>
      <c r="E14" s="89" t="s">
        <v>106</v>
      </c>
      <c r="F14" s="89" t="s">
        <v>1165</v>
      </c>
      <c r="G14" s="89" t="s">
        <v>1171</v>
      </c>
      <c r="H14" s="89" t="s">
        <v>1172</v>
      </c>
      <c r="I14" s="89" t="s">
        <v>1173</v>
      </c>
      <c r="J14" s="92" t="s">
        <v>1169</v>
      </c>
      <c r="K14" s="90" t="s">
        <v>555</v>
      </c>
      <c r="L14" s="92"/>
      <c r="M14" s="89"/>
      <c r="N14" s="89"/>
      <c r="O14" s="89"/>
      <c r="P14" s="89"/>
      <c r="Q14" s="89"/>
      <c r="R14" s="89"/>
      <c r="S14" s="89"/>
      <c r="T14" s="89"/>
      <c r="U14" s="89"/>
      <c r="V14" s="89"/>
      <c r="W14" s="89"/>
      <c r="X14" s="89"/>
      <c r="Y14" s="89"/>
      <c r="Z14" s="89"/>
      <c r="AA14" s="89"/>
      <c r="AB14" s="89"/>
      <c r="AC14" s="89"/>
      <c r="AD14" s="89"/>
    </row>
    <row r="15" spans="1:30" ht="15.75" customHeight="1">
      <c r="A15" s="89" t="s">
        <v>260</v>
      </c>
      <c r="B15" s="89" t="s">
        <v>371</v>
      </c>
      <c r="C15" s="89" t="s">
        <v>292</v>
      </c>
      <c r="D15" s="89" t="s">
        <v>749</v>
      </c>
      <c r="E15" s="89" t="s">
        <v>1174</v>
      </c>
      <c r="F15" s="89" t="s">
        <v>1165</v>
      </c>
      <c r="G15" s="89" t="s">
        <v>1175</v>
      </c>
      <c r="H15" s="89" t="s">
        <v>1176</v>
      </c>
      <c r="I15" s="89" t="s">
        <v>1196</v>
      </c>
      <c r="J15" s="92" t="s">
        <v>1169</v>
      </c>
      <c r="K15" s="91" t="s">
        <v>559</v>
      </c>
      <c r="L15" s="92"/>
      <c r="M15" s="89"/>
      <c r="N15" s="89"/>
      <c r="O15" s="89"/>
      <c r="P15" s="89"/>
      <c r="Q15" s="89"/>
      <c r="R15" s="89"/>
      <c r="S15" s="89"/>
      <c r="T15" s="89"/>
      <c r="U15" s="89"/>
      <c r="V15" s="89"/>
      <c r="W15" s="89"/>
      <c r="X15" s="89"/>
      <c r="Y15" s="89"/>
      <c r="Z15" s="89"/>
      <c r="AA15" s="89"/>
      <c r="AB15" s="89"/>
      <c r="AC15" s="89"/>
      <c r="AD15" s="89"/>
    </row>
    <row r="16" spans="1:30" ht="15.75" customHeight="1">
      <c r="A16" s="89" t="s">
        <v>260</v>
      </c>
      <c r="B16" s="89" t="s">
        <v>297</v>
      </c>
      <c r="C16" s="89" t="s">
        <v>1197</v>
      </c>
      <c r="D16" s="89" t="s">
        <v>752</v>
      </c>
      <c r="E16" s="89" t="s">
        <v>1198</v>
      </c>
      <c r="F16" s="89" t="s">
        <v>1199</v>
      </c>
      <c r="G16" s="89" t="s">
        <v>1200</v>
      </c>
      <c r="H16" s="96" t="s">
        <v>1201</v>
      </c>
      <c r="I16" s="89" t="s">
        <v>1168</v>
      </c>
      <c r="J16" s="92" t="s">
        <v>1169</v>
      </c>
      <c r="K16" s="90" t="s">
        <v>1202</v>
      </c>
      <c r="L16" s="89"/>
      <c r="M16" s="89"/>
      <c r="N16" s="89"/>
      <c r="O16" s="89"/>
      <c r="P16" s="89"/>
      <c r="Q16" s="89"/>
      <c r="R16" s="89"/>
      <c r="S16" s="89"/>
      <c r="T16" s="89"/>
      <c r="U16" s="89"/>
      <c r="V16" s="89"/>
      <c r="W16" s="89"/>
      <c r="X16" s="89"/>
      <c r="Y16" s="89"/>
      <c r="Z16" s="89"/>
      <c r="AA16" s="89"/>
      <c r="AB16" s="89"/>
      <c r="AC16" s="89"/>
      <c r="AD16" s="89"/>
    </row>
    <row r="17" spans="1:30" ht="15.75" customHeight="1">
      <c r="A17" s="89" t="s">
        <v>260</v>
      </c>
      <c r="B17" s="89" t="s">
        <v>297</v>
      </c>
      <c r="C17" s="89" t="s">
        <v>1203</v>
      </c>
      <c r="D17" s="89" t="s">
        <v>752</v>
      </c>
      <c r="E17" s="89" t="s">
        <v>1198</v>
      </c>
      <c r="F17" s="89" t="s">
        <v>1199</v>
      </c>
      <c r="G17" s="89" t="s">
        <v>1200</v>
      </c>
      <c r="H17" s="96" t="s">
        <v>1201</v>
      </c>
      <c r="I17" s="89" t="s">
        <v>1168</v>
      </c>
      <c r="J17" s="92" t="s">
        <v>1169</v>
      </c>
      <c r="K17" s="90" t="s">
        <v>1202</v>
      </c>
      <c r="L17" s="89"/>
      <c r="M17" s="89"/>
      <c r="N17" s="89"/>
      <c r="O17" s="89"/>
      <c r="P17" s="89"/>
      <c r="Q17" s="89"/>
      <c r="R17" s="89"/>
      <c r="S17" s="89"/>
      <c r="T17" s="89"/>
      <c r="U17" s="89"/>
      <c r="V17" s="89"/>
      <c r="W17" s="89"/>
      <c r="X17" s="89"/>
      <c r="Y17" s="89"/>
      <c r="Z17" s="89"/>
      <c r="AA17" s="89"/>
      <c r="AB17" s="89"/>
      <c r="AC17" s="89"/>
      <c r="AD17" s="89"/>
    </row>
    <row r="18" spans="1:30" ht="15.75" customHeight="1">
      <c r="A18" s="89" t="s">
        <v>260</v>
      </c>
      <c r="B18" s="89" t="s">
        <v>297</v>
      </c>
      <c r="C18" s="89" t="s">
        <v>1204</v>
      </c>
      <c r="D18" s="89" t="s">
        <v>752</v>
      </c>
      <c r="E18" s="89" t="s">
        <v>1198</v>
      </c>
      <c r="F18" s="89" t="s">
        <v>1199</v>
      </c>
      <c r="G18" s="89" t="s">
        <v>1205</v>
      </c>
      <c r="H18" s="96" t="s">
        <v>1201</v>
      </c>
      <c r="I18" s="89" t="s">
        <v>1168</v>
      </c>
      <c r="J18" s="92" t="s">
        <v>1169</v>
      </c>
      <c r="K18" s="90" t="s">
        <v>1202</v>
      </c>
      <c r="L18" s="89"/>
      <c r="M18" s="89"/>
      <c r="N18" s="89"/>
      <c r="O18" s="89"/>
      <c r="P18" s="89"/>
      <c r="Q18" s="89"/>
      <c r="R18" s="89"/>
      <c r="S18" s="89"/>
      <c r="T18" s="89"/>
      <c r="U18" s="89"/>
      <c r="V18" s="89"/>
      <c r="W18" s="89"/>
      <c r="X18" s="89"/>
      <c r="Y18" s="89"/>
      <c r="Z18" s="89"/>
      <c r="AA18" s="89"/>
      <c r="AB18" s="89"/>
      <c r="AC18" s="89"/>
      <c r="AD18" s="89"/>
    </row>
    <row r="19" spans="1:30" ht="15.75" customHeight="1">
      <c r="A19" s="89" t="s">
        <v>260</v>
      </c>
      <c r="B19" s="89" t="s">
        <v>774</v>
      </c>
      <c r="C19" s="89" t="s">
        <v>1206</v>
      </c>
      <c r="D19" s="89" t="s">
        <v>775</v>
      </c>
      <c r="E19" s="89" t="s">
        <v>1198</v>
      </c>
      <c r="F19" s="89" t="s">
        <v>1207</v>
      </c>
      <c r="G19" s="89" t="s">
        <v>1208</v>
      </c>
      <c r="H19" s="89" t="s">
        <v>1170</v>
      </c>
      <c r="I19" s="89" t="s">
        <v>1168</v>
      </c>
      <c r="J19" s="92" t="s">
        <v>1169</v>
      </c>
      <c r="K19" s="89" t="s">
        <v>1170</v>
      </c>
      <c r="L19" s="89"/>
      <c r="M19" s="89"/>
      <c r="N19" s="89"/>
      <c r="O19" s="89"/>
      <c r="P19" s="89"/>
      <c r="Q19" s="89"/>
      <c r="R19" s="89"/>
      <c r="S19" s="89"/>
      <c r="T19" s="89"/>
      <c r="U19" s="89"/>
      <c r="V19" s="89"/>
      <c r="W19" s="89"/>
      <c r="X19" s="89"/>
      <c r="Y19" s="89"/>
      <c r="Z19" s="89"/>
      <c r="AA19" s="89"/>
      <c r="AB19" s="89"/>
      <c r="AC19" s="89"/>
      <c r="AD19" s="89"/>
    </row>
    <row r="20" spans="1:30" ht="15.75" customHeight="1">
      <c r="A20" s="89" t="s">
        <v>260</v>
      </c>
      <c r="B20" s="89" t="s">
        <v>774</v>
      </c>
      <c r="C20" s="89" t="s">
        <v>1209</v>
      </c>
      <c r="D20" s="89" t="s">
        <v>775</v>
      </c>
      <c r="E20" s="89" t="s">
        <v>1198</v>
      </c>
      <c r="F20" s="89" t="s">
        <v>1207</v>
      </c>
      <c r="G20" s="89" t="s">
        <v>1208</v>
      </c>
      <c r="H20" s="89" t="s">
        <v>1170</v>
      </c>
      <c r="I20" s="89" t="s">
        <v>1168</v>
      </c>
      <c r="J20" s="92" t="s">
        <v>1169</v>
      </c>
      <c r="K20" s="89" t="s">
        <v>1170</v>
      </c>
      <c r="L20" s="89"/>
      <c r="M20" s="89"/>
      <c r="N20" s="89"/>
      <c r="O20" s="89"/>
      <c r="P20" s="89"/>
      <c r="Q20" s="89"/>
      <c r="R20" s="89"/>
      <c r="S20" s="89"/>
      <c r="T20" s="89"/>
      <c r="U20" s="89"/>
      <c r="V20" s="89"/>
      <c r="W20" s="89"/>
      <c r="X20" s="89"/>
      <c r="Y20" s="89"/>
      <c r="Z20" s="89"/>
      <c r="AA20" s="89"/>
      <c r="AB20" s="89"/>
      <c r="AC20" s="89"/>
      <c r="AD20" s="89"/>
    </row>
    <row r="21" spans="1:30" ht="15.75" customHeight="1">
      <c r="A21" s="89" t="s">
        <v>260</v>
      </c>
      <c r="B21" s="89" t="s">
        <v>774</v>
      </c>
      <c r="C21" s="89" t="s">
        <v>1210</v>
      </c>
      <c r="D21" s="89" t="s">
        <v>775</v>
      </c>
      <c r="E21" s="89" t="s">
        <v>1198</v>
      </c>
      <c r="F21" s="89" t="s">
        <v>1207</v>
      </c>
      <c r="G21" s="89" t="s">
        <v>1208</v>
      </c>
      <c r="H21" s="89" t="s">
        <v>1170</v>
      </c>
      <c r="I21" s="89" t="s">
        <v>1168</v>
      </c>
      <c r="J21" s="92" t="s">
        <v>1169</v>
      </c>
      <c r="K21" s="89" t="s">
        <v>1170</v>
      </c>
      <c r="L21" s="89"/>
      <c r="M21" s="89"/>
      <c r="N21" s="89"/>
      <c r="O21" s="89"/>
      <c r="P21" s="89"/>
      <c r="Q21" s="89"/>
      <c r="R21" s="89"/>
      <c r="S21" s="89"/>
      <c r="T21" s="89"/>
      <c r="U21" s="89"/>
      <c r="V21" s="89"/>
      <c r="W21" s="89"/>
      <c r="X21" s="89"/>
      <c r="Y21" s="89"/>
      <c r="Z21" s="89"/>
      <c r="AA21" s="89"/>
      <c r="AB21" s="89"/>
      <c r="AC21" s="89"/>
      <c r="AD21" s="89"/>
    </row>
    <row r="22" spans="1:30" ht="15.75" customHeight="1">
      <c r="A22" s="89" t="s">
        <v>260</v>
      </c>
      <c r="B22" s="89" t="s">
        <v>371</v>
      </c>
      <c r="C22" s="89" t="s">
        <v>305</v>
      </c>
      <c r="D22" s="89" t="s">
        <v>824</v>
      </c>
      <c r="E22" s="89" t="s">
        <v>636</v>
      </c>
      <c r="F22" s="89" t="s">
        <v>1165</v>
      </c>
      <c r="G22" s="89" t="s">
        <v>1211</v>
      </c>
      <c r="H22" s="89" t="s">
        <v>1212</v>
      </c>
      <c r="I22" s="89" t="s">
        <v>1213</v>
      </c>
      <c r="J22" s="92" t="s">
        <v>1169</v>
      </c>
      <c r="K22" s="93" t="s">
        <v>1214</v>
      </c>
      <c r="L22" s="89"/>
      <c r="M22" s="89"/>
      <c r="N22" s="89"/>
      <c r="O22" s="89"/>
      <c r="P22" s="89"/>
      <c r="Q22" s="89"/>
      <c r="R22" s="89"/>
      <c r="S22" s="89"/>
      <c r="T22" s="89"/>
      <c r="U22" s="89"/>
      <c r="V22" s="89"/>
      <c r="W22" s="89"/>
      <c r="X22" s="89"/>
      <c r="Y22" s="89"/>
      <c r="Z22" s="89"/>
      <c r="AA22" s="89"/>
      <c r="AB22" s="89"/>
      <c r="AC22" s="89"/>
      <c r="AD22" s="89"/>
    </row>
    <row r="23" spans="1:30" ht="15.75" customHeight="1">
      <c r="A23" s="89" t="s">
        <v>260</v>
      </c>
      <c r="B23" s="89" t="s">
        <v>371</v>
      </c>
      <c r="C23" s="89" t="s">
        <v>577</v>
      </c>
      <c r="D23" s="89" t="s">
        <v>772</v>
      </c>
      <c r="E23" s="89" t="s">
        <v>636</v>
      </c>
      <c r="F23" s="89" t="s">
        <v>1165</v>
      </c>
      <c r="G23" s="89" t="s">
        <v>1166</v>
      </c>
      <c r="H23" s="97" t="s">
        <v>1167</v>
      </c>
      <c r="I23" s="97" t="s">
        <v>1168</v>
      </c>
      <c r="J23" s="92" t="s">
        <v>1169</v>
      </c>
      <c r="K23" s="92" t="s">
        <v>1170</v>
      </c>
      <c r="L23" s="89"/>
      <c r="M23" s="89"/>
      <c r="N23" s="89"/>
      <c r="O23" s="89"/>
      <c r="P23" s="89"/>
      <c r="Q23" s="89"/>
      <c r="R23" s="89"/>
      <c r="S23" s="89"/>
      <c r="T23" s="89"/>
      <c r="U23" s="89"/>
      <c r="V23" s="89"/>
      <c r="W23" s="89"/>
      <c r="X23" s="89"/>
      <c r="Y23" s="89"/>
      <c r="Z23" s="89"/>
      <c r="AA23" s="89"/>
      <c r="AB23" s="89"/>
      <c r="AC23" s="89"/>
      <c r="AD23" s="89"/>
    </row>
    <row r="24" spans="1:30" ht="15.75" customHeight="1">
      <c r="A24" s="89" t="s">
        <v>260</v>
      </c>
      <c r="B24" s="89" t="s">
        <v>371</v>
      </c>
      <c r="C24" s="89" t="s">
        <v>577</v>
      </c>
      <c r="D24" s="89" t="s">
        <v>772</v>
      </c>
      <c r="E24" s="89" t="s">
        <v>106</v>
      </c>
      <c r="F24" s="89" t="s">
        <v>1165</v>
      </c>
      <c r="G24" s="89" t="s">
        <v>1171</v>
      </c>
      <c r="H24" s="97" t="s">
        <v>1172</v>
      </c>
      <c r="I24" s="97" t="s">
        <v>1173</v>
      </c>
      <c r="J24" s="92" t="s">
        <v>1169</v>
      </c>
      <c r="K24" s="90" t="s">
        <v>555</v>
      </c>
      <c r="L24" s="89"/>
      <c r="M24" s="89"/>
      <c r="N24" s="89"/>
      <c r="O24" s="89"/>
      <c r="P24" s="89"/>
      <c r="Q24" s="89"/>
      <c r="R24" s="89"/>
      <c r="S24" s="89"/>
      <c r="T24" s="89"/>
      <c r="U24" s="89"/>
      <c r="V24" s="89"/>
      <c r="W24" s="89"/>
      <c r="X24" s="89"/>
      <c r="Y24" s="89"/>
      <c r="Z24" s="89"/>
      <c r="AA24" s="89"/>
      <c r="AB24" s="89"/>
      <c r="AC24" s="89"/>
      <c r="AD24" s="89"/>
    </row>
    <row r="25" spans="1:30" ht="15.75" customHeight="1">
      <c r="A25" s="89" t="s">
        <v>260</v>
      </c>
      <c r="B25" s="89" t="s">
        <v>371</v>
      </c>
      <c r="C25" s="89" t="s">
        <v>691</v>
      </c>
      <c r="D25" s="89" t="s">
        <v>692</v>
      </c>
      <c r="E25" s="89" t="s">
        <v>636</v>
      </c>
      <c r="F25" s="89" t="s">
        <v>1165</v>
      </c>
      <c r="G25" s="89" t="s">
        <v>1211</v>
      </c>
      <c r="H25" s="89" t="s">
        <v>1212</v>
      </c>
      <c r="I25" s="89" t="s">
        <v>1215</v>
      </c>
      <c r="J25" s="92" t="s">
        <v>1169</v>
      </c>
      <c r="K25" s="93" t="s">
        <v>1214</v>
      </c>
      <c r="L25" s="92"/>
      <c r="M25" s="89"/>
      <c r="N25" s="89"/>
      <c r="O25" s="89"/>
      <c r="P25" s="89"/>
      <c r="Q25" s="89"/>
      <c r="R25" s="89"/>
      <c r="S25" s="89"/>
      <c r="T25" s="89"/>
      <c r="U25" s="89"/>
      <c r="V25" s="89"/>
      <c r="W25" s="89"/>
      <c r="X25" s="89"/>
      <c r="Y25" s="89"/>
      <c r="Z25" s="89"/>
      <c r="AA25" s="89"/>
      <c r="AB25" s="89"/>
      <c r="AC25" s="89"/>
      <c r="AD25" s="89"/>
    </row>
    <row r="26" spans="1:30" ht="15.75" customHeight="1">
      <c r="A26" s="89" t="s">
        <v>260</v>
      </c>
      <c r="B26" s="89" t="s">
        <v>371</v>
      </c>
      <c r="C26" s="89" t="s">
        <v>691</v>
      </c>
      <c r="D26" s="89" t="s">
        <v>692</v>
      </c>
      <c r="E26" s="89" t="s">
        <v>1216</v>
      </c>
      <c r="F26" s="89" t="s">
        <v>1217</v>
      </c>
      <c r="G26" s="89" t="s">
        <v>1218</v>
      </c>
      <c r="H26" s="89" t="s">
        <v>1219</v>
      </c>
      <c r="I26" s="89" t="s">
        <v>1220</v>
      </c>
      <c r="J26" s="92" t="s">
        <v>1169</v>
      </c>
      <c r="K26" s="93" t="s">
        <v>1221</v>
      </c>
      <c r="L26" s="92"/>
      <c r="M26" s="89"/>
      <c r="N26" s="89"/>
      <c r="O26" s="89"/>
      <c r="P26" s="89"/>
      <c r="Q26" s="89"/>
      <c r="R26" s="89"/>
      <c r="S26" s="89"/>
      <c r="T26" s="89"/>
      <c r="U26" s="89"/>
      <c r="V26" s="89"/>
      <c r="W26" s="89"/>
      <c r="X26" s="89"/>
      <c r="Y26" s="89"/>
      <c r="Z26" s="89"/>
      <c r="AA26" s="89"/>
      <c r="AB26" s="89"/>
      <c r="AC26" s="89"/>
      <c r="AD26" s="89"/>
    </row>
    <row r="27" spans="1:30" ht="15.75" customHeight="1">
      <c r="A27" s="89" t="s">
        <v>260</v>
      </c>
      <c r="B27" s="89" t="s">
        <v>371</v>
      </c>
      <c r="C27" s="89" t="s">
        <v>608</v>
      </c>
      <c r="D27" s="89" t="s">
        <v>609</v>
      </c>
      <c r="E27" s="89" t="s">
        <v>636</v>
      </c>
      <c r="F27" s="89" t="s">
        <v>1165</v>
      </c>
      <c r="G27" s="89" t="s">
        <v>1211</v>
      </c>
      <c r="H27" s="89" t="s">
        <v>1212</v>
      </c>
      <c r="I27" s="89" t="s">
        <v>1222</v>
      </c>
      <c r="J27" s="92" t="s">
        <v>1169</v>
      </c>
      <c r="K27" s="93" t="s">
        <v>1214</v>
      </c>
      <c r="L27" s="92"/>
      <c r="M27" s="89"/>
      <c r="N27" s="89"/>
      <c r="O27" s="89"/>
      <c r="P27" s="89"/>
      <c r="Q27" s="89"/>
      <c r="R27" s="89"/>
      <c r="S27" s="89"/>
      <c r="T27" s="89"/>
      <c r="U27" s="89"/>
      <c r="V27" s="89"/>
      <c r="W27" s="89"/>
      <c r="X27" s="89"/>
      <c r="Y27" s="89"/>
      <c r="Z27" s="89"/>
      <c r="AA27" s="89"/>
      <c r="AB27" s="89"/>
      <c r="AC27" s="89"/>
      <c r="AD27" s="89"/>
    </row>
    <row r="28" spans="1:30" ht="15.75" customHeight="1">
      <c r="A28" s="89" t="s">
        <v>260</v>
      </c>
      <c r="B28" s="89" t="s">
        <v>371</v>
      </c>
      <c r="C28" s="89" t="s">
        <v>608</v>
      </c>
      <c r="D28" s="89" t="s">
        <v>609</v>
      </c>
      <c r="E28" s="89" t="s">
        <v>106</v>
      </c>
      <c r="F28" s="89" t="s">
        <v>1223</v>
      </c>
      <c r="G28" s="89" t="s">
        <v>1171</v>
      </c>
      <c r="H28" s="89" t="s">
        <v>1172</v>
      </c>
      <c r="I28" s="89" t="s">
        <v>1173</v>
      </c>
      <c r="J28" s="92" t="s">
        <v>1169</v>
      </c>
      <c r="K28" s="90" t="s">
        <v>555</v>
      </c>
      <c r="L28" s="92"/>
      <c r="M28" s="89"/>
      <c r="N28" s="89"/>
      <c r="O28" s="89"/>
      <c r="P28" s="89"/>
      <c r="Q28" s="89"/>
      <c r="R28" s="89"/>
      <c r="S28" s="89"/>
      <c r="T28" s="89"/>
      <c r="U28" s="89"/>
      <c r="V28" s="89"/>
      <c r="W28" s="89"/>
      <c r="X28" s="89"/>
      <c r="Y28" s="89"/>
      <c r="Z28" s="89"/>
      <c r="AA28" s="89"/>
      <c r="AB28" s="89"/>
      <c r="AC28" s="89"/>
      <c r="AD28" s="89"/>
    </row>
    <row r="29" spans="1:30" ht="15.75" customHeight="1">
      <c r="A29" s="89" t="s">
        <v>260</v>
      </c>
      <c r="B29" s="89" t="s">
        <v>371</v>
      </c>
      <c r="C29" s="89" t="s">
        <v>372</v>
      </c>
      <c r="D29" s="89" t="s">
        <v>764</v>
      </c>
      <c r="E29" s="89" t="s">
        <v>636</v>
      </c>
      <c r="F29" s="89" t="s">
        <v>1165</v>
      </c>
      <c r="G29" s="89" t="s">
        <v>1211</v>
      </c>
      <c r="H29" s="89" t="s">
        <v>1212</v>
      </c>
      <c r="I29" s="89" t="s">
        <v>1224</v>
      </c>
      <c r="J29" s="92" t="s">
        <v>1169</v>
      </c>
      <c r="K29" s="93" t="s">
        <v>1214</v>
      </c>
      <c r="L29" s="89"/>
      <c r="M29" s="89"/>
      <c r="N29" s="89"/>
      <c r="O29" s="89"/>
      <c r="P29" s="89"/>
      <c r="Q29" s="89"/>
      <c r="R29" s="89"/>
      <c r="S29" s="89"/>
      <c r="T29" s="89"/>
      <c r="U29" s="89"/>
      <c r="V29" s="89"/>
      <c r="W29" s="89"/>
      <c r="X29" s="89"/>
      <c r="Y29" s="89"/>
      <c r="Z29" s="89"/>
      <c r="AA29" s="89"/>
      <c r="AB29" s="89"/>
      <c r="AC29" s="89"/>
      <c r="AD29" s="89"/>
    </row>
    <row r="30" spans="1:30" ht="15.75" customHeight="1">
      <c r="A30" s="89" t="s">
        <v>260</v>
      </c>
      <c r="B30" s="89" t="s">
        <v>313</v>
      </c>
      <c r="C30" s="89" t="s">
        <v>630</v>
      </c>
      <c r="D30" s="89" t="s">
        <v>631</v>
      </c>
      <c r="E30" s="89" t="s">
        <v>84</v>
      </c>
      <c r="F30" s="89" t="s">
        <v>1225</v>
      </c>
      <c r="G30" s="89" t="s">
        <v>1226</v>
      </c>
      <c r="H30" s="89" t="s">
        <v>1227</v>
      </c>
      <c r="I30" s="89" t="s">
        <v>1228</v>
      </c>
      <c r="J30" s="89" t="s">
        <v>1169</v>
      </c>
      <c r="K30" s="90" t="s">
        <v>1229</v>
      </c>
      <c r="L30" s="89"/>
      <c r="M30" s="89"/>
      <c r="N30" s="89"/>
      <c r="O30" s="89"/>
      <c r="P30" s="89"/>
      <c r="Q30" s="89"/>
      <c r="R30" s="89"/>
      <c r="S30" s="89"/>
      <c r="T30" s="89"/>
      <c r="U30" s="89"/>
      <c r="V30" s="89"/>
      <c r="W30" s="89"/>
      <c r="X30" s="89"/>
      <c r="Y30" s="89"/>
      <c r="Z30" s="89"/>
      <c r="AA30" s="89"/>
      <c r="AB30" s="89"/>
      <c r="AC30" s="89"/>
      <c r="AD30" s="89"/>
    </row>
    <row r="31" spans="1:30" ht="15.75" customHeight="1">
      <c r="A31" s="89" t="s">
        <v>260</v>
      </c>
      <c r="B31" s="89" t="s">
        <v>313</v>
      </c>
      <c r="C31" s="89" t="s">
        <v>630</v>
      </c>
      <c r="D31" s="89" t="s">
        <v>631</v>
      </c>
      <c r="E31" s="89" t="s">
        <v>84</v>
      </c>
      <c r="F31" s="89" t="s">
        <v>1230</v>
      </c>
      <c r="G31" s="89" t="s">
        <v>1231</v>
      </c>
      <c r="H31" s="89" t="s">
        <v>1232</v>
      </c>
      <c r="I31" s="89" t="s">
        <v>1233</v>
      </c>
      <c r="J31" s="89" t="s">
        <v>1169</v>
      </c>
      <c r="K31" s="90" t="s">
        <v>1234</v>
      </c>
      <c r="L31" s="89"/>
      <c r="M31" s="89"/>
      <c r="N31" s="89"/>
      <c r="O31" s="89"/>
      <c r="P31" s="89"/>
      <c r="Q31" s="89"/>
      <c r="R31" s="89"/>
      <c r="S31" s="89"/>
      <c r="T31" s="89"/>
      <c r="U31" s="89"/>
      <c r="V31" s="89"/>
      <c r="W31" s="89"/>
      <c r="X31" s="89"/>
      <c r="Y31" s="89"/>
      <c r="Z31" s="89"/>
      <c r="AA31" s="89"/>
      <c r="AB31" s="89"/>
      <c r="AC31" s="89"/>
      <c r="AD31" s="89"/>
    </row>
    <row r="32" spans="1:30" ht="15.75" customHeight="1">
      <c r="A32" s="89" t="s">
        <v>260</v>
      </c>
      <c r="B32" s="89" t="s">
        <v>313</v>
      </c>
      <c r="C32" s="89" t="s">
        <v>630</v>
      </c>
      <c r="D32" s="89" t="s">
        <v>631</v>
      </c>
      <c r="E32" s="89" t="s">
        <v>84</v>
      </c>
      <c r="F32" s="89" t="s">
        <v>1235</v>
      </c>
      <c r="G32" s="89" t="s">
        <v>1236</v>
      </c>
      <c r="H32" s="89" t="s">
        <v>1237</v>
      </c>
      <c r="I32" s="89" t="s">
        <v>1238</v>
      </c>
      <c r="J32" s="89" t="s">
        <v>1169</v>
      </c>
      <c r="K32" s="90" t="s">
        <v>1239</v>
      </c>
      <c r="L32" s="89"/>
      <c r="M32" s="89"/>
      <c r="N32" s="89"/>
      <c r="O32" s="89"/>
      <c r="P32" s="89"/>
      <c r="Q32" s="89"/>
      <c r="R32" s="89"/>
      <c r="S32" s="89"/>
      <c r="T32" s="89"/>
      <c r="U32" s="89"/>
      <c r="V32" s="89"/>
      <c r="W32" s="89"/>
      <c r="X32" s="89"/>
      <c r="Y32" s="89"/>
      <c r="Z32" s="89"/>
      <c r="AA32" s="89"/>
      <c r="AB32" s="89"/>
      <c r="AC32" s="89"/>
      <c r="AD32" s="89"/>
    </row>
    <row r="33" spans="1:30" ht="15.75" customHeight="1">
      <c r="A33" s="89" t="s">
        <v>260</v>
      </c>
      <c r="B33" s="89" t="s">
        <v>313</v>
      </c>
      <c r="C33" s="89" t="s">
        <v>630</v>
      </c>
      <c r="D33" s="89" t="s">
        <v>631</v>
      </c>
      <c r="E33" s="89" t="s">
        <v>84</v>
      </c>
      <c r="F33" s="89" t="s">
        <v>1240</v>
      </c>
      <c r="G33" s="89" t="s">
        <v>1241</v>
      </c>
      <c r="H33" s="89" t="s">
        <v>1242</v>
      </c>
      <c r="I33" s="89" t="s">
        <v>1243</v>
      </c>
      <c r="J33" s="89" t="s">
        <v>1169</v>
      </c>
      <c r="K33" s="90" t="s">
        <v>1244</v>
      </c>
      <c r="L33" s="89"/>
      <c r="M33" s="89"/>
      <c r="N33" s="89"/>
      <c r="O33" s="89"/>
      <c r="P33" s="89"/>
      <c r="Q33" s="89"/>
      <c r="R33" s="89"/>
      <c r="S33" s="89"/>
      <c r="T33" s="89"/>
      <c r="U33" s="89"/>
      <c r="V33" s="89"/>
      <c r="W33" s="89"/>
      <c r="X33" s="89"/>
      <c r="Y33" s="89"/>
      <c r="Z33" s="89"/>
      <c r="AA33" s="89"/>
      <c r="AB33" s="89"/>
      <c r="AC33" s="89"/>
      <c r="AD33" s="89"/>
    </row>
    <row r="34" spans="1:30" ht="15.75" customHeight="1">
      <c r="A34" s="98" t="s">
        <v>260</v>
      </c>
      <c r="B34" s="98" t="s">
        <v>376</v>
      </c>
      <c r="C34" s="98" t="s">
        <v>319</v>
      </c>
      <c r="D34" s="98" t="s">
        <v>701</v>
      </c>
      <c r="E34" s="98" t="s">
        <v>1245</v>
      </c>
      <c r="F34" s="98" t="s">
        <v>1246</v>
      </c>
      <c r="G34" s="98" t="s">
        <v>1247</v>
      </c>
      <c r="H34" s="99" t="s">
        <v>1248</v>
      </c>
      <c r="I34" s="98" t="s">
        <v>1249</v>
      </c>
      <c r="J34" s="98" t="s">
        <v>1169</v>
      </c>
      <c r="K34" s="100" t="s">
        <v>1250</v>
      </c>
      <c r="L34" s="98"/>
      <c r="M34" s="98"/>
      <c r="N34" s="98"/>
      <c r="O34" s="98"/>
      <c r="P34" s="98"/>
      <c r="Q34" s="98"/>
      <c r="R34" s="98"/>
      <c r="S34" s="98"/>
      <c r="T34" s="98"/>
      <c r="U34" s="98"/>
      <c r="V34" s="98"/>
      <c r="W34" s="98"/>
      <c r="X34" s="98"/>
      <c r="Y34" s="98"/>
      <c r="Z34" s="98"/>
      <c r="AA34" s="98"/>
      <c r="AB34" s="98"/>
      <c r="AC34" s="98"/>
      <c r="AD34" s="98"/>
    </row>
    <row r="35" spans="1:30" ht="15.75" customHeight="1">
      <c r="A35" s="98" t="s">
        <v>260</v>
      </c>
      <c r="B35" s="98" t="s">
        <v>376</v>
      </c>
      <c r="C35" s="98" t="s">
        <v>319</v>
      </c>
      <c r="D35" s="98" t="s">
        <v>701</v>
      </c>
      <c r="E35" s="98" t="s">
        <v>1251</v>
      </c>
      <c r="F35" s="98" t="s">
        <v>1246</v>
      </c>
      <c r="G35" s="98" t="s">
        <v>1252</v>
      </c>
      <c r="H35" s="99" t="s">
        <v>1253</v>
      </c>
      <c r="I35" s="98" t="s">
        <v>1254</v>
      </c>
      <c r="J35" s="98" t="s">
        <v>1169</v>
      </c>
      <c r="K35" s="100" t="s">
        <v>1250</v>
      </c>
      <c r="L35" s="98"/>
      <c r="M35" s="98"/>
      <c r="N35" s="98"/>
      <c r="O35" s="98"/>
      <c r="P35" s="98"/>
      <c r="Q35" s="98"/>
      <c r="R35" s="98"/>
      <c r="S35" s="98"/>
      <c r="T35" s="98"/>
      <c r="U35" s="98"/>
      <c r="V35" s="98"/>
      <c r="W35" s="98"/>
      <c r="X35" s="98"/>
      <c r="Y35" s="98"/>
      <c r="Z35" s="98"/>
      <c r="AA35" s="98"/>
      <c r="AB35" s="98"/>
      <c r="AC35" s="98"/>
      <c r="AD35" s="98"/>
    </row>
    <row r="36" spans="1:30" ht="15.75" customHeight="1">
      <c r="A36" s="89" t="s">
        <v>260</v>
      </c>
      <c r="B36" s="89" t="s">
        <v>757</v>
      </c>
      <c r="C36" s="89" t="s">
        <v>324</v>
      </c>
      <c r="D36" s="89" t="s">
        <v>758</v>
      </c>
      <c r="E36" s="89" t="s">
        <v>139</v>
      </c>
      <c r="F36" s="89" t="s">
        <v>1165</v>
      </c>
      <c r="G36" s="89" t="s">
        <v>1255</v>
      </c>
      <c r="H36" s="101" t="s">
        <v>1170</v>
      </c>
      <c r="I36" s="89" t="s">
        <v>1256</v>
      </c>
      <c r="J36" s="89" t="s">
        <v>1169</v>
      </c>
      <c r="K36" s="90" t="s">
        <v>1257</v>
      </c>
      <c r="L36" s="89"/>
      <c r="M36" s="89"/>
      <c r="N36" s="89"/>
      <c r="O36" s="89"/>
      <c r="P36" s="89"/>
      <c r="Q36" s="89"/>
      <c r="R36" s="89"/>
      <c r="S36" s="89"/>
      <c r="T36" s="89"/>
      <c r="U36" s="89"/>
      <c r="V36" s="89"/>
      <c r="W36" s="89"/>
      <c r="X36" s="89"/>
      <c r="Y36" s="89"/>
      <c r="Z36" s="89"/>
      <c r="AA36" s="89"/>
      <c r="AB36" s="89"/>
      <c r="AC36" s="89"/>
      <c r="AD36" s="89"/>
    </row>
    <row r="37" spans="1:30" ht="15.75" customHeight="1">
      <c r="A37" s="98" t="s">
        <v>260</v>
      </c>
      <c r="B37" s="98" t="s">
        <v>809</v>
      </c>
      <c r="C37" s="98" t="s">
        <v>815</v>
      </c>
      <c r="D37" s="98" t="s">
        <v>816</v>
      </c>
      <c r="E37" s="98" t="s">
        <v>1245</v>
      </c>
      <c r="F37" s="98" t="s">
        <v>1165</v>
      </c>
      <c r="G37" s="98" t="s">
        <v>1258</v>
      </c>
      <c r="H37" s="98" t="s">
        <v>1259</v>
      </c>
      <c r="I37" s="98" t="s">
        <v>1260</v>
      </c>
      <c r="J37" s="98" t="s">
        <v>1169</v>
      </c>
      <c r="K37" s="100" t="s">
        <v>1261</v>
      </c>
      <c r="L37" s="98"/>
      <c r="M37" s="98"/>
      <c r="N37" s="98"/>
      <c r="O37" s="98"/>
      <c r="P37" s="98"/>
      <c r="Q37" s="98"/>
      <c r="R37" s="98"/>
      <c r="S37" s="98"/>
      <c r="T37" s="98"/>
      <c r="U37" s="98"/>
      <c r="V37" s="98"/>
      <c r="W37" s="98"/>
      <c r="X37" s="98"/>
      <c r="Y37" s="98"/>
      <c r="Z37" s="98"/>
      <c r="AA37" s="98"/>
      <c r="AB37" s="98"/>
      <c r="AC37" s="98"/>
      <c r="AD37" s="98"/>
    </row>
    <row r="38" spans="1:30" ht="15.75" customHeight="1">
      <c r="A38" s="98" t="s">
        <v>260</v>
      </c>
      <c r="B38" s="98" t="s">
        <v>809</v>
      </c>
      <c r="C38" s="98" t="s">
        <v>815</v>
      </c>
      <c r="D38" s="98" t="s">
        <v>816</v>
      </c>
      <c r="E38" s="98" t="s">
        <v>1251</v>
      </c>
      <c r="F38" s="98" t="s">
        <v>1165</v>
      </c>
      <c r="G38" s="98" t="s">
        <v>1262</v>
      </c>
      <c r="H38" s="98" t="s">
        <v>1263</v>
      </c>
      <c r="I38" s="98" t="s">
        <v>1260</v>
      </c>
      <c r="J38" s="98" t="s">
        <v>1169</v>
      </c>
      <c r="K38" s="100" t="s">
        <v>1264</v>
      </c>
      <c r="L38" s="98"/>
      <c r="M38" s="98"/>
      <c r="N38" s="98"/>
      <c r="O38" s="98"/>
      <c r="P38" s="98"/>
      <c r="Q38" s="98"/>
      <c r="R38" s="98"/>
      <c r="S38" s="98"/>
      <c r="T38" s="98"/>
      <c r="U38" s="98"/>
      <c r="V38" s="98"/>
      <c r="W38" s="98"/>
      <c r="X38" s="98"/>
      <c r="Y38" s="98"/>
      <c r="Z38" s="98"/>
      <c r="AA38" s="98"/>
      <c r="AB38" s="98"/>
      <c r="AC38" s="98"/>
      <c r="AD38" s="98"/>
    </row>
    <row r="39" spans="1:30" ht="15.75" customHeight="1">
      <c r="A39" s="89" t="s">
        <v>260</v>
      </c>
      <c r="B39" s="89" t="s">
        <v>407</v>
      </c>
      <c r="C39" s="89" t="s">
        <v>561</v>
      </c>
      <c r="D39" s="89" t="s">
        <v>760</v>
      </c>
      <c r="E39" s="89" t="s">
        <v>636</v>
      </c>
      <c r="F39" s="89" t="s">
        <v>1165</v>
      </c>
      <c r="G39" s="89" t="s">
        <v>1166</v>
      </c>
      <c r="H39" s="89" t="s">
        <v>1167</v>
      </c>
      <c r="I39" s="89" t="s">
        <v>1168</v>
      </c>
      <c r="J39" s="89" t="s">
        <v>1169</v>
      </c>
      <c r="K39" s="89" t="s">
        <v>1170</v>
      </c>
      <c r="L39" s="89"/>
      <c r="M39" s="89"/>
      <c r="N39" s="89"/>
      <c r="O39" s="89"/>
      <c r="P39" s="89"/>
      <c r="Q39" s="89"/>
      <c r="R39" s="89"/>
      <c r="S39" s="89"/>
      <c r="T39" s="89"/>
      <c r="U39" s="89"/>
      <c r="V39" s="89"/>
      <c r="W39" s="89"/>
      <c r="X39" s="89"/>
      <c r="Y39" s="89"/>
      <c r="Z39" s="89"/>
      <c r="AA39" s="89"/>
      <c r="AB39" s="89"/>
      <c r="AC39" s="89"/>
      <c r="AD39" s="89"/>
    </row>
    <row r="40" spans="1:30" ht="15.75" customHeight="1">
      <c r="A40" s="89" t="s">
        <v>260</v>
      </c>
      <c r="B40" s="89" t="s">
        <v>407</v>
      </c>
      <c r="C40" s="89" t="s">
        <v>561</v>
      </c>
      <c r="D40" s="89" t="s">
        <v>760</v>
      </c>
      <c r="E40" s="89" t="s">
        <v>106</v>
      </c>
      <c r="F40" s="89" t="s">
        <v>1165</v>
      </c>
      <c r="G40" s="89" t="s">
        <v>1171</v>
      </c>
      <c r="H40" s="89" t="s">
        <v>1172</v>
      </c>
      <c r="I40" s="89" t="s">
        <v>1173</v>
      </c>
      <c r="J40" s="89" t="s">
        <v>1169</v>
      </c>
      <c r="K40" s="90" t="s">
        <v>555</v>
      </c>
      <c r="L40" s="89"/>
      <c r="M40" s="89"/>
      <c r="N40" s="89"/>
      <c r="O40" s="89"/>
      <c r="P40" s="89"/>
      <c r="Q40" s="89"/>
      <c r="R40" s="89"/>
      <c r="S40" s="89"/>
      <c r="T40" s="89"/>
      <c r="U40" s="89"/>
      <c r="V40" s="89"/>
      <c r="W40" s="89"/>
      <c r="X40" s="89"/>
      <c r="Y40" s="89"/>
      <c r="Z40" s="89"/>
      <c r="AA40" s="89"/>
      <c r="AB40" s="89"/>
      <c r="AC40" s="89"/>
      <c r="AD40" s="89"/>
    </row>
    <row r="41" spans="1:30" ht="15.75" customHeight="1">
      <c r="A41" s="89" t="s">
        <v>260</v>
      </c>
      <c r="B41" s="89" t="s">
        <v>371</v>
      </c>
      <c r="C41" s="89" t="s">
        <v>812</v>
      </c>
      <c r="D41" s="89" t="s">
        <v>813</v>
      </c>
      <c r="E41" s="89" t="s">
        <v>636</v>
      </c>
      <c r="F41" s="89" t="s">
        <v>1165</v>
      </c>
      <c r="G41" s="89" t="s">
        <v>1166</v>
      </c>
      <c r="H41" s="89" t="s">
        <v>1167</v>
      </c>
      <c r="I41" s="89" t="s">
        <v>1168</v>
      </c>
      <c r="J41" s="89" t="s">
        <v>1169</v>
      </c>
      <c r="K41" s="89" t="s">
        <v>1170</v>
      </c>
      <c r="L41" s="89"/>
      <c r="M41" s="89"/>
      <c r="N41" s="89"/>
      <c r="O41" s="89"/>
      <c r="P41" s="89"/>
      <c r="Q41" s="89"/>
      <c r="R41" s="89"/>
      <c r="S41" s="89"/>
      <c r="T41" s="89"/>
      <c r="U41" s="89"/>
      <c r="V41" s="89"/>
      <c r="W41" s="89"/>
      <c r="X41" s="89"/>
      <c r="Y41" s="89"/>
      <c r="Z41" s="89"/>
      <c r="AA41" s="89"/>
      <c r="AB41" s="89"/>
      <c r="AC41" s="89"/>
      <c r="AD41" s="89"/>
    </row>
    <row r="42" spans="1:30" ht="15.75" customHeight="1">
      <c r="A42" s="89" t="s">
        <v>260</v>
      </c>
      <c r="B42" s="89" t="s">
        <v>371</v>
      </c>
      <c r="C42" s="89" t="s">
        <v>812</v>
      </c>
      <c r="D42" s="89" t="s">
        <v>813</v>
      </c>
      <c r="E42" s="89" t="s">
        <v>106</v>
      </c>
      <c r="F42" s="89" t="s">
        <v>1165</v>
      </c>
      <c r="G42" s="89" t="s">
        <v>1171</v>
      </c>
      <c r="H42" s="89" t="s">
        <v>1172</v>
      </c>
      <c r="I42" s="89" t="s">
        <v>1173</v>
      </c>
      <c r="J42" s="89" t="s">
        <v>1169</v>
      </c>
      <c r="K42" s="90" t="s">
        <v>555</v>
      </c>
      <c r="L42" s="89"/>
      <c r="M42" s="89"/>
      <c r="N42" s="89"/>
      <c r="O42" s="89"/>
      <c r="P42" s="89"/>
      <c r="Q42" s="89"/>
      <c r="R42" s="89"/>
      <c r="S42" s="89"/>
      <c r="T42" s="89"/>
      <c r="U42" s="89"/>
      <c r="V42" s="89"/>
      <c r="W42" s="89"/>
      <c r="X42" s="89"/>
      <c r="Y42" s="89"/>
      <c r="Z42" s="89"/>
      <c r="AA42" s="89"/>
      <c r="AB42" s="89"/>
      <c r="AC42" s="89"/>
      <c r="AD42" s="89"/>
    </row>
    <row r="43" spans="1:30" ht="15.75" customHeight="1">
      <c r="A43" s="89" t="s">
        <v>260</v>
      </c>
      <c r="B43" s="89" t="s">
        <v>371</v>
      </c>
      <c r="C43" s="89" t="s">
        <v>797</v>
      </c>
      <c r="D43" s="89" t="s">
        <v>798</v>
      </c>
      <c r="E43" s="89" t="s">
        <v>636</v>
      </c>
      <c r="F43" s="89" t="s">
        <v>1165</v>
      </c>
      <c r="G43" s="89" t="s">
        <v>1166</v>
      </c>
      <c r="H43" s="89" t="s">
        <v>1167</v>
      </c>
      <c r="I43" s="89" t="s">
        <v>1168</v>
      </c>
      <c r="J43" s="89" t="s">
        <v>1169</v>
      </c>
      <c r="K43" s="89" t="s">
        <v>1170</v>
      </c>
      <c r="L43" s="89"/>
      <c r="M43" s="89"/>
      <c r="N43" s="89"/>
      <c r="O43" s="89"/>
      <c r="P43" s="89"/>
      <c r="Q43" s="89"/>
      <c r="R43" s="89"/>
      <c r="S43" s="89"/>
      <c r="T43" s="89"/>
      <c r="U43" s="89"/>
      <c r="V43" s="89"/>
      <c r="W43" s="89"/>
      <c r="X43" s="89"/>
      <c r="Y43" s="89"/>
      <c r="Z43" s="89"/>
      <c r="AA43" s="89"/>
      <c r="AB43" s="89"/>
      <c r="AC43" s="89"/>
      <c r="AD43" s="89"/>
    </row>
    <row r="44" spans="1:30" ht="15.75" customHeight="1">
      <c r="A44" s="89" t="s">
        <v>260</v>
      </c>
      <c r="B44" s="89" t="s">
        <v>371</v>
      </c>
      <c r="C44" s="89" t="s">
        <v>797</v>
      </c>
      <c r="D44" s="89" t="s">
        <v>798</v>
      </c>
      <c r="E44" s="89" t="s">
        <v>106</v>
      </c>
      <c r="F44" s="89" t="s">
        <v>1165</v>
      </c>
      <c r="G44" s="89" t="s">
        <v>1171</v>
      </c>
      <c r="H44" s="89" t="s">
        <v>1172</v>
      </c>
      <c r="I44" s="89" t="s">
        <v>1173</v>
      </c>
      <c r="J44" s="89" t="s">
        <v>1169</v>
      </c>
      <c r="K44" s="90" t="s">
        <v>555</v>
      </c>
      <c r="L44" s="89"/>
      <c r="M44" s="89"/>
      <c r="N44" s="89"/>
      <c r="O44" s="89"/>
      <c r="P44" s="89"/>
      <c r="Q44" s="89"/>
      <c r="R44" s="89"/>
      <c r="S44" s="89"/>
      <c r="T44" s="89"/>
      <c r="U44" s="89"/>
      <c r="V44" s="89"/>
      <c r="W44" s="89"/>
      <c r="X44" s="89"/>
      <c r="Y44" s="89"/>
      <c r="Z44" s="89"/>
      <c r="AA44" s="89"/>
      <c r="AB44" s="89"/>
      <c r="AC44" s="89"/>
      <c r="AD44" s="89"/>
    </row>
    <row r="45" spans="1:30" ht="15.75" customHeight="1">
      <c r="A45" s="98" t="s">
        <v>260</v>
      </c>
      <c r="B45" s="98" t="s">
        <v>809</v>
      </c>
      <c r="C45" s="98" t="s">
        <v>565</v>
      </c>
      <c r="D45" s="98" t="s">
        <v>810</v>
      </c>
      <c r="E45" s="98" t="s">
        <v>1245</v>
      </c>
      <c r="F45" s="98" t="s">
        <v>1165</v>
      </c>
      <c r="G45" s="98" t="s">
        <v>1258</v>
      </c>
      <c r="H45" s="102" t="s">
        <v>1259</v>
      </c>
      <c r="I45" s="102" t="s">
        <v>1260</v>
      </c>
      <c r="J45" s="102" t="s">
        <v>1169</v>
      </c>
      <c r="K45" s="103" t="s">
        <v>1261</v>
      </c>
      <c r="L45" s="98"/>
      <c r="M45" s="98"/>
      <c r="N45" s="98"/>
      <c r="O45" s="98"/>
      <c r="P45" s="98"/>
      <c r="Q45" s="98"/>
      <c r="R45" s="98"/>
      <c r="S45" s="98"/>
      <c r="T45" s="98"/>
      <c r="U45" s="98"/>
      <c r="V45" s="98"/>
      <c r="W45" s="98"/>
      <c r="X45" s="98"/>
      <c r="Y45" s="98"/>
      <c r="Z45" s="98"/>
      <c r="AA45" s="98"/>
      <c r="AB45" s="98"/>
      <c r="AC45" s="98"/>
      <c r="AD45" s="98"/>
    </row>
    <row r="46" spans="1:30" ht="15.75" customHeight="1">
      <c r="A46" s="98" t="s">
        <v>260</v>
      </c>
      <c r="B46" s="98" t="s">
        <v>809</v>
      </c>
      <c r="C46" s="98" t="s">
        <v>565</v>
      </c>
      <c r="D46" s="98" t="s">
        <v>810</v>
      </c>
      <c r="E46" s="98" t="s">
        <v>1251</v>
      </c>
      <c r="F46" s="98" t="s">
        <v>1165</v>
      </c>
      <c r="G46" s="98" t="s">
        <v>1262</v>
      </c>
      <c r="H46" s="102" t="s">
        <v>1263</v>
      </c>
      <c r="I46" s="102" t="s">
        <v>1260</v>
      </c>
      <c r="J46" s="102" t="s">
        <v>1169</v>
      </c>
      <c r="K46" s="103" t="s">
        <v>1264</v>
      </c>
      <c r="L46" s="98"/>
      <c r="M46" s="98"/>
      <c r="N46" s="98"/>
      <c r="O46" s="98"/>
      <c r="P46" s="98"/>
      <c r="Q46" s="98"/>
      <c r="R46" s="98"/>
      <c r="S46" s="98"/>
      <c r="T46" s="98"/>
      <c r="U46" s="98"/>
      <c r="V46" s="98"/>
      <c r="W46" s="98"/>
      <c r="X46" s="98"/>
      <c r="Y46" s="98"/>
      <c r="Z46" s="98"/>
      <c r="AA46" s="98"/>
      <c r="AB46" s="98"/>
      <c r="AC46" s="98"/>
      <c r="AD46" s="98"/>
    </row>
    <row r="47" spans="1:30" ht="15.75" customHeight="1">
      <c r="A47" s="89" t="s">
        <v>260</v>
      </c>
      <c r="B47" s="89" t="s">
        <v>371</v>
      </c>
      <c r="C47" s="89" t="s">
        <v>571</v>
      </c>
      <c r="D47" s="89" t="s">
        <v>857</v>
      </c>
      <c r="E47" s="89" t="s">
        <v>636</v>
      </c>
      <c r="F47" s="89" t="s">
        <v>1165</v>
      </c>
      <c r="G47" s="97" t="s">
        <v>1166</v>
      </c>
      <c r="H47" s="97" t="s">
        <v>1167</v>
      </c>
      <c r="I47" s="97" t="s">
        <v>1168</v>
      </c>
      <c r="J47" s="97" t="s">
        <v>1169</v>
      </c>
      <c r="K47" s="97" t="s">
        <v>1170</v>
      </c>
      <c r="L47" s="89"/>
      <c r="M47" s="89"/>
      <c r="N47" s="89"/>
      <c r="O47" s="89"/>
      <c r="P47" s="89"/>
      <c r="Q47" s="89"/>
      <c r="R47" s="89"/>
      <c r="S47" s="89"/>
      <c r="T47" s="89"/>
      <c r="U47" s="89"/>
      <c r="V47" s="89"/>
      <c r="W47" s="89"/>
      <c r="X47" s="89"/>
      <c r="Y47" s="89"/>
      <c r="Z47" s="89"/>
      <c r="AA47" s="89"/>
      <c r="AB47" s="89"/>
      <c r="AC47" s="89"/>
      <c r="AD47" s="89"/>
    </row>
    <row r="48" spans="1:30" ht="15.75" customHeight="1">
      <c r="A48" s="89" t="s">
        <v>260</v>
      </c>
      <c r="B48" s="89" t="s">
        <v>371</v>
      </c>
      <c r="C48" s="89" t="s">
        <v>571</v>
      </c>
      <c r="D48" s="89" t="s">
        <v>857</v>
      </c>
      <c r="E48" s="89" t="s">
        <v>106</v>
      </c>
      <c r="F48" s="89" t="s">
        <v>1165</v>
      </c>
      <c r="G48" s="97" t="s">
        <v>1171</v>
      </c>
      <c r="H48" s="97" t="s">
        <v>1172</v>
      </c>
      <c r="I48" s="97" t="s">
        <v>1173</v>
      </c>
      <c r="J48" s="97" t="s">
        <v>1169</v>
      </c>
      <c r="K48" s="104" t="s">
        <v>555</v>
      </c>
      <c r="L48" s="89"/>
      <c r="M48" s="89"/>
      <c r="N48" s="89"/>
      <c r="O48" s="89"/>
      <c r="P48" s="89"/>
      <c r="Q48" s="89"/>
      <c r="R48" s="89"/>
      <c r="S48" s="89"/>
      <c r="T48" s="89"/>
      <c r="U48" s="89"/>
      <c r="V48" s="89"/>
      <c r="W48" s="89"/>
      <c r="X48" s="89"/>
      <c r="Y48" s="89"/>
      <c r="Z48" s="89"/>
      <c r="AA48" s="89"/>
      <c r="AB48" s="89"/>
      <c r="AC48" s="89"/>
      <c r="AD48" s="89"/>
    </row>
    <row r="49" spans="1:30" ht="15.75" customHeight="1">
      <c r="A49" s="98" t="s">
        <v>260</v>
      </c>
      <c r="B49" s="98" t="s">
        <v>809</v>
      </c>
      <c r="C49" s="98" t="s">
        <v>571</v>
      </c>
      <c r="D49" s="98" t="s">
        <v>859</v>
      </c>
      <c r="E49" s="98" t="s">
        <v>1245</v>
      </c>
      <c r="F49" s="98"/>
      <c r="G49" s="102" t="s">
        <v>1258</v>
      </c>
      <c r="H49" s="102" t="s">
        <v>1259</v>
      </c>
      <c r="I49" s="102" t="s">
        <v>1260</v>
      </c>
      <c r="J49" s="102" t="s">
        <v>1169</v>
      </c>
      <c r="K49" s="103" t="s">
        <v>1261</v>
      </c>
      <c r="L49" s="98"/>
      <c r="M49" s="98"/>
      <c r="N49" s="98"/>
      <c r="O49" s="98"/>
      <c r="P49" s="98"/>
      <c r="Q49" s="98"/>
      <c r="R49" s="98"/>
      <c r="S49" s="98"/>
      <c r="T49" s="98"/>
      <c r="U49" s="98"/>
      <c r="V49" s="98"/>
      <c r="W49" s="98"/>
      <c r="X49" s="98"/>
      <c r="Y49" s="98"/>
      <c r="Z49" s="98"/>
      <c r="AA49" s="98"/>
      <c r="AB49" s="98"/>
      <c r="AC49" s="98"/>
      <c r="AD49" s="98"/>
    </row>
    <row r="50" spans="1:30" ht="15.75" customHeight="1">
      <c r="A50" s="98" t="s">
        <v>260</v>
      </c>
      <c r="B50" s="98" t="s">
        <v>809</v>
      </c>
      <c r="C50" s="98" t="s">
        <v>571</v>
      </c>
      <c r="D50" s="98" t="s">
        <v>859</v>
      </c>
      <c r="E50" s="98" t="s">
        <v>1251</v>
      </c>
      <c r="F50" s="98"/>
      <c r="G50" s="102" t="s">
        <v>1262</v>
      </c>
      <c r="H50" s="102" t="s">
        <v>1263</v>
      </c>
      <c r="I50" s="102" t="s">
        <v>1260</v>
      </c>
      <c r="J50" s="102" t="s">
        <v>1169</v>
      </c>
      <c r="K50" s="103" t="s">
        <v>1264</v>
      </c>
      <c r="L50" s="98"/>
      <c r="M50" s="98"/>
      <c r="N50" s="98"/>
      <c r="O50" s="98"/>
      <c r="P50" s="98"/>
      <c r="Q50" s="98"/>
      <c r="R50" s="98"/>
      <c r="S50" s="98"/>
      <c r="T50" s="98"/>
      <c r="U50" s="98"/>
      <c r="V50" s="98"/>
      <c r="W50" s="98"/>
      <c r="X50" s="98"/>
      <c r="Y50" s="98"/>
      <c r="Z50" s="98"/>
      <c r="AA50" s="98"/>
      <c r="AB50" s="98"/>
      <c r="AC50" s="98"/>
      <c r="AD50" s="98"/>
    </row>
    <row r="51" spans="1:30" ht="15.75" customHeight="1">
      <c r="A51" s="89" t="s">
        <v>260</v>
      </c>
      <c r="B51" s="89" t="s">
        <v>371</v>
      </c>
      <c r="C51" s="89" t="s">
        <v>567</v>
      </c>
      <c r="D51" s="89" t="s">
        <v>807</v>
      </c>
      <c r="E51" s="89" t="s">
        <v>636</v>
      </c>
      <c r="F51" s="97" t="s">
        <v>1165</v>
      </c>
      <c r="G51" s="97" t="s">
        <v>1166</v>
      </c>
      <c r="H51" s="97" t="s">
        <v>1167</v>
      </c>
      <c r="I51" s="97" t="s">
        <v>1168</v>
      </c>
      <c r="J51" s="97" t="s">
        <v>1169</v>
      </c>
      <c r="K51" s="97" t="s">
        <v>1170</v>
      </c>
      <c r="L51" s="89"/>
      <c r="M51" s="89"/>
      <c r="N51" s="89"/>
      <c r="O51" s="89"/>
      <c r="P51" s="89"/>
      <c r="Q51" s="89"/>
      <c r="R51" s="89"/>
      <c r="S51" s="89"/>
      <c r="T51" s="89"/>
      <c r="U51" s="89"/>
      <c r="V51" s="89"/>
      <c r="W51" s="89"/>
      <c r="X51" s="89"/>
      <c r="Y51" s="89"/>
      <c r="Z51" s="89"/>
      <c r="AA51" s="89"/>
      <c r="AB51" s="89"/>
      <c r="AC51" s="89"/>
      <c r="AD51" s="89"/>
    </row>
    <row r="52" spans="1:30" ht="15.75" customHeight="1">
      <c r="A52" s="89" t="s">
        <v>260</v>
      </c>
      <c r="B52" s="89" t="s">
        <v>371</v>
      </c>
      <c r="C52" s="89" t="s">
        <v>567</v>
      </c>
      <c r="D52" s="89" t="s">
        <v>807</v>
      </c>
      <c r="E52" s="89" t="s">
        <v>106</v>
      </c>
      <c r="F52" s="97" t="s">
        <v>1165</v>
      </c>
      <c r="G52" s="97" t="s">
        <v>1171</v>
      </c>
      <c r="H52" s="97" t="s">
        <v>1172</v>
      </c>
      <c r="I52" s="97" t="s">
        <v>1173</v>
      </c>
      <c r="J52" s="97" t="s">
        <v>1169</v>
      </c>
      <c r="K52" s="104" t="s">
        <v>555</v>
      </c>
      <c r="L52" s="89"/>
      <c r="M52" s="89"/>
      <c r="N52" s="89"/>
      <c r="O52" s="89"/>
      <c r="P52" s="89"/>
      <c r="Q52" s="89"/>
      <c r="R52" s="89"/>
      <c r="S52" s="89"/>
      <c r="T52" s="89"/>
      <c r="U52" s="89"/>
      <c r="V52" s="89"/>
      <c r="W52" s="89"/>
      <c r="X52" s="89"/>
      <c r="Y52" s="89"/>
      <c r="Z52" s="89"/>
      <c r="AA52" s="89"/>
      <c r="AB52" s="89"/>
      <c r="AC52" s="89"/>
      <c r="AD52" s="89"/>
    </row>
    <row r="53" spans="1:30" ht="15.75" customHeight="1">
      <c r="A53" s="97" t="s">
        <v>260</v>
      </c>
      <c r="B53" s="97" t="s">
        <v>363</v>
      </c>
      <c r="C53" s="97" t="s">
        <v>364</v>
      </c>
      <c r="D53" s="89" t="s">
        <v>711</v>
      </c>
      <c r="E53" s="97" t="s">
        <v>700</v>
      </c>
      <c r="F53" s="97" t="s">
        <v>1165</v>
      </c>
      <c r="G53" s="97" t="s">
        <v>1265</v>
      </c>
      <c r="H53" s="89" t="s">
        <v>1266</v>
      </c>
      <c r="I53" s="97" t="s">
        <v>1267</v>
      </c>
      <c r="J53" s="97" t="s">
        <v>1169</v>
      </c>
      <c r="K53" s="105" t="s">
        <v>1268</v>
      </c>
      <c r="L53" s="97"/>
      <c r="M53" s="97"/>
      <c r="N53" s="97"/>
      <c r="O53" s="97"/>
      <c r="P53" s="97"/>
      <c r="Q53" s="97"/>
      <c r="R53" s="97"/>
      <c r="S53" s="97"/>
      <c r="T53" s="97"/>
      <c r="U53" s="97"/>
      <c r="V53" s="97"/>
      <c r="W53" s="97"/>
      <c r="X53" s="97"/>
      <c r="Y53" s="97"/>
      <c r="Z53" s="97"/>
      <c r="AA53" s="97"/>
      <c r="AB53" s="97"/>
      <c r="AC53" s="97"/>
      <c r="AD53" s="97"/>
    </row>
    <row r="54" spans="1:30" ht="15.75" customHeight="1">
      <c r="A54" s="97" t="s">
        <v>260</v>
      </c>
      <c r="B54" s="97" t="s">
        <v>354</v>
      </c>
      <c r="C54" s="97" t="s">
        <v>355</v>
      </c>
      <c r="D54" s="89" t="s">
        <v>714</v>
      </c>
      <c r="E54" s="97" t="s">
        <v>700</v>
      </c>
      <c r="F54" s="97" t="s">
        <v>1165</v>
      </c>
      <c r="G54" s="97" t="s">
        <v>1265</v>
      </c>
      <c r="H54" s="89" t="s">
        <v>1266</v>
      </c>
      <c r="I54" s="97" t="s">
        <v>1267</v>
      </c>
      <c r="J54" s="97" t="s">
        <v>1169</v>
      </c>
      <c r="K54" s="105" t="s">
        <v>1268</v>
      </c>
      <c r="L54" s="97"/>
      <c r="M54" s="97"/>
      <c r="N54" s="97"/>
      <c r="O54" s="97"/>
      <c r="P54" s="97"/>
      <c r="Q54" s="97"/>
      <c r="R54" s="97"/>
      <c r="S54" s="97"/>
      <c r="T54" s="97"/>
      <c r="U54" s="97"/>
      <c r="V54" s="97"/>
      <c r="W54" s="97"/>
      <c r="X54" s="97"/>
      <c r="Y54" s="97"/>
      <c r="Z54" s="97"/>
      <c r="AA54" s="97"/>
      <c r="AB54" s="97"/>
      <c r="AC54" s="97"/>
      <c r="AD54" s="97"/>
    </row>
    <row r="55" spans="1:30" ht="15.75" customHeight="1">
      <c r="A55" s="97" t="s">
        <v>260</v>
      </c>
      <c r="B55" s="97" t="s">
        <v>359</v>
      </c>
      <c r="C55" s="97" t="s">
        <v>355</v>
      </c>
      <c r="D55" s="89" t="s">
        <v>717</v>
      </c>
      <c r="E55" s="97" t="s">
        <v>700</v>
      </c>
      <c r="F55" s="97" t="s">
        <v>1165</v>
      </c>
      <c r="G55" s="97" t="s">
        <v>1265</v>
      </c>
      <c r="H55" s="89" t="s">
        <v>1266</v>
      </c>
      <c r="I55" s="97" t="s">
        <v>1267</v>
      </c>
      <c r="J55" s="97" t="s">
        <v>1169</v>
      </c>
      <c r="K55" s="105" t="s">
        <v>1268</v>
      </c>
      <c r="L55" s="97"/>
      <c r="M55" s="97"/>
      <c r="N55" s="97"/>
      <c r="O55" s="97"/>
      <c r="P55" s="97"/>
      <c r="Q55" s="97"/>
      <c r="R55" s="97"/>
      <c r="S55" s="97"/>
      <c r="T55" s="97"/>
      <c r="U55" s="97"/>
      <c r="V55" s="97"/>
      <c r="W55" s="97"/>
      <c r="X55" s="97"/>
      <c r="Y55" s="97"/>
      <c r="Z55" s="97"/>
      <c r="AA55" s="97"/>
      <c r="AB55" s="97"/>
      <c r="AC55" s="97"/>
      <c r="AD55" s="97"/>
    </row>
    <row r="56" spans="1:30" ht="15.75" customHeight="1">
      <c r="A56" s="97" t="s">
        <v>260</v>
      </c>
      <c r="B56" s="97" t="s">
        <v>367</v>
      </c>
      <c r="C56" s="97" t="s">
        <v>355</v>
      </c>
      <c r="D56" s="89" t="s">
        <v>719</v>
      </c>
      <c r="E56" s="97" t="s">
        <v>700</v>
      </c>
      <c r="F56" s="97" t="s">
        <v>1165</v>
      </c>
      <c r="G56" s="97" t="s">
        <v>1265</v>
      </c>
      <c r="H56" s="89" t="s">
        <v>1266</v>
      </c>
      <c r="I56" s="97" t="s">
        <v>1267</v>
      </c>
      <c r="J56" s="97" t="s">
        <v>1169</v>
      </c>
      <c r="K56" s="105" t="s">
        <v>1268</v>
      </c>
      <c r="L56" s="97"/>
      <c r="M56" s="97"/>
      <c r="N56" s="97"/>
      <c r="O56" s="97"/>
      <c r="P56" s="97"/>
      <c r="Q56" s="97"/>
      <c r="R56" s="97"/>
      <c r="S56" s="97"/>
      <c r="T56" s="97"/>
      <c r="U56" s="97"/>
      <c r="V56" s="97"/>
      <c r="W56" s="97"/>
      <c r="X56" s="97"/>
      <c r="Y56" s="97"/>
      <c r="Z56" s="97"/>
      <c r="AA56" s="97"/>
      <c r="AB56" s="97"/>
      <c r="AC56" s="97"/>
      <c r="AD56" s="97"/>
    </row>
    <row r="57" spans="1:30" ht="15.75" customHeight="1">
      <c r="A57" s="97" t="s">
        <v>260</v>
      </c>
      <c r="B57" s="97" t="s">
        <v>371</v>
      </c>
      <c r="C57" s="97" t="s">
        <v>1269</v>
      </c>
      <c r="D57" s="89" t="s">
        <v>698</v>
      </c>
      <c r="E57" s="97" t="s">
        <v>636</v>
      </c>
      <c r="F57" s="97" t="s">
        <v>1165</v>
      </c>
      <c r="G57" s="97" t="s">
        <v>1166</v>
      </c>
      <c r="H57" s="95" t="s">
        <v>1167</v>
      </c>
      <c r="I57" s="97" t="s">
        <v>1168</v>
      </c>
      <c r="J57" s="97" t="s">
        <v>1169</v>
      </c>
      <c r="K57" s="97" t="s">
        <v>1170</v>
      </c>
      <c r="L57" s="97"/>
      <c r="M57" s="97"/>
      <c r="N57" s="97"/>
      <c r="O57" s="97"/>
      <c r="P57" s="97"/>
      <c r="Q57" s="97"/>
      <c r="R57" s="97"/>
      <c r="S57" s="97"/>
      <c r="T57" s="97"/>
      <c r="U57" s="97"/>
      <c r="V57" s="97"/>
      <c r="W57" s="97"/>
      <c r="X57" s="97"/>
      <c r="Y57" s="97"/>
      <c r="Z57" s="97"/>
      <c r="AA57" s="97"/>
      <c r="AB57" s="97"/>
      <c r="AC57" s="97"/>
      <c r="AD57" s="97"/>
    </row>
    <row r="58" spans="1:30" ht="15.75" customHeight="1">
      <c r="A58" s="97" t="s">
        <v>260</v>
      </c>
      <c r="B58" s="97" t="s">
        <v>371</v>
      </c>
      <c r="C58" s="97" t="s">
        <v>1269</v>
      </c>
      <c r="D58" s="89" t="s">
        <v>698</v>
      </c>
      <c r="E58" s="97" t="s">
        <v>700</v>
      </c>
      <c r="F58" s="97" t="s">
        <v>1165</v>
      </c>
      <c r="G58" s="97" t="s">
        <v>1270</v>
      </c>
      <c r="H58" s="106" t="s">
        <v>1271</v>
      </c>
      <c r="I58" s="97" t="s">
        <v>1168</v>
      </c>
      <c r="J58" s="97" t="s">
        <v>1169</v>
      </c>
      <c r="K58" s="105" t="s">
        <v>1272</v>
      </c>
      <c r="L58" s="97"/>
      <c r="M58" s="97"/>
      <c r="N58" s="97"/>
      <c r="O58" s="97"/>
      <c r="P58" s="97"/>
      <c r="Q58" s="97"/>
      <c r="R58" s="97"/>
      <c r="S58" s="97"/>
      <c r="T58" s="97"/>
      <c r="U58" s="97"/>
      <c r="V58" s="97"/>
      <c r="W58" s="97"/>
      <c r="X58" s="97"/>
      <c r="Y58" s="97"/>
      <c r="Z58" s="97"/>
      <c r="AA58" s="97"/>
      <c r="AB58" s="97"/>
      <c r="AC58" s="97"/>
      <c r="AD58" s="97"/>
    </row>
    <row r="59" spans="1:30" ht="15.75" customHeight="1">
      <c r="A59" s="97" t="s">
        <v>260</v>
      </c>
      <c r="B59" s="97" t="s">
        <v>371</v>
      </c>
      <c r="C59" s="97" t="s">
        <v>1269</v>
      </c>
      <c r="D59" s="89" t="s">
        <v>698</v>
      </c>
      <c r="E59" s="97" t="s">
        <v>106</v>
      </c>
      <c r="F59" s="97" t="s">
        <v>1165</v>
      </c>
      <c r="G59" s="97" t="s">
        <v>1171</v>
      </c>
      <c r="H59" s="97" t="s">
        <v>1172</v>
      </c>
      <c r="I59" s="97" t="s">
        <v>1173</v>
      </c>
      <c r="J59" s="97" t="s">
        <v>1169</v>
      </c>
      <c r="K59" s="104" t="s">
        <v>555</v>
      </c>
      <c r="L59" s="97"/>
      <c r="M59" s="97"/>
      <c r="N59" s="97"/>
      <c r="O59" s="97"/>
      <c r="P59" s="97"/>
      <c r="Q59" s="97"/>
      <c r="R59" s="97"/>
      <c r="S59" s="97"/>
      <c r="T59" s="97"/>
      <c r="U59" s="97"/>
      <c r="V59" s="97"/>
      <c r="W59" s="97"/>
      <c r="X59" s="97"/>
      <c r="Y59" s="97"/>
      <c r="Z59" s="97"/>
      <c r="AA59" s="97"/>
      <c r="AB59" s="97"/>
      <c r="AC59" s="97"/>
      <c r="AD59" s="97"/>
    </row>
    <row r="60" spans="1:30" ht="15.75" customHeight="1">
      <c r="A60" s="107" t="s">
        <v>260</v>
      </c>
      <c r="B60" s="107" t="s">
        <v>778</v>
      </c>
      <c r="C60" s="107" t="s">
        <v>329</v>
      </c>
      <c r="D60" s="107" t="s">
        <v>779</v>
      </c>
      <c r="E60" s="107" t="s">
        <v>84</v>
      </c>
      <c r="F60" s="107" t="s">
        <v>1165</v>
      </c>
      <c r="G60" s="107" t="s">
        <v>1273</v>
      </c>
      <c r="H60" s="107" t="s">
        <v>1274</v>
      </c>
      <c r="I60" s="107" t="s">
        <v>1275</v>
      </c>
      <c r="J60" s="107" t="s">
        <v>1169</v>
      </c>
      <c r="K60" s="108" t="s">
        <v>549</v>
      </c>
      <c r="L60" s="107"/>
      <c r="M60" s="107"/>
      <c r="N60" s="107"/>
      <c r="O60" s="107"/>
      <c r="P60" s="107"/>
      <c r="Q60" s="107"/>
      <c r="R60" s="107"/>
      <c r="S60" s="107"/>
      <c r="T60" s="107"/>
      <c r="U60" s="107"/>
      <c r="V60" s="107"/>
      <c r="W60" s="107"/>
      <c r="X60" s="107"/>
      <c r="Y60" s="107"/>
      <c r="Z60" s="107"/>
      <c r="AA60" s="107"/>
      <c r="AB60" s="107"/>
      <c r="AC60" s="107"/>
      <c r="AD60" s="107"/>
    </row>
    <row r="61" spans="1:30" ht="15.75" customHeight="1">
      <c r="A61" s="107" t="s">
        <v>260</v>
      </c>
      <c r="B61" s="107" t="s">
        <v>731</v>
      </c>
      <c r="C61" s="107" t="s">
        <v>329</v>
      </c>
      <c r="D61" s="107" t="s">
        <v>782</v>
      </c>
      <c r="E61" s="107" t="s">
        <v>84</v>
      </c>
      <c r="F61" s="107" t="s">
        <v>1223</v>
      </c>
      <c r="G61" s="107" t="s">
        <v>1276</v>
      </c>
      <c r="H61" s="107" t="s">
        <v>1274</v>
      </c>
      <c r="I61" s="107" t="s">
        <v>1275</v>
      </c>
      <c r="J61" s="107" t="s">
        <v>1169</v>
      </c>
      <c r="K61" s="108" t="s">
        <v>549</v>
      </c>
      <c r="L61" s="107"/>
      <c r="M61" s="107"/>
      <c r="N61" s="107"/>
      <c r="O61" s="107"/>
      <c r="P61" s="107"/>
      <c r="Q61" s="107"/>
      <c r="R61" s="107"/>
      <c r="S61" s="107"/>
      <c r="T61" s="107"/>
      <c r="U61" s="107"/>
      <c r="V61" s="107"/>
      <c r="W61" s="107"/>
      <c r="X61" s="107"/>
      <c r="Y61" s="107"/>
      <c r="Z61" s="107"/>
      <c r="AA61" s="107"/>
      <c r="AB61" s="107"/>
      <c r="AC61" s="107"/>
      <c r="AD61" s="107"/>
    </row>
    <row r="62" spans="1:30" ht="15.75" customHeight="1">
      <c r="A62" s="107" t="s">
        <v>260</v>
      </c>
      <c r="B62" s="107" t="s">
        <v>1277</v>
      </c>
      <c r="C62" s="107" t="s">
        <v>329</v>
      </c>
      <c r="D62" s="109" t="s">
        <v>1278</v>
      </c>
      <c r="E62" s="107" t="s">
        <v>84</v>
      </c>
      <c r="F62" s="107" t="s">
        <v>1246</v>
      </c>
      <c r="G62" s="107" t="s">
        <v>1279</v>
      </c>
      <c r="H62" s="107" t="s">
        <v>1274</v>
      </c>
      <c r="I62" s="107" t="s">
        <v>1275</v>
      </c>
      <c r="J62" s="107" t="s">
        <v>1169</v>
      </c>
      <c r="K62" s="108" t="s">
        <v>549</v>
      </c>
      <c r="L62" s="107"/>
      <c r="M62" s="107"/>
      <c r="N62" s="107"/>
      <c r="O62" s="107"/>
      <c r="P62" s="107"/>
      <c r="Q62" s="107"/>
      <c r="R62" s="107"/>
      <c r="S62" s="107"/>
      <c r="T62" s="107"/>
      <c r="U62" s="107"/>
      <c r="V62" s="107"/>
      <c r="W62" s="107"/>
      <c r="X62" s="107"/>
      <c r="Y62" s="107"/>
      <c r="Z62" s="107"/>
      <c r="AA62" s="107"/>
      <c r="AB62" s="107"/>
      <c r="AC62" s="107"/>
      <c r="AD62" s="107"/>
    </row>
    <row r="63" spans="1:30" ht="13">
      <c r="A63" s="107" t="s">
        <v>260</v>
      </c>
      <c r="B63" s="107" t="s">
        <v>334</v>
      </c>
      <c r="C63" s="107" t="s">
        <v>335</v>
      </c>
      <c r="D63" s="110" t="s">
        <v>795</v>
      </c>
      <c r="E63" s="107" t="s">
        <v>1280</v>
      </c>
      <c r="F63" s="107" t="s">
        <v>1281</v>
      </c>
      <c r="G63" s="107" t="s">
        <v>1282</v>
      </c>
      <c r="H63" s="107" t="s">
        <v>1170</v>
      </c>
      <c r="I63" s="107" t="s">
        <v>1283</v>
      </c>
      <c r="J63" s="107" t="s">
        <v>1169</v>
      </c>
      <c r="K63" s="107" t="s">
        <v>1170</v>
      </c>
      <c r="L63" s="107"/>
      <c r="M63" s="107"/>
      <c r="N63" s="107"/>
      <c r="O63" s="107"/>
      <c r="P63" s="107"/>
      <c r="Q63" s="107"/>
      <c r="R63" s="107"/>
      <c r="S63" s="107"/>
      <c r="T63" s="107"/>
      <c r="U63" s="107"/>
      <c r="V63" s="107"/>
      <c r="W63" s="107"/>
      <c r="X63" s="107"/>
      <c r="Y63" s="107"/>
      <c r="Z63" s="107"/>
      <c r="AA63" s="107"/>
      <c r="AB63" s="107"/>
      <c r="AC63" s="107"/>
      <c r="AD63" s="107"/>
    </row>
    <row r="64" spans="1:30" ht="13">
      <c r="A64" s="107" t="s">
        <v>260</v>
      </c>
      <c r="B64" s="107" t="s">
        <v>1284</v>
      </c>
      <c r="C64" s="107" t="s">
        <v>1285</v>
      </c>
      <c r="D64" s="110" t="s">
        <v>793</v>
      </c>
      <c r="E64" s="107" t="s">
        <v>1280</v>
      </c>
      <c r="F64" s="107" t="s">
        <v>1165</v>
      </c>
      <c r="G64" s="107" t="s">
        <v>1282</v>
      </c>
      <c r="H64" s="107" t="s">
        <v>1170</v>
      </c>
      <c r="I64" s="107" t="s">
        <v>1286</v>
      </c>
      <c r="J64" s="107" t="s">
        <v>1169</v>
      </c>
      <c r="K64" s="107" t="s">
        <v>1170</v>
      </c>
      <c r="L64" s="107"/>
      <c r="M64" s="107"/>
      <c r="N64" s="107"/>
      <c r="O64" s="107"/>
      <c r="P64" s="107"/>
      <c r="Q64" s="107"/>
      <c r="R64" s="107"/>
      <c r="S64" s="107"/>
      <c r="T64" s="107"/>
      <c r="U64" s="107"/>
      <c r="V64" s="107"/>
      <c r="W64" s="107"/>
      <c r="X64" s="107"/>
      <c r="Y64" s="107"/>
      <c r="Z64" s="107"/>
      <c r="AA64" s="107"/>
      <c r="AB64" s="107"/>
      <c r="AC64" s="107"/>
      <c r="AD64" s="107"/>
    </row>
    <row r="65" spans="1:30" ht="13">
      <c r="A65" s="107" t="s">
        <v>260</v>
      </c>
      <c r="B65" s="107" t="s">
        <v>1287</v>
      </c>
      <c r="C65" s="107" t="s">
        <v>1285</v>
      </c>
      <c r="D65" s="110" t="s">
        <v>791</v>
      </c>
      <c r="E65" s="107" t="s">
        <v>1280</v>
      </c>
      <c r="F65" s="107" t="s">
        <v>1223</v>
      </c>
      <c r="G65" s="107" t="s">
        <v>1282</v>
      </c>
      <c r="H65" s="107" t="s">
        <v>1170</v>
      </c>
      <c r="I65" s="107" t="s">
        <v>1288</v>
      </c>
      <c r="J65" s="107" t="s">
        <v>1169</v>
      </c>
      <c r="K65" s="107" t="s">
        <v>1170</v>
      </c>
      <c r="L65" s="107"/>
      <c r="M65" s="107"/>
      <c r="N65" s="107"/>
      <c r="O65" s="107"/>
      <c r="P65" s="107"/>
      <c r="Q65" s="107"/>
      <c r="R65" s="107"/>
      <c r="S65" s="107"/>
      <c r="T65" s="107"/>
      <c r="U65" s="107"/>
      <c r="V65" s="107"/>
      <c r="W65" s="107"/>
      <c r="X65" s="107"/>
      <c r="Y65" s="107"/>
      <c r="Z65" s="107"/>
      <c r="AA65" s="107"/>
      <c r="AB65" s="107"/>
      <c r="AC65" s="107"/>
      <c r="AD65" s="107"/>
    </row>
    <row r="66" spans="1:30" ht="13">
      <c r="A66" s="107" t="s">
        <v>260</v>
      </c>
      <c r="B66" s="107" t="s">
        <v>1289</v>
      </c>
      <c r="C66" s="107" t="s">
        <v>1285</v>
      </c>
      <c r="D66" s="110" t="s">
        <v>787</v>
      </c>
      <c r="E66" s="107" t="s">
        <v>1280</v>
      </c>
      <c r="F66" s="107" t="s">
        <v>1246</v>
      </c>
      <c r="G66" s="107" t="s">
        <v>1282</v>
      </c>
      <c r="H66" s="107" t="s">
        <v>1170</v>
      </c>
      <c r="I66" s="107" t="s">
        <v>1290</v>
      </c>
      <c r="J66" s="107" t="s">
        <v>1169</v>
      </c>
      <c r="K66" s="107" t="s">
        <v>1170</v>
      </c>
      <c r="L66" s="107"/>
      <c r="M66" s="107"/>
      <c r="N66" s="107"/>
      <c r="O66" s="107"/>
      <c r="P66" s="107"/>
      <c r="Q66" s="107"/>
      <c r="R66" s="107"/>
      <c r="S66" s="107"/>
      <c r="T66" s="107"/>
      <c r="U66" s="107"/>
      <c r="V66" s="107"/>
      <c r="W66" s="107"/>
      <c r="X66" s="107"/>
      <c r="Y66" s="107"/>
      <c r="Z66" s="107"/>
      <c r="AA66" s="107"/>
      <c r="AB66" s="107"/>
      <c r="AC66" s="107"/>
      <c r="AD66" s="107"/>
    </row>
    <row r="67" spans="1:30" ht="13">
      <c r="A67" s="107" t="s">
        <v>260</v>
      </c>
      <c r="B67" s="107" t="s">
        <v>1291</v>
      </c>
      <c r="C67" s="107" t="s">
        <v>1292</v>
      </c>
      <c r="D67" s="107" t="s">
        <v>645</v>
      </c>
      <c r="E67" s="107" t="s">
        <v>1293</v>
      </c>
      <c r="F67" s="107" t="s">
        <v>1165</v>
      </c>
      <c r="G67" s="107" t="s">
        <v>1294</v>
      </c>
      <c r="H67" s="107" t="s">
        <v>1295</v>
      </c>
      <c r="I67" s="107" t="s">
        <v>1296</v>
      </c>
      <c r="J67" s="107" t="s">
        <v>1169</v>
      </c>
      <c r="K67" s="108" t="s">
        <v>1297</v>
      </c>
      <c r="L67" s="107"/>
      <c r="M67" s="107"/>
      <c r="N67" s="107"/>
      <c r="O67" s="107"/>
      <c r="P67" s="107"/>
      <c r="Q67" s="107"/>
      <c r="R67" s="107"/>
      <c r="S67" s="107"/>
      <c r="T67" s="107"/>
      <c r="U67" s="107"/>
      <c r="V67" s="107"/>
      <c r="W67" s="107"/>
      <c r="X67" s="107"/>
      <c r="Y67" s="107"/>
      <c r="Z67" s="107"/>
      <c r="AA67" s="107"/>
      <c r="AB67" s="107"/>
      <c r="AC67" s="107"/>
      <c r="AD67" s="107"/>
    </row>
    <row r="68" spans="1:30" ht="13">
      <c r="A68" s="107" t="s">
        <v>260</v>
      </c>
      <c r="B68" s="107" t="s">
        <v>1298</v>
      </c>
      <c r="C68" s="107" t="s">
        <v>1299</v>
      </c>
      <c r="D68" s="107" t="s">
        <v>828</v>
      </c>
      <c r="E68" s="107" t="s">
        <v>84</v>
      </c>
      <c r="F68" s="107" t="s">
        <v>1223</v>
      </c>
      <c r="G68" s="107" t="s">
        <v>1170</v>
      </c>
      <c r="H68" s="107" t="s">
        <v>1170</v>
      </c>
      <c r="I68" s="107" t="s">
        <v>1300</v>
      </c>
      <c r="J68" s="107"/>
      <c r="K68" s="107"/>
      <c r="L68" s="107"/>
      <c r="M68" s="107"/>
      <c r="N68" s="107"/>
      <c r="O68" s="107"/>
      <c r="P68" s="107"/>
      <c r="Q68" s="107"/>
      <c r="R68" s="107"/>
      <c r="S68" s="107"/>
      <c r="T68" s="107"/>
      <c r="U68" s="107"/>
      <c r="V68" s="107"/>
      <c r="W68" s="107"/>
      <c r="X68" s="107"/>
      <c r="Y68" s="107"/>
      <c r="Z68" s="107"/>
      <c r="AA68" s="107"/>
      <c r="AB68" s="107"/>
      <c r="AC68" s="107"/>
      <c r="AD68" s="107"/>
    </row>
    <row r="69" spans="1:30" ht="13">
      <c r="A69" s="18"/>
      <c r="B69" s="18" t="s">
        <v>1298</v>
      </c>
      <c r="C69" s="18" t="s">
        <v>1301</v>
      </c>
      <c r="D69" s="18"/>
      <c r="E69" s="18" t="s">
        <v>84</v>
      </c>
      <c r="I69" s="18" t="s">
        <v>1300</v>
      </c>
    </row>
    <row r="70" spans="1:30" ht="13">
      <c r="A70" s="18"/>
      <c r="B70" s="18" t="s">
        <v>1298</v>
      </c>
      <c r="C70" s="18" t="s">
        <v>1302</v>
      </c>
      <c r="D70" s="18"/>
      <c r="E70" s="18" t="s">
        <v>84</v>
      </c>
      <c r="I70" s="18" t="s">
        <v>1300</v>
      </c>
    </row>
    <row r="71" spans="1:30" ht="13">
      <c r="A71" s="18"/>
      <c r="B71" s="18" t="s">
        <v>1298</v>
      </c>
      <c r="C71" s="18" t="s">
        <v>1303</v>
      </c>
      <c r="D71" s="18"/>
      <c r="E71" s="18" t="s">
        <v>84</v>
      </c>
      <c r="I71" s="18" t="s">
        <v>1300</v>
      </c>
    </row>
    <row r="72" spans="1:30" ht="13">
      <c r="A72" s="18"/>
      <c r="B72" s="18" t="s">
        <v>1298</v>
      </c>
      <c r="C72" s="18" t="s">
        <v>1304</v>
      </c>
      <c r="D72" s="18"/>
      <c r="E72" s="18" t="s">
        <v>84</v>
      </c>
      <c r="I72" s="18" t="s">
        <v>1300</v>
      </c>
    </row>
    <row r="73" spans="1:30" ht="13">
      <c r="A73" s="107" t="s">
        <v>260</v>
      </c>
      <c r="B73" s="107" t="s">
        <v>350</v>
      </c>
      <c r="C73" s="107" t="s">
        <v>1299</v>
      </c>
      <c r="D73" s="107" t="s">
        <v>840</v>
      </c>
      <c r="E73" s="107" t="s">
        <v>84</v>
      </c>
      <c r="F73" s="107" t="s">
        <v>1223</v>
      </c>
      <c r="G73" s="107" t="s">
        <v>1305</v>
      </c>
      <c r="H73" s="107" t="s">
        <v>1306</v>
      </c>
      <c r="I73" s="107" t="s">
        <v>1307</v>
      </c>
      <c r="J73" s="107" t="s">
        <v>1169</v>
      </c>
      <c r="K73" s="108" t="s">
        <v>1308</v>
      </c>
      <c r="L73" s="107"/>
      <c r="M73" s="107"/>
      <c r="N73" s="107"/>
      <c r="O73" s="107"/>
      <c r="P73" s="107"/>
      <c r="Q73" s="107"/>
      <c r="R73" s="107"/>
      <c r="S73" s="107"/>
      <c r="T73" s="107"/>
      <c r="U73" s="107"/>
      <c r="V73" s="107"/>
      <c r="W73" s="107"/>
      <c r="X73" s="107"/>
      <c r="Y73" s="107"/>
      <c r="Z73" s="107"/>
      <c r="AA73" s="107"/>
      <c r="AB73" s="107"/>
      <c r="AC73" s="107"/>
      <c r="AD73" s="107"/>
    </row>
    <row r="74" spans="1:30" ht="13">
      <c r="A74" s="18"/>
      <c r="B74" s="18" t="s">
        <v>350</v>
      </c>
      <c r="C74" s="18" t="s">
        <v>1309</v>
      </c>
      <c r="D74" s="18"/>
      <c r="E74" s="18" t="s">
        <v>84</v>
      </c>
      <c r="G74" s="18" t="s">
        <v>1310</v>
      </c>
      <c r="H74" s="18" t="s">
        <v>1311</v>
      </c>
      <c r="I74" s="18" t="s">
        <v>1307</v>
      </c>
      <c r="K74" s="21" t="s">
        <v>1308</v>
      </c>
    </row>
    <row r="75" spans="1:30" ht="13">
      <c r="A75" s="18"/>
      <c r="B75" s="18" t="s">
        <v>350</v>
      </c>
      <c r="C75" s="18" t="s">
        <v>1312</v>
      </c>
      <c r="D75" s="18"/>
      <c r="E75" s="18" t="s">
        <v>84</v>
      </c>
      <c r="G75" s="18" t="s">
        <v>1313</v>
      </c>
      <c r="H75" s="18" t="s">
        <v>1314</v>
      </c>
      <c r="I75" s="18" t="s">
        <v>1307</v>
      </c>
      <c r="K75" s="21" t="s">
        <v>1308</v>
      </c>
    </row>
    <row r="76" spans="1:30" ht="13">
      <c r="A76" s="18"/>
      <c r="B76" s="18" t="s">
        <v>350</v>
      </c>
      <c r="C76" s="18" t="s">
        <v>1315</v>
      </c>
      <c r="D76" s="18"/>
      <c r="E76" s="18" t="s">
        <v>84</v>
      </c>
      <c r="G76" s="18" t="s">
        <v>1316</v>
      </c>
      <c r="H76" s="18" t="s">
        <v>1317</v>
      </c>
      <c r="I76" s="18" t="s">
        <v>1307</v>
      </c>
      <c r="K76" s="21" t="s">
        <v>1308</v>
      </c>
    </row>
    <row r="77" spans="1:30" ht="13">
      <c r="A77" s="18"/>
      <c r="B77" s="18" t="s">
        <v>350</v>
      </c>
      <c r="C77" s="18" t="s">
        <v>1318</v>
      </c>
      <c r="D77" s="18"/>
      <c r="E77" s="18" t="s">
        <v>84</v>
      </c>
      <c r="I77" s="18" t="s">
        <v>1168</v>
      </c>
    </row>
    <row r="78" spans="1:30" ht="13">
      <c r="A78" s="18"/>
      <c r="B78" s="18" t="s">
        <v>350</v>
      </c>
      <c r="C78" s="18" t="s">
        <v>1319</v>
      </c>
      <c r="D78" s="18"/>
      <c r="E78" s="18" t="s">
        <v>84</v>
      </c>
      <c r="I78" s="18" t="s">
        <v>1168</v>
      </c>
    </row>
    <row r="79" spans="1:30" ht="13">
      <c r="A79" s="18"/>
      <c r="B79" s="18" t="s">
        <v>350</v>
      </c>
      <c r="C79" s="18" t="s">
        <v>1320</v>
      </c>
      <c r="D79" s="18"/>
      <c r="E79" s="18" t="s">
        <v>84</v>
      </c>
      <c r="I79" s="18" t="s">
        <v>1168</v>
      </c>
    </row>
    <row r="80" spans="1:30" ht="13">
      <c r="A80" s="107" t="s">
        <v>260</v>
      </c>
      <c r="B80" s="107" t="s">
        <v>376</v>
      </c>
      <c r="C80" s="107" t="s">
        <v>75</v>
      </c>
      <c r="D80" s="107" t="s">
        <v>747</v>
      </c>
      <c r="E80" s="107" t="s">
        <v>1321</v>
      </c>
      <c r="F80" s="107" t="s">
        <v>1322</v>
      </c>
      <c r="G80" s="107" t="s">
        <v>1323</v>
      </c>
      <c r="H80" s="107" t="s">
        <v>1170</v>
      </c>
      <c r="I80" s="107" t="s">
        <v>1168</v>
      </c>
      <c r="J80" s="107" t="s">
        <v>1169</v>
      </c>
      <c r="K80" s="107" t="s">
        <v>1170</v>
      </c>
      <c r="L80" s="107"/>
      <c r="M80" s="107"/>
      <c r="N80" s="107"/>
      <c r="O80" s="107"/>
      <c r="P80" s="107"/>
      <c r="Q80" s="107"/>
      <c r="R80" s="107"/>
      <c r="S80" s="107"/>
      <c r="T80" s="107"/>
      <c r="U80" s="107"/>
      <c r="V80" s="107"/>
      <c r="W80" s="107"/>
      <c r="X80" s="107"/>
      <c r="Y80" s="107"/>
      <c r="Z80" s="107"/>
      <c r="AA80" s="107"/>
      <c r="AB80" s="107"/>
      <c r="AC80" s="107"/>
      <c r="AD80" s="107"/>
    </row>
    <row r="81" spans="1:30" ht="13">
      <c r="A81" s="107" t="s">
        <v>260</v>
      </c>
      <c r="B81" s="107" t="s">
        <v>380</v>
      </c>
      <c r="C81" s="107" t="s">
        <v>381</v>
      </c>
      <c r="D81" s="110" t="s">
        <v>720</v>
      </c>
      <c r="E81" s="107" t="s">
        <v>84</v>
      </c>
      <c r="F81" s="107" t="s">
        <v>1223</v>
      </c>
      <c r="G81" s="107" t="s">
        <v>1323</v>
      </c>
      <c r="H81" s="107" t="s">
        <v>1170</v>
      </c>
      <c r="I81" s="107" t="s">
        <v>1168</v>
      </c>
      <c r="J81" s="107" t="s">
        <v>1169</v>
      </c>
      <c r="K81" s="107" t="s">
        <v>1170</v>
      </c>
      <c r="L81" s="107"/>
      <c r="M81" s="107"/>
      <c r="N81" s="107"/>
      <c r="O81" s="107"/>
      <c r="P81" s="107"/>
      <c r="Q81" s="107"/>
      <c r="R81" s="107"/>
      <c r="S81" s="107"/>
      <c r="T81" s="107"/>
      <c r="U81" s="107"/>
      <c r="V81" s="107"/>
      <c r="W81" s="107"/>
      <c r="X81" s="107"/>
      <c r="Y81" s="107"/>
      <c r="Z81" s="107"/>
      <c r="AA81" s="107"/>
      <c r="AB81" s="107"/>
      <c r="AC81" s="107"/>
      <c r="AD81" s="107"/>
    </row>
    <row r="82" spans="1:30" ht="13">
      <c r="A82" s="107" t="s">
        <v>260</v>
      </c>
      <c r="B82" s="107" t="s">
        <v>386</v>
      </c>
      <c r="C82" s="107" t="s">
        <v>381</v>
      </c>
      <c r="D82" s="110" t="s">
        <v>721</v>
      </c>
      <c r="E82" s="107" t="s">
        <v>84</v>
      </c>
      <c r="F82" s="107" t="s">
        <v>1223</v>
      </c>
      <c r="G82" s="107" t="s">
        <v>1323</v>
      </c>
      <c r="H82" s="107" t="s">
        <v>1170</v>
      </c>
      <c r="I82" s="107" t="s">
        <v>1168</v>
      </c>
      <c r="J82" s="107" t="s">
        <v>1169</v>
      </c>
      <c r="K82" s="107" t="s">
        <v>1170</v>
      </c>
      <c r="L82" s="107"/>
      <c r="M82" s="107"/>
      <c r="N82" s="107"/>
      <c r="O82" s="107"/>
      <c r="P82" s="107"/>
      <c r="Q82" s="107"/>
      <c r="R82" s="107"/>
      <c r="S82" s="107"/>
      <c r="T82" s="107"/>
      <c r="U82" s="107"/>
      <c r="V82" s="107"/>
      <c r="W82" s="107"/>
      <c r="X82" s="107"/>
      <c r="Y82" s="107"/>
      <c r="Z82" s="107"/>
      <c r="AA82" s="107"/>
      <c r="AB82" s="107"/>
      <c r="AC82" s="107"/>
      <c r="AD82" s="107"/>
    </row>
    <row r="83" spans="1:30" ht="13">
      <c r="A83" s="107" t="s">
        <v>260</v>
      </c>
      <c r="B83" s="107" t="s">
        <v>387</v>
      </c>
      <c r="C83" s="107" t="s">
        <v>381</v>
      </c>
      <c r="D83" s="110" t="s">
        <v>722</v>
      </c>
      <c r="E83" s="107" t="s">
        <v>84</v>
      </c>
      <c r="F83" s="107" t="s">
        <v>1223</v>
      </c>
      <c r="G83" s="107" t="s">
        <v>1323</v>
      </c>
      <c r="H83" s="107" t="s">
        <v>1170</v>
      </c>
      <c r="I83" s="107" t="s">
        <v>1168</v>
      </c>
      <c r="J83" s="107" t="s">
        <v>1169</v>
      </c>
      <c r="K83" s="107" t="s">
        <v>1170</v>
      </c>
      <c r="L83" s="107"/>
      <c r="M83" s="107"/>
      <c r="N83" s="107"/>
      <c r="O83" s="107"/>
      <c r="P83" s="107"/>
      <c r="Q83" s="107"/>
      <c r="R83" s="107"/>
      <c r="S83" s="107"/>
      <c r="T83" s="107"/>
      <c r="U83" s="107"/>
      <c r="V83" s="107"/>
      <c r="W83" s="107"/>
      <c r="X83" s="107"/>
      <c r="Y83" s="107"/>
      <c r="Z83" s="107"/>
      <c r="AA83" s="107"/>
      <c r="AB83" s="107"/>
      <c r="AC83" s="107"/>
      <c r="AD83" s="107"/>
    </row>
    <row r="84" spans="1:30" ht="13">
      <c r="A84" s="107" t="s">
        <v>260</v>
      </c>
      <c r="B84" s="107" t="s">
        <v>388</v>
      </c>
      <c r="C84" s="107" t="s">
        <v>381</v>
      </c>
      <c r="D84" s="110" t="s">
        <v>723</v>
      </c>
      <c r="E84" s="107" t="s">
        <v>84</v>
      </c>
      <c r="F84" s="107" t="s">
        <v>1223</v>
      </c>
      <c r="G84" s="107" t="s">
        <v>1323</v>
      </c>
      <c r="H84" s="107" t="s">
        <v>1170</v>
      </c>
      <c r="I84" s="107" t="s">
        <v>1168</v>
      </c>
      <c r="J84" s="107" t="s">
        <v>1169</v>
      </c>
      <c r="K84" s="107" t="s">
        <v>1170</v>
      </c>
      <c r="L84" s="107"/>
      <c r="M84" s="107"/>
      <c r="N84" s="107"/>
      <c r="O84" s="107"/>
      <c r="P84" s="107"/>
      <c r="Q84" s="107"/>
      <c r="R84" s="107"/>
      <c r="S84" s="107"/>
      <c r="T84" s="107"/>
      <c r="U84" s="107"/>
      <c r="V84" s="107"/>
      <c r="W84" s="107"/>
      <c r="X84" s="107"/>
      <c r="Y84" s="107"/>
      <c r="Z84" s="107"/>
      <c r="AA84" s="107"/>
      <c r="AB84" s="107"/>
      <c r="AC84" s="107"/>
      <c r="AD84" s="107"/>
    </row>
    <row r="85" spans="1:30" ht="13">
      <c r="A85" s="107" t="s">
        <v>260</v>
      </c>
      <c r="B85" s="107" t="s">
        <v>389</v>
      </c>
      <c r="C85" s="107" t="s">
        <v>381</v>
      </c>
      <c r="D85" s="110" t="s">
        <v>724</v>
      </c>
      <c r="E85" s="107" t="s">
        <v>84</v>
      </c>
      <c r="F85" s="107" t="s">
        <v>1223</v>
      </c>
      <c r="G85" s="107" t="s">
        <v>1323</v>
      </c>
      <c r="H85" s="107" t="s">
        <v>1170</v>
      </c>
      <c r="I85" s="107" t="s">
        <v>1168</v>
      </c>
      <c r="J85" s="107" t="s">
        <v>1169</v>
      </c>
      <c r="K85" s="107" t="s">
        <v>1170</v>
      </c>
      <c r="L85" s="107"/>
      <c r="M85" s="107"/>
      <c r="N85" s="107"/>
      <c r="O85" s="107"/>
      <c r="P85" s="107"/>
      <c r="Q85" s="107"/>
      <c r="R85" s="107"/>
      <c r="S85" s="107"/>
      <c r="T85" s="107"/>
      <c r="U85" s="107"/>
      <c r="V85" s="107"/>
      <c r="W85" s="107"/>
      <c r="X85" s="107"/>
      <c r="Y85" s="107"/>
      <c r="Z85" s="107"/>
      <c r="AA85" s="107"/>
      <c r="AB85" s="107"/>
      <c r="AC85" s="107"/>
      <c r="AD85" s="107"/>
    </row>
    <row r="86" spans="1:30" ht="13">
      <c r="A86" s="107" t="s">
        <v>260</v>
      </c>
      <c r="B86" s="107" t="s">
        <v>390</v>
      </c>
      <c r="C86" s="107" t="s">
        <v>381</v>
      </c>
      <c r="D86" s="110" t="s">
        <v>725</v>
      </c>
      <c r="E86" s="107" t="s">
        <v>84</v>
      </c>
      <c r="F86" s="107" t="s">
        <v>1223</v>
      </c>
      <c r="G86" s="107" t="s">
        <v>1323</v>
      </c>
      <c r="H86" s="107" t="s">
        <v>1170</v>
      </c>
      <c r="I86" s="107" t="s">
        <v>1168</v>
      </c>
      <c r="J86" s="107" t="s">
        <v>1169</v>
      </c>
      <c r="K86" s="107" t="s">
        <v>1170</v>
      </c>
      <c r="L86" s="107"/>
      <c r="M86" s="107"/>
      <c r="N86" s="107"/>
      <c r="O86" s="107"/>
      <c r="P86" s="107"/>
      <c r="Q86" s="107"/>
      <c r="R86" s="107"/>
      <c r="S86" s="107"/>
      <c r="T86" s="107"/>
      <c r="U86" s="107"/>
      <c r="V86" s="107"/>
      <c r="W86" s="107"/>
      <c r="X86" s="107"/>
      <c r="Y86" s="107"/>
      <c r="Z86" s="107"/>
      <c r="AA86" s="107"/>
      <c r="AB86" s="107"/>
      <c r="AC86" s="107"/>
      <c r="AD86" s="107"/>
    </row>
    <row r="87" spans="1:30" ht="13">
      <c r="A87" s="107" t="s">
        <v>260</v>
      </c>
      <c r="B87" s="107" t="s">
        <v>391</v>
      </c>
      <c r="C87" s="107" t="s">
        <v>381</v>
      </c>
      <c r="D87" s="110" t="s">
        <v>726</v>
      </c>
      <c r="E87" s="107" t="s">
        <v>84</v>
      </c>
      <c r="F87" s="107" t="s">
        <v>1223</v>
      </c>
      <c r="G87" s="107" t="s">
        <v>1323</v>
      </c>
      <c r="H87" s="107" t="s">
        <v>1170</v>
      </c>
      <c r="I87" s="107" t="s">
        <v>1168</v>
      </c>
      <c r="J87" s="107" t="s">
        <v>1169</v>
      </c>
      <c r="K87" s="107" t="s">
        <v>1170</v>
      </c>
      <c r="L87" s="107"/>
      <c r="M87" s="107"/>
      <c r="N87" s="107"/>
      <c r="O87" s="107"/>
      <c r="P87" s="107"/>
      <c r="Q87" s="107"/>
      <c r="R87" s="107"/>
      <c r="S87" s="107"/>
      <c r="T87" s="107"/>
      <c r="U87" s="107"/>
      <c r="V87" s="107"/>
      <c r="W87" s="107"/>
      <c r="X87" s="107"/>
      <c r="Y87" s="107"/>
      <c r="Z87" s="107"/>
      <c r="AA87" s="107"/>
      <c r="AB87" s="107"/>
      <c r="AC87" s="107"/>
      <c r="AD87" s="107"/>
    </row>
    <row r="88" spans="1:30" ht="13">
      <c r="A88" s="107" t="s">
        <v>260</v>
      </c>
      <c r="B88" s="107" t="s">
        <v>392</v>
      </c>
      <c r="C88" s="107" t="s">
        <v>381</v>
      </c>
      <c r="D88" s="110" t="s">
        <v>727</v>
      </c>
      <c r="E88" s="107" t="s">
        <v>84</v>
      </c>
      <c r="F88" s="107" t="s">
        <v>1223</v>
      </c>
      <c r="G88" s="107" t="s">
        <v>1323</v>
      </c>
      <c r="H88" s="107" t="s">
        <v>1170</v>
      </c>
      <c r="I88" s="107" t="s">
        <v>1168</v>
      </c>
      <c r="J88" s="107" t="s">
        <v>1169</v>
      </c>
      <c r="K88" s="107" t="s">
        <v>1170</v>
      </c>
      <c r="L88" s="107"/>
      <c r="M88" s="107"/>
      <c r="N88" s="107"/>
      <c r="O88" s="107"/>
      <c r="P88" s="107"/>
      <c r="Q88" s="107"/>
      <c r="R88" s="107"/>
      <c r="S88" s="107"/>
      <c r="T88" s="107"/>
      <c r="U88" s="107"/>
      <c r="V88" s="107"/>
      <c r="W88" s="107"/>
      <c r="X88" s="107"/>
      <c r="Y88" s="107"/>
      <c r="Z88" s="107"/>
      <c r="AA88" s="107"/>
      <c r="AB88" s="107"/>
      <c r="AC88" s="107"/>
      <c r="AD88" s="107"/>
    </row>
    <row r="89" spans="1:30" ht="13">
      <c r="A89" s="107" t="s">
        <v>260</v>
      </c>
      <c r="B89" s="107" t="s">
        <v>393</v>
      </c>
      <c r="C89" s="107" t="s">
        <v>381</v>
      </c>
      <c r="D89" s="110" t="s">
        <v>728</v>
      </c>
      <c r="E89" s="107" t="s">
        <v>84</v>
      </c>
      <c r="F89" s="107" t="s">
        <v>1223</v>
      </c>
      <c r="G89" s="107" t="s">
        <v>1323</v>
      </c>
      <c r="H89" s="107" t="s">
        <v>1170</v>
      </c>
      <c r="I89" s="107" t="s">
        <v>1168</v>
      </c>
      <c r="J89" s="107" t="s">
        <v>1169</v>
      </c>
      <c r="K89" s="107" t="s">
        <v>1170</v>
      </c>
      <c r="L89" s="107"/>
      <c r="M89" s="107"/>
      <c r="N89" s="107"/>
      <c r="O89" s="107"/>
      <c r="P89" s="107"/>
      <c r="Q89" s="107"/>
      <c r="R89" s="107"/>
      <c r="S89" s="107"/>
      <c r="T89" s="107"/>
      <c r="U89" s="107"/>
      <c r="V89" s="107"/>
      <c r="W89" s="107"/>
      <c r="X89" s="107"/>
      <c r="Y89" s="107"/>
      <c r="Z89" s="107"/>
      <c r="AA89" s="107"/>
      <c r="AB89" s="107"/>
      <c r="AC89" s="107"/>
      <c r="AD89" s="107"/>
    </row>
    <row r="90" spans="1:30" ht="13">
      <c r="A90" s="107" t="s">
        <v>260</v>
      </c>
      <c r="B90" s="107" t="s">
        <v>394</v>
      </c>
      <c r="C90" s="107" t="s">
        <v>381</v>
      </c>
      <c r="D90" s="110" t="s">
        <v>729</v>
      </c>
      <c r="E90" s="107" t="s">
        <v>84</v>
      </c>
      <c r="F90" s="107" t="s">
        <v>1223</v>
      </c>
      <c r="G90" s="107" t="s">
        <v>1323</v>
      </c>
      <c r="H90" s="107" t="s">
        <v>1170</v>
      </c>
      <c r="I90" s="107" t="s">
        <v>1168</v>
      </c>
      <c r="J90" s="107" t="s">
        <v>1169</v>
      </c>
      <c r="K90" s="107" t="s">
        <v>1170</v>
      </c>
      <c r="L90" s="107"/>
      <c r="M90" s="107"/>
      <c r="N90" s="107"/>
      <c r="O90" s="107"/>
      <c r="P90" s="107"/>
      <c r="Q90" s="107"/>
      <c r="R90" s="107"/>
      <c r="S90" s="107"/>
      <c r="T90" s="107"/>
      <c r="U90" s="107"/>
      <c r="V90" s="107"/>
      <c r="W90" s="107"/>
      <c r="X90" s="107"/>
      <c r="Y90" s="107"/>
      <c r="Z90" s="107"/>
      <c r="AA90" s="107"/>
      <c r="AB90" s="107"/>
      <c r="AC90" s="107"/>
      <c r="AD90" s="107"/>
    </row>
    <row r="91" spans="1:30" ht="13">
      <c r="A91" s="107" t="s">
        <v>260</v>
      </c>
      <c r="B91" s="107" t="s">
        <v>395</v>
      </c>
      <c r="C91" s="107" t="s">
        <v>381</v>
      </c>
      <c r="D91" s="110" t="s">
        <v>730</v>
      </c>
      <c r="E91" s="107" t="s">
        <v>84</v>
      </c>
      <c r="F91" s="107" t="s">
        <v>1223</v>
      </c>
      <c r="G91" s="107" t="s">
        <v>1323</v>
      </c>
      <c r="H91" s="107" t="s">
        <v>1170</v>
      </c>
      <c r="I91" s="107" t="s">
        <v>1168</v>
      </c>
      <c r="J91" s="107" t="s">
        <v>1169</v>
      </c>
      <c r="K91" s="107" t="s">
        <v>1170</v>
      </c>
      <c r="L91" s="107"/>
      <c r="M91" s="107"/>
      <c r="N91" s="107"/>
      <c r="O91" s="107"/>
      <c r="P91" s="107"/>
      <c r="Q91" s="107"/>
      <c r="R91" s="107"/>
      <c r="S91" s="107"/>
      <c r="T91" s="107"/>
      <c r="U91" s="107"/>
      <c r="V91" s="107"/>
      <c r="W91" s="107"/>
      <c r="X91" s="107"/>
      <c r="Y91" s="107"/>
      <c r="Z91" s="107"/>
      <c r="AA91" s="107"/>
      <c r="AB91" s="107"/>
      <c r="AC91" s="107"/>
      <c r="AD91" s="107"/>
    </row>
    <row r="92" spans="1:30" ht="13">
      <c r="A92" s="107" t="s">
        <v>260</v>
      </c>
      <c r="B92" s="107" t="s">
        <v>744</v>
      </c>
      <c r="C92" s="107" t="s">
        <v>381</v>
      </c>
      <c r="D92" s="107" t="s">
        <v>745</v>
      </c>
      <c r="E92" s="107" t="s">
        <v>84</v>
      </c>
      <c r="F92" s="107" t="s">
        <v>1165</v>
      </c>
      <c r="G92" s="107" t="s">
        <v>1324</v>
      </c>
      <c r="H92" s="107" t="s">
        <v>1325</v>
      </c>
      <c r="I92" s="107" t="s">
        <v>1326</v>
      </c>
      <c r="J92" s="107" t="s">
        <v>1169</v>
      </c>
      <c r="K92" s="108" t="s">
        <v>1327</v>
      </c>
      <c r="L92" s="107"/>
      <c r="M92" s="107"/>
      <c r="N92" s="107"/>
      <c r="O92" s="107"/>
      <c r="P92" s="107"/>
      <c r="Q92" s="107"/>
      <c r="R92" s="107"/>
      <c r="S92" s="107"/>
      <c r="T92" s="107"/>
      <c r="U92" s="107"/>
      <c r="V92" s="107"/>
      <c r="W92" s="107"/>
      <c r="X92" s="107"/>
      <c r="Y92" s="107"/>
      <c r="Z92" s="107"/>
      <c r="AA92" s="107"/>
      <c r="AB92" s="107"/>
      <c r="AC92" s="107"/>
      <c r="AD92" s="107"/>
    </row>
    <row r="93" spans="1:30" ht="13">
      <c r="A93" s="107" t="s">
        <v>260</v>
      </c>
      <c r="B93" s="107" t="s">
        <v>1328</v>
      </c>
      <c r="C93" s="107" t="s">
        <v>381</v>
      </c>
      <c r="D93" s="107" t="s">
        <v>740</v>
      </c>
      <c r="E93" s="107" t="s">
        <v>84</v>
      </c>
      <c r="F93" s="107" t="s">
        <v>1165</v>
      </c>
      <c r="G93" s="107" t="s">
        <v>1329</v>
      </c>
      <c r="H93" s="107" t="s">
        <v>1330</v>
      </c>
      <c r="I93" s="107" t="s">
        <v>1173</v>
      </c>
      <c r="J93" s="107" t="s">
        <v>1169</v>
      </c>
      <c r="K93" s="108" t="s">
        <v>1331</v>
      </c>
      <c r="L93" s="107"/>
      <c r="M93" s="107"/>
      <c r="N93" s="107"/>
      <c r="O93" s="107"/>
      <c r="P93" s="107"/>
      <c r="Q93" s="107"/>
      <c r="R93" s="107"/>
      <c r="S93" s="107"/>
      <c r="T93" s="107"/>
      <c r="U93" s="107"/>
      <c r="V93" s="107"/>
      <c r="W93" s="107"/>
      <c r="X93" s="107"/>
      <c r="Y93" s="107"/>
      <c r="Z93" s="107"/>
      <c r="AA93" s="107"/>
      <c r="AB93" s="107"/>
      <c r="AC93" s="107"/>
      <c r="AD93" s="107"/>
    </row>
    <row r="94" spans="1:30" ht="13">
      <c r="A94" s="107" t="s">
        <v>260</v>
      </c>
      <c r="B94" s="107" t="s">
        <v>737</v>
      </c>
      <c r="C94" s="107" t="s">
        <v>381</v>
      </c>
      <c r="D94" s="107" t="s">
        <v>738</v>
      </c>
      <c r="E94" s="107" t="s">
        <v>733</v>
      </c>
      <c r="F94" s="107" t="s">
        <v>1165</v>
      </c>
      <c r="G94" s="107" t="s">
        <v>1332</v>
      </c>
      <c r="H94" s="107" t="s">
        <v>1333</v>
      </c>
      <c r="I94" s="107" t="s">
        <v>1168</v>
      </c>
      <c r="J94" s="107" t="s">
        <v>1169</v>
      </c>
      <c r="K94" s="108" t="s">
        <v>1334</v>
      </c>
      <c r="L94" s="107"/>
      <c r="M94" s="107"/>
      <c r="N94" s="107"/>
      <c r="O94" s="107"/>
      <c r="P94" s="107"/>
      <c r="Q94" s="107"/>
      <c r="R94" s="107"/>
      <c r="S94" s="107"/>
      <c r="T94" s="107"/>
      <c r="U94" s="107"/>
      <c r="V94" s="107"/>
      <c r="W94" s="107"/>
      <c r="X94" s="107"/>
      <c r="Y94" s="107"/>
      <c r="Z94" s="107"/>
      <c r="AA94" s="107"/>
      <c r="AB94" s="107"/>
      <c r="AC94" s="107"/>
      <c r="AD94" s="107"/>
    </row>
    <row r="95" spans="1:30" ht="13">
      <c r="A95" s="107" t="s">
        <v>260</v>
      </c>
      <c r="B95" s="107" t="s">
        <v>731</v>
      </c>
      <c r="C95" s="107" t="s">
        <v>381</v>
      </c>
      <c r="D95" s="107" t="s">
        <v>732</v>
      </c>
      <c r="E95" s="107" t="s">
        <v>733</v>
      </c>
      <c r="F95" s="107" t="s">
        <v>1165</v>
      </c>
      <c r="G95" s="107" t="s">
        <v>1332</v>
      </c>
      <c r="H95" s="107" t="s">
        <v>1335</v>
      </c>
      <c r="I95" s="107" t="s">
        <v>1168</v>
      </c>
      <c r="J95" s="107" t="s">
        <v>1169</v>
      </c>
      <c r="K95" s="108" t="s">
        <v>1334</v>
      </c>
      <c r="L95" s="107"/>
      <c r="M95" s="107"/>
      <c r="N95" s="107"/>
      <c r="O95" s="107"/>
      <c r="P95" s="107"/>
      <c r="Q95" s="107"/>
      <c r="R95" s="107"/>
      <c r="S95" s="107"/>
      <c r="T95" s="107"/>
      <c r="U95" s="107"/>
      <c r="V95" s="107"/>
      <c r="W95" s="107"/>
      <c r="X95" s="107"/>
      <c r="Y95" s="107"/>
      <c r="Z95" s="107"/>
      <c r="AA95" s="107"/>
      <c r="AB95" s="107"/>
      <c r="AC95" s="107"/>
      <c r="AD95" s="107"/>
    </row>
    <row r="96" spans="1:30" ht="13">
      <c r="A96" s="107" t="s">
        <v>260</v>
      </c>
      <c r="B96" s="107" t="s">
        <v>735</v>
      </c>
      <c r="C96" s="107" t="s">
        <v>381</v>
      </c>
      <c r="D96" s="107" t="s">
        <v>736</v>
      </c>
      <c r="E96" s="107" t="s">
        <v>733</v>
      </c>
      <c r="F96" s="107" t="s">
        <v>1165</v>
      </c>
      <c r="G96" s="107" t="s">
        <v>1332</v>
      </c>
      <c r="H96" s="107" t="s">
        <v>1336</v>
      </c>
      <c r="I96" s="107" t="s">
        <v>1168</v>
      </c>
      <c r="J96" s="107" t="s">
        <v>1169</v>
      </c>
      <c r="K96" s="108" t="s">
        <v>1334</v>
      </c>
      <c r="L96" s="107"/>
      <c r="M96" s="107"/>
      <c r="N96" s="107"/>
      <c r="O96" s="107"/>
      <c r="P96" s="107"/>
      <c r="Q96" s="107"/>
      <c r="R96" s="107"/>
      <c r="S96" s="107"/>
      <c r="T96" s="107"/>
      <c r="U96" s="107"/>
      <c r="V96" s="107"/>
      <c r="W96" s="107"/>
      <c r="X96" s="107"/>
      <c r="Y96" s="107"/>
      <c r="Z96" s="107"/>
      <c r="AA96" s="107"/>
      <c r="AB96" s="107"/>
      <c r="AC96" s="107"/>
      <c r="AD96" s="107"/>
    </row>
    <row r="97" spans="1:30" ht="13">
      <c r="A97" s="107" t="s">
        <v>260</v>
      </c>
      <c r="B97" s="107" t="s">
        <v>1337</v>
      </c>
      <c r="C97" s="107" t="s">
        <v>381</v>
      </c>
      <c r="D97" s="107" t="s">
        <v>742</v>
      </c>
      <c r="E97" s="107" t="s">
        <v>84</v>
      </c>
      <c r="F97" s="107" t="s">
        <v>1165</v>
      </c>
      <c r="G97" s="107" t="s">
        <v>1329</v>
      </c>
      <c r="H97" s="107" t="s">
        <v>1330</v>
      </c>
      <c r="I97" s="107" t="s">
        <v>1173</v>
      </c>
      <c r="J97" s="107" t="s">
        <v>1169</v>
      </c>
      <c r="K97" s="108" t="s">
        <v>1331</v>
      </c>
      <c r="L97" s="107"/>
      <c r="M97" s="107"/>
      <c r="N97" s="107"/>
      <c r="O97" s="107"/>
      <c r="P97" s="107"/>
      <c r="Q97" s="107"/>
      <c r="R97" s="107"/>
      <c r="S97" s="107"/>
      <c r="T97" s="107"/>
      <c r="U97" s="107"/>
      <c r="V97" s="107"/>
      <c r="W97" s="107"/>
      <c r="X97" s="107"/>
      <c r="Y97" s="107"/>
      <c r="Z97" s="107"/>
      <c r="AA97" s="107"/>
      <c r="AB97" s="107"/>
      <c r="AC97" s="107"/>
      <c r="AD97" s="107"/>
    </row>
    <row r="98" spans="1:30" ht="13">
      <c r="A98" s="107" t="s">
        <v>260</v>
      </c>
      <c r="B98" s="107" t="s">
        <v>735</v>
      </c>
      <c r="C98" s="107" t="s">
        <v>819</v>
      </c>
      <c r="D98" s="107" t="s">
        <v>820</v>
      </c>
      <c r="E98" s="107" t="s">
        <v>162</v>
      </c>
      <c r="F98" s="107" t="s">
        <v>1165</v>
      </c>
      <c r="G98" s="107" t="s">
        <v>1338</v>
      </c>
      <c r="H98" s="107" t="s">
        <v>1339</v>
      </c>
      <c r="I98" s="107" t="s">
        <v>1340</v>
      </c>
      <c r="J98" s="107" t="s">
        <v>1169</v>
      </c>
      <c r="K98" s="108" t="s">
        <v>1341</v>
      </c>
      <c r="L98" s="107"/>
      <c r="M98" s="107"/>
      <c r="N98" s="107"/>
      <c r="O98" s="107"/>
      <c r="P98" s="107"/>
      <c r="Q98" s="107"/>
      <c r="R98" s="107"/>
      <c r="S98" s="107"/>
      <c r="T98" s="107"/>
      <c r="U98" s="107"/>
      <c r="V98" s="107"/>
      <c r="W98" s="107"/>
      <c r="X98" s="107"/>
      <c r="Y98" s="107"/>
      <c r="Z98" s="107"/>
      <c r="AA98" s="107"/>
      <c r="AB98" s="107"/>
      <c r="AC98" s="107"/>
      <c r="AD98" s="107"/>
    </row>
    <row r="99" spans="1:30" ht="13">
      <c r="A99" s="107" t="s">
        <v>260</v>
      </c>
      <c r="B99" s="107" t="s">
        <v>802</v>
      </c>
      <c r="C99" s="107" t="s">
        <v>803</v>
      </c>
      <c r="D99" s="107" t="s">
        <v>804</v>
      </c>
      <c r="E99" s="107" t="s">
        <v>84</v>
      </c>
      <c r="F99" s="107" t="s">
        <v>1165</v>
      </c>
      <c r="G99" s="107" t="s">
        <v>1342</v>
      </c>
      <c r="H99" s="107" t="s">
        <v>1343</v>
      </c>
      <c r="I99" s="107" t="s">
        <v>1344</v>
      </c>
      <c r="J99" s="107" t="s">
        <v>1169</v>
      </c>
      <c r="K99" s="108" t="s">
        <v>1345</v>
      </c>
      <c r="L99" s="107"/>
      <c r="M99" s="107"/>
      <c r="N99" s="107"/>
      <c r="O99" s="107"/>
      <c r="P99" s="107"/>
      <c r="Q99" s="107"/>
      <c r="R99" s="107"/>
      <c r="S99" s="107"/>
      <c r="T99" s="107"/>
      <c r="U99" s="107"/>
      <c r="V99" s="107"/>
      <c r="W99" s="107"/>
      <c r="X99" s="107"/>
      <c r="Y99" s="107"/>
      <c r="Z99" s="107"/>
      <c r="AA99" s="107"/>
      <c r="AB99" s="107"/>
      <c r="AC99" s="107"/>
      <c r="AD99" s="107"/>
    </row>
  </sheetData>
  <mergeCells count="1">
    <mergeCell ref="A2:AD2"/>
  </mergeCells>
  <hyperlinks>
    <hyperlink ref="K4" r:id="rId1" xr:uid="{00000000-0004-0000-0800-000000000000}"/>
    <hyperlink ref="K5" r:id="rId2" xr:uid="{00000000-0004-0000-0800-000001000000}"/>
    <hyperlink ref="K6" r:id="rId3" xr:uid="{00000000-0004-0000-0800-000002000000}"/>
    <hyperlink ref="K8" r:id="rId4" xr:uid="{00000000-0004-0000-0800-000003000000}"/>
    <hyperlink ref="K9" r:id="rId5" xr:uid="{00000000-0004-0000-0800-000004000000}"/>
    <hyperlink ref="K10" r:id="rId6" xr:uid="{00000000-0004-0000-0800-000005000000}"/>
    <hyperlink ref="K11" r:id="rId7" xr:uid="{00000000-0004-0000-0800-000006000000}"/>
    <hyperlink ref="K12" r:id="rId8" xr:uid="{00000000-0004-0000-0800-000007000000}"/>
    <hyperlink ref="K14" r:id="rId9" xr:uid="{00000000-0004-0000-0800-000008000000}"/>
    <hyperlink ref="K15" r:id="rId10" xr:uid="{00000000-0004-0000-0800-000009000000}"/>
    <hyperlink ref="K16" r:id="rId11" xr:uid="{00000000-0004-0000-0800-00000A000000}"/>
    <hyperlink ref="K17" r:id="rId12" xr:uid="{00000000-0004-0000-0800-00000B000000}"/>
    <hyperlink ref="K18" r:id="rId13" xr:uid="{00000000-0004-0000-0800-00000C000000}"/>
    <hyperlink ref="K22" r:id="rId14" xr:uid="{00000000-0004-0000-0800-00000D000000}"/>
    <hyperlink ref="K24" r:id="rId15" xr:uid="{00000000-0004-0000-0800-00000E000000}"/>
    <hyperlink ref="K25" r:id="rId16" xr:uid="{00000000-0004-0000-0800-00000F000000}"/>
    <hyperlink ref="K26" r:id="rId17" xr:uid="{00000000-0004-0000-0800-000010000000}"/>
    <hyperlink ref="K27" r:id="rId18" xr:uid="{00000000-0004-0000-0800-000011000000}"/>
    <hyperlink ref="K28" r:id="rId19" xr:uid="{00000000-0004-0000-0800-000012000000}"/>
    <hyperlink ref="K29" r:id="rId20" xr:uid="{00000000-0004-0000-0800-000013000000}"/>
    <hyperlink ref="K30" r:id="rId21" xr:uid="{00000000-0004-0000-0800-000014000000}"/>
    <hyperlink ref="K31" r:id="rId22" xr:uid="{00000000-0004-0000-0800-000015000000}"/>
    <hyperlink ref="K32" r:id="rId23" xr:uid="{00000000-0004-0000-0800-000016000000}"/>
    <hyperlink ref="K33" r:id="rId24" xr:uid="{00000000-0004-0000-0800-000017000000}"/>
    <hyperlink ref="K34" r:id="rId25" location=":~:text=The%20design%2Dbased%20estimates%20of,to%204%2C712)%20individuals%2C%20respectively." xr:uid="{00000000-0004-0000-0800-000018000000}"/>
    <hyperlink ref="K35" r:id="rId26" location=":~:text=The%20design%2Dbased%20estimates%20of,to%204%2C712)%20individuals%2C%20respectively." xr:uid="{00000000-0004-0000-0800-000019000000}"/>
    <hyperlink ref="K36" r:id="rId27" xr:uid="{00000000-0004-0000-0800-00001A000000}"/>
    <hyperlink ref="K37" r:id="rId28" xr:uid="{00000000-0004-0000-0800-00001B000000}"/>
    <hyperlink ref="K38" r:id="rId29" xr:uid="{00000000-0004-0000-0800-00001C000000}"/>
    <hyperlink ref="K40" r:id="rId30" xr:uid="{00000000-0004-0000-0800-00001D000000}"/>
    <hyperlink ref="K42" r:id="rId31" xr:uid="{00000000-0004-0000-0800-00001E000000}"/>
    <hyperlink ref="K44" r:id="rId32" xr:uid="{00000000-0004-0000-0800-00001F000000}"/>
    <hyperlink ref="K45" r:id="rId33" xr:uid="{00000000-0004-0000-0800-000020000000}"/>
    <hyperlink ref="K46" r:id="rId34" xr:uid="{00000000-0004-0000-0800-000021000000}"/>
    <hyperlink ref="K48" r:id="rId35" xr:uid="{00000000-0004-0000-0800-000022000000}"/>
    <hyperlink ref="K49" r:id="rId36" xr:uid="{00000000-0004-0000-0800-000023000000}"/>
    <hyperlink ref="K50" r:id="rId37" xr:uid="{00000000-0004-0000-0800-000024000000}"/>
    <hyperlink ref="K52" r:id="rId38" xr:uid="{00000000-0004-0000-0800-000025000000}"/>
    <hyperlink ref="K53" r:id="rId39" xr:uid="{00000000-0004-0000-0800-000026000000}"/>
    <hyperlink ref="K54" r:id="rId40" xr:uid="{00000000-0004-0000-0800-000027000000}"/>
    <hyperlink ref="K55" r:id="rId41" xr:uid="{00000000-0004-0000-0800-000028000000}"/>
    <hyperlink ref="K56" r:id="rId42" xr:uid="{00000000-0004-0000-0800-000029000000}"/>
    <hyperlink ref="K58" r:id="rId43" xr:uid="{00000000-0004-0000-0800-00002A000000}"/>
    <hyperlink ref="K59" r:id="rId44" xr:uid="{00000000-0004-0000-0800-00002B000000}"/>
    <hyperlink ref="K60" r:id="rId45" xr:uid="{00000000-0004-0000-0800-00002C000000}"/>
    <hyperlink ref="K61" r:id="rId46" xr:uid="{00000000-0004-0000-0800-00002D000000}"/>
    <hyperlink ref="K62" r:id="rId47" xr:uid="{00000000-0004-0000-0800-00002E000000}"/>
    <hyperlink ref="K67" r:id="rId48" xr:uid="{00000000-0004-0000-0800-00002F000000}"/>
    <hyperlink ref="K73" r:id="rId49" xr:uid="{00000000-0004-0000-0800-000030000000}"/>
    <hyperlink ref="K74" r:id="rId50" xr:uid="{00000000-0004-0000-0800-000031000000}"/>
    <hyperlink ref="K75" r:id="rId51" xr:uid="{00000000-0004-0000-0800-000032000000}"/>
    <hyperlink ref="K76" r:id="rId52" xr:uid="{00000000-0004-0000-0800-000033000000}"/>
    <hyperlink ref="K92" r:id="rId53" xr:uid="{00000000-0004-0000-0800-000034000000}"/>
    <hyperlink ref="K93" r:id="rId54" xr:uid="{00000000-0004-0000-0800-000035000000}"/>
    <hyperlink ref="K94" r:id="rId55" xr:uid="{00000000-0004-0000-0800-000036000000}"/>
    <hyperlink ref="K95" r:id="rId56" xr:uid="{00000000-0004-0000-0800-000037000000}"/>
    <hyperlink ref="K96" r:id="rId57" xr:uid="{00000000-0004-0000-0800-000038000000}"/>
    <hyperlink ref="K97" r:id="rId58" xr:uid="{00000000-0004-0000-0800-000039000000}"/>
    <hyperlink ref="K98" r:id="rId59" xr:uid="{00000000-0004-0000-0800-00003A000000}"/>
    <hyperlink ref="K99" r:id="rId60" xr:uid="{00000000-0004-0000-0800-00003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SAR</vt:lpstr>
      <vt:lpstr>metadata</vt:lpstr>
      <vt:lpstr>U.S.</vt:lpstr>
      <vt:lpstr>U.S. growth rates</vt:lpstr>
      <vt:lpstr>Australia</vt:lpstr>
      <vt:lpstr>Canada</vt:lpstr>
      <vt:lpstr>Antarctica</vt:lpstr>
      <vt:lpstr>Species Count Data</vt:lpstr>
      <vt:lpstr>Species Check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Free</cp:lastModifiedBy>
  <dcterms:created xsi:type="dcterms:W3CDTF">2026-03-14T21:18:07Z</dcterms:created>
  <dcterms:modified xsi:type="dcterms:W3CDTF">2026-04-07T22:06:01Z</dcterms:modified>
</cp:coreProperties>
</file>