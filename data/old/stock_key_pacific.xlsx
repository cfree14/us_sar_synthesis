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"/>
    </mc:Choice>
  </mc:AlternateContent>
  <xr:revisionPtr revIDLastSave="0" documentId="13_ncr:1_{D9FE7C8C-1AB0-AD42-8AE5-CB3A8AE92796}" xr6:coauthVersionLast="47" xr6:coauthVersionMax="47" xr10:uidLastSave="{00000000-0000-0000-0000-000000000000}"/>
  <bookViews>
    <workbookView xWindow="17280" yWindow="500" windowWidth="29400" windowHeight="20180" xr2:uid="{556CD08B-2869-514B-9C74-DC97358E55DB}"/>
  </bookViews>
  <sheets>
    <sheet name="Sheet1" sheetId="1" r:id="rId1"/>
  </sheets>
  <definedNames>
    <definedName name="_xlnm._FilterDatabase" localSheetId="0" hidden="1">Sheet1!$A$1:$H$93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4" i="1"/>
  <c r="H6" i="1"/>
  <c r="H7" i="1"/>
  <c r="H8" i="1"/>
  <c r="H9" i="1"/>
  <c r="H32" i="1"/>
  <c r="H28" i="1"/>
  <c r="H29" i="1"/>
  <c r="H30" i="1"/>
  <c r="H31" i="1"/>
  <c r="H27" i="1"/>
  <c r="H26" i="1"/>
  <c r="H18" i="1"/>
  <c r="H19" i="1"/>
  <c r="H17" i="1"/>
  <c r="H102" i="1"/>
  <c r="H101" i="1"/>
  <c r="H97" i="1"/>
  <c r="H98" i="1"/>
  <c r="H99" i="1"/>
  <c r="H100" i="1"/>
  <c r="H96" i="1"/>
  <c r="H106" i="1"/>
  <c r="H105" i="1"/>
  <c r="H93" i="1"/>
  <c r="H92" i="1"/>
  <c r="H71" i="1"/>
  <c r="H72" i="1"/>
  <c r="H67" i="1"/>
  <c r="H66" i="1"/>
  <c r="H90" i="1"/>
  <c r="H22" i="1"/>
  <c r="H25" i="1"/>
  <c r="H68" i="1"/>
  <c r="H62" i="1"/>
  <c r="H11" i="1"/>
  <c r="H74" i="1"/>
  <c r="H2" i="1"/>
  <c r="H84" i="1"/>
  <c r="H39" i="1"/>
  <c r="H45" i="1"/>
  <c r="H52" i="1"/>
  <c r="H57" i="1"/>
  <c r="H86" i="1"/>
  <c r="H88" i="1"/>
  <c r="H109" i="1"/>
  <c r="H107" i="1"/>
  <c r="H12" i="1"/>
  <c r="H20" i="1"/>
  <c r="H33" i="1"/>
  <c r="H75" i="1"/>
  <c r="H24" i="1"/>
  <c r="H112" i="1"/>
  <c r="H3" i="1"/>
  <c r="H13" i="1"/>
  <c r="H46" i="1"/>
  <c r="H76" i="1"/>
  <c r="H35" i="1"/>
  <c r="H47" i="1"/>
  <c r="H77" i="1"/>
  <c r="H65" i="1"/>
  <c r="H36" i="1"/>
  <c r="H42" i="1"/>
  <c r="H55" i="1"/>
  <c r="H54" i="1"/>
  <c r="H63" i="1"/>
  <c r="H37" i="1"/>
  <c r="H85" i="1"/>
  <c r="H87" i="1"/>
  <c r="H103" i="1"/>
  <c r="H38" i="1"/>
  <c r="H40" i="1"/>
  <c r="H48" i="1"/>
  <c r="H53" i="1"/>
  <c r="H56" i="1"/>
  <c r="H58" i="1"/>
  <c r="H89" i="1"/>
  <c r="H95" i="1"/>
  <c r="H104" i="1"/>
  <c r="H113" i="1"/>
  <c r="H108" i="1"/>
  <c r="H110" i="1"/>
  <c r="H10" i="1"/>
  <c r="H21" i="1"/>
  <c r="H23" i="1"/>
  <c r="H34" i="1"/>
  <c r="H73" i="1"/>
  <c r="H16" i="1"/>
  <c r="H91" i="1"/>
  <c r="H5" i="1"/>
  <c r="H49" i="1"/>
  <c r="H61" i="1"/>
  <c r="H50" i="1"/>
  <c r="H78" i="1"/>
  <c r="H79" i="1"/>
  <c r="H59" i="1"/>
  <c r="H14" i="1"/>
  <c r="H41" i="1"/>
  <c r="H80" i="1"/>
  <c r="H81" i="1"/>
  <c r="H69" i="1"/>
  <c r="H94" i="1"/>
  <c r="H82" i="1"/>
  <c r="H64" i="1"/>
  <c r="H60" i="1"/>
  <c r="H70" i="1"/>
  <c r="H83" i="1"/>
  <c r="H111" i="1"/>
  <c r="H51" i="1"/>
  <c r="H43" i="1"/>
  <c r="H44" i="1"/>
</calcChain>
</file>

<file path=xl/sharedStrings.xml><?xml version="1.0" encoding="utf-8"?>
<sst xmlns="http://schemas.openxmlformats.org/spreadsheetml/2006/main" count="585" uniqueCount="149">
  <si>
    <t>group</t>
  </si>
  <si>
    <t>comm_name</t>
  </si>
  <si>
    <t>stock</t>
  </si>
  <si>
    <t>region</t>
  </si>
  <si>
    <t>Large whales</t>
  </si>
  <si>
    <t>Blue whale</t>
  </si>
  <si>
    <t>Central North Pacific</t>
  </si>
  <si>
    <t>Pacific</t>
  </si>
  <si>
    <t>Eastern North Pacific</t>
  </si>
  <si>
    <t>Bryde's whale</t>
  </si>
  <si>
    <t>Eastern Tropical Pacific</t>
  </si>
  <si>
    <t>Hawaiʻi</t>
  </si>
  <si>
    <t>Hawaii</t>
  </si>
  <si>
    <t>Fin whale</t>
  </si>
  <si>
    <t>California-Oregon-Washington</t>
  </si>
  <si>
    <t>Northeast Pacific</t>
  </si>
  <si>
    <t>Gray whale</t>
  </si>
  <si>
    <t>Humpback whale</t>
  </si>
  <si>
    <t>American Samoa</t>
  </si>
  <si>
    <t>Mainland Mexico</t>
  </si>
  <si>
    <t>Mexico-North Pacific</t>
  </si>
  <si>
    <t>Western North Pacific</t>
  </si>
  <si>
    <t>Minke whale</t>
  </si>
  <si>
    <t>Sei whale</t>
  </si>
  <si>
    <t>Sperm whale</t>
  </si>
  <si>
    <t>North Pacific</t>
  </si>
  <si>
    <t>Small whales</t>
  </si>
  <si>
    <t>Western and Central North Pacific</t>
  </si>
  <si>
    <t>False killer whale</t>
  </si>
  <si>
    <t>Killer whale</t>
  </si>
  <si>
    <t>Pygmy killer whale</t>
  </si>
  <si>
    <t>Pygmy sperm whale</t>
  </si>
  <si>
    <t>California Coastal</t>
  </si>
  <si>
    <t>California-Oregon-Washington Offshore</t>
  </si>
  <si>
    <t>California</t>
  </si>
  <si>
    <t>Fraser's dolphin</t>
  </si>
  <si>
    <t>Risso's dolphin</t>
  </si>
  <si>
    <t>Spinner dolphin</t>
  </si>
  <si>
    <t>Striped dolphin</t>
  </si>
  <si>
    <t>California-Oregon-Washington, Northern, and Southern</t>
  </si>
  <si>
    <t>Dall's porpoise</t>
  </si>
  <si>
    <t>Harbor porpoise</t>
  </si>
  <si>
    <t>Central Oregon</t>
  </si>
  <si>
    <t>Monterey Bay</t>
  </si>
  <si>
    <t>Morro Bay</t>
  </si>
  <si>
    <t>Northern California-Southern Oregon</t>
  </si>
  <si>
    <t>Northern Oregon-Washington Coast</t>
  </si>
  <si>
    <t>San Francisco-Russian River</t>
  </si>
  <si>
    <t>Washington Inland Waters</t>
  </si>
  <si>
    <t>Central California</t>
  </si>
  <si>
    <t>Phocids</t>
  </si>
  <si>
    <t>Harbor seal</t>
  </si>
  <si>
    <t>Oregon-Washington Coastal</t>
  </si>
  <si>
    <t>Hawaiian monk seal</t>
  </si>
  <si>
    <t>Northern elephant seal</t>
  </si>
  <si>
    <t>California Breeding</t>
  </si>
  <si>
    <t>Otariids</t>
  </si>
  <si>
    <t>Guadalupe fur seal</t>
  </si>
  <si>
    <t>Northern fur seal</t>
  </si>
  <si>
    <t>Eastern Pacific</t>
  </si>
  <si>
    <t>San Miguel Island</t>
  </si>
  <si>
    <t>California sea lion</t>
  </si>
  <si>
    <t>United States</t>
  </si>
  <si>
    <t>Steller sea lion</t>
  </si>
  <si>
    <t>area_long</t>
  </si>
  <si>
    <t>area_short</t>
  </si>
  <si>
    <t>CNP</t>
  </si>
  <si>
    <t>ENP</t>
  </si>
  <si>
    <t>ETP</t>
  </si>
  <si>
    <t>HI</t>
  </si>
  <si>
    <t>CA/OR/WA</t>
  </si>
  <si>
    <t>CA</t>
  </si>
  <si>
    <t>CA Breeding</t>
  </si>
  <si>
    <t>CA Coastal</t>
  </si>
  <si>
    <t>CA/OR/WA Offshore</t>
  </si>
  <si>
    <t>Central CA</t>
  </si>
  <si>
    <t>Dolphins</t>
  </si>
  <si>
    <t>Baird's beaked whale</t>
  </si>
  <si>
    <t>Blainville's beaked whale</t>
  </si>
  <si>
    <t>Cuvier's beaked whale</t>
  </si>
  <si>
    <t>Longman's beaked whale</t>
  </si>
  <si>
    <t>Sato's beaked whale</t>
  </si>
  <si>
    <t>Long-beaked common dolphin</t>
  </si>
  <si>
    <t>Short-beaked common dolphin</t>
  </si>
  <si>
    <t>Short-finned pilot whale</t>
  </si>
  <si>
    <t>North Pacific right whale</t>
  </si>
  <si>
    <t>Pantropical spotted dolphin</t>
  </si>
  <si>
    <t>Pacific white-sided dolphin</t>
  </si>
  <si>
    <t>Central OR</t>
  </si>
  <si>
    <t>Eastern Stock</t>
  </si>
  <si>
    <t>CA/OR/WA-N/S</t>
  </si>
  <si>
    <t>Northern OR / WA Coast</t>
  </si>
  <si>
    <t>Northern CA / Southern OR</t>
  </si>
  <si>
    <t>Palmyra Atoll</t>
  </si>
  <si>
    <t>OR/WA Coastal</t>
  </si>
  <si>
    <t>U.S.</t>
  </si>
  <si>
    <t>HI Islands</t>
  </si>
  <si>
    <t>Porpoises</t>
  </si>
  <si>
    <t>Dwarf sperm whale</t>
  </si>
  <si>
    <t>Northern right whale dolphin</t>
  </si>
  <si>
    <t>Rough-toothed dolphin</t>
  </si>
  <si>
    <t>Southern sea otter</t>
  </si>
  <si>
    <t>Other</t>
  </si>
  <si>
    <t>WA Inland Waters</t>
  </si>
  <si>
    <t>Hood Canal</t>
  </si>
  <si>
    <t>Southern Puget Sound</t>
  </si>
  <si>
    <t>US/Mexico</t>
  </si>
  <si>
    <t>added_yr</t>
  </si>
  <si>
    <t>retired_yr</t>
  </si>
  <si>
    <t>MHI Insular</t>
  </si>
  <si>
    <t>NW HI</t>
  </si>
  <si>
    <t>HI Pelagic</t>
  </si>
  <si>
    <t>Main Hawaiian Islands Insular</t>
  </si>
  <si>
    <t>Northwestern Hawaiian Islands</t>
  </si>
  <si>
    <t>Hawai'I Pelagic</t>
  </si>
  <si>
    <t>Mesoplodont beaked whales</t>
  </si>
  <si>
    <t>Melon-headed whale</t>
  </si>
  <si>
    <t>2012?</t>
  </si>
  <si>
    <t>Kohala Resident</t>
  </si>
  <si>
    <t>HI Stock</t>
  </si>
  <si>
    <t>Hawaiian Stock</t>
  </si>
  <si>
    <t>Hawaiian Islands</t>
  </si>
  <si>
    <t>ENP AK Resident</t>
  </si>
  <si>
    <t>ENP Northern Resident</t>
  </si>
  <si>
    <t>ENP Offshore</t>
  </si>
  <si>
    <t>ENP Transient</t>
  </si>
  <si>
    <t>ENP Southern Resident</t>
  </si>
  <si>
    <t>Alaska</t>
  </si>
  <si>
    <t>AT1 Transient</t>
  </si>
  <si>
    <t>Central America / Southern Mexico</t>
  </si>
  <si>
    <t>O'ahu</t>
  </si>
  <si>
    <t>Maui Nui</t>
  </si>
  <si>
    <t>Hawai'i Island</t>
  </si>
  <si>
    <t>HI Island</t>
  </si>
  <si>
    <t>O'ahu / 4 Islands</t>
  </si>
  <si>
    <t>Kaua'i / Ni'ihau</t>
  </si>
  <si>
    <t>Midway / Kure</t>
  </si>
  <si>
    <t>Pearl and Hermes Reef</t>
  </si>
  <si>
    <t>Hawai'i Pelagic</t>
  </si>
  <si>
    <t>Common bottlenose dolphin</t>
  </si>
  <si>
    <t>Oʻahu</t>
  </si>
  <si>
    <t>Hawaiʻi Island</t>
  </si>
  <si>
    <t>Hawaiʻi Pelagic</t>
  </si>
  <si>
    <t>2011?</t>
  </si>
  <si>
    <t>2010?</t>
  </si>
  <si>
    <t>2013?</t>
  </si>
  <si>
    <t>Northern sea otter</t>
  </si>
  <si>
    <t>WA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</si>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</sst>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12A3-CD65-0E49-A7AA-F7997F065ACD}">
  <dimension ref="A1:H113"/>
  <sheetViews>
    <sheetView tabSelected="1" workbookViewId="0">
      <selection activeCell="D12" sqref="D12"/>
    </sheetView>
  </sheetViews>
  <sheetFormatPr baseColWidth="10" defaultRowHeight="16" x14ac:dyDescent="0.2"/>
  <cols>
    <col min="1" max="1" width="6.83203125" bestFit="1" customWidth="1"/>
    <col min="2" max="2" width="11.6640625" bestFit="1" customWidth="1"/>
    <col min="3" max="4" width="11.6640625" customWidth="1"/>
    <col min="5" max="5" width="27.1640625" bestFit="1" customWidth="1"/>
    <col min="6" max="6" width="29" bestFit="1" customWidth="1"/>
    <col min="7" max="7" width="46.5" bestFit="1" customWidth="1"/>
    <col min="8" max="8" width="47.6640625" bestFit="1" customWidth="1"/>
  </cols>
  <sheetData>
    <row r="1" spans="1:8" x14ac:dyDescent="0.2">
      <c r="A1" s="1" t="s">
        <v>3</v>
      </c>
      <c r="B1" s="1" t="s">
        <v>0</v>
      </c>
      <c r="C1" s="1" t="s">
        <v>108</v>
      </c>
      <c r="D1" s="1" t="s">
        <v>107</v>
      </c>
      <c r="E1" s="1" t="s">
        <v>1</v>
      </c>
      <c r="F1" s="1" t="s">
        <v>65</v>
      </c>
      <c r="G1" s="1" t="s">
        <v>64</v>
      </c>
      <c r="H1" s="1" t="s">
        <v>2</v>
      </c>
    </row>
    <row r="2" spans="1:8" x14ac:dyDescent="0.2">
      <c r="A2" t="s">
        <v>7</v>
      </c>
      <c r="B2" t="s">
        <v>76</v>
      </c>
      <c r="E2" t="s">
        <v>139</v>
      </c>
      <c r="F2" t="s">
        <v>73</v>
      </c>
      <c r="G2" t="s">
        <v>32</v>
      </c>
      <c r="H2" t="str">
        <f>CONCATENATE(E2, " (", F2, ")")</f>
        <v>Common bottlenose dolphin (CA Coastal)</v>
      </c>
    </row>
    <row r="3" spans="1:8" x14ac:dyDescent="0.2">
      <c r="A3" t="s">
        <v>7</v>
      </c>
      <c r="B3" t="s">
        <v>76</v>
      </c>
      <c r="E3" t="s">
        <v>139</v>
      </c>
      <c r="F3" t="s">
        <v>74</v>
      </c>
      <c r="G3" t="s">
        <v>33</v>
      </c>
      <c r="H3" t="str">
        <f>CONCATENATE(E3, " (", F3, ")")</f>
        <v>Common bottlenose dolphin (CA/OR/WA Offshore)</v>
      </c>
    </row>
    <row r="4" spans="1:8" x14ac:dyDescent="0.2">
      <c r="A4" t="s">
        <v>12</v>
      </c>
      <c r="B4" t="s">
        <v>76</v>
      </c>
      <c r="C4" t="s">
        <v>144</v>
      </c>
      <c r="E4" t="s">
        <v>139</v>
      </c>
      <c r="F4" t="s">
        <v>69</v>
      </c>
      <c r="G4" t="s">
        <v>11</v>
      </c>
      <c r="H4" t="str">
        <f>CONCATENATE(E4, " (", F4, ")")</f>
        <v>Common bottlenose dolphin (HI)</v>
      </c>
    </row>
    <row r="5" spans="1:8" x14ac:dyDescent="0.2">
      <c r="A5" t="s">
        <v>12</v>
      </c>
      <c r="B5" t="s">
        <v>76</v>
      </c>
      <c r="D5" t="s">
        <v>143</v>
      </c>
      <c r="E5" t="s">
        <v>139</v>
      </c>
      <c r="F5" t="s">
        <v>135</v>
      </c>
      <c r="G5" t="s">
        <v>135</v>
      </c>
      <c r="H5" t="str">
        <f>CONCATENATE(E5, " (", F5, ")")</f>
        <v>Common bottlenose dolphin (Kaua'i / Ni'ihau)</v>
      </c>
    </row>
    <row r="6" spans="1:8" x14ac:dyDescent="0.2">
      <c r="A6" t="s">
        <v>12</v>
      </c>
      <c r="B6" t="s">
        <v>76</v>
      </c>
      <c r="D6" t="s">
        <v>143</v>
      </c>
      <c r="E6" t="s">
        <v>139</v>
      </c>
      <c r="F6" t="s">
        <v>130</v>
      </c>
      <c r="G6" t="s">
        <v>140</v>
      </c>
      <c r="H6" t="str">
        <f>CONCATENATE(E6, " (", F6, ")")</f>
        <v>Common bottlenose dolphin (O'ahu)</v>
      </c>
    </row>
    <row r="7" spans="1:8" x14ac:dyDescent="0.2">
      <c r="A7" t="s">
        <v>12</v>
      </c>
      <c r="B7" t="s">
        <v>76</v>
      </c>
      <c r="D7" t="s">
        <v>143</v>
      </c>
      <c r="E7" t="s">
        <v>139</v>
      </c>
      <c r="F7" t="s">
        <v>131</v>
      </c>
      <c r="G7" t="s">
        <v>131</v>
      </c>
      <c r="H7" t="str">
        <f>CONCATENATE(E7, " (", F7, ")")</f>
        <v>Common bottlenose dolphin (Maui Nui)</v>
      </c>
    </row>
    <row r="8" spans="1:8" x14ac:dyDescent="0.2">
      <c r="A8" t="s">
        <v>12</v>
      </c>
      <c r="B8" t="s">
        <v>76</v>
      </c>
      <c r="D8" t="s">
        <v>143</v>
      </c>
      <c r="E8" t="s">
        <v>139</v>
      </c>
      <c r="F8" t="s">
        <v>133</v>
      </c>
      <c r="G8" t="s">
        <v>141</v>
      </c>
      <c r="H8" t="str">
        <f>CONCATENATE(E8, " (", F8, ")")</f>
        <v>Common bottlenose dolphin (HI Island)</v>
      </c>
    </row>
    <row r="9" spans="1:8" x14ac:dyDescent="0.2">
      <c r="A9" t="s">
        <v>12</v>
      </c>
      <c r="B9" t="s">
        <v>76</v>
      </c>
      <c r="D9" t="s">
        <v>143</v>
      </c>
      <c r="E9" t="s">
        <v>139</v>
      </c>
      <c r="F9" t="s">
        <v>111</v>
      </c>
      <c r="G9" t="s">
        <v>142</v>
      </c>
      <c r="H9" t="str">
        <f>CONCATENATE(E9, " (", F9, ")")</f>
        <v>Common bottlenose dolphin (HI Pelagic)</v>
      </c>
    </row>
    <row r="10" spans="1:8" x14ac:dyDescent="0.2">
      <c r="A10" t="s">
        <v>12</v>
      </c>
      <c r="B10" t="s">
        <v>76</v>
      </c>
      <c r="E10" t="s">
        <v>35</v>
      </c>
      <c r="F10" t="s">
        <v>69</v>
      </c>
      <c r="G10" t="s">
        <v>11</v>
      </c>
      <c r="H10" t="str">
        <f>CONCATENATE(E10, " (", F10, ")")</f>
        <v>Fraser's dolphin (HI)</v>
      </c>
    </row>
    <row r="11" spans="1:8" x14ac:dyDescent="0.2">
      <c r="A11" t="s">
        <v>7</v>
      </c>
      <c r="B11" t="s">
        <v>76</v>
      </c>
      <c r="E11" t="s">
        <v>82</v>
      </c>
      <c r="F11" t="s">
        <v>71</v>
      </c>
      <c r="G11" t="s">
        <v>34</v>
      </c>
      <c r="H11" t="str">
        <f>CONCATENATE(E11, " (", F11, ")")</f>
        <v>Long-beaked common dolphin (CA)</v>
      </c>
    </row>
    <row r="12" spans="1:8" x14ac:dyDescent="0.2">
      <c r="A12" t="s">
        <v>7</v>
      </c>
      <c r="B12" t="s">
        <v>76</v>
      </c>
      <c r="E12" t="s">
        <v>99</v>
      </c>
      <c r="F12" t="s">
        <v>70</v>
      </c>
      <c r="G12" t="s">
        <v>14</v>
      </c>
      <c r="H12" t="str">
        <f>CONCATENATE(E12, " (", F12, ")")</f>
        <v>Northern right whale dolphin (CA/OR/WA)</v>
      </c>
    </row>
    <row r="13" spans="1:8" x14ac:dyDescent="0.2">
      <c r="A13" t="s">
        <v>7</v>
      </c>
      <c r="B13" t="s">
        <v>76</v>
      </c>
      <c r="E13" t="s">
        <v>87</v>
      </c>
      <c r="F13" t="s">
        <v>90</v>
      </c>
      <c r="G13" t="s">
        <v>39</v>
      </c>
      <c r="H13" t="str">
        <f>CONCATENATE(E13, " (", F13, ")")</f>
        <v>Pacific white-sided dolphin (CA/OR/WA-N/S)</v>
      </c>
    </row>
    <row r="14" spans="1:8" x14ac:dyDescent="0.2">
      <c r="A14" t="s">
        <v>7</v>
      </c>
      <c r="B14" t="s">
        <v>76</v>
      </c>
      <c r="E14" t="s">
        <v>87</v>
      </c>
      <c r="F14" t="s">
        <v>25</v>
      </c>
      <c r="G14" t="s">
        <v>25</v>
      </c>
      <c r="H14" t="str">
        <f>CONCATENATE(E14, " (", F14, ")")</f>
        <v>Pacific white-sided dolphin (North Pacific)</v>
      </c>
    </row>
    <row r="15" spans="1:8" x14ac:dyDescent="0.2">
      <c r="A15" t="s">
        <v>12</v>
      </c>
      <c r="B15" t="s">
        <v>76</v>
      </c>
      <c r="C15">
        <v>2012</v>
      </c>
      <c r="E15" t="s">
        <v>86</v>
      </c>
      <c r="F15" t="s">
        <v>69</v>
      </c>
      <c r="G15" t="s">
        <v>11</v>
      </c>
      <c r="H15" t="str">
        <f>CONCATENATE(E15, " (", F15, ")")</f>
        <v>Pantropical spotted dolphin (HI)</v>
      </c>
    </row>
    <row r="16" spans="1:8" x14ac:dyDescent="0.2">
      <c r="A16" t="s">
        <v>12</v>
      </c>
      <c r="B16" t="s">
        <v>76</v>
      </c>
      <c r="D16" t="s">
        <v>145</v>
      </c>
      <c r="E16" t="s">
        <v>86</v>
      </c>
      <c r="F16" t="s">
        <v>111</v>
      </c>
      <c r="G16" t="s">
        <v>142</v>
      </c>
      <c r="H16" t="str">
        <f>CONCATENATE(E16, " (", F16, ")")</f>
        <v>Pantropical spotted dolphin (HI Pelagic)</v>
      </c>
    </row>
    <row r="17" spans="1:8" x14ac:dyDescent="0.2">
      <c r="A17" s="2" t="s">
        <v>12</v>
      </c>
      <c r="B17" s="2" t="s">
        <v>76</v>
      </c>
      <c r="D17" t="s">
        <v>145</v>
      </c>
      <c r="E17" t="s">
        <v>86</v>
      </c>
      <c r="F17" t="s">
        <v>130</v>
      </c>
      <c r="G17" t="s">
        <v>130</v>
      </c>
      <c r="H17" t="str">
        <f>CONCATENATE(E17, " (", F17, ")")</f>
        <v>Pantropical spotted dolphin (O'ahu)</v>
      </c>
    </row>
    <row r="18" spans="1:8" x14ac:dyDescent="0.2">
      <c r="A18" s="2" t="s">
        <v>12</v>
      </c>
      <c r="B18" s="2" t="s">
        <v>76</v>
      </c>
      <c r="D18" t="s">
        <v>145</v>
      </c>
      <c r="E18" t="s">
        <v>86</v>
      </c>
      <c r="F18" t="s">
        <v>131</v>
      </c>
      <c r="G18" t="s">
        <v>131</v>
      </c>
      <c r="H18" t="str">
        <f>CONCATENATE(E18, " (", F18, ")")</f>
        <v>Pantropical spotted dolphin (Maui Nui)</v>
      </c>
    </row>
    <row r="19" spans="1:8" x14ac:dyDescent="0.2">
      <c r="A19" s="2" t="s">
        <v>12</v>
      </c>
      <c r="B19" s="2" t="s">
        <v>76</v>
      </c>
      <c r="D19" t="s">
        <v>145</v>
      </c>
      <c r="E19" t="s">
        <v>86</v>
      </c>
      <c r="F19" t="s">
        <v>133</v>
      </c>
      <c r="G19" t="s">
        <v>132</v>
      </c>
      <c r="H19" t="str">
        <f>CONCATENATE(E19, " (", F19, ")")</f>
        <v>Pantropical spotted dolphin (HI Island)</v>
      </c>
    </row>
    <row r="20" spans="1:8" x14ac:dyDescent="0.2">
      <c r="A20" t="s">
        <v>7</v>
      </c>
      <c r="B20" t="s">
        <v>76</v>
      </c>
      <c r="E20" t="s">
        <v>36</v>
      </c>
      <c r="F20" t="s">
        <v>70</v>
      </c>
      <c r="G20" t="s">
        <v>14</v>
      </c>
      <c r="H20" t="str">
        <f>CONCATENATE(E20, " (", F20, ")")</f>
        <v>Risso's dolphin (CA/OR/WA)</v>
      </c>
    </row>
    <row r="21" spans="1:8" x14ac:dyDescent="0.2">
      <c r="A21" t="s">
        <v>12</v>
      </c>
      <c r="B21" t="s">
        <v>76</v>
      </c>
      <c r="E21" t="s">
        <v>36</v>
      </c>
      <c r="F21" t="s">
        <v>69</v>
      </c>
      <c r="G21" t="s">
        <v>11</v>
      </c>
      <c r="H21" t="str">
        <f>CONCATENATE(E21, " (", F21, ")")</f>
        <v>Risso's dolphin (HI)</v>
      </c>
    </row>
    <row r="22" spans="1:8" x14ac:dyDescent="0.2">
      <c r="A22" t="s">
        <v>12</v>
      </c>
      <c r="B22" t="s">
        <v>76</v>
      </c>
      <c r="E22" t="s">
        <v>100</v>
      </c>
      <c r="F22" t="s">
        <v>18</v>
      </c>
      <c r="G22" t="s">
        <v>18</v>
      </c>
      <c r="H22" t="str">
        <f>CONCATENATE(E22, " (", F22, ")")</f>
        <v>Rough-toothed dolphin (American Samoa)</v>
      </c>
    </row>
    <row r="23" spans="1:8" x14ac:dyDescent="0.2">
      <c r="A23" t="s">
        <v>12</v>
      </c>
      <c r="B23" t="s">
        <v>76</v>
      </c>
      <c r="E23" t="s">
        <v>100</v>
      </c>
      <c r="F23" t="s">
        <v>69</v>
      </c>
      <c r="G23" t="s">
        <v>11</v>
      </c>
      <c r="H23" t="str">
        <f>CONCATENATE(E23, " (", F23, ")")</f>
        <v>Rough-toothed dolphin (HI)</v>
      </c>
    </row>
    <row r="24" spans="1:8" x14ac:dyDescent="0.2">
      <c r="A24" t="s">
        <v>7</v>
      </c>
      <c r="B24" t="s">
        <v>76</v>
      </c>
      <c r="E24" t="s">
        <v>83</v>
      </c>
      <c r="F24" t="s">
        <v>70</v>
      </c>
      <c r="G24" t="s">
        <v>14</v>
      </c>
      <c r="H24" t="str">
        <f>CONCATENATE(E24, " (", F24, ")")</f>
        <v>Short-beaked common dolphin (CA/OR/WA)</v>
      </c>
    </row>
    <row r="25" spans="1:8" x14ac:dyDescent="0.2">
      <c r="A25" t="s">
        <v>12</v>
      </c>
      <c r="B25" t="s">
        <v>76</v>
      </c>
      <c r="E25" t="s">
        <v>37</v>
      </c>
      <c r="F25" t="s">
        <v>18</v>
      </c>
      <c r="G25" t="s">
        <v>18</v>
      </c>
      <c r="H25" t="str">
        <f>CONCATENATE(E25, " (", F25, ")")</f>
        <v>Spinner dolphin (American Samoa)</v>
      </c>
    </row>
    <row r="26" spans="1:8" x14ac:dyDescent="0.2">
      <c r="A26" t="s">
        <v>12</v>
      </c>
      <c r="B26" t="s">
        <v>76</v>
      </c>
      <c r="C26" t="s">
        <v>117</v>
      </c>
      <c r="E26" t="s">
        <v>37</v>
      </c>
      <c r="F26" t="s">
        <v>69</v>
      </c>
      <c r="G26" t="s">
        <v>11</v>
      </c>
      <c r="H26" t="str">
        <f>CONCATENATE(E26, " (", F26, ")")</f>
        <v>Spinner dolphin (HI)</v>
      </c>
    </row>
    <row r="27" spans="1:8" x14ac:dyDescent="0.2">
      <c r="A27" t="s">
        <v>12</v>
      </c>
      <c r="B27" t="s">
        <v>76</v>
      </c>
      <c r="D27" t="s">
        <v>145</v>
      </c>
      <c r="E27" t="s">
        <v>37</v>
      </c>
      <c r="F27" t="s">
        <v>134</v>
      </c>
      <c r="G27" t="s">
        <v>134</v>
      </c>
      <c r="H27" t="str">
        <f>CONCATENATE(E27, " (", F27, ")")</f>
        <v>Spinner dolphin (O'ahu / 4 Islands)</v>
      </c>
    </row>
    <row r="28" spans="1:8" x14ac:dyDescent="0.2">
      <c r="A28" t="s">
        <v>12</v>
      </c>
      <c r="B28" t="s">
        <v>76</v>
      </c>
      <c r="D28" t="s">
        <v>145</v>
      </c>
      <c r="E28" t="s">
        <v>37</v>
      </c>
      <c r="F28" t="s">
        <v>133</v>
      </c>
      <c r="G28" t="s">
        <v>132</v>
      </c>
      <c r="H28" t="str">
        <f>CONCATENATE(E28, " (", F28, ")")</f>
        <v>Spinner dolphin (HI Island)</v>
      </c>
    </row>
    <row r="29" spans="1:8" x14ac:dyDescent="0.2">
      <c r="A29" t="s">
        <v>12</v>
      </c>
      <c r="B29" t="s">
        <v>76</v>
      </c>
      <c r="D29" t="s">
        <v>145</v>
      </c>
      <c r="E29" t="s">
        <v>37</v>
      </c>
      <c r="F29" t="s">
        <v>135</v>
      </c>
      <c r="G29" t="s">
        <v>135</v>
      </c>
      <c r="H29" t="str">
        <f>CONCATENATE(E29, " (", F29, ")")</f>
        <v>Spinner dolphin (Kaua'i / Ni'ihau)</v>
      </c>
    </row>
    <row r="30" spans="1:8" x14ac:dyDescent="0.2">
      <c r="A30" t="s">
        <v>12</v>
      </c>
      <c r="B30" t="s">
        <v>76</v>
      </c>
      <c r="D30" t="s">
        <v>145</v>
      </c>
      <c r="E30" t="s">
        <v>37</v>
      </c>
      <c r="F30" t="s">
        <v>136</v>
      </c>
      <c r="G30" t="s">
        <v>136</v>
      </c>
      <c r="H30" t="str">
        <f>CONCATENATE(E30, " (", F30, ")")</f>
        <v>Spinner dolphin (Midway / Kure)</v>
      </c>
    </row>
    <row r="31" spans="1:8" x14ac:dyDescent="0.2">
      <c r="A31" t="s">
        <v>12</v>
      </c>
      <c r="B31" t="s">
        <v>76</v>
      </c>
      <c r="D31" t="s">
        <v>145</v>
      </c>
      <c r="E31" t="s">
        <v>37</v>
      </c>
      <c r="F31" t="s">
        <v>137</v>
      </c>
      <c r="G31" t="s">
        <v>137</v>
      </c>
      <c r="H31" t="str">
        <f>CONCATENATE(E31, " (", F31, ")")</f>
        <v>Spinner dolphin (Pearl and Hermes Reef)</v>
      </c>
    </row>
    <row r="32" spans="1:8" x14ac:dyDescent="0.2">
      <c r="A32" t="s">
        <v>12</v>
      </c>
      <c r="B32" t="s">
        <v>76</v>
      </c>
      <c r="E32" t="s">
        <v>37</v>
      </c>
      <c r="F32" t="s">
        <v>111</v>
      </c>
      <c r="G32" t="s">
        <v>138</v>
      </c>
      <c r="H32" t="str">
        <f>CONCATENATE(E32, " (", F32, ")")</f>
        <v>Spinner dolphin (HI Pelagic)</v>
      </c>
    </row>
    <row r="33" spans="1:8" x14ac:dyDescent="0.2">
      <c r="A33" t="s">
        <v>7</v>
      </c>
      <c r="B33" t="s">
        <v>76</v>
      </c>
      <c r="E33" t="s">
        <v>38</v>
      </c>
      <c r="F33" t="s">
        <v>70</v>
      </c>
      <c r="G33" t="s">
        <v>14</v>
      </c>
      <c r="H33" t="str">
        <f>CONCATENATE(E33, " (", F33, ")")</f>
        <v>Striped dolphin (CA/OR/WA)</v>
      </c>
    </row>
    <row r="34" spans="1:8" x14ac:dyDescent="0.2">
      <c r="A34" t="s">
        <v>12</v>
      </c>
      <c r="B34" t="s">
        <v>76</v>
      </c>
      <c r="E34" t="s">
        <v>38</v>
      </c>
      <c r="F34" t="s">
        <v>69</v>
      </c>
      <c r="G34" t="s">
        <v>11</v>
      </c>
      <c r="H34" t="str">
        <f>CONCATENATE(E34, " (", F34, ")")</f>
        <v>Striped dolphin (HI)</v>
      </c>
    </row>
    <row r="35" spans="1:8" x14ac:dyDescent="0.2">
      <c r="A35" t="s">
        <v>7</v>
      </c>
      <c r="B35" t="s">
        <v>4</v>
      </c>
      <c r="E35" t="s">
        <v>5</v>
      </c>
      <c r="F35" t="s">
        <v>66</v>
      </c>
      <c r="G35" t="s">
        <v>6</v>
      </c>
      <c r="H35" t="str">
        <f>CONCATENATE(E35, " (", F35, ")")</f>
        <v>Blue whale (CNP)</v>
      </c>
    </row>
    <row r="36" spans="1:8" x14ac:dyDescent="0.2">
      <c r="A36" t="s">
        <v>7</v>
      </c>
      <c r="B36" t="s">
        <v>4</v>
      </c>
      <c r="E36" t="s">
        <v>5</v>
      </c>
      <c r="F36" t="s">
        <v>67</v>
      </c>
      <c r="G36" t="s">
        <v>8</v>
      </c>
      <c r="H36" t="str">
        <f>CONCATENATE(E36, " (", F36, ")")</f>
        <v>Blue whale (ENP)</v>
      </c>
    </row>
    <row r="37" spans="1:8" x14ac:dyDescent="0.2">
      <c r="A37" t="s">
        <v>7</v>
      </c>
      <c r="B37" t="s">
        <v>4</v>
      </c>
      <c r="E37" t="s">
        <v>9</v>
      </c>
      <c r="F37" t="s">
        <v>68</v>
      </c>
      <c r="G37" t="s">
        <v>10</v>
      </c>
      <c r="H37" t="str">
        <f>CONCATENATE(E37, " (", F37, ")")</f>
        <v>Bryde's whale (ETP)</v>
      </c>
    </row>
    <row r="38" spans="1:8" x14ac:dyDescent="0.2">
      <c r="A38" t="s">
        <v>12</v>
      </c>
      <c r="B38" t="s">
        <v>4</v>
      </c>
      <c r="E38" t="s">
        <v>9</v>
      </c>
      <c r="F38" t="s">
        <v>69</v>
      </c>
      <c r="G38" t="s">
        <v>11</v>
      </c>
      <c r="H38" t="str">
        <f>CONCATENATE(E38, " (", F38, ")")</f>
        <v>Bryde's whale (HI)</v>
      </c>
    </row>
    <row r="39" spans="1:8" x14ac:dyDescent="0.2">
      <c r="A39" t="s">
        <v>7</v>
      </c>
      <c r="B39" t="s">
        <v>4</v>
      </c>
      <c r="E39" t="s">
        <v>13</v>
      </c>
      <c r="F39" t="s">
        <v>70</v>
      </c>
      <c r="G39" t="s">
        <v>14</v>
      </c>
      <c r="H39" t="str">
        <f>CONCATENATE(E39, " (", F39, ")")</f>
        <v>Fin whale (CA/OR/WA)</v>
      </c>
    </row>
    <row r="40" spans="1:8" x14ac:dyDescent="0.2">
      <c r="A40" t="s">
        <v>12</v>
      </c>
      <c r="B40" t="s">
        <v>4</v>
      </c>
      <c r="E40" t="s">
        <v>13</v>
      </c>
      <c r="F40" t="s">
        <v>69</v>
      </c>
      <c r="G40" t="s">
        <v>11</v>
      </c>
      <c r="H40" t="str">
        <f>CONCATENATE(E40, " (", F40, ")")</f>
        <v>Fin whale (HI)</v>
      </c>
    </row>
    <row r="41" spans="1:8" x14ac:dyDescent="0.2">
      <c r="A41" t="s">
        <v>7</v>
      </c>
      <c r="B41" t="s">
        <v>4</v>
      </c>
      <c r="E41" t="s">
        <v>13</v>
      </c>
      <c r="F41" t="s">
        <v>15</v>
      </c>
      <c r="G41" t="s">
        <v>15</v>
      </c>
      <c r="H41" t="str">
        <f>CONCATENATE(E41, " (", F41, ")")</f>
        <v>Fin whale (Northeast Pacific)</v>
      </c>
    </row>
    <row r="42" spans="1:8" x14ac:dyDescent="0.2">
      <c r="A42" t="s">
        <v>7</v>
      </c>
      <c r="B42" t="s">
        <v>4</v>
      </c>
      <c r="E42" t="s">
        <v>16</v>
      </c>
      <c r="F42" t="s">
        <v>67</v>
      </c>
      <c r="G42" t="s">
        <v>8</v>
      </c>
      <c r="H42" t="str">
        <f>CONCATENATE(E42, " (", F42, ")")</f>
        <v>Gray whale (ENP)</v>
      </c>
    </row>
    <row r="43" spans="1:8" x14ac:dyDescent="0.2">
      <c r="A43" t="s">
        <v>7</v>
      </c>
      <c r="B43" t="s">
        <v>4</v>
      </c>
      <c r="E43" t="s">
        <v>16</v>
      </c>
      <c r="F43" t="s">
        <v>21</v>
      </c>
      <c r="G43" t="s">
        <v>21</v>
      </c>
      <c r="H43" t="str">
        <f>CONCATENATE(E43, " (", F43, ")")</f>
        <v>Gray whale (Western North Pacific)</v>
      </c>
    </row>
    <row r="44" spans="1:8" x14ac:dyDescent="0.2">
      <c r="A44" t="s">
        <v>12</v>
      </c>
      <c r="B44" t="s">
        <v>4</v>
      </c>
      <c r="E44" t="s">
        <v>17</v>
      </c>
      <c r="F44" t="s">
        <v>18</v>
      </c>
      <c r="G44" t="s">
        <v>18</v>
      </c>
      <c r="H44" t="str">
        <f>CONCATENATE(E44, " (", F44, ")")</f>
        <v>Humpback whale (American Samoa)</v>
      </c>
    </row>
    <row r="45" spans="1:8" x14ac:dyDescent="0.2">
      <c r="A45" t="s">
        <v>7</v>
      </c>
      <c r="B45" t="s">
        <v>4</v>
      </c>
      <c r="E45" t="s">
        <v>17</v>
      </c>
      <c r="F45" t="s">
        <v>70</v>
      </c>
      <c r="G45" t="s">
        <v>14</v>
      </c>
      <c r="H45" t="str">
        <f>CONCATENATE(E45, " (", F45, ")")</f>
        <v>Humpback whale (CA/OR/WA)</v>
      </c>
    </row>
    <row r="46" spans="1:8" x14ac:dyDescent="0.2">
      <c r="A46" t="s">
        <v>7</v>
      </c>
      <c r="B46" t="s">
        <v>4</v>
      </c>
      <c r="D46">
        <v>2022</v>
      </c>
      <c r="E46" t="s">
        <v>17</v>
      </c>
      <c r="F46" t="s">
        <v>129</v>
      </c>
      <c r="G46" t="s">
        <v>129</v>
      </c>
      <c r="H46" t="str">
        <f>CONCATENATE(E46, " (", F46, ")")</f>
        <v>Humpback whale (Central America / Southern Mexico)</v>
      </c>
    </row>
    <row r="47" spans="1:8" x14ac:dyDescent="0.2">
      <c r="A47" t="s">
        <v>7</v>
      </c>
      <c r="B47" t="s">
        <v>4</v>
      </c>
      <c r="E47" t="s">
        <v>17</v>
      </c>
      <c r="F47" t="s">
        <v>66</v>
      </c>
      <c r="G47" t="s">
        <v>6</v>
      </c>
      <c r="H47" t="str">
        <f>CONCATENATE(E47, " (", F47, ")")</f>
        <v>Humpback whale (CNP)</v>
      </c>
    </row>
    <row r="48" spans="1:8" x14ac:dyDescent="0.2">
      <c r="A48" t="s">
        <v>12</v>
      </c>
      <c r="B48" t="s">
        <v>4</v>
      </c>
      <c r="D48">
        <v>2022</v>
      </c>
      <c r="E48" t="s">
        <v>17</v>
      </c>
      <c r="F48" t="s">
        <v>69</v>
      </c>
      <c r="G48" t="s">
        <v>11</v>
      </c>
      <c r="H48" t="str">
        <f>CONCATENATE(E48, " (", F48, ")")</f>
        <v>Humpback whale (HI)</v>
      </c>
    </row>
    <row r="49" spans="1:8" x14ac:dyDescent="0.2">
      <c r="A49" t="s">
        <v>7</v>
      </c>
      <c r="B49" t="s">
        <v>4</v>
      </c>
      <c r="D49">
        <v>2022</v>
      </c>
      <c r="E49" t="s">
        <v>17</v>
      </c>
      <c r="F49" t="s">
        <v>19</v>
      </c>
      <c r="G49" t="s">
        <v>19</v>
      </c>
      <c r="H49" t="str">
        <f>CONCATENATE(E49, " (", F49, ")")</f>
        <v>Humpback whale (Mainland Mexico)</v>
      </c>
    </row>
    <row r="50" spans="1:8" x14ac:dyDescent="0.2">
      <c r="A50" t="s">
        <v>7</v>
      </c>
      <c r="B50" t="s">
        <v>4</v>
      </c>
      <c r="D50">
        <v>2022</v>
      </c>
      <c r="E50" t="s">
        <v>17</v>
      </c>
      <c r="F50" t="s">
        <v>20</v>
      </c>
      <c r="G50" t="s">
        <v>20</v>
      </c>
      <c r="H50" t="str">
        <f>CONCATENATE(E50, " (", F50, ")")</f>
        <v>Humpback whale (Mexico-North Pacific)</v>
      </c>
    </row>
    <row r="51" spans="1:8" x14ac:dyDescent="0.2">
      <c r="A51" t="s">
        <v>7</v>
      </c>
      <c r="B51" t="s">
        <v>4</v>
      </c>
      <c r="E51" t="s">
        <v>17</v>
      </c>
      <c r="F51" t="s">
        <v>21</v>
      </c>
      <c r="G51" t="s">
        <v>21</v>
      </c>
      <c r="H51" t="str">
        <f>CONCATENATE(E51, " (", F51, ")")</f>
        <v>Humpback whale (Western North Pacific)</v>
      </c>
    </row>
    <row r="52" spans="1:8" x14ac:dyDescent="0.2">
      <c r="A52" t="s">
        <v>7</v>
      </c>
      <c r="B52" t="s">
        <v>4</v>
      </c>
      <c r="E52" t="s">
        <v>22</v>
      </c>
      <c r="F52" t="s">
        <v>70</v>
      </c>
      <c r="G52" t="s">
        <v>14</v>
      </c>
      <c r="H52" t="str">
        <f>CONCATENATE(E52, " (", F52, ")")</f>
        <v>Minke whale (CA/OR/WA)</v>
      </c>
    </row>
    <row r="53" spans="1:8" x14ac:dyDescent="0.2">
      <c r="A53" t="s">
        <v>12</v>
      </c>
      <c r="B53" t="s">
        <v>4</v>
      </c>
      <c r="E53" t="s">
        <v>22</v>
      </c>
      <c r="F53" t="s">
        <v>69</v>
      </c>
      <c r="G53" t="s">
        <v>11</v>
      </c>
      <c r="H53" t="str">
        <f>CONCATENATE(E53, " (", F53, ")")</f>
        <v>Minke whale (HI)</v>
      </c>
    </row>
    <row r="54" spans="1:8" x14ac:dyDescent="0.2">
      <c r="A54" t="s">
        <v>7</v>
      </c>
      <c r="B54" t="s">
        <v>4</v>
      </c>
      <c r="E54" t="s">
        <v>85</v>
      </c>
      <c r="F54" t="s">
        <v>67</v>
      </c>
      <c r="G54" t="s">
        <v>8</v>
      </c>
      <c r="H54" t="str">
        <f>CONCATENATE(E54, " (", F54, ")")</f>
        <v>North Pacific right whale (ENP)</v>
      </c>
    </row>
    <row r="55" spans="1:8" x14ac:dyDescent="0.2">
      <c r="A55" t="s">
        <v>7</v>
      </c>
      <c r="B55" t="s">
        <v>4</v>
      </c>
      <c r="E55" t="s">
        <v>23</v>
      </c>
      <c r="F55" t="s">
        <v>67</v>
      </c>
      <c r="G55" t="s">
        <v>8</v>
      </c>
      <c r="H55" t="str">
        <f>CONCATENATE(E55, " (", F55, ")")</f>
        <v>Sei whale (ENP)</v>
      </c>
    </row>
    <row r="56" spans="1:8" x14ac:dyDescent="0.2">
      <c r="A56" t="s">
        <v>12</v>
      </c>
      <c r="B56" t="s">
        <v>4</v>
      </c>
      <c r="E56" t="s">
        <v>23</v>
      </c>
      <c r="F56" t="s">
        <v>69</v>
      </c>
      <c r="G56" t="s">
        <v>11</v>
      </c>
      <c r="H56" t="str">
        <f>CONCATENATE(E56, " (", F56, ")")</f>
        <v>Sei whale (HI)</v>
      </c>
    </row>
    <row r="57" spans="1:8" x14ac:dyDescent="0.2">
      <c r="A57" t="s">
        <v>7</v>
      </c>
      <c r="B57" t="s">
        <v>4</v>
      </c>
      <c r="E57" t="s">
        <v>24</v>
      </c>
      <c r="F57" t="s">
        <v>70</v>
      </c>
      <c r="G57" t="s">
        <v>14</v>
      </c>
      <c r="H57" t="str">
        <f>CONCATENATE(E57, " (", F57, ")")</f>
        <v>Sperm whale (CA/OR/WA)</v>
      </c>
    </row>
    <row r="58" spans="1:8" x14ac:dyDescent="0.2">
      <c r="A58" t="s">
        <v>12</v>
      </c>
      <c r="B58" t="s">
        <v>4</v>
      </c>
      <c r="E58" t="s">
        <v>24</v>
      </c>
      <c r="F58" t="s">
        <v>69</v>
      </c>
      <c r="G58" t="s">
        <v>11</v>
      </c>
      <c r="H58" t="str">
        <f>CONCATENATE(E58, " (", F58, ")")</f>
        <v>Sperm whale (HI)</v>
      </c>
    </row>
    <row r="59" spans="1:8" x14ac:dyDescent="0.2">
      <c r="A59" t="s">
        <v>7</v>
      </c>
      <c r="B59" t="s">
        <v>4</v>
      </c>
      <c r="E59" t="s">
        <v>24</v>
      </c>
      <c r="F59" t="s">
        <v>25</v>
      </c>
      <c r="G59" t="s">
        <v>25</v>
      </c>
      <c r="H59" t="str">
        <f>CONCATENATE(E59, " (", F59, ")")</f>
        <v>Sperm whale (North Pacific)</v>
      </c>
    </row>
    <row r="60" spans="1:8" x14ac:dyDescent="0.2">
      <c r="A60" t="s">
        <v>7</v>
      </c>
      <c r="B60" t="s">
        <v>56</v>
      </c>
      <c r="E60" t="s">
        <v>61</v>
      </c>
      <c r="F60" t="s">
        <v>95</v>
      </c>
      <c r="G60" t="s">
        <v>62</v>
      </c>
      <c r="H60" t="str">
        <f>CONCATENATE(E60, " (", F60, ")")</f>
        <v>California sea lion (U.S.)</v>
      </c>
    </row>
    <row r="61" spans="1:8" x14ac:dyDescent="0.2">
      <c r="A61" t="s">
        <v>7</v>
      </c>
      <c r="B61" t="s">
        <v>56</v>
      </c>
      <c r="E61" t="s">
        <v>57</v>
      </c>
      <c r="F61" t="s">
        <v>106</v>
      </c>
      <c r="G61" t="s">
        <v>106</v>
      </c>
      <c r="H61" t="str">
        <f>CONCATENATE(E61, " (", F61, ")")</f>
        <v>Guadalupe fur seal (US/Mexico)</v>
      </c>
    </row>
    <row r="62" spans="1:8" x14ac:dyDescent="0.2">
      <c r="A62" t="s">
        <v>7</v>
      </c>
      <c r="B62" t="s">
        <v>56</v>
      </c>
      <c r="E62" t="s">
        <v>58</v>
      </c>
      <c r="F62" t="s">
        <v>71</v>
      </c>
      <c r="G62" t="s">
        <v>34</v>
      </c>
      <c r="H62" t="str">
        <f>CONCATENATE(E62, " (", F62, ")")</f>
        <v>Northern fur seal (CA)</v>
      </c>
    </row>
    <row r="63" spans="1:8" x14ac:dyDescent="0.2">
      <c r="A63" t="s">
        <v>7</v>
      </c>
      <c r="B63" t="s">
        <v>56</v>
      </c>
      <c r="E63" t="s">
        <v>58</v>
      </c>
      <c r="F63" t="s">
        <v>59</v>
      </c>
      <c r="G63" t="s">
        <v>59</v>
      </c>
      <c r="H63" t="str">
        <f>CONCATENATE(E63, " (", F63, ")")</f>
        <v>Northern fur seal (Eastern Pacific)</v>
      </c>
    </row>
    <row r="64" spans="1:8" x14ac:dyDescent="0.2">
      <c r="A64" t="s">
        <v>7</v>
      </c>
      <c r="B64" t="s">
        <v>56</v>
      </c>
      <c r="C64">
        <v>2013</v>
      </c>
      <c r="E64" t="s">
        <v>58</v>
      </c>
      <c r="F64" t="s">
        <v>60</v>
      </c>
      <c r="G64" t="s">
        <v>60</v>
      </c>
      <c r="H64" t="str">
        <f>CONCATENATE(E64, " (", F64, ")")</f>
        <v>Northern fur seal (San Miguel Island)</v>
      </c>
    </row>
    <row r="65" spans="1:8" x14ac:dyDescent="0.2">
      <c r="A65" t="s">
        <v>7</v>
      </c>
      <c r="B65" t="s">
        <v>56</v>
      </c>
      <c r="E65" t="s">
        <v>63</v>
      </c>
      <c r="F65" t="s">
        <v>89</v>
      </c>
      <c r="G65" t="s">
        <v>89</v>
      </c>
      <c r="H65" t="str">
        <f>CONCATENATE(E65, " (", F65, ")")</f>
        <v>Steller sea lion (Eastern Stock)</v>
      </c>
    </row>
    <row r="66" spans="1:8" x14ac:dyDescent="0.2">
      <c r="A66" t="s">
        <v>7</v>
      </c>
      <c r="B66" t="s">
        <v>102</v>
      </c>
      <c r="E66" t="s">
        <v>101</v>
      </c>
      <c r="F66" t="s">
        <v>71</v>
      </c>
      <c r="G66" t="s">
        <v>34</v>
      </c>
      <c r="H66" t="str">
        <f>CONCATENATE(E66, " (", F66, ")")</f>
        <v>Southern sea otter (CA)</v>
      </c>
    </row>
    <row r="67" spans="1:8" x14ac:dyDescent="0.2">
      <c r="A67" t="s">
        <v>7</v>
      </c>
      <c r="B67" t="s">
        <v>102</v>
      </c>
      <c r="E67" t="s">
        <v>146</v>
      </c>
      <c r="F67" t="s">
        <v>147</v>
      </c>
      <c r="G67" t="s">
        <v>148</v>
      </c>
      <c r="H67" t="str">
        <f>CONCATENATE(E67, " (", F67, ")")</f>
        <v>Northern sea otter (WA)</v>
      </c>
    </row>
    <row r="68" spans="1:8" x14ac:dyDescent="0.2">
      <c r="A68" t="s">
        <v>7</v>
      </c>
      <c r="B68" t="s">
        <v>50</v>
      </c>
      <c r="E68" t="s">
        <v>51</v>
      </c>
      <c r="F68" t="s">
        <v>71</v>
      </c>
      <c r="G68" t="s">
        <v>34</v>
      </c>
      <c r="H68" t="str">
        <f>CONCATENATE(E68, " (", F68, ")")</f>
        <v>Harbor seal (CA)</v>
      </c>
    </row>
    <row r="69" spans="1:8" x14ac:dyDescent="0.2">
      <c r="A69" t="s">
        <v>7</v>
      </c>
      <c r="B69" t="s">
        <v>50</v>
      </c>
      <c r="E69" t="s">
        <v>51</v>
      </c>
      <c r="F69" t="s">
        <v>94</v>
      </c>
      <c r="G69" t="s">
        <v>52</v>
      </c>
      <c r="H69" t="str">
        <f>CONCATENATE(E69, " (", F69, ")")</f>
        <v>Harbor seal (OR/WA Coastal)</v>
      </c>
    </row>
    <row r="70" spans="1:8" x14ac:dyDescent="0.2">
      <c r="A70" t="s">
        <v>7</v>
      </c>
      <c r="B70" t="s">
        <v>50</v>
      </c>
      <c r="E70" t="s">
        <v>51</v>
      </c>
      <c r="F70" t="s">
        <v>103</v>
      </c>
      <c r="G70" t="s">
        <v>48</v>
      </c>
      <c r="H70" t="str">
        <f>CONCATENATE(E70, " (", F70, ")")</f>
        <v>Harbor seal (WA Inland Waters)</v>
      </c>
    </row>
    <row r="71" spans="1:8" x14ac:dyDescent="0.2">
      <c r="A71" t="s">
        <v>7</v>
      </c>
      <c r="B71" t="s">
        <v>50</v>
      </c>
      <c r="E71" t="s">
        <v>51</v>
      </c>
      <c r="F71" t="s">
        <v>104</v>
      </c>
      <c r="G71" t="s">
        <v>104</v>
      </c>
      <c r="H71" t="str">
        <f>CONCATENATE(E71, " (", F71, ")")</f>
        <v>Harbor seal (Hood Canal)</v>
      </c>
    </row>
    <row r="72" spans="1:8" x14ac:dyDescent="0.2">
      <c r="A72" t="s">
        <v>7</v>
      </c>
      <c r="B72" t="s">
        <v>50</v>
      </c>
      <c r="E72" t="s">
        <v>51</v>
      </c>
      <c r="F72" t="s">
        <v>105</v>
      </c>
      <c r="G72" t="s">
        <v>105</v>
      </c>
      <c r="H72" t="str">
        <f>CONCATENATE(E72, " (", F72, ")")</f>
        <v>Harbor seal (Southern Puget Sound)</v>
      </c>
    </row>
    <row r="73" spans="1:8" x14ac:dyDescent="0.2">
      <c r="A73" t="s">
        <v>12</v>
      </c>
      <c r="B73" t="s">
        <v>50</v>
      </c>
      <c r="E73" t="s">
        <v>53</v>
      </c>
      <c r="F73" t="s">
        <v>69</v>
      </c>
      <c r="G73" t="s">
        <v>11</v>
      </c>
      <c r="H73" t="str">
        <f>CONCATENATE(E73, " (", F73, ")")</f>
        <v>Hawaiian monk seal (HI)</v>
      </c>
    </row>
    <row r="74" spans="1:8" x14ac:dyDescent="0.2">
      <c r="A74" t="s">
        <v>7</v>
      </c>
      <c r="B74" t="s">
        <v>50</v>
      </c>
      <c r="E74" t="s">
        <v>54</v>
      </c>
      <c r="F74" t="s">
        <v>72</v>
      </c>
      <c r="G74" t="s">
        <v>55</v>
      </c>
      <c r="H74" t="str">
        <f>CONCATENATE(E74, " (", F74, ")")</f>
        <v>Northern elephant seal (CA Breeding)</v>
      </c>
    </row>
    <row r="75" spans="1:8" x14ac:dyDescent="0.2">
      <c r="A75" t="s">
        <v>7</v>
      </c>
      <c r="B75" t="s">
        <v>97</v>
      </c>
      <c r="E75" t="s">
        <v>40</v>
      </c>
      <c r="F75" t="s">
        <v>70</v>
      </c>
      <c r="G75" t="s">
        <v>14</v>
      </c>
      <c r="H75" t="str">
        <f>CONCATENATE(E75, " (", F75, ")")</f>
        <v>Dall's porpoise (CA/OR/WA)</v>
      </c>
    </row>
    <row r="76" spans="1:8" x14ac:dyDescent="0.2">
      <c r="A76" t="s">
        <v>7</v>
      </c>
      <c r="B76" t="s">
        <v>97</v>
      </c>
      <c r="C76">
        <v>2001</v>
      </c>
      <c r="E76" t="s">
        <v>41</v>
      </c>
      <c r="F76" t="s">
        <v>75</v>
      </c>
      <c r="G76" t="s">
        <v>49</v>
      </c>
      <c r="H76" t="str">
        <f>CONCATENATE(E76, " (", F76, ")")</f>
        <v>Harbor porpoise (Central CA)</v>
      </c>
    </row>
    <row r="77" spans="1:8" x14ac:dyDescent="0.2">
      <c r="A77" t="s">
        <v>7</v>
      </c>
      <c r="B77" t="s">
        <v>97</v>
      </c>
      <c r="D77">
        <v>2023</v>
      </c>
      <c r="E77" t="s">
        <v>41</v>
      </c>
      <c r="F77" t="s">
        <v>88</v>
      </c>
      <c r="G77" t="s">
        <v>42</v>
      </c>
      <c r="H77" t="str">
        <f>CONCATENATE(E77, " (", F77, ")")</f>
        <v>Harbor porpoise (Central OR)</v>
      </c>
    </row>
    <row r="78" spans="1:8" x14ac:dyDescent="0.2">
      <c r="A78" t="s">
        <v>7</v>
      </c>
      <c r="B78" t="s">
        <v>97</v>
      </c>
      <c r="D78">
        <v>2002</v>
      </c>
      <c r="E78" t="s">
        <v>41</v>
      </c>
      <c r="F78" t="s">
        <v>43</v>
      </c>
      <c r="G78" t="s">
        <v>43</v>
      </c>
      <c r="H78" t="str">
        <f>CONCATENATE(E78, " (", F78, ")")</f>
        <v>Harbor porpoise (Monterey Bay)</v>
      </c>
    </row>
    <row r="79" spans="1:8" x14ac:dyDescent="0.2">
      <c r="A79" t="s">
        <v>7</v>
      </c>
      <c r="B79" t="s">
        <v>97</v>
      </c>
      <c r="D79">
        <v>2002</v>
      </c>
      <c r="E79" t="s">
        <v>41</v>
      </c>
      <c r="F79" t="s">
        <v>44</v>
      </c>
      <c r="G79" t="s">
        <v>44</v>
      </c>
      <c r="H79" t="str">
        <f>CONCATENATE(E79, " (", F79, ")")</f>
        <v>Harbor porpoise (Morro Bay)</v>
      </c>
    </row>
    <row r="80" spans="1:8" x14ac:dyDescent="0.2">
      <c r="A80" t="s">
        <v>7</v>
      </c>
      <c r="B80" t="s">
        <v>97</v>
      </c>
      <c r="E80" t="s">
        <v>41</v>
      </c>
      <c r="F80" t="s">
        <v>92</v>
      </c>
      <c r="G80" t="s">
        <v>45</v>
      </c>
      <c r="H80" t="str">
        <f>CONCATENATE(E80, " (", F80, ")")</f>
        <v>Harbor porpoise (Northern CA / Southern OR)</v>
      </c>
    </row>
    <row r="81" spans="1:8" x14ac:dyDescent="0.2">
      <c r="A81" t="s">
        <v>7</v>
      </c>
      <c r="B81" t="s">
        <v>97</v>
      </c>
      <c r="E81" t="s">
        <v>41</v>
      </c>
      <c r="F81" t="s">
        <v>91</v>
      </c>
      <c r="G81" t="s">
        <v>46</v>
      </c>
      <c r="H81" t="str">
        <f>CONCATENATE(E81, " (", F81, ")")</f>
        <v>Harbor porpoise (Northern OR / WA Coast)</v>
      </c>
    </row>
    <row r="82" spans="1:8" x14ac:dyDescent="0.2">
      <c r="A82" t="s">
        <v>7</v>
      </c>
      <c r="B82" t="s">
        <v>97</v>
      </c>
      <c r="E82" t="s">
        <v>41</v>
      </c>
      <c r="F82" t="s">
        <v>47</v>
      </c>
      <c r="G82" t="s">
        <v>47</v>
      </c>
      <c r="H82" t="str">
        <f>CONCATENATE(E82, " (", F82, ")")</f>
        <v>Harbor porpoise (San Francisco-Russian River)</v>
      </c>
    </row>
    <row r="83" spans="1:8" x14ac:dyDescent="0.2">
      <c r="A83" t="s">
        <v>7</v>
      </c>
      <c r="B83" t="s">
        <v>97</v>
      </c>
      <c r="E83" t="s">
        <v>41</v>
      </c>
      <c r="F83" t="s">
        <v>103</v>
      </c>
      <c r="G83" t="s">
        <v>48</v>
      </c>
      <c r="H83" t="str">
        <f>CONCATENATE(E83, " (", F83, ")")</f>
        <v>Harbor porpoise (WA Inland Waters)</v>
      </c>
    </row>
    <row r="84" spans="1:8" x14ac:dyDescent="0.2">
      <c r="A84" t="s">
        <v>7</v>
      </c>
      <c r="B84" t="s">
        <v>26</v>
      </c>
      <c r="E84" t="s">
        <v>77</v>
      </c>
      <c r="F84" t="s">
        <v>70</v>
      </c>
      <c r="G84" t="s">
        <v>14</v>
      </c>
      <c r="H84" t="str">
        <f>CONCATENATE(E84, " (", F84, ")")</f>
        <v>Baird's beaked whale (CA/OR/WA)</v>
      </c>
    </row>
    <row r="85" spans="1:8" x14ac:dyDescent="0.2">
      <c r="A85" t="s">
        <v>12</v>
      </c>
      <c r="B85" t="s">
        <v>26</v>
      </c>
      <c r="E85" t="s">
        <v>78</v>
      </c>
      <c r="F85" t="s">
        <v>69</v>
      </c>
      <c r="G85" t="s">
        <v>11</v>
      </c>
      <c r="H85" t="str">
        <f>CONCATENATE(E85, " (", F85, ")")</f>
        <v>Blainville's beaked whale (HI)</v>
      </c>
    </row>
    <row r="86" spans="1:8" x14ac:dyDescent="0.2">
      <c r="A86" t="s">
        <v>7</v>
      </c>
      <c r="B86" t="s">
        <v>26</v>
      </c>
      <c r="E86" t="s">
        <v>79</v>
      </c>
      <c r="F86" t="s">
        <v>70</v>
      </c>
      <c r="G86" t="s">
        <v>14</v>
      </c>
      <c r="H86" t="str">
        <f>CONCATENATE(E86, " (", F86, ")")</f>
        <v>Cuvier's beaked whale (CA/OR/WA)</v>
      </c>
    </row>
    <row r="87" spans="1:8" x14ac:dyDescent="0.2">
      <c r="A87" t="s">
        <v>12</v>
      </c>
      <c r="B87" t="s">
        <v>26</v>
      </c>
      <c r="E87" t="s">
        <v>79</v>
      </c>
      <c r="F87" t="s">
        <v>69</v>
      </c>
      <c r="G87" t="s">
        <v>11</v>
      </c>
      <c r="H87" t="str">
        <f>CONCATENATE(E87, " (", F87, ")")</f>
        <v>Cuvier's beaked whale (HI)</v>
      </c>
    </row>
    <row r="88" spans="1:8" x14ac:dyDescent="0.2">
      <c r="A88" t="s">
        <v>7</v>
      </c>
      <c r="B88" t="s">
        <v>26</v>
      </c>
      <c r="E88" t="s">
        <v>98</v>
      </c>
      <c r="F88" t="s">
        <v>70</v>
      </c>
      <c r="G88" t="s">
        <v>14</v>
      </c>
      <c r="H88" t="str">
        <f>CONCATENATE(E88, " (", F88, ")")</f>
        <v>Dwarf sperm whale (CA/OR/WA)</v>
      </c>
    </row>
    <row r="89" spans="1:8" x14ac:dyDescent="0.2">
      <c r="A89" t="s">
        <v>12</v>
      </c>
      <c r="B89" t="s">
        <v>26</v>
      </c>
      <c r="E89" t="s">
        <v>98</v>
      </c>
      <c r="F89" t="s">
        <v>69</v>
      </c>
      <c r="G89" t="s">
        <v>11</v>
      </c>
      <c r="H89" t="str">
        <f>CONCATENATE(E89, " (", F89, ")")</f>
        <v>Dwarf sperm whale (HI)</v>
      </c>
    </row>
    <row r="90" spans="1:8" x14ac:dyDescent="0.2">
      <c r="A90" t="s">
        <v>12</v>
      </c>
      <c r="B90" t="s">
        <v>26</v>
      </c>
      <c r="E90" t="s">
        <v>28</v>
      </c>
      <c r="F90" t="s">
        <v>18</v>
      </c>
      <c r="G90" t="s">
        <v>18</v>
      </c>
      <c r="H90" t="str">
        <f>CONCATENATE(E90, " (", F90, ")")</f>
        <v>False killer whale (American Samoa)</v>
      </c>
    </row>
    <row r="91" spans="1:8" x14ac:dyDescent="0.2">
      <c r="A91" t="s">
        <v>12</v>
      </c>
      <c r="B91" t="s">
        <v>26</v>
      </c>
      <c r="E91" t="s">
        <v>28</v>
      </c>
      <c r="F91" t="s">
        <v>109</v>
      </c>
      <c r="G91" t="s">
        <v>112</v>
      </c>
      <c r="H91" t="str">
        <f>CONCATENATE(E91, " (", F91, ")")</f>
        <v>False killer whale (MHI Insular)</v>
      </c>
    </row>
    <row r="92" spans="1:8" x14ac:dyDescent="0.2">
      <c r="A92" t="s">
        <v>12</v>
      </c>
      <c r="B92" t="s">
        <v>26</v>
      </c>
      <c r="E92" t="s">
        <v>28</v>
      </c>
      <c r="F92" t="s">
        <v>110</v>
      </c>
      <c r="G92" t="s">
        <v>113</v>
      </c>
      <c r="H92" t="str">
        <f>CONCATENATE(E92, " (", F92, ")")</f>
        <v>False killer whale (NW HI)</v>
      </c>
    </row>
    <row r="93" spans="1:8" x14ac:dyDescent="0.2">
      <c r="A93" t="s">
        <v>12</v>
      </c>
      <c r="B93" t="s">
        <v>26</v>
      </c>
      <c r="E93" t="s">
        <v>28</v>
      </c>
      <c r="F93" t="s">
        <v>111</v>
      </c>
      <c r="G93" t="s">
        <v>114</v>
      </c>
      <c r="H93" t="str">
        <f>CONCATENATE(E93, " (", F93, ")")</f>
        <v>False killer whale (HI Pelagic)</v>
      </c>
    </row>
    <row r="94" spans="1:8" x14ac:dyDescent="0.2">
      <c r="A94" t="s">
        <v>12</v>
      </c>
      <c r="B94" t="s">
        <v>26</v>
      </c>
      <c r="E94" t="s">
        <v>28</v>
      </c>
      <c r="F94" t="s">
        <v>93</v>
      </c>
      <c r="G94" t="s">
        <v>93</v>
      </c>
      <c r="H94" t="str">
        <f>CONCATENATE(E94, " (", F94, ")")</f>
        <v>False killer whale (Palmyra Atoll)</v>
      </c>
    </row>
    <row r="95" spans="1:8" x14ac:dyDescent="0.2">
      <c r="A95" t="s">
        <v>12</v>
      </c>
      <c r="B95" t="s">
        <v>26</v>
      </c>
      <c r="E95" t="s">
        <v>29</v>
      </c>
      <c r="F95" t="s">
        <v>69</v>
      </c>
      <c r="G95" t="s">
        <v>11</v>
      </c>
      <c r="H95" t="str">
        <f>CONCATENATE(E95, " (", F95, ")")</f>
        <v>Killer whale (HI)</v>
      </c>
    </row>
    <row r="96" spans="1:8" x14ac:dyDescent="0.2">
      <c r="A96" t="s">
        <v>127</v>
      </c>
      <c r="B96" t="s">
        <v>26</v>
      </c>
      <c r="E96" t="s">
        <v>29</v>
      </c>
      <c r="F96" t="s">
        <v>122</v>
      </c>
      <c r="G96" t="s">
        <v>122</v>
      </c>
      <c r="H96" t="str">
        <f>CONCATENATE(E96, " (", F96, ")")</f>
        <v>Killer whale (ENP AK Resident)</v>
      </c>
    </row>
    <row r="97" spans="1:8" x14ac:dyDescent="0.2">
      <c r="A97" t="s">
        <v>7</v>
      </c>
      <c r="B97" t="s">
        <v>26</v>
      </c>
      <c r="E97" t="s">
        <v>29</v>
      </c>
      <c r="F97" t="s">
        <v>123</v>
      </c>
      <c r="G97" t="s">
        <v>123</v>
      </c>
      <c r="H97" t="str">
        <f>CONCATENATE(E97, " (", F97, ")")</f>
        <v>Killer whale (ENP Northern Resident)</v>
      </c>
    </row>
    <row r="98" spans="1:8" x14ac:dyDescent="0.2">
      <c r="A98" t="s">
        <v>7</v>
      </c>
      <c r="B98" t="s">
        <v>26</v>
      </c>
      <c r="E98" t="s">
        <v>29</v>
      </c>
      <c r="F98" t="s">
        <v>124</v>
      </c>
      <c r="G98" t="s">
        <v>124</v>
      </c>
      <c r="H98" t="str">
        <f>CONCATENATE(E98, " (", F98, ")")</f>
        <v>Killer whale (ENP Offshore)</v>
      </c>
    </row>
    <row r="99" spans="1:8" x14ac:dyDescent="0.2">
      <c r="A99" t="s">
        <v>7</v>
      </c>
      <c r="B99" t="s">
        <v>26</v>
      </c>
      <c r="E99" t="s">
        <v>29</v>
      </c>
      <c r="F99" t="s">
        <v>125</v>
      </c>
      <c r="G99" t="s">
        <v>125</v>
      </c>
      <c r="H99" t="str">
        <f>CONCATENATE(E99, " (", F99, ")")</f>
        <v>Killer whale (ENP Transient)</v>
      </c>
    </row>
    <row r="100" spans="1:8" x14ac:dyDescent="0.2">
      <c r="A100" t="s">
        <v>7</v>
      </c>
      <c r="B100" t="s">
        <v>26</v>
      </c>
      <c r="E100" t="s">
        <v>29</v>
      </c>
      <c r="F100" t="s">
        <v>126</v>
      </c>
      <c r="G100" t="s">
        <v>126</v>
      </c>
      <c r="H100" t="str">
        <f>CONCATENATE(E100, " (", F100, ")")</f>
        <v>Killer whale (ENP Southern Resident)</v>
      </c>
    </row>
    <row r="101" spans="1:8" x14ac:dyDescent="0.2">
      <c r="A101" t="s">
        <v>127</v>
      </c>
      <c r="B101" t="s">
        <v>26</v>
      </c>
      <c r="E101" t="s">
        <v>29</v>
      </c>
      <c r="F101" t="s">
        <v>128</v>
      </c>
      <c r="G101" t="s">
        <v>128</v>
      </c>
      <c r="H101" t="str">
        <f>CONCATENATE(E101, " (", F101, ")")</f>
        <v>Killer whale (AT1 Transient)</v>
      </c>
    </row>
    <row r="102" spans="1:8" x14ac:dyDescent="0.2">
      <c r="A102" t="s">
        <v>7</v>
      </c>
      <c r="B102" t="s">
        <v>26</v>
      </c>
      <c r="E102" t="s">
        <v>29</v>
      </c>
      <c r="F102" t="s">
        <v>70</v>
      </c>
      <c r="G102" t="s">
        <v>14</v>
      </c>
      <c r="H102" t="str">
        <f>CONCATENATE(E102, " (", F102, ")")</f>
        <v>Killer whale (CA/OR/WA)</v>
      </c>
    </row>
    <row r="103" spans="1:8" x14ac:dyDescent="0.2">
      <c r="A103" t="s">
        <v>12</v>
      </c>
      <c r="B103" t="s">
        <v>26</v>
      </c>
      <c r="E103" t="s">
        <v>80</v>
      </c>
      <c r="F103" t="s">
        <v>69</v>
      </c>
      <c r="G103" t="s">
        <v>11</v>
      </c>
      <c r="H103" t="str">
        <f>CONCATENATE(E103, " (", F103, ")")</f>
        <v>Longman's beaked whale (HI)</v>
      </c>
    </row>
    <row r="104" spans="1:8" x14ac:dyDescent="0.2">
      <c r="A104" t="s">
        <v>12</v>
      </c>
      <c r="B104" t="s">
        <v>26</v>
      </c>
      <c r="C104" t="s">
        <v>117</v>
      </c>
      <c r="E104" t="s">
        <v>116</v>
      </c>
      <c r="F104" t="s">
        <v>119</v>
      </c>
      <c r="G104" t="s">
        <v>120</v>
      </c>
      <c r="H104" t="str">
        <f>CONCATENATE(E104, " (", F104, ")")</f>
        <v>Melon-headed whale (HI Stock)</v>
      </c>
    </row>
    <row r="105" spans="1:8" x14ac:dyDescent="0.2">
      <c r="A105" t="s">
        <v>12</v>
      </c>
      <c r="B105" t="s">
        <v>26</v>
      </c>
      <c r="D105">
        <v>2013</v>
      </c>
      <c r="E105" t="s">
        <v>116</v>
      </c>
      <c r="F105" t="s">
        <v>118</v>
      </c>
      <c r="G105" t="s">
        <v>118</v>
      </c>
      <c r="H105" t="str">
        <f>CONCATENATE(E105, " (", F105, ")")</f>
        <v>Melon-headed whale (Kohala Resident)</v>
      </c>
    </row>
    <row r="106" spans="1:8" x14ac:dyDescent="0.2">
      <c r="A106" t="s">
        <v>12</v>
      </c>
      <c r="B106" t="s">
        <v>26</v>
      </c>
      <c r="D106">
        <v>2013</v>
      </c>
      <c r="E106" t="s">
        <v>116</v>
      </c>
      <c r="F106" t="s">
        <v>96</v>
      </c>
      <c r="G106" t="s">
        <v>121</v>
      </c>
      <c r="H106" t="str">
        <f>CONCATENATE(E106, " (", F106, ")")</f>
        <v>Melon-headed whale (HI Islands)</v>
      </c>
    </row>
    <row r="107" spans="1:8" x14ac:dyDescent="0.2">
      <c r="A107" t="s">
        <v>7</v>
      </c>
      <c r="B107" t="s">
        <v>26</v>
      </c>
      <c r="E107" t="s">
        <v>115</v>
      </c>
      <c r="F107" t="s">
        <v>70</v>
      </c>
      <c r="G107" t="s">
        <v>14</v>
      </c>
      <c r="H107" t="str">
        <f>CONCATENATE(E107, " (", F107, ")")</f>
        <v>Mesoplodont beaked whales (CA/OR/WA)</v>
      </c>
    </row>
    <row r="108" spans="1:8" x14ac:dyDescent="0.2">
      <c r="A108" t="s">
        <v>12</v>
      </c>
      <c r="B108" t="s">
        <v>26</v>
      </c>
      <c r="E108" t="s">
        <v>30</v>
      </c>
      <c r="F108" t="s">
        <v>69</v>
      </c>
      <c r="G108" t="s">
        <v>11</v>
      </c>
      <c r="H108" t="str">
        <f>CONCATENATE(E108, " (", F108, ")")</f>
        <v>Pygmy killer whale (HI)</v>
      </c>
    </row>
    <row r="109" spans="1:8" x14ac:dyDescent="0.2">
      <c r="A109" t="s">
        <v>7</v>
      </c>
      <c r="B109" t="s">
        <v>26</v>
      </c>
      <c r="E109" t="s">
        <v>31</v>
      </c>
      <c r="F109" t="s">
        <v>70</v>
      </c>
      <c r="G109" t="s">
        <v>14</v>
      </c>
      <c r="H109" t="str">
        <f>CONCATENATE(E109, " (", F109, ")")</f>
        <v>Pygmy sperm whale (CA/OR/WA)</v>
      </c>
    </row>
    <row r="110" spans="1:8" x14ac:dyDescent="0.2">
      <c r="A110" t="s">
        <v>12</v>
      </c>
      <c r="B110" t="s">
        <v>26</v>
      </c>
      <c r="E110" t="s">
        <v>31</v>
      </c>
      <c r="F110" t="s">
        <v>69</v>
      </c>
      <c r="G110" t="s">
        <v>11</v>
      </c>
      <c r="H110" t="str">
        <f>CONCATENATE(E110, " (", F110, ")")</f>
        <v>Pygmy sperm whale (HI)</v>
      </c>
    </row>
    <row r="111" spans="1:8" x14ac:dyDescent="0.2">
      <c r="A111" t="s">
        <v>7</v>
      </c>
      <c r="B111" t="s">
        <v>26</v>
      </c>
      <c r="E111" t="s">
        <v>81</v>
      </c>
      <c r="F111" t="s">
        <v>27</v>
      </c>
      <c r="G111" t="s">
        <v>27</v>
      </c>
      <c r="H111" t="str">
        <f>CONCATENATE(E111, " (", F111, ")")</f>
        <v>Sato's beaked whale (Western and Central North Pacific)</v>
      </c>
    </row>
    <row r="112" spans="1:8" x14ac:dyDescent="0.2">
      <c r="A112" t="s">
        <v>7</v>
      </c>
      <c r="B112" t="s">
        <v>26</v>
      </c>
      <c r="E112" t="s">
        <v>84</v>
      </c>
      <c r="F112" t="s">
        <v>70</v>
      </c>
      <c r="G112" t="s">
        <v>14</v>
      </c>
      <c r="H112" t="str">
        <f>CONCATENATE(E112, " (", F112, ")")</f>
        <v>Short-finned pilot whale (CA/OR/WA)</v>
      </c>
    </row>
    <row r="113" spans="1:8" x14ac:dyDescent="0.2">
      <c r="A113" t="s">
        <v>12</v>
      </c>
      <c r="B113" t="s">
        <v>26</v>
      </c>
      <c r="E113" t="s">
        <v>84</v>
      </c>
      <c r="F113" t="s">
        <v>69</v>
      </c>
      <c r="G113" t="s">
        <v>11</v>
      </c>
      <c r="H113" t="str">
        <f>CONCATENATE(E113, " (", F113, ")")</f>
        <v>Short-finned pilot whale (HI)</v>
      </c>
    </row>
  </sheetData>
  <autoFilter ref="A1:H93" xr:uid="{D04012A3-CD65-0E49-A7AA-F7997F065ACD}">
    <sortState xmlns:xlrd2="http://schemas.microsoft.com/office/spreadsheetml/2017/richdata2" ref="A2:H113">
      <sortCondition ref="B1:B1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2026-04-12T16:36:15Z</dcterms:created>
  <dcterms:modified xsi:type="dcterms:W3CDTF">2026-04-12T20:03:26Z</dcterms:modified>
</cp:coreProperties>
</file>